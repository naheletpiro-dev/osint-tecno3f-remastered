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45.xml"/>
  <Override ContentType="application/vnd.openxmlformats-officedocument.spreadsheetml.table+xml" PartName="/xl/tables/table46.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48.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47.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ase 3F" sheetId="1" r:id="rId5"/>
    <sheet state="visible" name="Mails_Normalizados" sheetId="2" r:id="rId6"/>
    <sheet state="visible" name="Mapeo" sheetId="3" r:id="rId7"/>
    <sheet state="visible" name="Contacto 1 y 2 (a eliminar)" sheetId="4" r:id="rId8"/>
    <sheet state="visible" name="Mails A(a eliminar)" sheetId="5" r:id="rId9"/>
  </sheets>
  <definedNames>
    <definedName hidden="1" localSheetId="0" name="Z_B4B63EB2_831B_4B08_AE48_4EB4B30A06AD_.wvu.FilterData">'Base 3F'!$A$4:$Z$1872</definedName>
  </definedNames>
  <calcPr/>
  <customWorkbookViews>
    <customWorkbookView activeSheetId="0" maximized="1" windowHeight="0" windowWidth="0" guid="{B4B63EB2-831B-4B08-AE48-4EB4B30A06AD}"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tc={01071367-90dd-44cb-838a-e8f976b5a32e}</author>
    <author>tc={919acbe7-04aa-4c8d-8841-917e8d388d86}</author>
  </authors>
  <commentList>
    <comment authorId="0" xr:uid="{01071367-90dd-44cb-838a-e8f976b5a32e}" ref="A1">
      <text>
        <t xml:space="preserve">[Threaded comment]
 Your version of Excel allows you to read this threaded comment; however, any edits to it will get removed if the file is opened in a newer version of Excel. Learn more: https://go.microsoft.com/fwlink/?linkid=870924
Comment:
	Elige 'Principal' para el correo oficial de contacto. Si tiene más, ponlos como 'Secundario'
</t>
      </text>
    </comment>
    <comment authorId="1" xr:uid="{919acbe7-04aa-4c8d-8841-917e8d388d86}" ref="A1">
      <text>
        <t xml:space="preserve">[Threaded comment]
 Your version of Excel allows you to read this threaded comment; however, any edits to it will get removed if the file is opened in a newer version of Excel. Learn more: https://go.microsoft.com/fwlink/?linkid=870924
Comment:
	Escribe un solo correo válido por celda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tc={d5c04bb4-2d87-4007-b7d8-9a007210049e}</author>
    <author>tc={ed1df8be-e591-4364-9ff7-28df2bf44b0a}</author>
    <author>tc={f70e7020-74d4-4a78-a2cd-e61a34aa32f6}</author>
  </authors>
  <commentList>
    <comment authorId="0" xr:uid="{d5c04bb4-2d87-4007-b7d8-9a007210049e}" ref="A1">
      <text>
        <t xml:space="preserve">[Threaded comment]
 Your version of Excel allows you to read this threaded comment; however, any edits to it will get removed if the file is opened in a newer version of Excel. Learn more: https://go.microsoft.com/fwlink/?linkid=870924
Comment:
	⚠️ CARGA DE MAILS: Si una empresa tiene varios correos, usa una fila nueva para cada uno. No separes correos por comas.
Si no aparece una empresa en el chip, deben agregarla en la hoja principal
</t>
      </text>
    </comment>
    <comment authorId="1" xr:uid="{ed1df8be-e591-4364-9ff7-28df2bf44b0a}" ref="B1">
      <text>
        <t xml:space="preserve">[Threaded comment]
 Your version of Excel allows you to read this threaded comment; however, any edits to it will get removed if the file is opened in a newer version of Excel. Learn more: https://go.microsoft.com/fwlink/?linkid=870924
Comment:
	CUIT y RUBRO se autocompletan dependiendo de los datos de la Hoja Principal de esa empresa
</t>
      </text>
    </comment>
    <comment authorId="2" xr:uid="{f70e7020-74d4-4a78-a2cd-e61a34aa32f6}" ref="D1">
      <text>
        <t xml:space="preserve">[Threaded comment]
 Your version of Excel allows you to read this threaded comment; however, any edits to it will get removed if the file is opened in a newer version of Excel. Learn more: https://go.microsoft.com/fwlink/?linkid=870924
Comment:
	Escribe un solo correo válido por celda
</t>
      </text>
    </comment>
  </commentList>
</comments>
</file>

<file path=xl/sharedStrings.xml><?xml version="1.0" encoding="utf-8"?>
<sst xmlns="http://schemas.openxmlformats.org/spreadsheetml/2006/main" count="40328" uniqueCount="12501">
  <si>
    <t>Rubro</t>
  </si>
  <si>
    <t>Cantidad</t>
  </si>
  <si>
    <t>%</t>
  </si>
  <si>
    <t>Localidad</t>
  </si>
  <si>
    <t>CONTACTO 1</t>
  </si>
  <si>
    <t>Agropecuaria</t>
  </si>
  <si>
    <t>746 mails</t>
  </si>
  <si>
    <t>angelina@estudioapop.com.ar</t>
  </si>
  <si>
    <t>lgreco@amasd.com.ar</t>
  </si>
  <si>
    <t>liliappardo@yahoo.com.ar</t>
  </si>
  <si>
    <t>juancluna@aceroscofer.com.ar</t>
  </si>
  <si>
    <t>info@acerosalvear.com</t>
  </si>
  <si>
    <t>graciela@inoxicaseros.com.ar</t>
  </si>
  <si>
    <t xml:space="preserve">vholub@acerosmb.com.ar </t>
  </si>
  <si>
    <t>holubvictor@gmail.com</t>
  </si>
  <si>
    <t>Caseros</t>
  </si>
  <si>
    <t>dachilli@los-amores.com.ar</t>
  </si>
  <si>
    <t>gerencia@aditivosplasticos.com</t>
  </si>
  <si>
    <t>gafonso@soluplex.com </t>
  </si>
  <si>
    <t>eduardo@agmetalurgica.com.ar</t>
  </si>
  <si>
    <t>r-roussilian@aiman-sa.com</t>
  </si>
  <si>
    <t>andrescz@acerosbosch.com.ar</t>
  </si>
  <si>
    <t>Alimenticia</t>
  </si>
  <si>
    <t>disegno.albalonga@gmail.com</t>
  </si>
  <si>
    <t>F</t>
  </si>
  <si>
    <t>eduardo@sabbatini.com.ar</t>
  </si>
  <si>
    <t xml:space="preserve">alejandro@sabbatini.com.ar </t>
  </si>
  <si>
    <t>Cantidad de Empresas: --&gt;</t>
  </si>
  <si>
    <t>calidad@kapac.com.ar</t>
  </si>
  <si>
    <t>narrojo023@gmail.com</t>
  </si>
  <si>
    <t xml:space="preserve">pablogomex@icloud.com </t>
  </si>
  <si>
    <t xml:space="preserve">pablo@miler.com.ar </t>
  </si>
  <si>
    <t>pablo@almartt.com</t>
  </si>
  <si>
    <t>Churruca</t>
  </si>
  <si>
    <t>adm@alprin.com.ar</t>
  </si>
  <si>
    <t>mndearmas@alumetal.com.ar</t>
  </si>
  <si>
    <t>fedelesergio@hotmail.com</t>
  </si>
  <si>
    <t>Automotor</t>
  </si>
  <si>
    <t>adrianadesteffanis@gmail.com</t>
  </si>
  <si>
    <t>agm@ferrocort.com</t>
  </si>
  <si>
    <t>emiliano@ferrocort.com</t>
  </si>
  <si>
    <t>emiliano@anacon.com.ar</t>
  </si>
  <si>
    <t>antonio@podrzaj.com.ar</t>
  </si>
  <si>
    <t>lestevez@aptitud.com.ar</t>
  </si>
  <si>
    <t>araujo.srl.2014@gmail.com</t>
  </si>
  <si>
    <t>liliana@argensil.com.ar</t>
  </si>
  <si>
    <t>hernant@dravidal.com.ar</t>
  </si>
  <si>
    <t>Ciudad Jardín Lomas del Palomar</t>
  </si>
  <si>
    <t>marianav@dravidal.com.ar</t>
  </si>
  <si>
    <t>danielcarranza@arkino.com.ar</t>
  </si>
  <si>
    <t>caramelo_miguel@aroquim.com.ar</t>
  </si>
  <si>
    <t>asapienza@heladosaloha.com.ar</t>
  </si>
  <si>
    <t>caritombesi@gmail.com</t>
  </si>
  <si>
    <t>ascproductoselectricos@gmail.com</t>
  </si>
  <si>
    <t>gmartin@valke.com.ar</t>
  </si>
  <si>
    <t>rios@avibra.com.ar</t>
  </si>
  <si>
    <t>claudiotalamo@correasbts.com.ar</t>
  </si>
  <si>
    <t>Bebidas</t>
  </si>
  <si>
    <t>oscar@byh.com.ar</t>
  </si>
  <si>
    <t>EMPRESA</t>
  </si>
  <si>
    <t>babyhour@hotmail.com</t>
  </si>
  <si>
    <t>bairesdom@gmail.com</t>
  </si>
  <si>
    <t>abarbo@plastmatrix.com.ar</t>
  </si>
  <si>
    <t>natalia.loto@all4labels.com</t>
  </si>
  <si>
    <t>claudio.acosta@e-intrasrl.com</t>
  </si>
  <si>
    <t>CUIT</t>
  </si>
  <si>
    <t>hbentivegna@hiperinox.com</t>
  </si>
  <si>
    <t>RUBRO</t>
  </si>
  <si>
    <t>Ciudadela</t>
  </si>
  <si>
    <t>EMAIL</t>
  </si>
  <si>
    <t>TIPO</t>
  </si>
  <si>
    <t>ESTADO</t>
  </si>
  <si>
    <t>jonatan@bettendorff.com.ar</t>
  </si>
  <si>
    <t>Calzado</t>
  </si>
  <si>
    <t>hector@bianqueriaancona.com.ar</t>
  </si>
  <si>
    <t>silvia_lois67@hotmail.com</t>
  </si>
  <si>
    <t>ventas@bondeadosnortex.com.ar</t>
  </si>
  <si>
    <t>botterosa@yahoo.com.ar</t>
  </si>
  <si>
    <t>arespo73@yahoo.com.ar</t>
  </si>
  <si>
    <t>heritesrl@gmail.com</t>
  </si>
  <si>
    <t>Razón Social AFIP</t>
  </si>
  <si>
    <t>novarinosantiago@gmail.com</t>
  </si>
  <si>
    <t>El Libertador</t>
  </si>
  <si>
    <t>a.comacchio@bscargentina.com.ar</t>
  </si>
  <si>
    <t xml:space="preserve">raul@buacar.com.ar </t>
  </si>
  <si>
    <t>bordadoscaseros.adm@gmail.com</t>
  </si>
  <si>
    <t>alejandra.chgroup@gmail.com</t>
  </si>
  <si>
    <t>martin.morales@caltec.com.ar</t>
  </si>
  <si>
    <t>Caucho</t>
  </si>
  <si>
    <t>lomlomdjianfederico@gmail.com</t>
  </si>
  <si>
    <t>julian.fernandez@canopol.com</t>
  </si>
  <si>
    <t>metalurgicacarballo@hotmail.com</t>
  </si>
  <si>
    <t xml:space="preserve">danieln@casiba.com.ar </t>
  </si>
  <si>
    <t xml:space="preserve"> joaquinc@casiba.com.ar</t>
  </si>
  <si>
    <t>ignacion@casiba.ar</t>
  </si>
  <si>
    <t>nlotauro@castell.com.ar</t>
  </si>
  <si>
    <t>alejandro@cerradurasabc.com.ar</t>
  </si>
  <si>
    <t>José Ingenieros</t>
  </si>
  <si>
    <t>maxi@celulosabaraderosa.com.ar</t>
  </si>
  <si>
    <t>tortora601118@gmail.com</t>
  </si>
  <si>
    <t>morellimariano@gmail.com</t>
  </si>
  <si>
    <t xml:space="preserve">administracion@chilleout.com.ar </t>
  </si>
  <si>
    <t xml:space="preserve">laura@chilleout.com.ar </t>
  </si>
  <si>
    <t xml:space="preserve"> administracion2@chilleout.com.ar</t>
  </si>
  <si>
    <t>leomellimurano@gmail.com</t>
  </si>
  <si>
    <t>acabanillas@lafabrica.com.ar</t>
  </si>
  <si>
    <t>gustavo.acevedo@chousa.com.ar</t>
  </si>
  <si>
    <t>Comercio</t>
  </si>
  <si>
    <t>comercial@grupocimhe.com</t>
  </si>
  <si>
    <t>Principal</t>
  </si>
  <si>
    <t>cinenspel@uolsinectis.com.ar</t>
  </si>
  <si>
    <t xml:space="preserve"> robertodelmonaco@cinens.com.ar</t>
  </si>
  <si>
    <t>Contador de filas con info (C) -&gt; tiene mail y tel - minimo 1 de c/u.</t>
  </si>
  <si>
    <t>mdisanto@cintasindustriales.com</t>
  </si>
  <si>
    <t>administracion@covisa.com.ar</t>
  </si>
  <si>
    <t>funcional</t>
  </si>
  <si>
    <t>flafuente@coinpo.com.ar</t>
  </si>
  <si>
    <t xml:space="preserve"> lafuentejuanfacundo@gmail.com</t>
  </si>
  <si>
    <t>gerencia@la-sante.com.ar</t>
  </si>
  <si>
    <t>Loma Hermosa</t>
  </si>
  <si>
    <t>carlina.compriband@gmail.com</t>
  </si>
  <si>
    <t>Datos de la organización</t>
  </si>
  <si>
    <t>patricianoemireynoso@gmail.com</t>
  </si>
  <si>
    <t>1989 ESTUDIO A S.R.L. | ALEJANDRO Y MIGUEL ANGEL RIZZI S.H.</t>
  </si>
  <si>
    <t>jgarcia@conextube.com</t>
  </si>
  <si>
    <t>Construcción</t>
  </si>
  <si>
    <t>mamicarrizo@hotmail.com</t>
  </si>
  <si>
    <t>valeriamarone96@gmail.com</t>
  </si>
  <si>
    <t>Datos de contacto</t>
  </si>
  <si>
    <t>vtadepagina@gmail.com</t>
  </si>
  <si>
    <t>clara@delacallealavida.org.ar</t>
  </si>
  <si>
    <t>francoperrella@gmail.com</t>
  </si>
  <si>
    <t>impresionesx3@gmail.com</t>
  </si>
  <si>
    <t>gerencia@corso-netlog.com.ar</t>
  </si>
  <si>
    <t>Martín Coronado</t>
  </si>
  <si>
    <t>administracion@toche.com.ar</t>
  </si>
  <si>
    <t>gustavo@cremonesi.com.ar</t>
  </si>
  <si>
    <t>ingdavidcimino@gmail.com</t>
  </si>
  <si>
    <t>pzj@tecnicarsa.com.ar</t>
  </si>
  <si>
    <t>frigorifico1199@gmail.com</t>
  </si>
  <si>
    <t xml:space="preserve">fiama@depimiel.com </t>
  </si>
  <si>
    <t xml:space="preserve"> adriana@depimiel.com</t>
  </si>
  <si>
    <t>Cosmética</t>
  </si>
  <si>
    <t>agustin@depimiel.com</t>
  </si>
  <si>
    <t>Contador de filas con falta de info (F) -&gt; tiene mail o tel.</t>
  </si>
  <si>
    <t>llanos.luis@hotmail.com</t>
  </si>
  <si>
    <t>daniel_dipa@hotmail.com</t>
  </si>
  <si>
    <t>ariel.garcia@estudiocgl.com.ar</t>
  </si>
  <si>
    <t>Rpotilinski@gaci.com.ar</t>
  </si>
  <si>
    <t>gustavo@dimashq.com.ar</t>
  </si>
  <si>
    <t>Dirección</t>
  </si>
  <si>
    <t>diquimesa@gmail.com</t>
  </si>
  <si>
    <t>gcester@solenis.com</t>
  </si>
  <si>
    <t>jorge.gopp@idolz.com.ar</t>
  </si>
  <si>
    <t>Once de Septiembre</t>
  </si>
  <si>
    <t>afraifer@dpc-ofs.com</t>
  </si>
  <si>
    <t>gustavo_bonomi@emeth.com.ar</t>
  </si>
  <si>
    <t>gerencia@dxcontrol.com.ar</t>
  </si>
  <si>
    <t>carlos.petrola@flexoemagen.com.ar</t>
  </si>
  <si>
    <t>ventas@ecoprol.com.ar</t>
  </si>
  <si>
    <t>mbrignolo@edos.com.ar</t>
  </si>
  <si>
    <t>Contacto 1</t>
  </si>
  <si>
    <t>rodrigohloyola@gmail.com</t>
  </si>
  <si>
    <t>Cuero</t>
  </si>
  <si>
    <t>hdarritchon@el-jumillano.com.ar</t>
  </si>
  <si>
    <t>carlos.maiztegui@gmail.com</t>
  </si>
  <si>
    <t>Contacto 2</t>
  </si>
  <si>
    <t>rrhh.elacin@gmail.com</t>
  </si>
  <si>
    <t>info@elityc.com.ar</t>
  </si>
  <si>
    <t>hernanarenas@emasonline.com.ar</t>
  </si>
  <si>
    <t>Datos generales</t>
  </si>
  <si>
    <t xml:space="preserve">sebastian@embalflej.com.ar </t>
  </si>
  <si>
    <t>emedeplast@gmail.com</t>
  </si>
  <si>
    <t>A D S.A.</t>
  </si>
  <si>
    <t>emeli@emeli.com.ar</t>
  </si>
  <si>
    <t>Pablo Podestá</t>
  </si>
  <si>
    <t>alejandroempre@hotmail.com</t>
  </si>
  <si>
    <t xml:space="preserve">angarciaacosta@gmail.com </t>
  </si>
  <si>
    <t>Observaciones / Comentario</t>
  </si>
  <si>
    <t>aacosta@cachafaz.com</t>
  </si>
  <si>
    <t>vanessaaraujo@envasesjohn.com</t>
  </si>
  <si>
    <t>enzovivaldi@hotmail.com</t>
  </si>
  <si>
    <t>fernando@equiposdelchef.com.ar</t>
  </si>
  <si>
    <t>constanza.alvarez@especieracaseros.com.ar</t>
  </si>
  <si>
    <t>glitiuniuk@Klinger.com.ar</t>
  </si>
  <si>
    <t>Electricidad</t>
  </si>
  <si>
    <t>juan@etc.com.ar</t>
  </si>
  <si>
    <t>myjpuen@yahoo.com.ar</t>
  </si>
  <si>
    <t xml:space="preserve"> </t>
  </si>
  <si>
    <t>referencias@expoyer.com.ar</t>
  </si>
  <si>
    <t>info@fchsa.com.ar</t>
  </si>
  <si>
    <t>noel.petrone@hotmail.com</t>
  </si>
  <si>
    <t>alfredodemonte@gmail.com</t>
  </si>
  <si>
    <t>CUIT AFIP</t>
  </si>
  <si>
    <t>mariangelespascual@yahoo.com.ar</t>
  </si>
  <si>
    <t>Remedios de Escalada</t>
  </si>
  <si>
    <t>Tipos de Organizacion</t>
  </si>
  <si>
    <t>sassi.mayra@fepublicidad.com.ar</t>
  </si>
  <si>
    <t>Calle</t>
  </si>
  <si>
    <t>ricardosassi@yahoo.com.ar</t>
  </si>
  <si>
    <t>cogonza71@gmail.com</t>
  </si>
  <si>
    <t>Número</t>
  </si>
  <si>
    <t>fillkolorsa@yahoo.com.ar</t>
  </si>
  <si>
    <t>mario@flexico.com.ar</t>
  </si>
  <si>
    <t>elevmax1@gmail.com</t>
  </si>
  <si>
    <t>fraccaroli@gmail.com</t>
  </si>
  <si>
    <t>C.P.</t>
  </si>
  <si>
    <t>Electrónica</t>
  </si>
  <si>
    <t>jorge@frare.com.ar</t>
  </si>
  <si>
    <t>Cod. Actividad</t>
  </si>
  <si>
    <t>info@fullplastics.com.ar</t>
  </si>
  <si>
    <t>cgrisolia@galileoar.com</t>
  </si>
  <si>
    <t>Actividad</t>
  </si>
  <si>
    <t>rrhh2@galvylam.com</t>
  </si>
  <si>
    <t>Tipo de Producto</t>
  </si>
  <si>
    <t>toalladepapel@gmail.com</t>
  </si>
  <si>
    <t>ABELARDO ESTEBAN (VALVULAS ESTEBAN)</t>
  </si>
  <si>
    <t>Productos Principales</t>
  </si>
  <si>
    <t>gerardocapelli@gevametal.com.ar</t>
  </si>
  <si>
    <t xml:space="preserve">Cant. de empleados </t>
  </si>
  <si>
    <t>carolinamontoya593@gmail.com</t>
  </si>
  <si>
    <t>Nombre y apellido</t>
  </si>
  <si>
    <t>guillermoperezlattanzi@gmail.com</t>
  </si>
  <si>
    <t>Celular</t>
  </si>
  <si>
    <t>adriana_bachi@hotmail.com</t>
  </si>
  <si>
    <t>asilvestre@golocan.com.ar</t>
  </si>
  <si>
    <t>Sáenz Peña</t>
  </si>
  <si>
    <t>marcelo@gravaz.com</t>
  </si>
  <si>
    <t>Teléfono A</t>
  </si>
  <si>
    <t>ggrillo@opyr.com.ar</t>
  </si>
  <si>
    <t>Teléfono B</t>
  </si>
  <si>
    <t>consultas@fundicionalear.com.ar</t>
  </si>
  <si>
    <t>Teléfono C</t>
  </si>
  <si>
    <t>info@grupototal.com.ar</t>
  </si>
  <si>
    <t xml:space="preserve">hector@gtcribbon.com </t>
  </si>
  <si>
    <t>Web / Instagram</t>
  </si>
  <si>
    <t xml:space="preserve"> daniel.puente@ikonsolutions.com</t>
  </si>
  <si>
    <t>hernan.nimeth@hzgroup.com.ar</t>
  </si>
  <si>
    <t>Gráfica</t>
  </si>
  <si>
    <t>Importa</t>
  </si>
  <si>
    <t>harjuicesrl@hotmail.com</t>
  </si>
  <si>
    <t>nmmendez@gmail.com</t>
  </si>
  <si>
    <t>Exporta</t>
  </si>
  <si>
    <t>Activa</t>
  </si>
  <si>
    <t>nuria.mendez@herbron.com.ar</t>
  </si>
  <si>
    <t>info@herrerialaartistica.com.ar</t>
  </si>
  <si>
    <t>geronimo@hidrolimpsrl.com.ar</t>
  </si>
  <si>
    <t>C</t>
  </si>
  <si>
    <t>alicia.lopez@hidrotecnica.com.ar</t>
  </si>
  <si>
    <t>Santos Lugares</t>
  </si>
  <si>
    <t>nvillalba@panlaperla.com.ar</t>
  </si>
  <si>
    <t>francosapir@ispisa.com.ar</t>
  </si>
  <si>
    <t>oscarrigazio@gmail.com</t>
  </si>
  <si>
    <t>30709328995 | 30710682816</t>
  </si>
  <si>
    <t>ruben@idg.com.ar</t>
  </si>
  <si>
    <t>lucherar@outlook.com</t>
  </si>
  <si>
    <t>fernandojavier@capdevila.com.ar</t>
  </si>
  <si>
    <t>ACEROS COFER S.A.</t>
  </si>
  <si>
    <t>fernandoenrique@capdevila.com.ar</t>
  </si>
  <si>
    <t>lauraravetti8@gmail.com</t>
  </si>
  <si>
    <t>induscaden@hotmail.com</t>
  </si>
  <si>
    <t>Industria</t>
  </si>
  <si>
    <t>claudio@aston.com.ar</t>
  </si>
  <si>
    <t>ind.edigma@gmail.com</t>
  </si>
  <si>
    <t>Empresa</t>
  </si>
  <si>
    <t>ventas@industriaselinec.com</t>
  </si>
  <si>
    <t>Cnel. Pringles</t>
  </si>
  <si>
    <t>ignacio@sabusiness.com.ar</t>
  </si>
  <si>
    <t>hgcardenas2013@gmail.com</t>
  </si>
  <si>
    <t>Villa Bosch</t>
  </si>
  <si>
    <t>eduardo@industriaskras.com</t>
  </si>
  <si>
    <t>gabriel@industriaskras.com</t>
  </si>
  <si>
    <t>andres.saraceno@hotmail.com</t>
  </si>
  <si>
    <t>danielruiz@inplaca.com.ar</t>
  </si>
  <si>
    <t>daniel@ndajeans.com</t>
  </si>
  <si>
    <t>ycotti@ir3d.com.ar</t>
  </si>
  <si>
    <t>adzolkwer@gmail.com</t>
  </si>
  <si>
    <t>jonathansayal@pm.me</t>
  </si>
  <si>
    <t>Informática</t>
  </si>
  <si>
    <t>ventas@jivi.com.ar</t>
  </si>
  <si>
    <t>pablorizzolo@yahoo.com.ar</t>
  </si>
  <si>
    <t>deus_maria_elena@hotmail.com</t>
  </si>
  <si>
    <t>info@leffort.com.ar</t>
  </si>
  <si>
    <t>Papel</t>
  </si>
  <si>
    <t>Fabricación de artículos de papel y cartón N.C.P.</t>
  </si>
  <si>
    <t>Villa Raffo</t>
  </si>
  <si>
    <t>B2C</t>
  </si>
  <si>
    <t>ACEROS INOXIDABLES ALVEAR S.R.L.</t>
  </si>
  <si>
    <t>Angelina Muñoz</t>
  </si>
  <si>
    <t>karinabertrand1974@gmail.com</t>
  </si>
  <si>
    <t>ezequiel_alvarado@hotmail.com</t>
  </si>
  <si>
    <t>11 4424-3309</t>
  </si>
  <si>
    <t>veronicaorlando@laboratoriobarcat.com.ar</t>
  </si>
  <si>
    <t>Logística</t>
  </si>
  <si>
    <t>guido@ecovita.com.ar</t>
  </si>
  <si>
    <t>11 4734-2356</t>
  </si>
  <si>
    <t>carlos_dellapaolera@emeth.com.ar</t>
  </si>
  <si>
    <t>abarbo@laboratoriosgaudium.com</t>
  </si>
  <si>
    <t>11 4716-1699</t>
  </si>
  <si>
    <t>andrea.dominici@labtesa.com.ar</t>
  </si>
  <si>
    <t>asdb@fibertel.com.ar</t>
  </si>
  <si>
    <t>disencel1@gmail.com</t>
  </si>
  <si>
    <t>http://www.estudioapop.com.ar/</t>
  </si>
  <si>
    <t>claudiopbortolin@gmail.com</t>
  </si>
  <si>
    <t>Fuera de 3F</t>
  </si>
  <si>
    <t>adrian@lubeseguridad.com.ar</t>
  </si>
  <si>
    <t>No</t>
  </si>
  <si>
    <t>cmilman@lubriweb.com.ar</t>
  </si>
  <si>
    <t>jmarquez@lumaproductos.com.ar</t>
  </si>
  <si>
    <t>Si</t>
  </si>
  <si>
    <t>rebotado_desconocido</t>
  </si>
  <si>
    <t>ACEROS INOXIDABLES CASEROS S.R.L.</t>
  </si>
  <si>
    <t>2G ADHESIVOS S.R.L.</t>
  </si>
  <si>
    <t>Madera</t>
  </si>
  <si>
    <t>Puan</t>
  </si>
  <si>
    <t>TOTALES</t>
  </si>
  <si>
    <t>Química</t>
  </si>
  <si>
    <t>cervezakraken@gmail.com</t>
  </si>
  <si>
    <t>Fabricación de colas, adhesivos, aprestos y cementos excepto los odontológicos obtenidos de sustancias minerales y vegetales</t>
  </si>
  <si>
    <t>jlnaglieri@gmail.com</t>
  </si>
  <si>
    <t>bosch.jose@yahoo.com.ar</t>
  </si>
  <si>
    <t>natalia@dmz.com.ar</t>
  </si>
  <si>
    <t>Gabriel</t>
  </si>
  <si>
    <t>oxingenieria@gmail.com</t>
  </si>
  <si>
    <t>15 5734-1450</t>
  </si>
  <si>
    <t>administracion@servi-maz.com.ar</t>
  </si>
  <si>
    <t>cadmio112@gmail.com</t>
  </si>
  <si>
    <t>Manufactura</t>
  </si>
  <si>
    <t>11 5734-1450</t>
  </si>
  <si>
    <t>rosma@megamec.com.ar</t>
  </si>
  <si>
    <t>11 4759-8416</t>
  </si>
  <si>
    <t>gerencia@menaje-elsiglo.com</t>
  </si>
  <si>
    <t/>
  </si>
  <si>
    <t>https://www.dosg.com.ar/</t>
  </si>
  <si>
    <t>pedro.stanzione@meroar.com.ar</t>
  </si>
  <si>
    <t>gchauchard@mestanostra.com</t>
  </si>
  <si>
    <t>damiancrispino@gmail.com</t>
  </si>
  <si>
    <t>Metalmecánica</t>
  </si>
  <si>
    <t>victorcorrea67@gmail.com</t>
  </si>
  <si>
    <t>ACEROS MB S.A.</t>
  </si>
  <si>
    <t>robertocolla@metalurgicacolla.com.ar</t>
  </si>
  <si>
    <t>grandescuentas@dakot.com.ar</t>
  </si>
  <si>
    <t>info@metalurgicamiele.com.ar</t>
  </si>
  <si>
    <t>marcelo@petrecca.com.ar</t>
  </si>
  <si>
    <t>alejandrorosen@gmail.com</t>
  </si>
  <si>
    <t>direccion@metalurgicaruedamas.com.ar</t>
  </si>
  <si>
    <t>metalwind.srl@hotmail.com</t>
  </si>
  <si>
    <t>Metalúrgica</t>
  </si>
  <si>
    <t>federico@metvelazquez.com</t>
  </si>
  <si>
    <t>eduardo.machado@wavin.com</t>
  </si>
  <si>
    <t>carlosmichelini0@gmail.com</t>
  </si>
  <si>
    <t>tesoreria2@lacteoslamansa.com.ar</t>
  </si>
  <si>
    <t>tesoreria@lacteoslamansa.com.ar</t>
  </si>
  <si>
    <t>hperez07@live.com.ar</t>
  </si>
  <si>
    <t>Pablobof@yahoo.com</t>
  </si>
  <si>
    <t>inforuabel@gmail.com</t>
  </si>
  <si>
    <t>Minería</t>
  </si>
  <si>
    <t xml:space="preserve">jorge@productosnuke.com.ar </t>
  </si>
  <si>
    <t>gustavo@productosnuke.com.ar</t>
  </si>
  <si>
    <t>Escultor Santiago Parodi</t>
  </si>
  <si>
    <t>reyna985@yahoo.com.ar</t>
  </si>
  <si>
    <t>vholub@acerosmb.com.ar</t>
  </si>
  <si>
    <t>preyna@mobelart.com.ar</t>
  </si>
  <si>
    <t>Olivicola</t>
  </si>
  <si>
    <t>mocarsrl@gmail.com</t>
  </si>
  <si>
    <t>ACHILLI VIVIANA Y ACHILLI DIEGO SOC. H. (HELADOS LOS AMORES)</t>
  </si>
  <si>
    <t>scuaranta@motomec.com.ar</t>
  </si>
  <si>
    <t>Fabricación de muebles y partes de muebles, excepto de madera</t>
  </si>
  <si>
    <t>tecnica@myka.com.ar</t>
  </si>
  <si>
    <t>B2B, B2C</t>
  </si>
  <si>
    <t>Muebles, exhibidores</t>
  </si>
  <si>
    <t>veronica@plasticosvg.com.ar</t>
  </si>
  <si>
    <t>silvio@naonis.com.ar</t>
  </si>
  <si>
    <t>Leandro Greco</t>
  </si>
  <si>
    <t>mgbello@gmail.com</t>
  </si>
  <si>
    <t>Orfebrería</t>
  </si>
  <si>
    <t>rfilipuzzi@nechosa.com</t>
  </si>
  <si>
    <t>11 4759-4142</t>
  </si>
  <si>
    <t>tecnica@nelo.com.ar</t>
  </si>
  <si>
    <t>4115-4774</t>
  </si>
  <si>
    <t>info@maurizi.com.ar</t>
  </si>
  <si>
    <t>arielnunez@neopack.com.ar</t>
  </si>
  <si>
    <t>https://amasd.com.ar/</t>
  </si>
  <si>
    <t>marietesconi@gmail.com</t>
  </si>
  <si>
    <t>info@lagoulue.com.ar</t>
  </si>
  <si>
    <t>marcelo@nunezhnos.com.ar</t>
  </si>
  <si>
    <t>nc@obin.com.ar</t>
  </si>
  <si>
    <t>Petróleo</t>
  </si>
  <si>
    <t>info@safarimetalurgica.com.ar</t>
  </si>
  <si>
    <t>lucas@yerbamateorigen.com.ar</t>
  </si>
  <si>
    <t>ADITIVOS PLASTICOS S.R.L.</t>
  </si>
  <si>
    <t>cortezvaliente30@gmail.com</t>
  </si>
  <si>
    <t>pablovicente82@gmail.com</t>
  </si>
  <si>
    <t>A PATKO Y CIA S.A.</t>
  </si>
  <si>
    <t>packingworldsrl@hotmail.com</t>
  </si>
  <si>
    <t>info@estudio-paris.com.ar</t>
  </si>
  <si>
    <t>Piedra</t>
  </si>
  <si>
    <t xml:space="preserve">Ventas@cpelectronica.com.ar </t>
  </si>
  <si>
    <t>Trenque Lauquen</t>
  </si>
  <si>
    <t>estebanm@panbrown.com</t>
  </si>
  <si>
    <t>mgmendez@pantoquimica.com.ar</t>
  </si>
  <si>
    <t>albertojoao@hotmail.com</t>
  </si>
  <si>
    <t>info@morsellacajas.com.ar</t>
  </si>
  <si>
    <t>Plástico</t>
  </si>
  <si>
    <t>marquezeduardodaniel@gmail.com</t>
  </si>
  <si>
    <t>ivan.petreniuk@yahoo.com</t>
  </si>
  <si>
    <t>hhrodriguez@prfvsa.com.ar</t>
  </si>
  <si>
    <t>Fabricación de partes, piezas y accesorios para vehículos automotores y sus motores N.C.P.</t>
  </si>
  <si>
    <t>agiardini@phyl.com.ar</t>
  </si>
  <si>
    <t>guillermopalazzo@plasticostextil.com.ar</t>
  </si>
  <si>
    <t>Publicidad</t>
  </si>
  <si>
    <t>gabriela@plasticosvg.com.ar</t>
  </si>
  <si>
    <t>sergiopelizza@yahoo.com.ar</t>
  </si>
  <si>
    <t>peugeot850@hotmail.com</t>
  </si>
  <si>
    <t>fabian.graziano@posta-srl.com.ar</t>
  </si>
  <si>
    <t>fpousada@pousadagroup.com</t>
  </si>
  <si>
    <t>dobro.ventas@gmail.com</t>
  </si>
  <si>
    <t>AFONSO GARCIA GONZALO JAVIER (SOLUPLEX)</t>
  </si>
  <si>
    <t>dobro.ventas2@gmail.com</t>
  </si>
  <si>
    <t>rominaferrari@neopack.com.ar</t>
  </si>
  <si>
    <t>Cristian Patko</t>
  </si>
  <si>
    <t>olivicolalariojana@gmail.com</t>
  </si>
  <si>
    <t>gerardomociulsky@eyelit.com.ar</t>
  </si>
  <si>
    <t>f.gentile@pronut.com.ar</t>
  </si>
  <si>
    <t>11 4750-2658</t>
  </si>
  <si>
    <t>nzarate@pvctecnocom.com.ar</t>
  </si>
  <si>
    <t>11 4750-5929</t>
  </si>
  <si>
    <t>rfreynkel@gmail.com</t>
  </si>
  <si>
    <t>enogues@raiconet.com</t>
  </si>
  <si>
    <t>No encontrado / No tiene</t>
  </si>
  <si>
    <t>mperez@raiper.com.ar</t>
  </si>
  <si>
    <t>info@realessenze.com.ar</t>
  </si>
  <si>
    <t>contaduria@recimad.com</t>
  </si>
  <si>
    <t>Servicios</t>
  </si>
  <si>
    <t>lionelpaz@redcomsa.com.ar</t>
  </si>
  <si>
    <t>compras@regan.com.ar</t>
  </si>
  <si>
    <t>andreavenditto@yahoo.com.ar</t>
  </si>
  <si>
    <t>reposteracaseros@hotmail.com</t>
  </si>
  <si>
    <t>A T G S.R.L.</t>
  </si>
  <si>
    <t>juliancardosodao@hotmail.com</t>
  </si>
  <si>
    <t>natalia@reuschargentina.com.ar</t>
  </si>
  <si>
    <t>fullsunargentina@yahoo.com.ar</t>
  </si>
  <si>
    <t>Av. Maipú</t>
  </si>
  <si>
    <t>desarrollo@riasa.com.ar</t>
  </si>
  <si>
    <t>AG METALURGICA S.A.</t>
  </si>
  <si>
    <t>silvia@gespannt.com.ar</t>
  </si>
  <si>
    <t>victoria.riva@rivasa.com</t>
  </si>
  <si>
    <t>daniel_rodriguez_13@hotmail.com</t>
  </si>
  <si>
    <t>Textil</t>
  </si>
  <si>
    <t>juliapb@rerar.com.ar</t>
  </si>
  <si>
    <t>rlagos@rotomplastsa.com.ar</t>
  </si>
  <si>
    <t>Fabricación de Estructuras Metálicas para la Construcción</t>
  </si>
  <si>
    <t>administracion@rukametal.com.ar</t>
  </si>
  <si>
    <t>B2B</t>
  </si>
  <si>
    <t>alejandro@sabbatini.com.ar</t>
  </si>
  <si>
    <t>javiurqui@hotmail.com</t>
  </si>
  <si>
    <t>mariorugby@yahoo.com.ar</t>
  </si>
  <si>
    <t>Vidrio</t>
  </si>
  <si>
    <t>seancepelliza@gmail.com</t>
  </si>
  <si>
    <t>info@serviciosff.com.ar</t>
  </si>
  <si>
    <t>4635-3692</t>
  </si>
  <si>
    <t>ignacio.zimmermann@sherwin.com.ar</t>
  </si>
  <si>
    <t xml:space="preserve">4488-1753 </t>
  </si>
  <si>
    <t>carlos@shiai.com.ar</t>
  </si>
  <si>
    <t>cristian@greenie.com.ar</t>
  </si>
  <si>
    <t xml:space="preserve">tripicchio.javier@ar.sika.com </t>
  </si>
  <si>
    <t>Otros</t>
  </si>
  <si>
    <t>rizoli.alejandra@ar.sika.com</t>
  </si>
  <si>
    <t>pablo@intelligentgas.com.ar</t>
  </si>
  <si>
    <t>vsolima@sistemasenergeticos.com.ar</t>
  </si>
  <si>
    <t>AIMAN S.A.</t>
  </si>
  <si>
    <t>escobar@nf.com.ar</t>
  </si>
  <si>
    <t>jgogonzalez@yahoo.com.ar</t>
  </si>
  <si>
    <t>romina.morello@kaser.com.ar</t>
  </si>
  <si>
    <t>A V C S.R.L.</t>
  </si>
  <si>
    <t>aleallario@hotmail.com</t>
  </si>
  <si>
    <t>denisparra_80@hotmail.com</t>
  </si>
  <si>
    <t>jperruccio@startec.com.ar</t>
  </si>
  <si>
    <t>Av. Rivadavia</t>
  </si>
  <si>
    <t>a.jover@sulfoquimica.com.ar</t>
  </si>
  <si>
    <t>enzo@surgicalsupply.com.ar</t>
  </si>
  <si>
    <t>gtroncoso@symtron.com.ar</t>
  </si>
  <si>
    <t>ritacosentino1965@gmail.com</t>
  </si>
  <si>
    <t>gcardillo@talleresfumaca.com.ar</t>
  </si>
  <si>
    <t>Servicios de seguridad e investigación N.C.P.</t>
  </si>
  <si>
    <t>lilianag@tapperadhesivos.com.ar</t>
  </si>
  <si>
    <t>diego@technicdelfinosa.com.ar</t>
  </si>
  <si>
    <t>agustin@tecmade.com</t>
  </si>
  <si>
    <t>luis.arko@tecniark.com.ar</t>
  </si>
  <si>
    <t>briguori@hotmail.com</t>
  </si>
  <si>
    <t>4488-2330</t>
  </si>
  <si>
    <t>info@tecnocaseros.com.ar</t>
  </si>
  <si>
    <t>nahuelmatias1992@gmail.com</t>
  </si>
  <si>
    <t>tecno.comprezzor@gmail.com</t>
  </si>
  <si>
    <t>ALAMBRES INDUSTRIALES TREFILADOS S.R.L. (ACEROS VILLA BOSCH S.A.)</t>
  </si>
  <si>
    <t>ingvassena@plugtechcable.com</t>
  </si>
  <si>
    <t>danielfazio@tecnotinta.com.ar</t>
  </si>
  <si>
    <t>plonghi@tecnoperfiles.com.ar</t>
  </si>
  <si>
    <t xml:space="preserve">claudiosamokec@gmail.com </t>
  </si>
  <si>
    <t>A VALGO S.R.L.</t>
  </si>
  <si>
    <t>c.samokec@tecnosam.com.ar</t>
  </si>
  <si>
    <t>diego@terlizzisa.com</t>
  </si>
  <si>
    <t>pablobrazzola1@gmail.com</t>
  </si>
  <si>
    <t>Gral. Roca</t>
  </si>
  <si>
    <t>valerianoonate@hotmail.com</t>
  </si>
  <si>
    <t>rodolfopombo51@hotmail.com</t>
  </si>
  <si>
    <t>sandratitolo@indsrl.com.ar</t>
  </si>
  <si>
    <t>gustavofols@hotmail.com</t>
  </si>
  <si>
    <t>elianaborda@hotmail.com</t>
  </si>
  <si>
    <t>Servicios de limpieza N.C.P.</t>
  </si>
  <si>
    <t>11 5307-2333</t>
  </si>
  <si>
    <t>ALBALONGA S.A.</t>
  </si>
  <si>
    <t>4653-2507</t>
  </si>
  <si>
    <t>diegotgtexsrl@gmail.com</t>
  </si>
  <si>
    <t>info@tiani.com.ar</t>
  </si>
  <si>
    <t>cadenastramec@gmail.com</t>
  </si>
  <si>
    <t>https://valgo.com.ar/</t>
  </si>
  <si>
    <t>raul@transportesmolinasrl.com</t>
  </si>
  <si>
    <t>gabriel.scarnato@trimet.com.ar</t>
  </si>
  <si>
    <t>claudio@truppi.com.ar</t>
  </si>
  <si>
    <t>flavio_bozza@uttercom.com</t>
  </si>
  <si>
    <t>rominavargas@vargasr.com.ar</t>
  </si>
  <si>
    <t>juan@vautomatmoldes.com</t>
  </si>
  <si>
    <t>veronicademarco@live.com.ar</t>
  </si>
  <si>
    <t>martin@vemarsa.com.ar</t>
  </si>
  <si>
    <t>brochasperribarberia@gmail.com</t>
  </si>
  <si>
    <t>ms@quimicasimo.com.ar</t>
  </si>
  <si>
    <t>AANTAJ S.R.L.</t>
  </si>
  <si>
    <t>teresadiscala@implantesvillalba.com.ar</t>
  </si>
  <si>
    <t>ALFONSO SABBATINI E HIJO S.R.L.</t>
  </si>
  <si>
    <t>leandro.serrano@vip-label.com</t>
  </si>
  <si>
    <t>worrenindumentaria@hotmail.com</t>
  </si>
  <si>
    <t>Zapiola</t>
  </si>
  <si>
    <t>diego.peralta@xipap.com.ar</t>
  </si>
  <si>
    <t>velasyerry@gmail.com</t>
  </si>
  <si>
    <t>rbessi@zapassrl.com.ar</t>
  </si>
  <si>
    <t>gdumerauf@zeningenieria.com</t>
  </si>
  <si>
    <t>ctorresagasti@grupolargentina.com</t>
  </si>
  <si>
    <t>galvanoplastiastrano@gmail.com</t>
  </si>
  <si>
    <t>Fabricación de artículos confeccionados de materiales textiles N.C.P., excepto prendas de vestir</t>
  </si>
  <si>
    <t>ventas @dubra.la</t>
  </si>
  <si>
    <t>virginia.monayer@gmail.com</t>
  </si>
  <si>
    <t>fojofabian@gmail.com</t>
  </si>
  <si>
    <t>alambradosjofis@gmail.com</t>
  </si>
  <si>
    <t>danielsarti.baitex@gmail.com</t>
  </si>
  <si>
    <t>gaston@vitrowall.com.ar</t>
  </si>
  <si>
    <t>11 5290-7165</t>
  </si>
  <si>
    <t>info@mapsdecor.com.ar</t>
  </si>
  <si>
    <t>4460-5957</t>
  </si>
  <si>
    <t>4650-2340</t>
  </si>
  <si>
    <t>adrian@braganza.com.ar</t>
  </si>
  <si>
    <t>http://www.aantaj.com.ar/</t>
  </si>
  <si>
    <t>valenasrl@prisma.cc</t>
  </si>
  <si>
    <t>luisdemarquez@hotmail.com</t>
  </si>
  <si>
    <t>andreavega.05@hotmail.com</t>
  </si>
  <si>
    <t>aluminiosc.pinturas@gmail.com</t>
  </si>
  <si>
    <t>cmotupe.comercial@gmail.com</t>
  </si>
  <si>
    <t>metgratini@yahoo.com.ar</t>
  </si>
  <si>
    <t>administracion@legumbresramoneda.com.ar</t>
  </si>
  <si>
    <t>Troquelart@hotmail.com</t>
  </si>
  <si>
    <t>luciot16@gmail.com</t>
  </si>
  <si>
    <t>ABAFLEX S.A.</t>
  </si>
  <si>
    <t>aftyka@gmail.com</t>
  </si>
  <si>
    <t>virutasplendor@gmail.com</t>
  </si>
  <si>
    <t>Chubut</t>
  </si>
  <si>
    <t>burrushus.contacto@gmail.com</t>
  </si>
  <si>
    <t>fabrica@aberturassanjose.com.ar</t>
  </si>
  <si>
    <t>marcela.paula.iriarte@gmail.com</t>
  </si>
  <si>
    <t>Plástica</t>
  </si>
  <si>
    <t>Fabricación de productos plásticos en formas básicas y artículos de plástico N.C.P., excepto muebles</t>
  </si>
  <si>
    <t>lean2001.ls@gmail.com</t>
  </si>
  <si>
    <t>brocolsa@gmail.com</t>
  </si>
  <si>
    <t>ronesgr@yahoo.com.ar</t>
  </si>
  <si>
    <t>olittes@gmail.com</t>
  </si>
  <si>
    <t>aoviedo@mundocompra.com.ar</t>
  </si>
  <si>
    <t>4657-6800</t>
  </si>
  <si>
    <t>martindurbano@gmail.com</t>
  </si>
  <si>
    <t>4657-4846</t>
  </si>
  <si>
    <t>sosatito123@gmail.com</t>
  </si>
  <si>
    <t>www.abaflex.com.ar</t>
  </si>
  <si>
    <t>aquaeace@gmail.com</t>
  </si>
  <si>
    <t>acerofarinas@gmail.com</t>
  </si>
  <si>
    <t>simebelt@yahoo.com.ar</t>
  </si>
  <si>
    <t>damianderito@gmail.com</t>
  </si>
  <si>
    <t>mponce.clubalmagro@gmail.com</t>
  </si>
  <si>
    <t>ALIMENTOS AGRELE S.R.L. (CRISPPINO)</t>
  </si>
  <si>
    <t>info@gardeninnovation.com</t>
  </si>
  <si>
    <t>info@mcemabalajes.com</t>
  </si>
  <si>
    <t>info@flagequipamientos.com.ar</t>
  </si>
  <si>
    <t>ABASTECEDORA DEL OESTE S.R.L.E.F.</t>
  </si>
  <si>
    <t>marmolerialynch@hotmail.com</t>
  </si>
  <si>
    <t>Félix Ballester</t>
  </si>
  <si>
    <t>luis.a.contreras.1958@gmail.com</t>
  </si>
  <si>
    <t>solucionesbluesteel@yahoo.com.ar</t>
  </si>
  <si>
    <t>sillonesdecopb@gmail.com</t>
  </si>
  <si>
    <t>cmateu@ortopediabernat.com.ar</t>
  </si>
  <si>
    <t>Fabricación de aparatos y suministros eléctricos no clasificados en otra parte</t>
  </si>
  <si>
    <t>serviciosparalaindustriafmb@gmail.com</t>
  </si>
  <si>
    <t>consultas@mayana.com.ar</t>
  </si>
  <si>
    <t>4653 5026</t>
  </si>
  <si>
    <t>andra.dubra@stellantis.com</t>
  </si>
  <si>
    <t>4657 0355</t>
  </si>
  <si>
    <t>RUBENDARIO_VAZQUEZ@HOTMAIL.COM</t>
  </si>
  <si>
    <t>administracion@petroquimsa.com.ar</t>
  </si>
  <si>
    <t>DANIELPATTINI@YAHOO.COM</t>
  </si>
  <si>
    <t>ABBOMAR S.A.</t>
  </si>
  <si>
    <t>marialauradelvallemarcos@gmail.com</t>
  </si>
  <si>
    <t>THOMASN47@GMAIL.COM</t>
  </si>
  <si>
    <t>Raúl Scalabrini Ortiz</t>
  </si>
  <si>
    <t xml:space="preserve"> camilo.thst@icloud.com</t>
  </si>
  <si>
    <t>INFO@HOJASVERDES.COM.AR</t>
  </si>
  <si>
    <t>oliver@crisppino.com</t>
  </si>
  <si>
    <t>MARTIN@FLASHOVER.COM.AR</t>
  </si>
  <si>
    <t>INFO@SERVICIOSFF.COM.AR</t>
  </si>
  <si>
    <t>Instalaciones de carpintería, herrería de obra y artística (Incluye instalación de puertas y ventanas, carpintería metálica y no metálica, etc.)</t>
  </si>
  <si>
    <t>ayelencutraro@gmail.com</t>
  </si>
  <si>
    <t>ALIMENTOS ESPECIFICOS S.A. (KAPAC)</t>
  </si>
  <si>
    <t>CARLOSLETIQ2016@GMAIL.COM</t>
  </si>
  <si>
    <t>cardagom4@gmail.com</t>
  </si>
  <si>
    <t>15 5101-3019</t>
  </si>
  <si>
    <t>boyasmb@gmailc.om</t>
  </si>
  <si>
    <t>4843-9243</t>
  </si>
  <si>
    <t>11 5101-3019</t>
  </si>
  <si>
    <t>laartesanaladm@gmail.com</t>
  </si>
  <si>
    <t>graficapel@graficapel.com.ar</t>
  </si>
  <si>
    <t>http://www.abbomar.com/contacto</t>
  </si>
  <si>
    <t>adm.bloccato@outlook.com</t>
  </si>
  <si>
    <t>INFO.DPYS@GMAIL.COM</t>
  </si>
  <si>
    <t>dimaplast@yahoo.com.ar</t>
  </si>
  <si>
    <t>ajofre@liquid-bag.com</t>
  </si>
  <si>
    <t>drivero@liquid-bag.com</t>
  </si>
  <si>
    <t>Persona Física</t>
  </si>
  <si>
    <t>fernando.m@sp.com.ar</t>
  </si>
  <si>
    <t>Constancia</t>
  </si>
  <si>
    <t>metalurgicajorge@hotmail.com</t>
  </si>
  <si>
    <t>info@metalurgica-lh.com.ar</t>
  </si>
  <si>
    <t>nm.condimentos@gmail.com</t>
  </si>
  <si>
    <t>madubovsky@gmail.com</t>
  </si>
  <si>
    <t>Fabricación de productos metálicos de tornería y/o matricería</t>
  </si>
  <si>
    <t>ksedani@sgestiongroup.com</t>
  </si>
  <si>
    <t>gustavoiannello1984@gmail.com</t>
  </si>
  <si>
    <t>va70oviedo@gmail.com</t>
  </si>
  <si>
    <t>Lilia Pardo? (Gestora?)</t>
  </si>
  <si>
    <t>ALIMENTOS NOLY S. A. (DOÑA NOLY)</t>
  </si>
  <si>
    <t>matiasgiomecchini@gmail.com</t>
  </si>
  <si>
    <t>JOSELMOGNI@HOTMAIL.COM</t>
  </si>
  <si>
    <t>4653-0950</t>
  </si>
  <si>
    <t>4657-8146</t>
  </si>
  <si>
    <t>alriomultilaminados@hotmail.com</t>
  </si>
  <si>
    <t>https://valvulas-esteban.com.ar/</t>
  </si>
  <si>
    <t>jpablodn@hotmail.com</t>
  </si>
  <si>
    <t>hdimecola@hotmail.com</t>
  </si>
  <si>
    <t>hermeticapvc@gmail.com</t>
  </si>
  <si>
    <t>nina_09ldz@live.com.ar</t>
  </si>
  <si>
    <t>pullmetalsa@gmail.com</t>
  </si>
  <si>
    <t>caros@ssdnet.com.ar</t>
  </si>
  <si>
    <t>eduardofdelacuetara@gmail.com</t>
  </si>
  <si>
    <t>damiangimenez1989@gmail.com</t>
  </si>
  <si>
    <r>
      <rPr>
        <rFont val="Calibri"/>
        <color rgb="FF1155CC"/>
        <sz val="11.0"/>
        <u/>
      </rPr>
      <t>apallettipablo@gmail.com</t>
    </r>
  </si>
  <si>
    <t>ABERMATIC S.R.L.</t>
  </si>
  <si>
    <t>Santiago Bonifacini</t>
  </si>
  <si>
    <t>Fabricación de motores, generadores y transformadores eléctricos</t>
  </si>
  <si>
    <t>B2B, BK</t>
  </si>
  <si>
    <t>Sandro Vivaldi (Socio gerente)</t>
  </si>
  <si>
    <t>eliahur@gmail.com</t>
  </si>
  <si>
    <t>ezequielalejandropaz@gmail.com</t>
  </si>
  <si>
    <t>4750-5309</t>
  </si>
  <si>
    <t>4750-3952</t>
  </si>
  <si>
    <t>mimimarcovecchio@hotmail.com.ar</t>
  </si>
  <si>
    <t>4750-3233</t>
  </si>
  <si>
    <t>www.abermatic.com</t>
  </si>
  <si>
    <t>martinezequiel@hotmail.com</t>
  </si>
  <si>
    <t>ALMAR TABLE TENNIS S.R.L.</t>
  </si>
  <si>
    <t>info@lebenmix.com</t>
  </si>
  <si>
    <t>matiastintoeste@gmail.com</t>
  </si>
  <si>
    <t>ABIS S.R.L.</t>
  </si>
  <si>
    <t>jorge.ame.al@hotmail.com</t>
  </si>
  <si>
    <t>emigogni@hotmail.com</t>
  </si>
  <si>
    <t>Marco Polo</t>
  </si>
  <si>
    <t>alfajores.portenito@gmail.com</t>
  </si>
  <si>
    <t>galigroup@hotmail.com</t>
  </si>
  <si>
    <t>drocoseguridad@gmail.com</t>
  </si>
  <si>
    <t>Obras de ingeniería civil N.C.P.</t>
  </si>
  <si>
    <t>salinasjosecarlos076@gmail.com</t>
  </si>
  <si>
    <t>mobilarg.sillas@gmail.com</t>
  </si>
  <si>
    <t>cobranzasgunar@gmail.com</t>
  </si>
  <si>
    <t>hola@mistika.ar</t>
  </si>
  <si>
    <t>4743-7245</t>
  </si>
  <si>
    <t>compras@euromel.com.ar</t>
  </si>
  <si>
    <t>tiendadepanesok@gmail.com</t>
  </si>
  <si>
    <t>dario.infantino@optinetsrl.com</t>
  </si>
  <si>
    <t>rrhh@rubber-net.com</t>
  </si>
  <si>
    <t>nutrasem@gmail.com</t>
  </si>
  <si>
    <t>ABK SOCIEDAD DE RESPONSABILIDAD LIMITADA</t>
  </si>
  <si>
    <t>pablogomex@icloud.com</t>
  </si>
  <si>
    <t>admbriankamerman@gmail.com</t>
  </si>
  <si>
    <t>Dr. José Rebizzo</t>
  </si>
  <si>
    <t>admemilianobertini@gmail.com</t>
  </si>
  <si>
    <t>fuentedesiloe@hotmail.com</t>
  </si>
  <si>
    <t>arnedocristiandaniel@gmail.com</t>
  </si>
  <si>
    <t>prepintado@gama-color.com.ar</t>
  </si>
  <si>
    <t>ALPRIN S.R.L.</t>
  </si>
  <si>
    <t>mariana_sandez@hotmail.com</t>
  </si>
  <si>
    <t>capuametal@hotmail.com</t>
  </si>
  <si>
    <t>11 4750-2910</t>
  </si>
  <si>
    <t>millxmill@yahoo.com.ar</t>
  </si>
  <si>
    <t>miichigan.barrios@gmail.com</t>
  </si>
  <si>
    <t>11 3518-7549</t>
  </si>
  <si>
    <t>4734-2170</t>
  </si>
  <si>
    <t>https://www.abk.com.ar/</t>
  </si>
  <si>
    <t>administracion@prosbel.com</t>
  </si>
  <si>
    <t>consultorahelmet@yahoo.com</t>
  </si>
  <si>
    <t>sistemas.dandrea@gmail.com</t>
  </si>
  <si>
    <t>info@peliza.com.ar</t>
  </si>
  <si>
    <t>ventas@hosema.com.ar</t>
  </si>
  <si>
    <t>administracion@tazissrl.com</t>
  </si>
  <si>
    <t>mptunelera@gmail.com</t>
  </si>
  <si>
    <t xml:space="preserve">frigorifico1199@gmail.com </t>
  </si>
  <si>
    <t>coninmym@gmail.com</t>
  </si>
  <si>
    <t>pedromallo2@gmail.com</t>
  </si>
  <si>
    <t>condelicsrl@gmail.com</t>
  </si>
  <si>
    <t>fcaparrotta14@gmail.com</t>
  </si>
  <si>
    <t>ACABADOS NEWTON S.R.L.</t>
  </si>
  <si>
    <t xml:space="preserve">General Villegas </t>
  </si>
  <si>
    <t>productosasombrososrl</t>
  </si>
  <si>
    <t>HASTA ACÁ 500 (DIA 1)</t>
  </si>
  <si>
    <t>Tratamiento y acabado de superficies como herrajes para muebles y obra, ferretería, cortinería, burlonería, bisagras, etc</t>
  </si>
  <si>
    <t>admimaxicassara@gmail.com</t>
  </si>
  <si>
    <t>dcipriano82@gmail.com</t>
  </si>
  <si>
    <t>planasrm@gmail.com</t>
  </si>
  <si>
    <t xml:space="preserve"> 4115-7357/57</t>
  </si>
  <si>
    <t>4658-7386</t>
  </si>
  <si>
    <t>consultorahelmet@yahoo.com.ar</t>
  </si>
  <si>
    <t>paolavaccaro.pv@gmail.com</t>
  </si>
  <si>
    <t>http://www.acabadosnewton.com.ar/</t>
  </si>
  <si>
    <t>admlacteosfenixsrl@gmail.com</t>
  </si>
  <si>
    <t>quim=bat@hotmail.com</t>
  </si>
  <si>
    <t>plasticosvimarmp@gmail.com</t>
  </si>
  <si>
    <t>ACCECUER S.A.</t>
  </si>
  <si>
    <t>ALUMETAL S.R.L.</t>
  </si>
  <si>
    <t>eduardogiglio69@gmail.com</t>
  </si>
  <si>
    <t>stefanialan@gmail.com</t>
  </si>
  <si>
    <t>Juan Zanella</t>
  </si>
  <si>
    <t>info@aceroscarballada.com.ar</t>
  </si>
  <si>
    <t>berajot656@gmail.com</t>
  </si>
  <si>
    <t>info.dpys@gmail.com</t>
  </si>
  <si>
    <t>administracion@cosenofi.com</t>
  </si>
  <si>
    <t>oestedvh@gmail.com</t>
  </si>
  <si>
    <t>sabrinadadamo1701@gmail.com</t>
  </si>
  <si>
    <t>Fabricación de maletas, bolsos de mano y similares, artículos de talabartería y artículos de cuero N.C.P.</t>
  </si>
  <si>
    <t>calidad@pastasorali.com</t>
  </si>
  <si>
    <t>tentaciondelplata@gmail.com</t>
  </si>
  <si>
    <t>Manufactura de cinturones de cuero y artículos de marroquinería</t>
  </si>
  <si>
    <t>infocelera@gmail.com</t>
  </si>
  <si>
    <t>jbenbitezbiondi@gmail.com</t>
  </si>
  <si>
    <t>nbbarbalace@yahoo.com.ar</t>
  </si>
  <si>
    <t>11 2280 1856</t>
  </si>
  <si>
    <t>5293-0118</t>
  </si>
  <si>
    <t>4541-3222</t>
  </si>
  <si>
    <t>dipalmanataliae@gmail.com</t>
  </si>
  <si>
    <t>http://www.accecuer.com.ar/</t>
  </si>
  <si>
    <t>graficapapeles@gmail.com</t>
  </si>
  <si>
    <t>admbaielinuez@gmail.com</t>
  </si>
  <si>
    <t>jorgedanielspinache@gmail.com</t>
  </si>
  <si>
    <t>javier.rotta75@gmailcom</t>
  </si>
  <si>
    <t>ACEROS ACEPER DE DALL ASTA CLAUDIA VIVIANA</t>
  </si>
  <si>
    <t>suppa.manuel@gmail.com</t>
  </si>
  <si>
    <t>peiranojuanignacio@gmail.com</t>
  </si>
  <si>
    <t>labsportmed@gmail.com</t>
  </si>
  <si>
    <t>pricouriel88@gmail.com</t>
  </si>
  <si>
    <t>viruhonda@gmail.com</t>
  </si>
  <si>
    <t xml:space="preserve">Esteban Merlo </t>
  </si>
  <si>
    <t>yamilsimoescardoso@gmail.com</t>
  </si>
  <si>
    <t xml:space="preserve">ALUMINIO REAL S.A. </t>
  </si>
  <si>
    <t>gandolamauro473@gmail.com</t>
  </si>
  <si>
    <t>pnt@pntlubricantes.com.ar</t>
  </si>
  <si>
    <t>ventasrspindumentaria@gmail.com</t>
  </si>
  <si>
    <t>oficinasafework@gmail.com</t>
  </si>
  <si>
    <t>Venta al por menor de materiales de construcción</t>
  </si>
  <si>
    <t>envadecsrl@hotmail.com</t>
  </si>
  <si>
    <t>tiendadepanes@gmail.com</t>
  </si>
  <si>
    <t>faenapropiasas@gmail.com</t>
  </si>
  <si>
    <t>info@bastonesromano.com.ar</t>
  </si>
  <si>
    <t>ventas@sinis.com.ar</t>
  </si>
  <si>
    <t>4115-6713</t>
  </si>
  <si>
    <t>jarrojo@lmalimentos.com.ar</t>
  </si>
  <si>
    <t>martinbarabash@grupojordon.com.ar</t>
  </si>
  <si>
    <t>4750-6996</t>
  </si>
  <si>
    <t>mica-akd19@hotmail.com</t>
  </si>
  <si>
    <t>http://acerosaceper.com.ar/</t>
  </si>
  <si>
    <t>pvcqsolutions@gmail.com</t>
  </si>
  <si>
    <t>pernabrenda.n@gmail.com</t>
  </si>
  <si>
    <t>sebacarbonell@hotmail.com</t>
  </si>
  <si>
    <t>industrialpack@gmail.com</t>
  </si>
  <si>
    <t>yaneltecno@gmail.com</t>
  </si>
  <si>
    <t>gasamed@hotmail.com</t>
  </si>
  <si>
    <t>CONTACTO 2</t>
  </si>
  <si>
    <t>aceroscofer@aceroscofer.com.ar</t>
  </si>
  <si>
    <t>jpmontan@acerosmb.com.ar</t>
  </si>
  <si>
    <t>acrilicosamendolamariani@gmail.com</t>
  </si>
  <si>
    <t>lacoppma@acytra.com</t>
  </si>
  <si>
    <t>rbesteiro@soluplex.com</t>
  </si>
  <si>
    <t>AMALGRAF S.R.L.</t>
  </si>
  <si>
    <t>info@asindustrias.com.ar</t>
  </si>
  <si>
    <t>marcelol@acerosbosch.com.ar</t>
  </si>
  <si>
    <t>albalongatextil@gmail.com</t>
  </si>
  <si>
    <t>comex@sabbatini.com.ar</t>
  </si>
  <si>
    <t>pvalentino@noly.com.ar</t>
  </si>
  <si>
    <t>yanina@distribuciongloball.com</t>
  </si>
  <si>
    <t>admin@amlgraf.com.ar</t>
  </si>
  <si>
    <t>daniel@amentuel.com.ar</t>
  </si>
  <si>
    <t>miguel@podrzaj.com.ar</t>
  </si>
  <si>
    <t>cd@argentinascrap.com</t>
  </si>
  <si>
    <t>ventas@dravidal.com.ar</t>
  </si>
  <si>
    <t>areseduardo@hotmail.com</t>
  </si>
  <si>
    <t>maxisapienza@gmail.com</t>
  </si>
  <si>
    <t>marcela@artestamp.com.ar</t>
  </si>
  <si>
    <t>rcfassione@drgsa.com.ar</t>
  </si>
  <si>
    <t>ssolares@avibra.com.ar</t>
  </si>
  <si>
    <t>ovumbaca@byh.com.ar</t>
  </si>
  <si>
    <t>sebastian@bacumsa.com.ar</t>
  </si>
  <si>
    <t>julieta.lisciotti@all4labels.com</t>
  </si>
  <si>
    <t>antonio.palladino@e-intrasrl.com</t>
  </si>
  <si>
    <t>agustinlquevedo@gmail.com</t>
  </si>
  <si>
    <t>estebanm@bical.com.ar</t>
  </si>
  <si>
    <t> nbarbagallo@gmail.com </t>
  </si>
  <si>
    <t>Av. Pres. Juan Domingo Perón</t>
  </si>
  <si>
    <t>cuentas@bondeadosnortex.com.ar</t>
  </si>
  <si>
    <t>asabater@bruit.com.ar</t>
  </si>
  <si>
    <t>federico@bscargentina.com.ar</t>
  </si>
  <si>
    <t>administracion2@caltec.com.ar</t>
  </si>
  <si>
    <t>personal@carboneaut.com.ar</t>
  </si>
  <si>
    <t>elena@aberturassanjose.com.ar</t>
  </si>
  <si>
    <t>patriciaz@casiba.com.ar</t>
  </si>
  <si>
    <t>aglotauro@castell.com.ar</t>
  </si>
  <si>
    <t>diegofrasson@live.com</t>
  </si>
  <si>
    <t>martin@chisap.com</t>
  </si>
  <si>
    <t>bibiana@cintasindustriales.com</t>
  </si>
  <si>
    <t>grisso@coalix.com</t>
  </si>
  <si>
    <t>Fabricación de productos elaborados de metal N.C.P.</t>
  </si>
  <si>
    <t>rotomoldeados@hescher.com.ar</t>
  </si>
  <si>
    <t>celia.compribandsrl@gmail.com</t>
  </si>
  <si>
    <t>info@coolsmart.com.ar</t>
  </si>
  <si>
    <t>marioalejandroaquino@gmail.com</t>
  </si>
  <si>
    <t>ANACON S.A. (FERROCORT 30612444583)</t>
  </si>
  <si>
    <t>cachtoche@hotmail.com</t>
  </si>
  <si>
    <t>sofia.cuter@cuterrobots.com.ar</t>
  </si>
  <si>
    <t>sofia.cuter@gmail.com</t>
  </si>
  <si>
    <t>federicojavier@hotmail.com</t>
  </si>
  <si>
    <t>felipebreboucas@gmail.com</t>
  </si>
  <si>
    <t>piosegundo@gmail.com</t>
  </si>
  <si>
    <t>Juan Carlos Luna</t>
  </si>
  <si>
    <t>marcos@depimiel.com</t>
  </si>
  <si>
    <t>marcelo@devisa-group.com</t>
  </si>
  <si>
    <t>Fabian Fernandez Crasso</t>
  </si>
  <si>
    <t>dadjiman@gmail.com</t>
  </si>
  <si>
    <t>15 3210-1300 | 15 7163-0905</t>
  </si>
  <si>
    <t>rpotilinski@gaci.com.ar</t>
  </si>
  <si>
    <t>angeles.jaworski@idolz.com.ar</t>
  </si>
  <si>
    <t>4848-1010 | 4848-4140</t>
  </si>
  <si>
    <t>norberto@emeth.com.ar</t>
  </si>
  <si>
    <t>4848-3300</t>
  </si>
  <si>
    <t>jdetorres@duzzen.com.ar</t>
  </si>
  <si>
    <t>juanpablo_b@dxcontrol.com.ar</t>
  </si>
  <si>
    <t>4848-1600</t>
  </si>
  <si>
    <t>damian.petrola@flexoemagen.com.ar</t>
  </si>
  <si>
    <t>https://www.aceroscofer.com.ar/</t>
  </si>
  <si>
    <t>rodrigo.loyola@ecoprol.com.ar</t>
  </si>
  <si>
    <t>cdarritchon@el-jumillano.com.ar</t>
  </si>
  <si>
    <t>nahuelarenas@emasonline.com.ar</t>
  </si>
  <si>
    <t>cpanarella@cachafaz.com</t>
  </si>
  <si>
    <t>gianlucavivaldi@icloud.com</t>
  </si>
  <si>
    <t>mbranchini@equiposdelchef.com.ar</t>
  </si>
  <si>
    <t>brenda.burgos@e-rioplatense.com.ar</t>
  </si>
  <si>
    <t>flavia.disbro@estapal.com.ar</t>
  </si>
  <si>
    <t>liliana@etc.com.ar</t>
  </si>
  <si>
    <t>exertsrl@exertsrl.com.ar</t>
  </si>
  <si>
    <t>miguelina@fdm-srl.com.ar</t>
  </si>
  <si>
    <t xml:space="preserve">miguelina.r@hotmail.com </t>
  </si>
  <si>
    <t>miguelina.rob@gmail.com</t>
  </si>
  <si>
    <t>ANTONIO PODRZAJ E HIJOS S.R.L.</t>
  </si>
  <si>
    <t>lilianapanighetto@fepublicidad.com.ar</t>
  </si>
  <si>
    <t>jgonzalez@fercor.com.ar</t>
  </si>
  <si>
    <t>flejie_sanmartin@hotmail.com</t>
  </si>
  <si>
    <t>administracion@frenosnacionales.com.ar</t>
  </si>
  <si>
    <t>ivanlopesrito16@gmail.com</t>
  </si>
  <si>
    <t>claudio@frione.com</t>
  </si>
  <si>
    <t>grinaldi@fullplastics.com.ar</t>
  </si>
  <si>
    <t xml:space="preserve">ggagliardino@fundiciondelta.com.ar  </t>
  </si>
  <si>
    <t>rdesimone@galileoar.com</t>
  </si>
  <si>
    <t>administracion1@galvylam.com</t>
  </si>
  <si>
    <t>ACEROS DR SOC. ANONIMA</t>
  </si>
  <si>
    <t>claudiocardinali25@gmail.com</t>
  </si>
  <si>
    <t>jmduchini@gigantografica.com</t>
  </si>
  <si>
    <t xml:space="preserve">o.suarez@gigantografica.com </t>
  </si>
  <si>
    <t>pardolino@globalamerica.com.ar</t>
  </si>
  <si>
    <t>lzuvic@golocan.com.ar</t>
  </si>
  <si>
    <t>indupint.1984@gmail.com</t>
  </si>
  <si>
    <t>Teodoro Plaza</t>
  </si>
  <si>
    <t>norberto.torres@gtcribbon.com</t>
  </si>
  <si>
    <t>avargas@panlaperla.com.ar</t>
  </si>
  <si>
    <t>marcosrigazio@ibex.com.ar</t>
  </si>
  <si>
    <t>leonardo@iluminarte.com.ar</t>
  </si>
  <si>
    <t>http://ibuenayre.com.ar/</t>
  </si>
  <si>
    <t>soniacarlae@gmail.com</t>
  </si>
  <si>
    <t>APTITUD S.A.</t>
  </si>
  <si>
    <t>lauramoretti@industriasedigma.com.ar</t>
  </si>
  <si>
    <t>maquinas@industriaskras.com</t>
  </si>
  <si>
    <t>lquaranta@iquisa.com.ar</t>
  </si>
  <si>
    <t>4653-3183</t>
  </si>
  <si>
    <t xml:space="preserve">brunotomadoni@gmail.com </t>
  </si>
  <si>
    <t>bruno@tomadoni.com</t>
  </si>
  <si>
    <t>igc@ir3d.com.ar</t>
  </si>
  <si>
    <t>enzo@selffix.com.ar</t>
  </si>
  <si>
    <t>http://acerosdr.com.ar/contacto.html</t>
  </si>
  <si>
    <t>aldoh.conejeros@gmail.com</t>
  </si>
  <si>
    <t>gabriel@kelcot.com.ar</t>
  </si>
  <si>
    <t>julian@ecovita.com.ar, lucas@ecovita.com.ar</t>
  </si>
  <si>
    <t>hmacchia@laboratoriosgaudium.com</t>
  </si>
  <si>
    <t>alejandraf@lambdachemical.com.ar</t>
  </si>
  <si>
    <t>limagadis.ventas@gmail.com</t>
  </si>
  <si>
    <t>federicobortolin@gmail.com</t>
  </si>
  <si>
    <t>administracion@lubeseguridad.com.ar</t>
  </si>
  <si>
    <t>dslongo@lubriweb.com.ar</t>
  </si>
  <si>
    <t>administracion@lumaproductos.com.ar</t>
  </si>
  <si>
    <t>info@cooperreposteria.com.ar</t>
  </si>
  <si>
    <t>sergiobosch@manguerasconcord.com.ar</t>
  </si>
  <si>
    <t>martin@dmz.com.ar</t>
  </si>
  <si>
    <t>wi3martinez@fibertel.com.ar</t>
  </si>
  <si>
    <t>pablo.blason@metalurgicacolla.com.ar</t>
  </si>
  <si>
    <t>cristian@dakot.com.ar</t>
  </si>
  <si>
    <t>pkircos@hotmail.com</t>
  </si>
  <si>
    <t>agustin@metvelazquez.com</t>
  </si>
  <si>
    <t>vguajardo@mexichem.com</t>
  </si>
  <si>
    <t>comex@productosnuke.com.ar</t>
  </si>
  <si>
    <t>blasaliciajuana@yahoo.com.ar</t>
  </si>
  <si>
    <t>jmaldonado@motomec.com.ar</t>
  </si>
  <si>
    <t>info@musetta.com.ar</t>
  </si>
  <si>
    <t>administracion@myka.com.ar</t>
  </si>
  <si>
    <t>epinelli@nelo.com.ar, glapinelli@nelo.com.ar</t>
  </si>
  <si>
    <t>gpertutti@gmail.com</t>
  </si>
  <si>
    <t>admin@obin.com.ar</t>
  </si>
  <si>
    <t>AQUILI DARIO BENITO Y AQUILI ALFREDO LUIS SOCIEDAD DE HECHO</t>
  </si>
  <si>
    <t>Av. Marcelo T. de Alvear</t>
  </si>
  <si>
    <t>rsilvestro@openmaquinas.com.ar</t>
  </si>
  <si>
    <t>carmelo.messina@panfresh.com.ar</t>
  </si>
  <si>
    <t>onacca@pantoquimica.com.ar</t>
  </si>
  <si>
    <t>ventas@papeleralamilagrosa.com.ar</t>
  </si>
  <si>
    <t>ventas@morsellacajas.com.ar</t>
  </si>
  <si>
    <t>horacio@pelmag.com.ar</t>
  </si>
  <si>
    <t>ffierro@peters.com.ar ,</t>
  </si>
  <si>
    <t xml:space="preserve"> emarquez@peters.com.ar</t>
  </si>
  <si>
    <t>plasticosnuevomilenio@live.com.ar</t>
  </si>
  <si>
    <t>administracion@plasticostextil.com.ar</t>
  </si>
  <si>
    <t>Cortes y plegados trabajos especiales en acero inoxidable para la industria gastronomica, farmaceutica, y de arquitectura</t>
  </si>
  <si>
    <t>pablo@plenario.com.ar</t>
  </si>
  <si>
    <t>viviana@posta-srl.com.ar</t>
  </si>
  <si>
    <t>monicaverdinelli@eyelit.com.ar</t>
  </si>
  <si>
    <t>nbisio@pvctecnocom.com.ar</t>
  </si>
  <si>
    <t xml:space="preserve">Roberto </t>
  </si>
  <si>
    <t>apuyol@raiconet.com</t>
  </si>
  <si>
    <t>11 5569-2593</t>
  </si>
  <si>
    <t>frapino@recimad.com</t>
  </si>
  <si>
    <t>victoriapaz@redcomsa.com.ar</t>
  </si>
  <si>
    <t>ventas@regan.com.ar</t>
  </si>
  <si>
    <t>info@remparksrl.com.ar</t>
  </si>
  <si>
    <t>4712-9130</t>
  </si>
  <si>
    <t>produccion@reuschargentina.com.ar</t>
  </si>
  <si>
    <t>gsalvador@riasa.com.ar</t>
  </si>
  <si>
    <t>hdisanto@ipesa.com.ar</t>
  </si>
  <si>
    <t>carolina@rocagriferia.com.ar</t>
  </si>
  <si>
    <t>virginiabryant@rerar.com.ar</t>
  </si>
  <si>
    <t>darioaquil@hotmail.com</t>
  </si>
  <si>
    <t>martin.rodriguez@sabbatini.com.ar</t>
  </si>
  <si>
    <t>info@seegerrenosa.com.ar</t>
  </si>
  <si>
    <t>bruno.testa@sherwin.com.ar</t>
  </si>
  <si>
    <t>ARAUJO S.R.L.</t>
  </si>
  <si>
    <t>emiliano@ibsanitarios.com.ar</t>
  </si>
  <si>
    <t>osolima@sistemasenergeticos.com.ar</t>
  </si>
  <si>
    <t>fabiofrancesconi@pastasorali.com</t>
  </si>
  <si>
    <t>administracion@kaser.com.ar</t>
  </si>
  <si>
    <t>administracion@pulpastapler.com.ar</t>
  </si>
  <si>
    <t>cesar.pochettino@startec.com.ar</t>
  </si>
  <si>
    <t>calilian_2010@hotmail.es</t>
  </si>
  <si>
    <t>catalina.iasevoli@surgicalsupply.com.ar</t>
  </si>
  <si>
    <t>Av. Bartolomé Mitre</t>
  </si>
  <si>
    <t>nsantaniello@symtron.com.ar</t>
  </si>
  <si>
    <t>gerencia@baigorriaindustrial.com</t>
  </si>
  <si>
    <t>leokpomatrix@gmail.com</t>
  </si>
  <si>
    <t>josebriguori09@hotmail.com</t>
  </si>
  <si>
    <t>anamontiel@terlizzisa.com</t>
  </si>
  <si>
    <t>luismontiel@terlizzisa.com</t>
  </si>
  <si>
    <t>Graciela Estente</t>
  </si>
  <si>
    <t>11 6700-3265 | 11 4033-6448</t>
  </si>
  <si>
    <t xml:space="preserve"> eduardo@terlizzisa.com</t>
  </si>
  <si>
    <t>administracion@indsrl.com.ar</t>
  </si>
  <si>
    <t>oscartgtexsrl@gmail.com</t>
  </si>
  <si>
    <t>4734-1816</t>
  </si>
  <si>
    <t>ezequieltiani@gmail.com</t>
  </si>
  <si>
    <t>4734-1613</t>
  </si>
  <si>
    <t>graciela@transportesmolinasrl.com</t>
  </si>
  <si>
    <t>joan.scarnato@trimet.com.ar</t>
  </si>
  <si>
    <t>4750-5137 | 11 5322-8121</t>
  </si>
  <si>
    <t>RRHH@uttercom.com</t>
  </si>
  <si>
    <t>braian@vemarsa.com.ar</t>
  </si>
  <si>
    <t>http://www.acerosinoxidablescaseros.com/</t>
  </si>
  <si>
    <t>ARGENSIL S.R.L.</t>
  </si>
  <si>
    <t>victory@victorylimpieza.com.ar</t>
  </si>
  <si>
    <t>mbessi@zapassrl.com.ar</t>
  </si>
  <si>
    <t>gkresis@grupolargentina.com</t>
  </si>
  <si>
    <t>administracion@juguetesperdidos.com.ar</t>
  </si>
  <si>
    <t>HASTA ACÁ 246 (DIA 2)</t>
  </si>
  <si>
    <t>ggraviotto@burkool.com.ar</t>
  </si>
  <si>
    <t>ventas@maferbul.com.ar</t>
  </si>
  <si>
    <t>Fabricación de industrias básicas de productos de hierro y acero N.C.P. (incluye la producción de hojalata)</t>
  </si>
  <si>
    <t>proveedores@textilvalerio.com.ar</t>
  </si>
  <si>
    <t>javier@kimthor.com.ar</t>
  </si>
  <si>
    <t>Víctor M. Holub (Dir.)</t>
  </si>
  <si>
    <t>nano_fusion@gmail.com</t>
  </si>
  <si>
    <t>11 4936-5726</t>
  </si>
  <si>
    <t>info@productosnuke.com.ar</t>
  </si>
  <si>
    <t xml:space="preserve">ARIZONA CALZADOS S.R.L. </t>
  </si>
  <si>
    <t xml:space="preserve">Juan Pablo Montan </t>
  </si>
  <si>
    <t>arredamentosbosch@hotmail.com</t>
  </si>
  <si>
    <t>11 3165-2541</t>
  </si>
  <si>
    <t>Nuevos contacto 1</t>
  </si>
  <si>
    <t>info@mis-plast.com.ar</t>
  </si>
  <si>
    <t>4759-1211 | 4936-5726</t>
  </si>
  <si>
    <t>fabfit@hotmail.com</t>
  </si>
  <si>
    <t>malmebsrl@outlook.com</t>
  </si>
  <si>
    <t>4759-1092</t>
  </si>
  <si>
    <t>admmieleselchaltensrl@gmail.com</t>
  </si>
  <si>
    <t>4750-9177</t>
  </si>
  <si>
    <t>https://www.acerosmb.com.ar/</t>
  </si>
  <si>
    <t>fernando@wiremac.com.ar</t>
  </si>
  <si>
    <t>procesadorajeans@gmail.com</t>
  </si>
  <si>
    <t>profilesaceros@gmail.com</t>
  </si>
  <si>
    <t>mgraviotto@burkool.com.ar</t>
  </si>
  <si>
    <r>
      <rPr>
        <color rgb="FF000000"/>
        <sz val="12.0"/>
        <u/>
      </rPr>
      <t>info@maferbul.com.ar</t>
    </r>
  </si>
  <si>
    <t>martingabrielluna@yahoo.com</t>
  </si>
  <si>
    <t>ARKINO S.A.</t>
  </si>
  <si>
    <t>corradiniremaches@gmail.com</t>
  </si>
  <si>
    <t>hcorraremaches@gmail.com</t>
  </si>
  <si>
    <t>ACERPEL S.R.L.</t>
  </si>
  <si>
    <t>corradiniricardov@gmail.com</t>
  </si>
  <si>
    <t>Ntra. Sra. de la Merced</t>
  </si>
  <si>
    <t>Fabricación de maquinaria para la industria del papel y las artes gráficas</t>
  </si>
  <si>
    <t>4759-4802</t>
  </si>
  <si>
    <t>ARMAR 4 SOCIEDAD ANONIMA / AG METALÚRGICA S.A.</t>
  </si>
  <si>
    <t>Martin Fierro</t>
  </si>
  <si>
    <t>mails A</t>
  </si>
  <si>
    <t>522 mails</t>
  </si>
  <si>
    <t>Elaboración industrial de helados</t>
  </si>
  <si>
    <t>Diego Achilli (Concejal)</t>
  </si>
  <si>
    <t>11 4992-6173</t>
  </si>
  <si>
    <t>ariel_ares@hotmail.com</t>
  </si>
  <si>
    <t>11 5308-1563</t>
  </si>
  <si>
    <t>AROQUIM S.R.L.</t>
  </si>
  <si>
    <t>https://los-amores.com.ar/</t>
  </si>
  <si>
    <t>pablo@miler.com.ar</t>
  </si>
  <si>
    <t xml:space="preserve">agm@ferrocort.com </t>
  </si>
  <si>
    <t xml:space="preserve">emiliano@ferrocort.com </t>
  </si>
  <si>
    <t>ACICA S.R.L.</t>
  </si>
  <si>
    <t>ARSAMA S.A. (ALOHA)</t>
  </si>
  <si>
    <t>Fabricación de Aparatos y Accesorios Eléctricos N.C.P.</t>
  </si>
  <si>
    <t>11 4488-1599</t>
  </si>
  <si>
    <t>raul@buacar.com.ar</t>
  </si>
  <si>
    <t>ART DECO S.R.L.</t>
  </si>
  <si>
    <t>danieln@casiba.com.ar , joaquinc@casiba.com.ar , ignacion@casiba.ar</t>
  </si>
  <si>
    <t>ACLAUJOR S.R.L.</t>
  </si>
  <si>
    <t>José Ignacio Rucci</t>
  </si>
  <si>
    <t>administracion@chilleout.com.ar , laura@chilleout.com.ar , administracion2@chilleout.com.ar</t>
  </si>
  <si>
    <t>Impresion excepto de diarios y revistas</t>
  </si>
  <si>
    <t>cinenspel@uolsinectis.com.ar , robertodelmonaco@cinens.com.ar</t>
  </si>
  <si>
    <t>flafuente@coinpo.com.ar , lafuentejuanfacundo@gmail.com</t>
  </si>
  <si>
    <t>11 4657-2370</t>
  </si>
  <si>
    <t>ASC PRODUCTOS ELECTRICOS S.R.L.</t>
  </si>
  <si>
    <t>sales@conimed.com</t>
  </si>
  <si>
    <t>ACQUAIDEAS S.R.L.</t>
  </si>
  <si>
    <t>Agustín Cafferata</t>
  </si>
  <si>
    <t>fiama@depimiel.com , adriana@depimiel.com , agustin@depimiel.com</t>
  </si>
  <si>
    <t>jorge@deuan.com.ar , jrgkuzniecki@gmail.com</t>
  </si>
  <si>
    <t>Fabricación en Industrias básicas de productos de Hierro y Acero N.C.P.</t>
  </si>
  <si>
    <t>AUTOMATIZACIONES DRG S.A.</t>
  </si>
  <si>
    <t>4716-9334</t>
  </si>
  <si>
    <t>hdarritchon@el-jumillano.com.ar , carlos.maiztegui@gmail.com</t>
  </si>
  <si>
    <t>ACQUAVAL S.R.L.</t>
  </si>
  <si>
    <t>sebastian@embalflej.com.ar</t>
  </si>
  <si>
    <t>Guaminí</t>
  </si>
  <si>
    <t>angarciaacosta@gmail.com , aacosta@cachafaz.com</t>
  </si>
  <si>
    <t>AVIBRA TECNOLOGIA E INDUSTRIA DE LOS ANTIVIBRATORIOS S.A.</t>
  </si>
  <si>
    <t>alfredodemonte@gmail.com , mariangelespascual@yahoo.com.ar</t>
  </si>
  <si>
    <t>11 4734-6514</t>
  </si>
  <si>
    <t>sassi.mayra@fepublicidad.com.ar , ricardosassi@yahoo.com.ar</t>
  </si>
  <si>
    <t>ACRILICOS AMENDOLA MARIANI S.R.L.</t>
  </si>
  <si>
    <t>Av. San Martín</t>
  </si>
  <si>
    <t>Carlos Améndola</t>
  </si>
  <si>
    <t>hector@gtcribbon.com , daniel.puente@ikonsolutions.com</t>
  </si>
  <si>
    <t>11 4086-0033</t>
  </si>
  <si>
    <t>Oscar Jorge Mariani</t>
  </si>
  <si>
    <t>B.T.S. S.A. (BTS BELT TRANSMISSION SERVICE)</t>
  </si>
  <si>
    <t xml:space="preserve"> 15 4086-0033</t>
  </si>
  <si>
    <t>4512-7584</t>
  </si>
  <si>
    <t>4512-7583</t>
  </si>
  <si>
    <t>4512-7582</t>
  </si>
  <si>
    <t>https://www.instagram.com/acrilicosamendola/?hl=es-la</t>
  </si>
  <si>
    <t>fernandojavier@capdevila.com.ar , fernandoenrique@capdevila.com.ar</t>
  </si>
  <si>
    <t>ACRILICOS DINAMICA S.R.L.</t>
  </si>
  <si>
    <t>eduardo@industriaskras.com , gabriel@industriaskras.com</t>
  </si>
  <si>
    <t>Pueyrredón</t>
  </si>
  <si>
    <t>B&amp;H S.R.L.</t>
  </si>
  <si>
    <t>Fabricación y armado letreros anuncios</t>
  </si>
  <si>
    <t>ACRILICOS MAJO S.A.</t>
  </si>
  <si>
    <t>BABY HOUR (NUÑEZ GLADYS ALEJANDRA)</t>
  </si>
  <si>
    <t>Av. Gaona</t>
  </si>
  <si>
    <t>José Bugner</t>
  </si>
  <si>
    <t>4653-0722</t>
  </si>
  <si>
    <t>ACYTRA SAIC S.A.</t>
  </si>
  <si>
    <t>Av. Lope De Vega</t>
  </si>
  <si>
    <t>BAIRESDOM SERVICIOS INDUSTRIALES S.R.L.</t>
  </si>
  <si>
    <t>tesoreria2@lacteoslamansa.com.ar , tesoreria@lacteoslamansa.com.ar</t>
  </si>
  <si>
    <t>Fabricación de cerraduras, herrajes y artículos de ferretería N.C.P.</t>
  </si>
  <si>
    <t>B2C, B2B</t>
  </si>
  <si>
    <t>Cerraduras, candados</t>
  </si>
  <si>
    <t>jorge@productosnuke.com.ar , gustavo@productosnuke.com.ar</t>
  </si>
  <si>
    <t>reyna985@yahoo.com.ar , preyna@mobelart.com.ar</t>
  </si>
  <si>
    <t>Pablo Oscar Gonzalez</t>
  </si>
  <si>
    <t>11 5582-0350</t>
  </si>
  <si>
    <t>Matías Lacoppola</t>
  </si>
  <si>
    <t>11 4043-9530</t>
  </si>
  <si>
    <t>11 4757-0729</t>
  </si>
  <si>
    <t>11 4757-3928</t>
  </si>
  <si>
    <t>11 5582-0360</t>
  </si>
  <si>
    <t>https://acytra.com/</t>
  </si>
  <si>
    <t>ADHE-MAX S.R.L.</t>
  </si>
  <si>
    <t>BARBO LUIS BARBO SERGIO ALEJANDRO Y MACCHIA VICTOR HUGO (PLAST MATRIX)</t>
  </si>
  <si>
    <t>Federico Lacroze</t>
  </si>
  <si>
    <t>Ventas@cpelectronica.com.ar</t>
  </si>
  <si>
    <t>3750-7028</t>
  </si>
  <si>
    <t>4647-3413</t>
  </si>
  <si>
    <t>4647-0900</t>
  </si>
  <si>
    <t>ADHEPLAST S.R.L.</t>
  </si>
  <si>
    <t>dobro.ventas@gmail.com, dobro.ventas2@gmail.com</t>
  </si>
  <si>
    <t>Av. Gral. Hornos</t>
  </si>
  <si>
    <t xml:space="preserve">BAUMGARTEN GRAFICA ARGENTINA S.A. (AUTOPACK S.A.) </t>
  </si>
  <si>
    <t>15 5108-4025</t>
  </si>
  <si>
    <t>11 5107-7456</t>
  </si>
  <si>
    <t>11 5434-2330</t>
  </si>
  <si>
    <t>juan.caprile@futurefood.com.ar</t>
  </si>
  <si>
    <t>https://adheplastonline.com.ar/</t>
  </si>
  <si>
    <t>BAWTSA S.R.L. (E-INTRA S.R.L.)</t>
  </si>
  <si>
    <t>tripicchio.javier@ar.sika.com , rizoli.alejandra@ar.sika.com</t>
  </si>
  <si>
    <t>Juan Larrea</t>
  </si>
  <si>
    <t>Fabricación de productos químicos N.C.P. (Incluye la producción de aceites esenciales, tintas excepto para imprenta, etc.)</t>
  </si>
  <si>
    <t>Luis Riccitelli (Gerente)</t>
  </si>
  <si>
    <t>15 5335-8743</t>
  </si>
  <si>
    <t>Víctor M. Holub</t>
  </si>
  <si>
    <t>11 4751-2148</t>
  </si>
  <si>
    <t>11 4751-6480</t>
  </si>
  <si>
    <t>https://aditivosplasticos.com/</t>
  </si>
  <si>
    <t>BENTIVEGNA MARIANA CARLA (HIPERINOX)</t>
  </si>
  <si>
    <t>claudiosamokec@gmail.com , c.samokec@tecnosam.com.ar</t>
  </si>
  <si>
    <t>diego@terlizzisa.com , pablobrazzola1@gmail.com</t>
  </si>
  <si>
    <t>ADREN S.A.</t>
  </si>
  <si>
    <t>Maldonado</t>
  </si>
  <si>
    <t>Consultorio médico</t>
  </si>
  <si>
    <t>4657-1076</t>
  </si>
  <si>
    <t>BETTENDORFF S.R.L.</t>
  </si>
  <si>
    <t>ADRIPLAST S.R.L.</t>
  </si>
  <si>
    <t>Diag. Bouchard</t>
  </si>
  <si>
    <t>Fabricación de envases plásticos</t>
  </si>
  <si>
    <t>Juan Pablo Kaminski</t>
  </si>
  <si>
    <t>15 4992-2848</t>
  </si>
  <si>
    <t>4716-0429</t>
  </si>
  <si>
    <t>www.adriplast.com.ar</t>
  </si>
  <si>
    <t>BIANQUERIA ANCONA S.R.L.</t>
  </si>
  <si>
    <t>Santiago de Liniers</t>
  </si>
  <si>
    <t>Servicios de asesoramiento, dirección y gestión empresarial realizados por integrantes de cuerpos de dirección en sociedades excepto las anónimas</t>
  </si>
  <si>
    <t>Vasos starbucks, pochoclos</t>
  </si>
  <si>
    <t>Gonzalo Afonso (Director)</t>
  </si>
  <si>
    <t>11 4181-4858</t>
  </si>
  <si>
    <t>Gerente Rodrigo Besteiro</t>
  </si>
  <si>
    <t>11 2080-2771</t>
  </si>
  <si>
    <t>http://www.soluplex.com.ar/#!/-bienvenidos/</t>
  </si>
  <si>
    <t>AFTYKA SACHON INDUSTRIAS S.R.L. (AS INDUSTRIAS)</t>
  </si>
  <si>
    <t>BONAVOTA SIMON FRANCISCO (BOMBAS NIR)</t>
  </si>
  <si>
    <t>Fabricación de productos de caucho N.C.P.</t>
  </si>
  <si>
    <t>Fuelles y soportes</t>
  </si>
  <si>
    <t>Jessica Saurina</t>
  </si>
  <si>
    <t>11 6859-9904</t>
  </si>
  <si>
    <t xml:space="preserve">THOMASN47@GMAIL.COM </t>
  </si>
  <si>
    <t>4101-0213</t>
  </si>
  <si>
    <t>4101-0067</t>
  </si>
  <si>
    <t>camilo.thst@icloud.com</t>
  </si>
  <si>
    <t>4101-0066</t>
  </si>
  <si>
    <t>http://www.asindustrias.com.ar/</t>
  </si>
  <si>
    <t>Fernández de Oliveira</t>
  </si>
  <si>
    <t>BONDEADOS NORTEX S.R.L.</t>
  </si>
  <si>
    <t xml:space="preserve">ajofre@liquid-bag.com  </t>
  </si>
  <si>
    <t>Eduardo Ares (Pte.)</t>
  </si>
  <si>
    <t>11 6958-7565</t>
  </si>
  <si>
    <t>Ariel Ares</t>
  </si>
  <si>
    <t>11 6958-2538</t>
  </si>
  <si>
    <t>11 7532-5048</t>
  </si>
  <si>
    <t>11 7532-5048 Int. 4</t>
  </si>
  <si>
    <t>11) 7532-5048 Int. 2</t>
  </si>
  <si>
    <t>https://agmetalurgica.com.ar/</t>
  </si>
  <si>
    <t>apallettipablo@gmail.com</t>
  </si>
  <si>
    <t>BOTTERO S.A.</t>
  </si>
  <si>
    <t>AGASI GUILLERMO</t>
  </si>
  <si>
    <t>15 4195-8404</t>
  </si>
  <si>
    <t>AGENCAISSA S.A.</t>
  </si>
  <si>
    <t>Tte. Gral. Pablo Ricchieri</t>
  </si>
  <si>
    <t>BRAMANTE URSULA SONIA</t>
  </si>
  <si>
    <t>Fabricación de artículos de papel y cartón N.C.P. (no incluye el papel de lija: 239900)</t>
  </si>
  <si>
    <t>Agenda, anotadores, papel, papel guia.</t>
  </si>
  <si>
    <t>Miriam Di Diego</t>
  </si>
  <si>
    <t>11 6740-4202</t>
  </si>
  <si>
    <t>https://caissa.com.ar/</t>
  </si>
  <si>
    <t>AGUA MORGADE S.A.</t>
  </si>
  <si>
    <t>BRETON ROPA (MB TEXTIL S.R.L.)</t>
  </si>
  <si>
    <t>Santa Rita</t>
  </si>
  <si>
    <t>Elaboración de sodas, aguas minerales y bebidas analcohólicas</t>
  </si>
  <si>
    <t>4769-9692</t>
  </si>
  <si>
    <t>4769-0824</t>
  </si>
  <si>
    <t>http://www.aguamineralmorgade.com.ar/</t>
  </si>
  <si>
    <t>AGUIRRE ROGELIO EDUARDO Y GONZALEZ EDUARDO S.H.</t>
  </si>
  <si>
    <t>BRUIT S.R.L.</t>
  </si>
  <si>
    <t>Av. La Plata</t>
  </si>
  <si>
    <t>javier.rotta75@gmail.com</t>
  </si>
  <si>
    <t>Reparación y pintura de carrocerías; colocación y reparación de guardabarros y protecciones exteriores</t>
  </si>
  <si>
    <t>4712-7321</t>
  </si>
  <si>
    <t>4712-7320</t>
  </si>
  <si>
    <t>4712-7319</t>
  </si>
  <si>
    <t>BSC ARGENTINA S.A.</t>
  </si>
  <si>
    <t>Pablo Poggio</t>
  </si>
  <si>
    <t>Elaboración Industrial de productos de Panadería, excluido Galletitas y Bizcochos</t>
  </si>
  <si>
    <t>4844-4278</t>
  </si>
  <si>
    <t>BULNES MARTINEZ JOSE LUIS (BORDADOS CASEROS)</t>
  </si>
  <si>
    <t>AGUSTI PELLICANI S.H.</t>
  </si>
  <si>
    <t>Blvd. San Martín</t>
  </si>
  <si>
    <t>Matanza de Ganado. Mataderos</t>
  </si>
  <si>
    <t>Local?</t>
  </si>
  <si>
    <t>11 4751-2923</t>
  </si>
  <si>
    <t>11 4758-0014</t>
  </si>
  <si>
    <t>C H GROUP S.R.L.</t>
  </si>
  <si>
    <t>Av. Diaz Velez</t>
  </si>
  <si>
    <t xml:space="preserve">Fabricación de ropa de cama y mantelería </t>
  </si>
  <si>
    <t>almohadas, frazadas, sabanas, manteles, toallas, cortinas</t>
  </si>
  <si>
    <t>Ruben Roussilian</t>
  </si>
  <si>
    <t>4653-1104 | 4653-1178</t>
  </si>
  <si>
    <t>4653-0702</t>
  </si>
  <si>
    <t>4488-1849</t>
  </si>
  <si>
    <t>www.aiman-sa.com/</t>
  </si>
  <si>
    <t>AITEC INGENIERIA S.R.L.</t>
  </si>
  <si>
    <t>Río Atuel</t>
  </si>
  <si>
    <t>CALTEC S.R.L.</t>
  </si>
  <si>
    <t>Fabricación de equipo médico y quirúrgico y de aparatos ortopédicos N.C.P.</t>
  </si>
  <si>
    <t>Trabajos a pedido en acero inoxidable</t>
  </si>
  <si>
    <t>11 3969-3851</t>
  </si>
  <si>
    <t>15 5642-8935</t>
  </si>
  <si>
    <t>http://aitec-ingenieria.com.ar/</t>
  </si>
  <si>
    <t>CALZADOS TOPSY S.R.L.</t>
  </si>
  <si>
    <t>AITUE DESARROLLOS URBANOS S.A.</t>
  </si>
  <si>
    <t>Construcción, reforma y reparación de edificios no residenciales (incluye construcción, reforma y reparación de restaurantes, bares, campamentos, bancos, oficinas, galerías comerciales, estaciones de servicio, edificios para tráfico y comunicaciones, garajes, edificios industriales y depósitos, escuelas, etc.)</t>
  </si>
  <si>
    <t>CANOPOL S.A.</t>
  </si>
  <si>
    <t>3979-8214</t>
  </si>
  <si>
    <t>https://www.instagram.com/aitue.desarrollos/</t>
  </si>
  <si>
    <t>AL GREMIO HERRAJES S.R.L.</t>
  </si>
  <si>
    <t>Venta al por mayor de artículos de ferretería y materiales eléctricos</t>
  </si>
  <si>
    <t>CARBALLO OSCAR ALBERTO (METALURGICA CARBALLO STEEL FLOWERS)</t>
  </si>
  <si>
    <t>Distribuidora de Herrajes &amp; Bazar Deco</t>
  </si>
  <si>
    <t>11 5257-7103</t>
  </si>
  <si>
    <t>11 5257-7105</t>
  </si>
  <si>
    <t>https://www.instagram.com/al.gremioherrajes/</t>
  </si>
  <si>
    <t>CASIBA S.A.</t>
  </si>
  <si>
    <t>AL FUNDICION S.R.L.</t>
  </si>
  <si>
    <t>Fundición de metales no ferrosos</t>
  </si>
  <si>
    <t>Funciones</t>
  </si>
  <si>
    <t>Germán Volpini</t>
  </si>
  <si>
    <t>4758-4828</t>
  </si>
  <si>
    <t>danieln@casiba.com.ar</t>
  </si>
  <si>
    <t>CASTELL S.A.</t>
  </si>
  <si>
    <t>Manuela Pedraza</t>
  </si>
  <si>
    <t>Alambres</t>
  </si>
  <si>
    <t>Gabriel A. Czumadewski</t>
  </si>
  <si>
    <t>11 3691-8935</t>
  </si>
  <si>
    <t>Marcelo G. Lazzaro</t>
  </si>
  <si>
    <t>11 3681-8937</t>
  </si>
  <si>
    <t>CATALANO ALEJANDRO GABRIEL (CERRADURAS ABC)</t>
  </si>
  <si>
    <t>Planta: 4769-8353 (Fabian)</t>
  </si>
  <si>
    <t>Oficina: Mónica Berdiuk 4842-6700/5800 Andres (hijo)</t>
  </si>
  <si>
    <t>11 6726-0062 (Maria Angela Fusetti)</t>
  </si>
  <si>
    <t>http://www.acerosbosch.com.ar/</t>
  </si>
  <si>
    <t>1 de Mayo</t>
  </si>
  <si>
    <t>CELULOSA BARADERO S.A.</t>
  </si>
  <si>
    <t xml:space="preserve">Acabado de productos textiles </t>
  </si>
  <si>
    <t>Karina  Aragón| Roberta Donati, Tel: (11 4769-0109 |15 4993-9693)</t>
  </si>
  <si>
    <t>11 4993-9693</t>
  </si>
  <si>
    <t>Bartolome Donati</t>
  </si>
  <si>
    <t>11 5423-5802</t>
  </si>
  <si>
    <t>4769-0109</t>
  </si>
  <si>
    <t>4769-4750</t>
  </si>
  <si>
    <t>4769-4751</t>
  </si>
  <si>
    <t>https://www.albalonga.com.ar/</t>
  </si>
  <si>
    <t>CERVEZA ARTESANAL BIER ZU HAUSE</t>
  </si>
  <si>
    <t>ALCIDES L TESSA S.R.L.</t>
  </si>
  <si>
    <t>Industrias manufactureras N.C.P. (Incluye fabricación de paraguas, termos, pelucas, etc.)</t>
  </si>
  <si>
    <t>CHECK CONFIANCE S.R.L.</t>
  </si>
  <si>
    <t>11 4716-0909</t>
  </si>
  <si>
    <t>11 4750-1822</t>
  </si>
  <si>
    <t>11 4750-7142</t>
  </si>
  <si>
    <t>https://www.alcidestessa.com.ar/</t>
  </si>
  <si>
    <t>ALDANA RAMON ALFREDO Y MAMMANA MAXIMILIANO ANDRES S.H.</t>
  </si>
  <si>
    <t>Catrilo</t>
  </si>
  <si>
    <t>CHILLEOUT S.R.L.</t>
  </si>
  <si>
    <t>Elaboración de galletitas y bizcochos</t>
  </si>
  <si>
    <t>Merengue</t>
  </si>
  <si>
    <t>Carlos De Merlier</t>
  </si>
  <si>
    <t>5435-8975</t>
  </si>
  <si>
    <t>administracion@chilleout.com.ar</t>
  </si>
  <si>
    <t>CHOCORISIMO S.A</t>
  </si>
  <si>
    <t>ALEJANDRO BARBIERI Y SERGIO BARBIERI SOC. DE HECHO</t>
  </si>
  <si>
    <t>Olavarría</t>
  </si>
  <si>
    <t>Tratamiento y revestimiento de metales y trabajos de metales en general</t>
  </si>
  <si>
    <t>4600-3807</t>
  </si>
  <si>
    <t>4654-7316</t>
  </si>
  <si>
    <t>CHOUSA S.R.L.</t>
  </si>
  <si>
    <t>ALEJANDRO GAMINO ALBERTO GAMINO (CICLO?)</t>
  </si>
  <si>
    <t>Forjado, prensado, estampado y laminado de metales; pulvimetalurgia</t>
  </si>
  <si>
    <t xml:space="preserve">CIMHE S.R.L. </t>
  </si>
  <si>
    <t>4782-0518</t>
  </si>
  <si>
    <t>ALFA DE BLAZER OSVALDO Y PERAZZELLI PEDRO</t>
  </si>
  <si>
    <t>Fray Justo Sta. María de Oro</t>
  </si>
  <si>
    <t>Fabricación de herramientas manuales y sus accesorios</t>
  </si>
  <si>
    <t>11 4750-0246</t>
  </si>
  <si>
    <t>Montevideo</t>
  </si>
  <si>
    <t>CINENS PEL S.A.</t>
  </si>
  <si>
    <t>Fabricación de bombas. Fabricación de compresores, grifos y válvulas</t>
  </si>
  <si>
    <t>Alejandro Sabbatini | Eduardo Sabbatini</t>
  </si>
  <si>
    <t>11 3809-4099 | 11 3273-9618</t>
  </si>
  <si>
    <t>Agustin Romero</t>
  </si>
  <si>
    <t>11 3480-8093</t>
  </si>
  <si>
    <t>11 4653-2728</t>
  </si>
  <si>
    <t>https://www.sabbatini.com.ar/</t>
  </si>
  <si>
    <t>CINTAS INDUSTRIALES S.A.</t>
  </si>
  <si>
    <t>CO.VI.SA. COMPANIA DEL VIDRIO S.A.</t>
  </si>
  <si>
    <t xml:space="preserve">Montevideo </t>
  </si>
  <si>
    <t>Fabricación de bombas</t>
  </si>
  <si>
    <t>Bombas</t>
  </si>
  <si>
    <t>Eduardo Sabbatini</t>
  </si>
  <si>
    <t>11 3273-9618</t>
  </si>
  <si>
    <t>4600-8514</t>
  </si>
  <si>
    <t>4657-2927</t>
  </si>
  <si>
    <t>COINPO S.A.</t>
  </si>
  <si>
    <t>4653-2728</t>
  </si>
  <si>
    <t>ALGODONERA VILLAFER S.R.L.</t>
  </si>
  <si>
    <t>Angel Pini</t>
  </si>
  <si>
    <t>lafuentejuanfacundo@gmail.com</t>
  </si>
  <si>
    <t>Preparación de Fibras de Algodón</t>
  </si>
  <si>
    <t>COMPAGNIE DE LA SANTE S.R.L.</t>
  </si>
  <si>
    <t>4734-4049</t>
  </si>
  <si>
    <t>ALIMENTARIA CARHUE S.R.L.</t>
  </si>
  <si>
    <t>Carhué</t>
  </si>
  <si>
    <t>Elaboración de alimentos a base de cereales</t>
  </si>
  <si>
    <t>Alfajores y galletitas en paquetes pequeños</t>
  </si>
  <si>
    <t>COMPRIBAND S.R.L.</t>
  </si>
  <si>
    <t>15 4061-9780</t>
  </si>
  <si>
    <t>4469-0442</t>
  </si>
  <si>
    <t>Dardo Rocha</t>
  </si>
  <si>
    <t>Venta por mayor de productos alimenticios N.C.P.</t>
  </si>
  <si>
    <t>Alimentos para celiacos</t>
  </si>
  <si>
    <t>Juan Greco | Oliver Lehmann</t>
  </si>
  <si>
    <t>https://www.instagram.com/crisppino/?hl=es</t>
  </si>
  <si>
    <t>CONEXTUBE S.R.L.</t>
  </si>
  <si>
    <t>ALIMENTOS BACIGALUPO S.A.</t>
  </si>
  <si>
    <t>9 de Julio</t>
  </si>
  <si>
    <t>Elaboración de extractos, jarabes y concentrados</t>
  </si>
  <si>
    <t>4115-6428/6480</t>
  </si>
  <si>
    <t>41397834/35</t>
  </si>
  <si>
    <t>4647-1920/26</t>
  </si>
  <si>
    <t>http://bacigalupo.com.ar/</t>
  </si>
  <si>
    <t>CONIMED S.A.</t>
  </si>
  <si>
    <t>3435/27</t>
  </si>
  <si>
    <t>Elaboración de productos alimenticios N.C.P. (Incluye la elaboración de polvos para preparar postres y gelatinas, levadura, productos para copetín, sopas, sal de mesa, mayonesa, mo</t>
  </si>
  <si>
    <t xml:space="preserve">Camila </t>
  </si>
  <si>
    <t>11 3051-2812</t>
  </si>
  <si>
    <t>Nicolas Aldo Ripari</t>
  </si>
  <si>
    <t>4300-2993</t>
  </si>
  <si>
    <t>4716-6699</t>
  </si>
  <si>
    <t>https://kapac.com.ar/</t>
  </si>
  <si>
    <t>CONSTRUSER ALVEAR S.R.L.</t>
  </si>
  <si>
    <t>Elaboración industrial de productos de panadería, excepto galletitas y bizcochos (Incluye la elaboración de productos de panadería frescos, congelados y secos)</t>
  </si>
  <si>
    <t>Nicolas Arrojo</t>
  </si>
  <si>
    <t>11 5761-4151</t>
  </si>
  <si>
    <t>Pablo Valentino</t>
  </si>
  <si>
    <t>15 3090-6367</t>
  </si>
  <si>
    <t>11 6756-7703</t>
  </si>
  <si>
    <t>COOLSMART</t>
  </si>
  <si>
    <t>11 4144-9454 (Claudia Mariani)</t>
  </si>
  <si>
    <t>11 3071-4845</t>
  </si>
  <si>
    <t>www.noly.com.ar</t>
  </si>
  <si>
    <t>ALIMENTOS SILVA S.A.</t>
  </si>
  <si>
    <t>San Lorenzo</t>
  </si>
  <si>
    <t>Elaboración de vinagres</t>
  </si>
  <si>
    <t>COOPERATIVA DE TRABAJO GRAFICA VUELTA DE PAGINA LIMITADA</t>
  </si>
  <si>
    <t>Vinagre</t>
  </si>
  <si>
    <t>Daniel D'Ippolito</t>
  </si>
  <si>
    <t>6560-1879</t>
  </si>
  <si>
    <t>Yanina Centurión</t>
  </si>
  <si>
    <t>4623-3315 interno 209</t>
  </si>
  <si>
    <t>11 4844-3393</t>
  </si>
  <si>
    <t>https://www.instagram.com/silva_sapori/?hl=es</t>
  </si>
  <si>
    <t>ALL CLEAN GROUP S.R.L.</t>
  </si>
  <si>
    <t>Croacia</t>
  </si>
  <si>
    <t>COOPERATIVA DE TRABAJO MANJARES LTDA.</t>
  </si>
  <si>
    <t>Productos químicos para limpieza | distribuidora minorista y mayorista</t>
  </si>
  <si>
    <t>4488-6800 | 5009-6570 (particular)</t>
  </si>
  <si>
    <t>4657-4819 | 11 5009-5709</t>
  </si>
  <si>
    <t>4657-5679</t>
  </si>
  <si>
    <t>https://www.quimicaallclean.com.ar/ | https://allcleanmayorista.com.ar/</t>
  </si>
  <si>
    <t>ALLOCATI SANTIAGO MARIO</t>
  </si>
  <si>
    <t>Av. Bernabé Márquez</t>
  </si>
  <si>
    <t>2521 Dpto:4 M:78</t>
  </si>
  <si>
    <t>Servicios de proveedores de acceso a internet</t>
  </si>
  <si>
    <t>6091-7878</t>
  </si>
  <si>
    <t>COPECO S.R.L.</t>
  </si>
  <si>
    <t>Sarmiento</t>
  </si>
  <si>
    <t>Fabricación de artículos de deporte (Incluye equipos de deporte para gimnasia y campos de juegos, equipos de pesca y camping, etc., excepto indumentaria deportiva: 141040)</t>
  </si>
  <si>
    <t>Mesas de Ping Pong</t>
  </si>
  <si>
    <t>Pablo Gómez (Socio gte.)</t>
  </si>
  <si>
    <t>11 6011-3125</t>
  </si>
  <si>
    <t>11 3406-9970</t>
  </si>
  <si>
    <t>11 3154-4760</t>
  </si>
  <si>
    <t>https://almartenisdemesa.com.ar/</t>
  </si>
  <si>
    <t>CORONEL MANUEL JOSE</t>
  </si>
  <si>
    <t>ALMIRON HNOS</t>
  </si>
  <si>
    <t>Tucumán</t>
  </si>
  <si>
    <t>Fabricación de muebles y partes de muebles, principalmente de madera</t>
  </si>
  <si>
    <t>4841-1364</t>
  </si>
  <si>
    <t>CORRADINI S.R.L.</t>
  </si>
  <si>
    <t>ALONSO HNOS</t>
  </si>
  <si>
    <t>Gazeta de Buenos Aires</t>
  </si>
  <si>
    <t>Industrias manufactureras N.C.P. (incluye fabricación de cochecitos de bebé, termos, velas, pelucas, etc.)</t>
  </si>
  <si>
    <t>4653-6766</t>
  </si>
  <si>
    <t>4657-9893</t>
  </si>
  <si>
    <t>4653-7432</t>
  </si>
  <si>
    <t>CORSO NET LOG S.A.</t>
  </si>
  <si>
    <t>ALONSO RUBIÑOS DIEGO (MATRICERIA ALONSO)</t>
  </si>
  <si>
    <t>Pampa</t>
  </si>
  <si>
    <t>3876 Piso:PB</t>
  </si>
  <si>
    <t>15 6641-8830</t>
  </si>
  <si>
    <t>CREACIONES M CH S.R.L. (MCH TOCHE)</t>
  </si>
  <si>
    <t>ALPHA S.R.L.</t>
  </si>
  <si>
    <t>Caxaraville</t>
  </si>
  <si>
    <t>4488-8663</t>
  </si>
  <si>
    <t>4653-2545</t>
  </si>
  <si>
    <t>CREMONESI HNOS S.R.L.</t>
  </si>
  <si>
    <t>Juan de Garay</t>
  </si>
  <si>
    <t>Fabricación de cartón ondulado y envases de cartón</t>
  </si>
  <si>
    <t>Producción de estuches y soluciones integrales en packaging</t>
  </si>
  <si>
    <t>Pablo Gebtsberger</t>
  </si>
  <si>
    <t>15 5333-4401</t>
  </si>
  <si>
    <t>11 5706-1772</t>
  </si>
  <si>
    <t>4716-2018</t>
  </si>
  <si>
    <t>4734-6494</t>
  </si>
  <si>
    <t>DAFESE S.R.L. (CHIMAK 3D)</t>
  </si>
  <si>
    <t>https://alprin.com.ar/</t>
  </si>
  <si>
    <t>ALTA ROMA S.A.</t>
  </si>
  <si>
    <t>Río Jáchal</t>
  </si>
  <si>
    <t>DEL GROSSO Y JONSON SRL (TECNICAR)</t>
  </si>
  <si>
    <t>Fabricación de calzado de cuero, excepto calzado deportivo y ortopédico</t>
  </si>
  <si>
    <t>4769-0795</t>
  </si>
  <si>
    <t>DELICIAS 1199 (Ex Empresa PIO SEGUNDO)</t>
  </si>
  <si>
    <t>ALTAMIX S.A.</t>
  </si>
  <si>
    <t>San Agustin</t>
  </si>
  <si>
    <t>Fabricación de partes, piezas y accesorios para vehículos automotores y sus motores</t>
  </si>
  <si>
    <t>4653-9230</t>
  </si>
  <si>
    <t>DEPIMIEL S.R.L. (DEVISA GROUP)</t>
  </si>
  <si>
    <t>ALTRON DE SERGIO ANTONIO SALIGARI Y EDUARDO ALBERTO TOLOSA SOC. H.</t>
  </si>
  <si>
    <t>Tratamiento y revestimiento de metales y trabajos de metales en general (Incluye la producción de hojalata)</t>
  </si>
  <si>
    <t>4751-5444</t>
  </si>
  <si>
    <t>5435-6972</t>
  </si>
  <si>
    <t>fiama@depimiel.com</t>
  </si>
  <si>
    <t>DEUAN S.R.L.</t>
  </si>
  <si>
    <t>Fray Cayetano Rodriguez</t>
  </si>
  <si>
    <t>Fabricación de carpintería metálica</t>
  </si>
  <si>
    <t>Metalúrgica especializada en carpintería de aluminio y PVC</t>
  </si>
  <si>
    <t>María Noel de Armas</t>
  </si>
  <si>
    <t>11 4712-9632</t>
  </si>
  <si>
    <t>11 3705-6638</t>
  </si>
  <si>
    <t>https://alumetal.com.ar/</t>
  </si>
  <si>
    <t>jorge@deuan.com.ar</t>
  </si>
  <si>
    <t>DHARMA PANIFICADOS S.R.L.</t>
  </si>
  <si>
    <t>Betharram</t>
  </si>
  <si>
    <t xml:space="preserve">Fabricación de artículos de cuchillería y utensillos de mesa y de cocina </t>
  </si>
  <si>
    <t xml:space="preserve">Ollas, menajes </t>
  </si>
  <si>
    <t>Sergio Fedele</t>
  </si>
  <si>
    <t>11 6576-6030</t>
  </si>
  <si>
    <t>4842-2380</t>
  </si>
  <si>
    <t>11 4842-5585</t>
  </si>
  <si>
    <t>https://aluminioreal.com.ar/</t>
  </si>
  <si>
    <t>DI PAOLO DANIEL</t>
  </si>
  <si>
    <t>ALUOEST S.A.C.I.F.I.A. (ALUOEST S.A.)</t>
  </si>
  <si>
    <t>Fabricación de carpintería metálica. Venta al por mayor de metales y minerales metalíferos</t>
  </si>
  <si>
    <t>Línea de productos basados en el aluminio desde perfiles y laminados, coberturas telescópicas para piscinas, sistema de iluminación tubular y las ventanas para techo italianas.</t>
  </si>
  <si>
    <t>María Fernanda Caudarella | Carla (Secretaria)</t>
  </si>
  <si>
    <t>11 4945-9507</t>
  </si>
  <si>
    <t>María Fernanda</t>
  </si>
  <si>
    <t>11 4028-0426</t>
  </si>
  <si>
    <t>11 4608-5000</t>
  </si>
  <si>
    <t>11 4088-1785</t>
  </si>
  <si>
    <t>https://www.aluoest.com.ar/</t>
  </si>
  <si>
    <t>DIFERENT TEX S.A.</t>
  </si>
  <si>
    <t>ALVAREZ LUIS ALBERTO (FABRICA DE MUEBLES FRH)</t>
  </si>
  <si>
    <t>Fabricación de muebles</t>
  </si>
  <si>
    <t>Muebles</t>
  </si>
  <si>
    <t>DILTACROSS ARGENTINA SA (GACI GROUP)</t>
  </si>
  <si>
    <t>4488-5013</t>
  </si>
  <si>
    <t>4488-4743</t>
  </si>
  <si>
    <t>ALVES PEREYRA J M MIRANDA J A BEZERRA Y CIA</t>
  </si>
  <si>
    <t>Fabricación de Ladrillos</t>
  </si>
  <si>
    <t>DIMASHQ ARGENTINA S.A.</t>
  </si>
  <si>
    <t>4712-6931</t>
  </si>
  <si>
    <t>ALVES ROLO GERARDO ENRIQUE Y GIUSTINA RUBEN ANIBAL</t>
  </si>
  <si>
    <t>Besares</t>
  </si>
  <si>
    <t>DIQUIME S.A.</t>
  </si>
  <si>
    <t>Fabricación de aparatos de uso doméstico N.C.P. (Incluye enceradoras, pulidoras, batidoras, licuadoras y similares)</t>
  </si>
  <si>
    <t>caños flexibles, tubos</t>
  </si>
  <si>
    <t>11 4757-4760</t>
  </si>
  <si>
    <t>11 4757-1085</t>
  </si>
  <si>
    <t>www.flexitub.com.ar</t>
  </si>
  <si>
    <t>DIVERSEY DE ARGENTINA S.A.</t>
  </si>
  <si>
    <t>ALYGU S.R.L.</t>
  </si>
  <si>
    <t>Construcción, Reforma y Reparación de Edificios Residenciales</t>
  </si>
  <si>
    <t>4734-1198</t>
  </si>
  <si>
    <t>4734-1995</t>
  </si>
  <si>
    <t>4750-9999</t>
  </si>
  <si>
    <t>DOLZ ARGENTINA S.A.</t>
  </si>
  <si>
    <t>AMAGLA CYS S.R.L.</t>
  </si>
  <si>
    <t>Asamblea</t>
  </si>
  <si>
    <t>Construcción, reforma y reparación de edificios no residenciales</t>
  </si>
  <si>
    <t>4716-0770</t>
  </si>
  <si>
    <t>4716-4510</t>
  </si>
  <si>
    <t>DPC OILFIED SUPPLY</t>
  </si>
  <si>
    <t>Impresión N.C.P., excepto de diarios y revistas</t>
  </si>
  <si>
    <t>Packaging</t>
  </si>
  <si>
    <t>Adriana Desteffanis</t>
  </si>
  <si>
    <t>11 5183-8586</t>
  </si>
  <si>
    <t>Julian Zuccaro</t>
  </si>
  <si>
    <t>11 4716-0770</t>
  </si>
  <si>
    <t>11 4716 4510</t>
  </si>
  <si>
    <t>https://amalgraf.com.ar/</t>
  </si>
  <si>
    <t>DULFIX S.A. (EMETH)</t>
  </si>
  <si>
    <t>AMAS DE MONTERO S.R.L.</t>
  </si>
  <si>
    <t>Seneca</t>
  </si>
  <si>
    <t>Construcción de obras de ingeniería civil N.C.P.</t>
  </si>
  <si>
    <t>Alfredo Montero</t>
  </si>
  <si>
    <t>DX CONTROL S.A.</t>
  </si>
  <si>
    <t>15 6039-7368</t>
  </si>
  <si>
    <t>4712-6945</t>
  </si>
  <si>
    <t>AMENDOLA ROSA KARINA (Rosa Karina Amendola LK maderas (Ex IPLO))</t>
  </si>
  <si>
    <t>E MAGEN S.A.</t>
  </si>
  <si>
    <t>Miguel de Azcuénaga</t>
  </si>
  <si>
    <t>Confección de prendas de vestir para bebés y niños</t>
  </si>
  <si>
    <t>11 5763-5957</t>
  </si>
  <si>
    <t>https://es-la.facebook.com/iplo.babykids/</t>
  </si>
  <si>
    <t>ECOPROL S.R.L.</t>
  </si>
  <si>
    <t>AMENTUEL S.A.</t>
  </si>
  <si>
    <t>Asunción</t>
  </si>
  <si>
    <t>Elaboración de productos de confitería N.C.P. (Incluye alfajores, caramelos, frutas confitadas, pastillas, gomas de mascar, etc.)</t>
  </si>
  <si>
    <t>Productos para decorar tortas</t>
  </si>
  <si>
    <t>Daniel Dordoni</t>
  </si>
  <si>
    <t>EDOS S.A.</t>
  </si>
  <si>
    <t>11 6751-5454</t>
  </si>
  <si>
    <t>11 4653-5082</t>
  </si>
  <si>
    <t>https://www.amentuel.com.ar/</t>
  </si>
  <si>
    <t>AMOBLAMIENTOS AJUVA S.R.L.</t>
  </si>
  <si>
    <t>Martín Peschel</t>
  </si>
  <si>
    <t>EDUARDO RAÚL PELIZA S.R.L. (ERP)</t>
  </si>
  <si>
    <t>Muebles de baño, maral, mates y decoración</t>
  </si>
  <si>
    <t>Fernando</t>
  </si>
  <si>
    <t>4848-9512</t>
  </si>
  <si>
    <t>4757-6062</t>
  </si>
  <si>
    <t>https://www.instagram.com/ajuva.olgui/</t>
  </si>
  <si>
    <t>EL JUMILLANO S.A. (IVESS)</t>
  </si>
  <si>
    <t>AMOBLAMIENTOS DAS SOLUCIONES S.R.L.</t>
  </si>
  <si>
    <t>Francisco Madero</t>
  </si>
  <si>
    <t>Amoblamientos para farmacias, perfumerías, laboratorios y ópticas</t>
  </si>
  <si>
    <t>Patricia A. Mouriño</t>
  </si>
  <si>
    <t>ELACIN S.A.I.C.</t>
  </si>
  <si>
    <t>11 6848-8704</t>
  </si>
  <si>
    <t>11 7395-6400</t>
  </si>
  <si>
    <t>https://dassoluciones.com.ar/</t>
  </si>
  <si>
    <t>ELITYC S.R.L.</t>
  </si>
  <si>
    <t>AMOBLAMIENTOS RIZZUTO S.R.L.</t>
  </si>
  <si>
    <t>Manuel Bermúdez</t>
  </si>
  <si>
    <t>EMAS S.A.</t>
  </si>
  <si>
    <t>4750-4739</t>
  </si>
  <si>
    <t>EMBALFLEJ S.A.</t>
  </si>
  <si>
    <t>AMS ACEROS</t>
  </si>
  <si>
    <t>5278-4888</t>
  </si>
  <si>
    <t>11 6106-4888</t>
  </si>
  <si>
    <t>5278-4888 | 4759-4888</t>
  </si>
  <si>
    <t>https://amsaceros.com/</t>
  </si>
  <si>
    <t>EMEDEPLAST</t>
  </si>
  <si>
    <t>AN RO DE LONGO Y DONATI R S.H.</t>
  </si>
  <si>
    <t>Esteban Merlo</t>
  </si>
  <si>
    <t>Fabricación de Calzado de Cuero</t>
  </si>
  <si>
    <t>EMELI S.R.L.</t>
  </si>
  <si>
    <t>11 4750-2636</t>
  </si>
  <si>
    <t>Fabricación de productos metálicos para uso estructural</t>
  </si>
  <si>
    <t>Compran bobinas de chapa de hierro. Inician un proceso de flejado para luego ingresar el fleje a la fabricación de tubos estructurales. Se empaqueta y entregan al cliente.</t>
  </si>
  <si>
    <t>Alejandro | Emiliano Meiseles</t>
  </si>
  <si>
    <t>ENSINCRO S.R.L. (CACHAFAZ)</t>
  </si>
  <si>
    <t>11 6022-1717</t>
  </si>
  <si>
    <t>Francisco Garcia</t>
  </si>
  <si>
    <t>15 3800-7137</t>
  </si>
  <si>
    <t>7078-1717</t>
  </si>
  <si>
    <t>7078-2000</t>
  </si>
  <si>
    <t>https://ferrocort.com/ - https://anacon.com.ar/</t>
  </si>
  <si>
    <t>ANAFIX S.A.</t>
  </si>
  <si>
    <t>Solari</t>
  </si>
  <si>
    <t>Fabricación de productos alimentarios no clasificados en otra parte</t>
  </si>
  <si>
    <t>angarciaacosta@gmail.com</t>
  </si>
  <si>
    <t>rebotado_spam</t>
  </si>
  <si>
    <t>4647-1691</t>
  </si>
  <si>
    <t>ENVASES JOHN S.A.</t>
  </si>
  <si>
    <t>ANALBA S.A.</t>
  </si>
  <si>
    <t>12 De Octubre</t>
  </si>
  <si>
    <t>Azucar granulada. Producto estacional que se utiliza en las roscas de pascua.</t>
  </si>
  <si>
    <t>Juan José Ponzio</t>
  </si>
  <si>
    <t>11 6252-4573</t>
  </si>
  <si>
    <t>4840-1122</t>
  </si>
  <si>
    <t>4840-2350</t>
  </si>
  <si>
    <t>11 5307-5662</t>
  </si>
  <si>
    <t>analba.com</t>
  </si>
  <si>
    <t>ENZO VIVALDI S.R.L.</t>
  </si>
  <si>
    <t>ANCA HNOS S.R.L.E.F.</t>
  </si>
  <si>
    <t>Sargento Cabral</t>
  </si>
  <si>
    <t>4751-3355</t>
  </si>
  <si>
    <t>4759-1864</t>
  </si>
  <si>
    <t>EQUIPOS DEL CHEF S.A.</t>
  </si>
  <si>
    <t>ANCUTEC S.A.</t>
  </si>
  <si>
    <t>Florida</t>
  </si>
  <si>
    <t>750-4218</t>
  </si>
  <si>
    <t>ESPECIERA CASEROS S.R.L.</t>
  </si>
  <si>
    <t>ANDAMIOS NESTRADUNOL S.R.L.</t>
  </si>
  <si>
    <t>Av. América</t>
  </si>
  <si>
    <t>Alquiler de equipo de construcción o demolición dotado de operarios</t>
  </si>
  <si>
    <t>Fabricación de andamios para la construcción</t>
  </si>
  <si>
    <t>Oscar Grasticcini</t>
  </si>
  <si>
    <t>Oscar Grasticcini (falleció)</t>
  </si>
  <si>
    <t>ESTABLECIMIENTO METALURGICO KLINGER SA</t>
  </si>
  <si>
    <t>4757-1658 | 4757-6233 | 4757-1756 (me pasaron este numero que es de otra empresa)</t>
  </si>
  <si>
    <t xml:space="preserve"> 4757-1582</t>
  </si>
  <si>
    <t>4757-7295</t>
  </si>
  <si>
    <t>www.andamiosnestradunol.com.ar</t>
  </si>
  <si>
    <t>ETC S.A.</t>
  </si>
  <si>
    <t>ANDAMIOS NESTRADUÑOL S.R.L.</t>
  </si>
  <si>
    <t>Andamios</t>
  </si>
  <si>
    <t>4757-1658 / 7295</t>
  </si>
  <si>
    <t>4712-0280</t>
  </si>
  <si>
    <t>http://www.andamiosnestradunol.com.ar/</t>
  </si>
  <si>
    <t>EUROTUBO S.R.L.</t>
  </si>
  <si>
    <t>ANDRES DANIEL ABRATE Y JULIO RICARDO GALVAN S.H.</t>
  </si>
  <si>
    <t>Perú</t>
  </si>
  <si>
    <t>Ricardo</t>
  </si>
  <si>
    <t>4734-4999</t>
  </si>
  <si>
    <t>EXPOYER S.A.</t>
  </si>
  <si>
    <t>ANODIMAR TRES DE FEBRERO S.R.L.</t>
  </si>
  <si>
    <t>Anodizado del aluminio</t>
  </si>
  <si>
    <t>FABRICACION Y COMERCIALIZACION DE HERRAJES S.A. (FCH S.A.)</t>
  </si>
  <si>
    <t>11 4750-2867</t>
  </si>
  <si>
    <t>5430-0311</t>
  </si>
  <si>
    <t>https://www.anodimar.com.ar/index.html</t>
  </si>
  <si>
    <t>ANODIZADOS EIMADA S.A.</t>
  </si>
  <si>
    <t>FABRICALCO S.R.L.</t>
  </si>
  <si>
    <t>Sra. Mónica Grilla | Elizabeth (hermana)</t>
  </si>
  <si>
    <t>4647-3382</t>
  </si>
  <si>
    <t>4488-1939</t>
  </si>
  <si>
    <t>FAPREMOL S.A.</t>
  </si>
  <si>
    <t>ANSE S.A.</t>
  </si>
  <si>
    <t>Joaquín Spandonari</t>
  </si>
  <si>
    <t>Fabricación de fibras manufacturadas</t>
  </si>
  <si>
    <t>769-0703</t>
  </si>
  <si>
    <t>ing@fapremol.com</t>
  </si>
  <si>
    <t>ANSI S.A.</t>
  </si>
  <si>
    <t>FDM S.R.L.</t>
  </si>
  <si>
    <t>Rivadavia</t>
  </si>
  <si>
    <t>4488-1927/7991</t>
  </si>
  <si>
    <t>ANTAGO S.A.</t>
  </si>
  <si>
    <t>FE PUBLICIDAD ARGENTINA S.A.</t>
  </si>
  <si>
    <t>Fabricación de calzado de materiales N.C.P., excepto calzado deportivo y ortopédico</t>
  </si>
  <si>
    <t>Fabrica de calzado</t>
  </si>
  <si>
    <t>Srta. Vanesa | Andrea (responsable)</t>
  </si>
  <si>
    <t>4650-1177</t>
  </si>
  <si>
    <t>ANTONELLI CARLOS Y VENGUT ALBERTO S.H.</t>
  </si>
  <si>
    <t>FERCOR FIJACIONES S.R.L.</t>
  </si>
  <si>
    <t>Reparación de artículos eléctricos y electrónicos de uso doméstico</t>
  </si>
  <si>
    <t>4843-0138</t>
  </si>
  <si>
    <t>ANTONIO ALVES MARINS DE AMEIDA Y FALCON ELVIO</t>
  </si>
  <si>
    <t>FIBRAS NATURALES CASEROS? LANAS ARGENTINAS</t>
  </si>
  <si>
    <t>4734-6885</t>
  </si>
  <si>
    <t>ANTONIO CIURCINA Y OSCAR LUIS TERRILE</t>
  </si>
  <si>
    <t>Independencia</t>
  </si>
  <si>
    <t>fibrasrecicladas9@gmail.com</t>
  </si>
  <si>
    <t>Fabricación de productos metálicos no clasificados en otra parte</t>
  </si>
  <si>
    <t>FILLKOLOR S.A. (FILL KOLOR)</t>
  </si>
  <si>
    <t>11 4657-2143</t>
  </si>
  <si>
    <t xml:space="preserve">ANTONIO JOSÉ FABREGA CONFECCIONES S.A. </t>
  </si>
  <si>
    <t>Wenceslao de Tata</t>
  </si>
  <si>
    <t xml:space="preserve">Confección de ropa de trabajo, uniformes y guardapolvos </t>
  </si>
  <si>
    <t>Diseño, fabricación y venta al por mayor de Uniformes para Fuerzas Armadas y Fuerzas de Seguridad, Empresas de Servicios como vigilancia privada, gastronomía, hotelería, limpieza, staff administrativos, divisiones y cuerpos especiales de prevención, etc.</t>
  </si>
  <si>
    <t>Carlos Fabrega (Ventas)</t>
  </si>
  <si>
    <t>15 4024-4293</t>
  </si>
  <si>
    <t>11 4750-6871</t>
  </si>
  <si>
    <t>11 4734-7193</t>
  </si>
  <si>
    <t>https://www.uniformesfabrega.com.ar/</t>
  </si>
  <si>
    <t>FLEXATEC S.R.L.</t>
  </si>
  <si>
    <t>ANTONIO LUQUE SAIYC</t>
  </si>
  <si>
    <t>Eduardo Porrini</t>
  </si>
  <si>
    <t>mvdc@flexactec.com.ar</t>
  </si>
  <si>
    <t>FLEXICO S.A.</t>
  </si>
  <si>
    <t>4650-5843</t>
  </si>
  <si>
    <t>ANTONIO MILETO Y JOSE MILETO</t>
  </si>
  <si>
    <t>Bouchard</t>
  </si>
  <si>
    <t>Servicios N.C.P.</t>
  </si>
  <si>
    <t>FLORES MARCOS ANTONIO (ELEVMAX)</t>
  </si>
  <si>
    <t>4769-0581</t>
  </si>
  <si>
    <t>Diag. Nº 160</t>
  </si>
  <si>
    <t>Construcción de equipos e instalaciones para una amplia gama de industrias.</t>
  </si>
  <si>
    <t>Antonio Podrzaj</t>
  </si>
  <si>
    <t>Miguel Podrzaj</t>
  </si>
  <si>
    <t>11 7395-5705</t>
  </si>
  <si>
    <t>11 7875-2039</t>
  </si>
  <si>
    <t>FRACCAROLI ELIO ALEJANDRO</t>
  </si>
  <si>
    <t>https://www.podrzaj.com.ar/</t>
  </si>
  <si>
    <t>APCO S.A.</t>
  </si>
  <si>
    <t>FRANCISCO FRARE S.A.</t>
  </si>
  <si>
    <t>Construcción, reforma y reparación de redes distribución de electricidad, gas, agua, telecomunicaciones y de otros servicios públicos</t>
  </si>
  <si>
    <t>4488-6055</t>
  </si>
  <si>
    <t>http://m.apcoargentina.com.ar/index.php/en/</t>
  </si>
  <si>
    <t>FULL PLASTICS S.A.</t>
  </si>
  <si>
    <t>APEA S.A. (APRET ABRAZADERAS)</t>
  </si>
  <si>
    <t>GALILEO TECHNOLOGIES S.A.</t>
  </si>
  <si>
    <t>Abrazaderas</t>
  </si>
  <si>
    <t>Rafael Galizia (Gte.)</t>
  </si>
  <si>
    <t>Liliana Ferella</t>
  </si>
  <si>
    <t>11 4464-3777</t>
  </si>
  <si>
    <t>11 2387-1832</t>
  </si>
  <si>
    <t>4464-3777</t>
  </si>
  <si>
    <t>http://www.apret.com.ar/</t>
  </si>
  <si>
    <t>APINAL S.A.</t>
  </si>
  <si>
    <t>GALVYLAM S.A.</t>
  </si>
  <si>
    <t>Martin de Alzaga</t>
  </si>
  <si>
    <t>Fabricación de Productos Alimentarios no clasificados en otra parte</t>
  </si>
  <si>
    <t>4750-6193</t>
  </si>
  <si>
    <t>APOSITOS DE ALGODON S.R.L.</t>
  </si>
  <si>
    <t>GARBINI JOSE MARIA</t>
  </si>
  <si>
    <t>Fabricación de productos textiles N.C.P.</t>
  </si>
  <si>
    <t>Luis</t>
  </si>
  <si>
    <t>4716-6959</t>
  </si>
  <si>
    <t>APROL S.A.(Ecoprol)</t>
  </si>
  <si>
    <t>GEVA METAL S.R.L.</t>
  </si>
  <si>
    <t>Juan Manuel de Rosas</t>
  </si>
  <si>
    <t>Fabricación de productos químicos N.C.P.</t>
  </si>
  <si>
    <t>4734-5986</t>
  </si>
  <si>
    <t>11 4734-5977</t>
  </si>
  <si>
    <t>FÁBRICA DE PASTAS ACARANA (Ana Maria Ghergo)</t>
  </si>
  <si>
    <t>Congreso</t>
  </si>
  <si>
    <t>Confección de prendas deportivas</t>
  </si>
  <si>
    <t>Indumentaria e Indumentaria deportiva</t>
  </si>
  <si>
    <t>Lorena Estevez</t>
  </si>
  <si>
    <t>11 6621-8703</t>
  </si>
  <si>
    <t>German Estevez</t>
  </si>
  <si>
    <t>15 6621-8704</t>
  </si>
  <si>
    <t>11 6457-4322</t>
  </si>
  <si>
    <t>GHIO PEREZ LATTANZI S.R.L.</t>
  </si>
  <si>
    <t>https://shop.aptitud.com.ar/</t>
  </si>
  <si>
    <t>APUS S.R.L.</t>
  </si>
  <si>
    <t>Madrid</t>
  </si>
  <si>
    <t>GIOVANNETTI NORMA</t>
  </si>
  <si>
    <t>4848-3082</t>
  </si>
  <si>
    <t>GOLOCAN S.A.</t>
  </si>
  <si>
    <t>Av. Militar</t>
  </si>
  <si>
    <t>Fabricación de mosaicos</t>
  </si>
  <si>
    <t>Mosaico</t>
  </si>
  <si>
    <t>11-5422-5359</t>
  </si>
  <si>
    <t>4653-9908</t>
  </si>
  <si>
    <t>4841-0955</t>
  </si>
  <si>
    <t>GRAVAZ S.A.</t>
  </si>
  <si>
    <t>Araujo Nestor</t>
  </si>
  <si>
    <t>11 5015-5572</t>
  </si>
  <si>
    <t>Vanina Prego</t>
  </si>
  <si>
    <t>GRILLO GABRIEL (OPYR - OPYR CLEAN ROOM)</t>
  </si>
  <si>
    <t xml:space="preserve"> 11 5412-7843</t>
  </si>
  <si>
    <t>4757-7007</t>
  </si>
  <si>
    <t>https://araujosrl.ar/</t>
  </si>
  <si>
    <t>ARAVENA R M A ALGARAÑAS J L Y ALGARAÑAZ J A</t>
  </si>
  <si>
    <t>GRUPO ALEAR S.R.L.</t>
  </si>
  <si>
    <t>Comesaña</t>
  </si>
  <si>
    <t>Acabado de Textiles, excepto Tejidos de Punto, Tintorerías</t>
  </si>
  <si>
    <t>4769-8346</t>
  </si>
  <si>
    <t>ARBCAN S.R.L.</t>
  </si>
  <si>
    <t>GRUPO TOTAL S.R.L.</t>
  </si>
  <si>
    <t>Diag. M. Fernandez D'Oliveira</t>
  </si>
  <si>
    <t>4116-8904</t>
  </si>
  <si>
    <t>GTC RIBBON S.A.</t>
  </si>
  <si>
    <t>ARCOLOR SOCIEDAD ANONIMA COMERCIAL INDUSTRIAL INMOBILIARIA FINANCIERA AGROP (ARCOLOR S.A.C.I.I.F.A.)</t>
  </si>
  <si>
    <t>David Magdalena</t>
  </si>
  <si>
    <t>Fabricación de materias colorantes básicas, excepto pigmentos preparados</t>
  </si>
  <si>
    <t>Abastecer al mercado con su línea de Masterbatch, pigmentos, aditivos y colores especiales para la industria plástica.</t>
  </si>
  <si>
    <t>Ricardo Acosta</t>
  </si>
  <si>
    <t>11 4008-8100</t>
  </si>
  <si>
    <t>hector@gtcribbon.com</t>
  </si>
  <si>
    <t>http://www.arcolor-sa.com.ar/</t>
  </si>
  <si>
    <t>H KOCH Y CIA S.A. (INTERPACK)</t>
  </si>
  <si>
    <t>ARCORACI SILVIO MARTIN (RIGIFLEX)</t>
  </si>
  <si>
    <t>Brandsen</t>
  </si>
  <si>
    <t>HARJUICE S.R.L. (JBERRIES)</t>
  </si>
  <si>
    <t>Caños sin costura, Caños flexibles</t>
  </si>
  <si>
    <t>15-5038-3299</t>
  </si>
  <si>
    <t>11 5038-3299</t>
  </si>
  <si>
    <t>11 4757-7869</t>
  </si>
  <si>
    <t>https://rigiflex.com.ar/</t>
  </si>
  <si>
    <t>HER BRON S.R.L.</t>
  </si>
  <si>
    <t>ARDICA S.R.L.</t>
  </si>
  <si>
    <t>Dr. Alfredo E. Springolo</t>
  </si>
  <si>
    <t>Construcción, reforma y reparación de edificios residenciales (Incluye la construcción, reforma y reparación de viviendas unifamiliares y multifamiliares; bungalows, cabañas, casas</t>
  </si>
  <si>
    <t>4758-9237</t>
  </si>
  <si>
    <t>ARENAS TROUSSEAU CARLOS AUGUSTO</t>
  </si>
  <si>
    <t>HERRERÍA LA ARTÍSTICA</t>
  </si>
  <si>
    <t>Servicios relacionados con la impresión</t>
  </si>
  <si>
    <t>Arquitectura y servicios gráficos</t>
  </si>
  <si>
    <t>15 2178-1829</t>
  </si>
  <si>
    <t>http://estudioaa.com.ar/</t>
  </si>
  <si>
    <t>HIDROLIMP S.R.L.</t>
  </si>
  <si>
    <t>ARETRA S.R.L.</t>
  </si>
  <si>
    <t>Explotación de minas y canteras N.C.P. (incluye amianto, baritina, cuarzo, diatomita, piedra pómez, ágata, agua marina, amatista, cristal de roca, rodocrosita, topacio, corindón, feldespato, mica, zeolita, perlita, granulado volcanicó, puzolana, toba, talco, vermiculita, tosca, grafito, etc.)</t>
  </si>
  <si>
    <t>ARFER LOGISTICA Y DISTRIBUCION S.R.L.</t>
  </si>
  <si>
    <t>HIDROTECNICA ARGENTINA S.A.</t>
  </si>
  <si>
    <t>Servicios de gestión y logística para el transporte de mercaderías N.C.P. (Incluye las actividades de empresas empaquetadoras para comercio exterior; alquiler de contenedores; etc.</t>
  </si>
  <si>
    <t>4734-8005</t>
  </si>
  <si>
    <t>4734-0966</t>
  </si>
  <si>
    <t>I.A.D.A S.A. (LA PERLA)</t>
  </si>
  <si>
    <t>ARGENCHAP S.A.</t>
  </si>
  <si>
    <t>4750-1037</t>
  </si>
  <si>
    <t>4716-9315</t>
  </si>
  <si>
    <t>4757-7891</t>
  </si>
  <si>
    <t>I.S. PROVEEDORES DE INDUSTRIAS S.A. (ISPISA S.R.L.)</t>
  </si>
  <si>
    <t>https://www.instagram.com/argenchapmetalurgica/?hl=es</t>
  </si>
  <si>
    <t>ARGENCHEMICAL S.R.L.</t>
  </si>
  <si>
    <t>IBEX S.R.L. (RIGAZIO MARCOS)</t>
  </si>
  <si>
    <t>4750-1663</t>
  </si>
  <si>
    <t>4759-8582</t>
  </si>
  <si>
    <t>IDG IDENTIDAD GRAFICA S.A.</t>
  </si>
  <si>
    <t xml:space="preserve"> 4750-1037</t>
  </si>
  <si>
    <t>https://argenchemical.com.ar/</t>
  </si>
  <si>
    <t>ARGENFAR S.A.</t>
  </si>
  <si>
    <t>Agüero</t>
  </si>
  <si>
    <t>ILUNOR S.R.L.</t>
  </si>
  <si>
    <t>Dario Beumana</t>
  </si>
  <si>
    <t>4844-7363</t>
  </si>
  <si>
    <t>IMAD S.R.L.</t>
  </si>
  <si>
    <t>ARGENFARMA S.R.L.</t>
  </si>
  <si>
    <t>Bernardo de Monteagudo</t>
  </si>
  <si>
    <t>Suplementos dietarios</t>
  </si>
  <si>
    <t>Juan Salierno</t>
  </si>
  <si>
    <t>11 4844-9689</t>
  </si>
  <si>
    <t>INDRA MATRICES S.R.L.</t>
  </si>
  <si>
    <t>4734-9604</t>
  </si>
  <si>
    <t>https://argenfarma.com.ar/</t>
  </si>
  <si>
    <t>Fabricacion de productos quimicos para la cosmetica de automoviles</t>
  </si>
  <si>
    <t>Productos para la cosmética del automóvil</t>
  </si>
  <si>
    <t>INDUSCADEN CADENAS</t>
  </si>
  <si>
    <t>Liliana Cabrera</t>
  </si>
  <si>
    <t>15 5905-5415</t>
  </si>
  <si>
    <t>4639-9558</t>
  </si>
  <si>
    <t>http://www.argensil.com.ar/</t>
  </si>
  <si>
    <t>INDUSET GLOBAL S.R.L.</t>
  </si>
  <si>
    <t>ARGENTINA ENVASES FLEXIBLES S.R.L.</t>
  </si>
  <si>
    <t>4 de Noviembre</t>
  </si>
  <si>
    <t>germanflores@hotmail.com</t>
  </si>
  <si>
    <t>Envases de plásticos</t>
  </si>
  <si>
    <t>INDUSTRIAS ASTON S.A.</t>
  </si>
  <si>
    <t>Juan Carlos Santorsola</t>
  </si>
  <si>
    <t>11 4716-0881</t>
  </si>
  <si>
    <t>http://www.argenflex.com.ar/</t>
  </si>
  <si>
    <t>ARGENTINA SCRAP S.R.L.</t>
  </si>
  <si>
    <t>INDUSTRIAS EDIGMA S.R.L.</t>
  </si>
  <si>
    <t>4716 4550</t>
  </si>
  <si>
    <t>4750-6079</t>
  </si>
  <si>
    <t>4653-6725</t>
  </si>
  <si>
    <t>ARIAS GUSTAVO ADOLFO</t>
  </si>
  <si>
    <t>INDUSTRIAS ELINEC</t>
  </si>
  <si>
    <t>Agustin Magaldi</t>
  </si>
  <si>
    <t>Instalaciones de carpintería, herrería de obra y artística</t>
  </si>
  <si>
    <t>15 3167-4791</t>
  </si>
  <si>
    <t>ARIAS HECTOR Y ARIAS EDUARDO</t>
  </si>
  <si>
    <t>INDUSTRIAS FRIGORIFICAS SUR S.A. (IFSSA)</t>
  </si>
  <si>
    <t>Fabricación de productos Metálicos N.C.P.</t>
  </si>
  <si>
    <t>4657-2631</t>
  </si>
  <si>
    <t>ARIDEL S.R.L.</t>
  </si>
  <si>
    <t>Manuel De Sarratea</t>
  </si>
  <si>
    <t>INDUSTRIAS J.A.C. E HIJOS S.R.L.</t>
  </si>
  <si>
    <t>Fabricación de productos metálicos N.C.P.</t>
  </si>
  <si>
    <t>Jl Graciano</t>
  </si>
  <si>
    <t>4734-7967</t>
  </si>
  <si>
    <t>4759-9004</t>
  </si>
  <si>
    <t>ARIMAR VULCANIZACION DEL CAUCHO DE MARTA Y ARIEL MARTIN</t>
  </si>
  <si>
    <t>Santa Juana de Arco</t>
  </si>
  <si>
    <t>INDUSTRIAS KRAS S.R.L. / ZEBRA COMPRESORES</t>
  </si>
  <si>
    <t>Fabricación de autopartes de caucho excepto cámaras y cubiertas</t>
  </si>
  <si>
    <t>4653-3479</t>
  </si>
  <si>
    <t>ARIPA K S.R.L.</t>
  </si>
  <si>
    <t>Isaac Newton</t>
  </si>
  <si>
    <t>INDUSTRIAS QUIMICAS INDEPENDENCIA S.A.</t>
  </si>
  <si>
    <t>4712-4403</t>
  </si>
  <si>
    <t>INTERJEANS S.R.L. (NDA JEANS)</t>
  </si>
  <si>
    <t xml:space="preserve">Fabricación de  de materiales N.C.P., excepto  deportivo y ortopédico </t>
  </si>
  <si>
    <t>Hernán Teitelbaum</t>
  </si>
  <si>
    <t>11 5993-9013</t>
  </si>
  <si>
    <t>4654-5210</t>
  </si>
  <si>
    <t>4654-8756</t>
  </si>
  <si>
    <t>https://www.dravidal.com.ar/</t>
  </si>
  <si>
    <t>IR3D SUDAMERICANA S.A.S. (COLTMATIC S.R.L.)</t>
  </si>
  <si>
    <t>Ejército de los Andes</t>
  </si>
  <si>
    <t>JAIM S.R.L.</t>
  </si>
  <si>
    <t>Servicios de preparación de comidas para empresas y eventos (Incluye el servicio de catering, el suministro de comidas para banquetes, bodas, fiestas y otras celebraciones, comidas</t>
  </si>
  <si>
    <t>Daniel Carranza</t>
  </si>
  <si>
    <t>Alicia</t>
  </si>
  <si>
    <t>4115-0305</t>
  </si>
  <si>
    <t>4572-9242</t>
  </si>
  <si>
    <t>4757-0812</t>
  </si>
  <si>
    <t>ARLIMETAL S.C.A.</t>
  </si>
  <si>
    <t>Capitán Claudio Rosales</t>
  </si>
  <si>
    <t>JERF S. A. (SUEIRO E HIJOS S.A.)</t>
  </si>
  <si>
    <t>Bulones, llaves y tornillos (Allen todos)</t>
  </si>
  <si>
    <t>11 4653-4529</t>
  </si>
  <si>
    <t>11 4653-7493</t>
  </si>
  <si>
    <t>https://arlimetal.com.ar/</t>
  </si>
  <si>
    <t>JIVI PROPAGANDA S.R.L.</t>
  </si>
  <si>
    <t>ARMAFERRO S.A.</t>
  </si>
  <si>
    <t>Av. Hipólito Yrigoyen</t>
  </si>
  <si>
    <t>Fabricación y comercialización de productos y servicios siderúrgicos para la industria y construcción (acero cortado, doblado y armado para estructuras de hormigón).</t>
  </si>
  <si>
    <t>JORGE RIZZOLI SNACK (BEYBY COP)</t>
  </si>
  <si>
    <t>4488-1167</t>
  </si>
  <si>
    <t>4488-1171</t>
  </si>
  <si>
    <t>https://www.armaferro.com.ar/</t>
  </si>
  <si>
    <t>JR2911 S.A.S. (EXLAMP)</t>
  </si>
  <si>
    <t>Eduardo Ares</t>
  </si>
  <si>
    <t>11-6958-7565</t>
  </si>
  <si>
    <t>11 7532-5048 Int. 2</t>
  </si>
  <si>
    <t>L EFFORT S.A.</t>
  </si>
  <si>
    <t>Carlos Pellegrini</t>
  </si>
  <si>
    <t>Producción de esencias aromáticas para todas las industrias</t>
  </si>
  <si>
    <t>Mguel Caramelo</t>
  </si>
  <si>
    <t>11 5842-2354</t>
  </si>
  <si>
    <t>11 7397-3082</t>
  </si>
  <si>
    <t>11 7197-7777</t>
  </si>
  <si>
    <t>https://www.aroquim.com.ar/</t>
  </si>
  <si>
    <t>LA ALVEAR S.A.</t>
  </si>
  <si>
    <t>si</t>
  </si>
  <si>
    <t>ARQ LINEA S.R.L.</t>
  </si>
  <si>
    <t xml:space="preserve">Carlos Tejedor </t>
  </si>
  <si>
    <t>LA TANITA SH DE BONAVOTA SILVANA Y D ANGELO PATRICIA</t>
  </si>
  <si>
    <t>4750-6240</t>
  </si>
  <si>
    <t>http://arqa.com/empresas/fichas/arq-linea</t>
  </si>
  <si>
    <t>ARQUICEICA S.A.</t>
  </si>
  <si>
    <t>LABORATORIOS ECOVITA S.A.</t>
  </si>
  <si>
    <t>4842-1755</t>
  </si>
  <si>
    <t>http://arquiceica.com.ar/</t>
  </si>
  <si>
    <t>ARQUIDISENO SOCIEDAD DE RESPONSABILIDAD LIMITADA</t>
  </si>
  <si>
    <t>Segundo Sombra</t>
  </si>
  <si>
    <t>LABORATORIOS EMETH S.R.L.</t>
  </si>
  <si>
    <t>4659-2068</t>
  </si>
  <si>
    <t>4659-1914</t>
  </si>
  <si>
    <t>ARROYO, RIEGO</t>
  </si>
  <si>
    <t>LABORATORIOS GAUDIUM S.R.L.</t>
  </si>
  <si>
    <t>4739-2273</t>
  </si>
  <si>
    <t>4769-5489</t>
  </si>
  <si>
    <t>4739-2169</t>
  </si>
  <si>
    <t>Martín Miguenz</t>
  </si>
  <si>
    <t>LABTESA LABORATORIOS TERMOIONIC S A</t>
  </si>
  <si>
    <t>Helados</t>
  </si>
  <si>
    <t>Antonio Sapienza (Pte.)</t>
  </si>
  <si>
    <t>11 4023-4488</t>
  </si>
  <si>
    <t>Maximiliano Sapienza</t>
  </si>
  <si>
    <t>15 4023-2504</t>
  </si>
  <si>
    <t>11 4842-1769</t>
  </si>
  <si>
    <t>11 4842-7774</t>
  </si>
  <si>
    <t>https://heladosaloha.com.ar/</t>
  </si>
  <si>
    <t>Diag. Nº 80</t>
  </si>
  <si>
    <t>LAMBDA CHEMICAL S.A.</t>
  </si>
  <si>
    <t>Fabricación de joyas y artículos conexos</t>
  </si>
  <si>
    <t>Carolina Tombesi</t>
  </si>
  <si>
    <t>11 3818-0984</t>
  </si>
  <si>
    <t>4653-0771</t>
  </si>
  <si>
    <t>4488-2399</t>
  </si>
  <si>
    <t>https://www.instagram.com/estilo.arte.deco/</t>
  </si>
  <si>
    <t>LIGNINI CLAUDIO ESTEBAN</t>
  </si>
  <si>
    <t>ART Y PACK S.A.</t>
  </si>
  <si>
    <t>Rafaela</t>
  </si>
  <si>
    <t>Fabricación de envases de cartón</t>
  </si>
  <si>
    <t>4848-4362</t>
  </si>
  <si>
    <t>ARTEAGA CHUMINO WALTER SILVINO Y SEGARRA JUAN JOSE SOCIEDAD DE HECHO / Matriceria AMS</t>
  </si>
  <si>
    <t>Mariano Moreno</t>
  </si>
  <si>
    <t>LIVIO BORTOLIN E HIJO S.R.L.</t>
  </si>
  <si>
    <t>Walter</t>
  </si>
  <si>
    <t>11 6221-4223</t>
  </si>
  <si>
    <t>4750-9263</t>
  </si>
  <si>
    <t>ARTECNIA MARMOLES S.R.L.</t>
  </si>
  <si>
    <t>Corte, tallado y acabado de la piedra (Incluye mármoles y granitos, etc.)</t>
  </si>
  <si>
    <t>LUBE SEGURIDAD INDUSTRIAL S.R.L.</t>
  </si>
  <si>
    <t>11 4840-5470</t>
  </si>
  <si>
    <t>5294-4202</t>
  </si>
  <si>
    <t>http://www.artecniamarmoles.com.ar/</t>
  </si>
  <si>
    <t>ARTECUER S.A. (PIRAMIDE)</t>
  </si>
  <si>
    <t>Maleta, bolsos, attache</t>
  </si>
  <si>
    <t>Leonardo Martellos</t>
  </si>
  <si>
    <t>LUBRICACION S.A.I.C.</t>
  </si>
  <si>
    <t>11 6839-5009</t>
  </si>
  <si>
    <t>11 2198-2187</t>
  </si>
  <si>
    <t xml:space="preserve"> 4759-8700 | 4750-0942</t>
  </si>
  <si>
    <t>4701-1305</t>
  </si>
  <si>
    <t>https://attachepiramide.com.ar/</t>
  </si>
  <si>
    <t>ARTEMAR CONSTRUCCIONES</t>
  </si>
  <si>
    <t>LUMA PRODUCTOS S.R.L.</t>
  </si>
  <si>
    <t>Brasil</t>
  </si>
  <si>
    <t>4760-4150</t>
  </si>
  <si>
    <t>ARTENVASES S.A.</t>
  </si>
  <si>
    <t>MAGIC HOPS S.R.L (CERVEZA KRAKEN)</t>
  </si>
  <si>
    <t>11 2196-5234</t>
  </si>
  <si>
    <t>15 4424-4230</t>
  </si>
  <si>
    <t>https://www.artenvases.com.ar/</t>
  </si>
  <si>
    <t>MAGWAS Y CIA S.A.</t>
  </si>
  <si>
    <t>ARTES GRAFICAS ACONCAGUA S.A.C.I.F.I.</t>
  </si>
  <si>
    <t>MANGUERAS INDUSTRIALES CONCORD S.A.</t>
  </si>
  <si>
    <t>4653-2592</t>
  </si>
  <si>
    <t>4488-4242</t>
  </si>
  <si>
    <t>ARTESANIAS HORA S.A.</t>
  </si>
  <si>
    <t>Venezuela</t>
  </si>
  <si>
    <t>Venta al por mayor de calzado excepto el ortopédico (incluye venta de calzado de cuero, tela, plástico, goma, etc.)</t>
  </si>
  <si>
    <t>MAQUINARIAS ZEZIOLA SRL (DMZ S.R.L.)</t>
  </si>
  <si>
    <t>4769-8951</t>
  </si>
  <si>
    <t>4769-0923</t>
  </si>
  <si>
    <t>ARTESTAMP S.R.L.</t>
  </si>
  <si>
    <t>Río Salado</t>
  </si>
  <si>
    <t>Puertas comunes, blindadas y compuestas</t>
  </si>
  <si>
    <t>MARSICOVETERE LUCIANO (Ox GRIPS)</t>
  </si>
  <si>
    <t>Marcela Molina</t>
  </si>
  <si>
    <t>11 4994-8864</t>
  </si>
  <si>
    <t>4769-2807</t>
  </si>
  <si>
    <t>https://www.artestamp.com.ar/</t>
  </si>
  <si>
    <t>ARTRAMA S.R.L.</t>
  </si>
  <si>
    <t>MAZZA JAVIER ALBERTO (SERVI-MAZ)</t>
  </si>
  <si>
    <t>Construcción, reforma y reparación de obras de infraestructura para el transporte</t>
  </si>
  <si>
    <t>Arq. Abel Piñeiro</t>
  </si>
  <si>
    <t>15 5452-2400</t>
  </si>
  <si>
    <t>4716-6106</t>
  </si>
  <si>
    <t>4750-7244</t>
  </si>
  <si>
    <t>4734-1585</t>
  </si>
  <si>
    <t>http://artrama.com.ar/</t>
  </si>
  <si>
    <t>MEDINA ESTEBAN ANDRES (CERVECERÍA NASTEREA)</t>
  </si>
  <si>
    <t>ARTURI MIGUEL MARIO</t>
  </si>
  <si>
    <t>MEGAMEC S.R.L.</t>
  </si>
  <si>
    <t>Fabricación de lámparas eléctricas y equipo de iluminación</t>
  </si>
  <si>
    <t>Miguel Mario Arturi</t>
  </si>
  <si>
    <t>4750-0146</t>
  </si>
  <si>
    <t>4734-1565</t>
  </si>
  <si>
    <t>https://www.fabricas.iluminacionya.com/emi/</t>
  </si>
  <si>
    <t>MENAJE EL SIGLO S.R.L.</t>
  </si>
  <si>
    <t>ASANNO ARGENTINA S.A.</t>
  </si>
  <si>
    <t>MERO AR S.A.</t>
  </si>
  <si>
    <t>4739-8000</t>
  </si>
  <si>
    <t>4739-7000</t>
  </si>
  <si>
    <t>MESTA NOSTRA S.A.</t>
  </si>
  <si>
    <t>www.asanno2n.com</t>
  </si>
  <si>
    <t>Paraguay</t>
  </si>
  <si>
    <t>METAL CRISPINO S.A.</t>
  </si>
  <si>
    <t>Fabricación de equipo eléctrico N.C.P.</t>
  </si>
  <si>
    <t>José Cvitovac</t>
  </si>
  <si>
    <t>15 4472-6610</t>
  </si>
  <si>
    <t>Martin Dietrich</t>
  </si>
  <si>
    <t>11 3867-3951</t>
  </si>
  <si>
    <t>4739-4464</t>
  </si>
  <si>
    <t>METAL-CORP</t>
  </si>
  <si>
    <t>ASCARI DE VICTOR ASMUS Y HECTOR ALFREDO CARINI</t>
  </si>
  <si>
    <t>Laprida</t>
  </si>
  <si>
    <t>Fabricación de Productos Metálicos no clasificados en otra parte</t>
  </si>
  <si>
    <t>METALURGICA COLLA S.A. (MC INGENIERIA)</t>
  </si>
  <si>
    <t>4734-7656</t>
  </si>
  <si>
    <t>4734-2204</t>
  </si>
  <si>
    <t>METALURGICA DAKOT S.A.</t>
  </si>
  <si>
    <t>ASCENSORES KOSMOS S H DE MIGUEL ZAVARELLY PATRICIA IADAROLA</t>
  </si>
  <si>
    <t>Reparación de artículos N.C.P.</t>
  </si>
  <si>
    <t>METALURGICA DESIMONE HERMANOS S.R.L.</t>
  </si>
  <si>
    <t>4757-3694</t>
  </si>
  <si>
    <t>4712-2346</t>
  </si>
  <si>
    <t>ASCHIERO ORNELLO LUIS JOSE Y OTROS</t>
  </si>
  <si>
    <t>ventas@metalurgicadesimone.com.ar</t>
  </si>
  <si>
    <t>Agustín de Zárate</t>
  </si>
  <si>
    <t>METALURGICA JOSAR</t>
  </si>
  <si>
    <t>Fabricación de Partes, Piezas y Accesorios para Vehículos Automotores y sus Motores</t>
  </si>
  <si>
    <t>metjosar@yahoo.com.ar</t>
  </si>
  <si>
    <t>4656-0365</t>
  </si>
  <si>
    <t>4464-3484</t>
  </si>
  <si>
    <t>METALURGICA MIELE HNOS S.A.</t>
  </si>
  <si>
    <t>ASCHIERO S.R.L.</t>
  </si>
  <si>
    <t>METALURGICA PETRECCA S.C.A.</t>
  </si>
  <si>
    <t xml:space="preserve">Piezas inyectadas de poliuretano </t>
  </si>
  <si>
    <t>http://www.tecniform.com.ar/</t>
  </si>
  <si>
    <t>METALURGICA ROSEN S.R.L.</t>
  </si>
  <si>
    <t>ASEL METALURGICA S.R.L.</t>
  </si>
  <si>
    <t>METALURGICA RUEDAMAS S.R.L.</t>
  </si>
  <si>
    <t>Pablo Gastón Canesi</t>
  </si>
  <si>
    <t>Andrea</t>
  </si>
  <si>
    <t>4750-8213</t>
  </si>
  <si>
    <t>METALURGICA SORIA S.A.</t>
  </si>
  <si>
    <t>ASERRADERO CIUDADELA DE PICCINI LUIS MARIA Y PICCINI MARIO</t>
  </si>
  <si>
    <t>METALURGICA VELAZQUEZ E HIJO S.R.L. (HAUSCHER)</t>
  </si>
  <si>
    <t>Aserrado y cepillado de madera nativa</t>
  </si>
  <si>
    <t>4757-6689</t>
  </si>
  <si>
    <t>4653-2242</t>
  </si>
  <si>
    <t>MEXICHEM ARGENTINA S.A. (AMANCO)</t>
  </si>
  <si>
    <t>ASERRADERO TECO S.A.</t>
  </si>
  <si>
    <t>Aquilino Colombo</t>
  </si>
  <si>
    <t>MICHELINI CARLOS MARCELO</t>
  </si>
  <si>
    <t>fabricación e instalación en obra, ya que los trabajos son hechos a medida y personalizados. Maderas en general</t>
  </si>
  <si>
    <t>Daniel Eduardo Guarino</t>
  </si>
  <si>
    <t>4757-0253</t>
  </si>
  <si>
    <t>4757-6689 | 15 5841-0202</t>
  </si>
  <si>
    <t>http://www.aserraderoteco.com/</t>
  </si>
  <si>
    <t>MILK WORLD S.A. (LACTEOS LA MANSA)</t>
  </si>
  <si>
    <t>ASIPOR S.R.L.</t>
  </si>
  <si>
    <t xml:space="preserve">Gabino Ezeiza </t>
  </si>
  <si>
    <t>Fabricación de revestimientos cerámicos</t>
  </si>
  <si>
    <t>4657-2842</t>
  </si>
  <si>
    <t>4657-2805</t>
  </si>
  <si>
    <t>4657-2819</t>
  </si>
  <si>
    <t>MIMAGO S.A.</t>
  </si>
  <si>
    <t>ASIR S.R.L.</t>
  </si>
  <si>
    <t>San Ignacio</t>
  </si>
  <si>
    <t>Servicios de investigación y seguridad N.C.P.</t>
  </si>
  <si>
    <t>MINERA FAME S.A.</t>
  </si>
  <si>
    <t>011 4657-2819</t>
  </si>
  <si>
    <t>ASISTENCIA SANITARIA INTEGRAL S.A. (ASI SALUD)</t>
  </si>
  <si>
    <t>2119 Piso:0 Dpto:0</t>
  </si>
  <si>
    <t>MIZKIRIDO S.R.L.</t>
  </si>
  <si>
    <t>Servicios de seguro de salud</t>
  </si>
  <si>
    <t>Medicina Prepaga</t>
  </si>
  <si>
    <t>4519-7268</t>
  </si>
  <si>
    <t>4519-7884</t>
  </si>
  <si>
    <t>4519-1720 | 0810 888 8274</t>
  </si>
  <si>
    <t>https://asi.com.ar/</t>
  </si>
  <si>
    <t>MMJ S.R.L. (ÑUKE)</t>
  </si>
  <si>
    <t>ASPETROL S.A.</t>
  </si>
  <si>
    <t>jorge@productosnuke.com.ar</t>
  </si>
  <si>
    <t>Servicios de Arquitectura e Ingeniería y Servicios Conexos de Asesoramiento Técnico N.C.P.</t>
  </si>
  <si>
    <t>MOBEL ART S.A.</t>
  </si>
  <si>
    <t>(261) 424-3825</t>
  </si>
  <si>
    <t>4322-2525</t>
  </si>
  <si>
    <t>ASTREM S.A.</t>
  </si>
  <si>
    <t>MOGUILEVSKY GABRIEL HUGO (MOCAR)</t>
  </si>
  <si>
    <t>4653-8753</t>
  </si>
  <si>
    <t>2194-4161</t>
  </si>
  <si>
    <t>ATLAS PLASTICOS S.R.L.</t>
  </si>
  <si>
    <t>MOTO MECANICA ARGENTINA S.A.</t>
  </si>
  <si>
    <t>Varillas PVC, cielorrasos, cortinas completas y cordon PVC</t>
  </si>
  <si>
    <t>Antonio del Casale</t>
  </si>
  <si>
    <t>11 3332-5557</t>
  </si>
  <si>
    <t>11 3332-5550</t>
  </si>
  <si>
    <t>MYKA S.A.</t>
  </si>
  <si>
    <t>https://www.atlasplasticos.com.ar/</t>
  </si>
  <si>
    <t>ATTADIA CESAR ANTONIO (CUIT HNO 20354286379) ATTAPLAST</t>
  </si>
  <si>
    <t>NAFEPLAST S.R.L.</t>
  </si>
  <si>
    <t xml:space="preserve">Ramón Iribarren </t>
  </si>
  <si>
    <t>Fabricación de botellas, potes, y pomos plásticos impresos por serigrafía, offset y hot stamping . Soplado</t>
  </si>
  <si>
    <t xml:space="preserve">Gustavo  Atencio </t>
  </si>
  <si>
    <t>Cesar Attadia</t>
  </si>
  <si>
    <t>11 5661-9166</t>
  </si>
  <si>
    <t>4751-2539</t>
  </si>
  <si>
    <t>NAONIS S.R.L.</t>
  </si>
  <si>
    <t>http://afarmade.org/buenosaires/papeleras/attaplast/gmx-niv262-con17203.htm</t>
  </si>
  <si>
    <t>AUCEJO HNOS Y FORLENZA</t>
  </si>
  <si>
    <t>Italia</t>
  </si>
  <si>
    <t>NATEX S. DE H. DE SINISI NORBERTO Y BUELA LUIS ALEJANDRO (CINTAS NATEX S.R.L.)</t>
  </si>
  <si>
    <t>Fabricación y Armado de Carrocerías para Automóviles Camiones y otros Vehículos para Transporte de Carga y Pasajeros</t>
  </si>
  <si>
    <t>4653-3919</t>
  </si>
  <si>
    <t>AURA METAL S.R.L.</t>
  </si>
  <si>
    <t>NECHO S.A.</t>
  </si>
  <si>
    <t>Trabajos especiales en acero inoxidable</t>
  </si>
  <si>
    <t>11 5945-9230</t>
  </si>
  <si>
    <t>11 4488-7053</t>
  </si>
  <si>
    <t>http://www.aurametal.com.ar/</t>
  </si>
  <si>
    <t>NELO DISENOS S.R.L.</t>
  </si>
  <si>
    <t>AURITOR S.A.</t>
  </si>
  <si>
    <t>Calle Nº 68</t>
  </si>
  <si>
    <t>Fabricacion de productos metalicos N.C.P. (incluye clavos, productos de bulonería, vajilla de mesa y de cocina, etc.)</t>
  </si>
  <si>
    <t>NELSON ARIEL MAURIZI (MAURIZI RAYOS X)</t>
  </si>
  <si>
    <t>4752-6111</t>
  </si>
  <si>
    <t>4713-5502</t>
  </si>
  <si>
    <t>https://www.auritor.com.ar/</t>
  </si>
  <si>
    <t>AURYMI S.R.L.</t>
  </si>
  <si>
    <t xml:space="preserve">NEO PACK </t>
  </si>
  <si>
    <t>Confección de ropa interior, prendas para dormir y para la playa</t>
  </si>
  <si>
    <t xml:space="preserve"> 4734-1888</t>
  </si>
  <si>
    <t>NEOCOLOR S.R.L.</t>
  </si>
  <si>
    <t>AUSTRAL TECH S.A.</t>
  </si>
  <si>
    <t>Construcciones metálicas y herreria en gral</t>
  </si>
  <si>
    <t>4769-7251</t>
  </si>
  <si>
    <t>4841-3775</t>
  </si>
  <si>
    <t>11 841-3775</t>
  </si>
  <si>
    <t>NICOSIA GUILLERMO (LA GOULUE CHOCOLATIER)</t>
  </si>
  <si>
    <t>https://www.australtech.com.ar/</t>
  </si>
  <si>
    <t>NUÑEZ HNOS S.R.L.</t>
  </si>
  <si>
    <t>Fabricación de maquinaria y equipo de uso general N.C.P. (Incluye la fabricación de equipos de aire acondicionado, matafuegos, etc.)</t>
  </si>
  <si>
    <t>Sillones, camas paraguayas, barras fitness y danza</t>
  </si>
  <si>
    <t>Gerardo Andres Martin</t>
  </si>
  <si>
    <t>11 3826-7368</t>
  </si>
  <si>
    <t>Roberto Carlos Fassione</t>
  </si>
  <si>
    <t>11 3311-2711</t>
  </si>
  <si>
    <t>4734-2292/7897</t>
  </si>
  <si>
    <t>www.drgsa.com.ar</t>
  </si>
  <si>
    <t>AVIBER S.R.L.</t>
  </si>
  <si>
    <t>De los Pensamientos</t>
  </si>
  <si>
    <t>OBIN S.A.</t>
  </si>
  <si>
    <t>Producción y venta de huevos</t>
  </si>
  <si>
    <t>Producción y venta de huevos, la elaboración de alimentos balanceados, la cría y recría de pollas.</t>
  </si>
  <si>
    <t>0230-4490596</t>
  </si>
  <si>
    <t>0230-449-1919</t>
  </si>
  <si>
    <t xml:space="preserve"> 0230-4491920</t>
  </si>
  <si>
    <t>https://aviber.com.ar/</t>
  </si>
  <si>
    <t>OLIVA ALEJANDRO GUSTAVO (SAFARI)</t>
  </si>
  <si>
    <t>Aislamiento térmico, acústico, hídrico y antivibratorio</t>
  </si>
  <si>
    <t>Proveen anti-vibratorios para diferentes equipos (como aires acondicionados, chiller, prensas, turbinas y demas maquinas tanto para uso industrial, farmaceutica y construccion etc.)</t>
  </si>
  <si>
    <t>ORIGEN YERBA MATE</t>
  </si>
  <si>
    <t>Jorge Alberto Rios</t>
  </si>
  <si>
    <t>Silvia H. Calabria</t>
  </si>
  <si>
    <t>11 6143-4522</t>
  </si>
  <si>
    <t>11 4653-0858</t>
  </si>
  <si>
    <t>4488-9415 | 4657-3837</t>
  </si>
  <si>
    <t>https://avibra.com.ar/</t>
  </si>
  <si>
    <t>ORSI ANTONIO Y ORSI BLAS ANTONIO</t>
  </si>
  <si>
    <t>AVILA MIRTA MARIA</t>
  </si>
  <si>
    <t>Emilio Frugone</t>
  </si>
  <si>
    <t>Fabricación de hilados textiles N.C.P., excepto de lana  y de algodón.</t>
  </si>
  <si>
    <t>Mirta</t>
  </si>
  <si>
    <t>4654-5521</t>
  </si>
  <si>
    <t>VER MALLET SA</t>
  </si>
  <si>
    <t>admorsiblas@gmail.com</t>
  </si>
  <si>
    <t>OUTSOURCE SRL</t>
  </si>
  <si>
    <t>AYECO DE GUSTAVO MARCELO PALETTA Y HUGO ROLANDO LUJAN</t>
  </si>
  <si>
    <t>Mariquita Sánchez de Thompson</t>
  </si>
  <si>
    <t>Servicios de Diversión y Esparcimiento no clasificados en otra parte</t>
  </si>
  <si>
    <t>11 4441-1540</t>
  </si>
  <si>
    <t>PACKING WORLD S.R.L.</t>
  </si>
  <si>
    <t>AYN INDUSTRIA PUBLICITARIA S.A.</t>
  </si>
  <si>
    <t>N.C.P.</t>
  </si>
  <si>
    <t>Cartelería</t>
  </si>
  <si>
    <t>PADOVANI MOTORES DIESEL S.R.L.</t>
  </si>
  <si>
    <t>11 2155-6985</t>
  </si>
  <si>
    <t>4734-6732</t>
  </si>
  <si>
    <t>4750-6182</t>
  </si>
  <si>
    <t>https://www.ayelenpublicidad.com.ar/</t>
  </si>
  <si>
    <t>PALLOTTA CLAUDIO PASCUAL Y PALLOTTA PEDRO ALBERTO SOCIEDAD DE HECHO (CP ELECTRONICA)</t>
  </si>
  <si>
    <t>Castelli</t>
  </si>
  <si>
    <t>Fabricacón de autopartes de caucho excepto cámaras y cubiertas</t>
  </si>
  <si>
    <t>Fabricación y comercialización de correas y cintas transportadoras</t>
  </si>
  <si>
    <t>PANIFICADORA BROWN (BROW 850 S.A.S.)</t>
  </si>
  <si>
    <t>Claudio Tálamo (Vicepresidente)</t>
  </si>
  <si>
    <t>Dario Raul Perez | Hernan Margani</t>
  </si>
  <si>
    <t>11 6150-5386</t>
  </si>
  <si>
    <t>11 4653-3855</t>
  </si>
  <si>
    <t>11 5184-9882</t>
  </si>
  <si>
    <t>https://www.correasbts.com.ar/</t>
  </si>
  <si>
    <t>PANTOQUIMICA SA</t>
  </si>
  <si>
    <t>Válvulas esféricas y accesorios para la ind. del gas comprimido. GNC</t>
  </si>
  <si>
    <t>Oscar Bustamente (Socio gerente)</t>
  </si>
  <si>
    <t>Omar Vumbaca</t>
  </si>
  <si>
    <t>PAPELERA LA MILAGROSA S.R.L.</t>
  </si>
  <si>
    <t>4750-6058 (Silvina Palavecino, administracion)</t>
  </si>
  <si>
    <t>4759-7474</t>
  </si>
  <si>
    <t>https://byh.com.ar/</t>
  </si>
  <si>
    <t>PASCUAL O MORSELLA E HIJO S.A.</t>
  </si>
  <si>
    <t>BAAMONDE NATALIA VERONICA</t>
  </si>
  <si>
    <t>PETERS HERMANOS COMPAÑIA COMERCIAL E INDUSTRIAL SOCIEDAD ANONIMA</t>
  </si>
  <si>
    <t>Venta al por mayor de prendas y accesorios de vestir N.C.P., excepto uniformes y ropa de trabajo</t>
  </si>
  <si>
    <t>11-6555-8666</t>
  </si>
  <si>
    <t>4654-7820</t>
  </si>
  <si>
    <t>PETRENIUK JUAN CARLOS (GRIP AUTOMACION)</t>
  </si>
  <si>
    <t>Vicente López y Planes</t>
  </si>
  <si>
    <t>Fabricación de frazadas, mantas, ponchos, colchas, cobertores, etc.</t>
  </si>
  <si>
    <t>PETRINI MARTIN MARCOS (PRFV S.A)</t>
  </si>
  <si>
    <t>Blanqueria para bebés</t>
  </si>
  <si>
    <t>Gladys Alejandra Nuñez</t>
  </si>
  <si>
    <t>15 3015-7561</t>
  </si>
  <si>
    <t>https://www.babyhour.com.ar/</t>
  </si>
  <si>
    <t>PH&amp;L GIARDINI AGOSTINA</t>
  </si>
  <si>
    <t>BACUMSA S.R.L.</t>
  </si>
  <si>
    <t>PLASTICOS TEXTIL S.R.L.</t>
  </si>
  <si>
    <t>Exhibidores, sobres de PVC</t>
  </si>
  <si>
    <t>Dana</t>
  </si>
  <si>
    <t>11 3174-0980</t>
  </si>
  <si>
    <t>Sebastian Donadio</t>
  </si>
  <si>
    <t>4759-1477</t>
  </si>
  <si>
    <t>4759-5338</t>
  </si>
  <si>
    <t>PLASTICOS VG S.R.L.</t>
  </si>
  <si>
    <t>https://bacumsa.com.ar/wp/</t>
  </si>
  <si>
    <t>PODESTA CONSTRUCCIONES S.A.</t>
  </si>
  <si>
    <t>BADI S.A.</t>
  </si>
  <si>
    <t>Gral. Manuel Belgrano</t>
  </si>
  <si>
    <t>POLI-FLEX DE MITELMANN RICARDO Y SHOS VALENTIN S.H. (POLIFLEX - RHEMFLEX )</t>
  </si>
  <si>
    <t>957-325706</t>
  </si>
  <si>
    <t>957-325705</t>
  </si>
  <si>
    <t>www.comercialbadi.com</t>
  </si>
  <si>
    <t>BADIA MARIANO GONZALO</t>
  </si>
  <si>
    <t>POSTA S.R.L.</t>
  </si>
  <si>
    <t>Almafuerte</t>
  </si>
  <si>
    <t>Venta al por menor de papel, cartón, materiales de embalaje y artículos de librería</t>
  </si>
  <si>
    <t>POUSADA GROUP S.A.</t>
  </si>
  <si>
    <t>3817-1030</t>
  </si>
  <si>
    <t>BAFARO EDUARDO Y ARRAMBIDE GERARDO</t>
  </si>
  <si>
    <t>PREGELJ NICOLAS AGUSTIN (DOBRO INDUSTRIA)</t>
  </si>
  <si>
    <t>Servicios de arquitectura e ingeniería y servicios conexos de asesoramiento técnico N.C.P.</t>
  </si>
  <si>
    <t>PREMIUM PACK S.R.L.</t>
  </si>
  <si>
    <t>BAGGIO JORGE ERNESTO BAGGIO JUAN ERNESTO</t>
  </si>
  <si>
    <t>Loureiro</t>
  </si>
  <si>
    <t>Fabricación de Pan y demás Productos de Panadería excepto los secos</t>
  </si>
  <si>
    <t>PRODUCTORA OLIVICOLA LA RIOJANA</t>
  </si>
  <si>
    <t>11 4657-4065</t>
  </si>
  <si>
    <t>BAIFREN S.A.</t>
  </si>
  <si>
    <t>San Roque</t>
  </si>
  <si>
    <t>PRODUCTOS EYELIT S.A.</t>
  </si>
  <si>
    <t>(237) 460-1743</t>
  </si>
  <si>
    <t>PRONUT S.R.L.</t>
  </si>
  <si>
    <t>12 de Octubre</t>
  </si>
  <si>
    <t>PVC TECNOCOM S.A.</t>
  </si>
  <si>
    <t>Fabricación en industrias basicas en productod de hierro y acero N.C.P.</t>
  </si>
  <si>
    <t>Mantenimientos, montajes y servicios</t>
  </si>
  <si>
    <t>Bernal Pablo</t>
  </si>
  <si>
    <t>11 5021-8979</t>
  </si>
  <si>
    <t>15-6765-9644</t>
  </si>
  <si>
    <t>11 2691 1471</t>
  </si>
  <si>
    <t>https://bairesdom.com/</t>
  </si>
  <si>
    <t>RAICONET (RAICO S.A.)</t>
  </si>
  <si>
    <t>BAK PLASTIC ITALO ARGENTINA S.R.L.</t>
  </si>
  <si>
    <t>Acosta</t>
  </si>
  <si>
    <t>RAIPER LUMINOSOS S.R.L.</t>
  </si>
  <si>
    <t>4653-2823</t>
  </si>
  <si>
    <t>BALENO S.R.L.</t>
  </si>
  <si>
    <t>FERRI LEONARDO OSCAR 1026/3780</t>
  </si>
  <si>
    <t>4734-1121</t>
  </si>
  <si>
    <t>4716-0178</t>
  </si>
  <si>
    <t>4759-6547</t>
  </si>
  <si>
    <t>BANKO CIA S.R.L.</t>
  </si>
  <si>
    <t>REBOZADOS GLUTEN FREE LA PLATA S.A.S. (FUTURE FOOD)</t>
  </si>
  <si>
    <t>4567-1069</t>
  </si>
  <si>
    <t>4750-5804</t>
  </si>
  <si>
    <t>4568-4289</t>
  </si>
  <si>
    <t>RECIMAD S.A.</t>
  </si>
  <si>
    <t>Lisandro de la Torre</t>
  </si>
  <si>
    <t xml:space="preserve">Sergio A.  Bardo </t>
  </si>
  <si>
    <t>RED COMERCIAL S.R.L.</t>
  </si>
  <si>
    <t>15-5516-2096</t>
  </si>
  <si>
    <t>Ing. V. Hugo Macchia</t>
  </si>
  <si>
    <t>15 5516-2096</t>
  </si>
  <si>
    <t>4115-5202 | 4750-8455</t>
  </si>
  <si>
    <t>4750-8911</t>
  </si>
  <si>
    <t>5435-3352</t>
  </si>
  <si>
    <t>plastmatrix.com.ar</t>
  </si>
  <si>
    <t>REGAN S.R.L.</t>
  </si>
  <si>
    <t>BARLETA OSCAR Y SCLOVER JORGE</t>
  </si>
  <si>
    <t>REMPARK S.R.L.</t>
  </si>
  <si>
    <t>11 4712-4403</t>
  </si>
  <si>
    <t>BARONE GABRIELA FABIANA (EROS)</t>
  </si>
  <si>
    <t>República Arabe Siria</t>
  </si>
  <si>
    <t>Venta al por mayor de artículos para la construcción N.C.P.</t>
  </si>
  <si>
    <t>Cortinas de enrollar</t>
  </si>
  <si>
    <t>REPOSTERA CASEROS S.R.L.</t>
  </si>
  <si>
    <t>4757-2020</t>
  </si>
  <si>
    <t>BATCO CORRUGADOS S.A.</t>
  </si>
  <si>
    <t>Av. Hugo del Carril</t>
  </si>
  <si>
    <t>REUSCH ARGENTINA S.R.L.</t>
  </si>
  <si>
    <t>Fabricación de artículos de papel y cartón N.C.P. (No incluye el papel de lija: 239900)</t>
  </si>
  <si>
    <t>4848-0060</t>
  </si>
  <si>
    <t>15 5385-4601</t>
  </si>
  <si>
    <t>4848-1116</t>
  </si>
  <si>
    <t>REYMUNDI RUBEN OSVALDO (FULL SUN ARGENTINA)</t>
  </si>
  <si>
    <t>BATTEGAZZORE HERMANOS SAEF</t>
  </si>
  <si>
    <t>Fabricación de Cajas de Seguridad</t>
  </si>
  <si>
    <t>Secundario</t>
  </si>
  <si>
    <t>RIASA S.R.L. (HIPOALERGIC)</t>
  </si>
  <si>
    <t>4750-1697</t>
  </si>
  <si>
    <t>4750-1443</t>
  </si>
  <si>
    <t>BATTISTA AMADEO Y RODOLFO</t>
  </si>
  <si>
    <t>011 4757 0169</t>
  </si>
  <si>
    <t>RIVA S.A.</t>
  </si>
  <si>
    <t>No encontrado / @party.tuconfiteria</t>
  </si>
  <si>
    <t>Benito Pérez Galdós</t>
  </si>
  <si>
    <t>Impresión de Etiquetas Auto adhesivas</t>
  </si>
  <si>
    <t>Natalia Lorena Loto</t>
  </si>
  <si>
    <t>11 5731-0510</t>
  </si>
  <si>
    <t>Julieta</t>
  </si>
  <si>
    <t>4739-0800 | 4739-2800</t>
  </si>
  <si>
    <t>4739-4221</t>
  </si>
  <si>
    <t>4739-4079</t>
  </si>
  <si>
    <t>www.autopack.com.ar</t>
  </si>
  <si>
    <t>BAVOSI S.A. (CUMANA)</t>
  </si>
  <si>
    <t>Adolfo Alsina</t>
  </si>
  <si>
    <t>RODRIGUEZ HECTOR DANIEL (MT NICO)</t>
  </si>
  <si>
    <t>418/420</t>
  </si>
  <si>
    <t>Venta al por mayor de frutas, legumbres y cereales secos y en conserva</t>
  </si>
  <si>
    <t>Comercialización y distribución de productos alimenticios de calidad para el consumo masivo y la industria alimenticia.</t>
  </si>
  <si>
    <t>Paola</t>
  </si>
  <si>
    <t>4488-3725 | 0810-222-8674</t>
  </si>
  <si>
    <t>4657-9253 / 4653-5911</t>
  </si>
  <si>
    <t>4657-7580</t>
  </si>
  <si>
    <t>https://www.bavosi.com.ar/</t>
  </si>
  <si>
    <t>ROMALUS S.R.L./ RERAR</t>
  </si>
  <si>
    <t>Servicios de depuracion de aguas residuales, alcantarillado y cloacas</t>
  </si>
  <si>
    <t>Equipos y plantas para tratar aguas residuales</t>
  </si>
  <si>
    <t>Claudio Acosta</t>
  </si>
  <si>
    <t>15 5745-8622</t>
  </si>
  <si>
    <t xml:space="preserve">Antonio Palladino </t>
  </si>
  <si>
    <t>11 4844-5666</t>
  </si>
  <si>
    <t>4844-1971 | 11 2197-9624</t>
  </si>
  <si>
    <t>11 6124-2150 (Daniela Acosta)</t>
  </si>
  <si>
    <t>https://www.e-intrasrl.com/</t>
  </si>
  <si>
    <t>RUKA METAL S.A.</t>
  </si>
  <si>
    <t>BAZAR Y MENAJES ALUMAR S.R.L.</t>
  </si>
  <si>
    <t>Rio Cuarto</t>
  </si>
  <si>
    <t>11 3014-5087</t>
  </si>
  <si>
    <t>4848-1361 | 4848-4886</t>
  </si>
  <si>
    <t>SABBATINI ALFONSO Y SABBATINI EDUARDO</t>
  </si>
  <si>
    <t>https://www.instagram.com/bazarymenajesalumar/</t>
  </si>
  <si>
    <t>BBO S.R.L.</t>
  </si>
  <si>
    <t>Margarita Biados</t>
  </si>
  <si>
    <t>4469-2352</t>
  </si>
  <si>
    <t>4654-6284</t>
  </si>
  <si>
    <t>SABLIAN S.R.L.</t>
  </si>
  <si>
    <t>BEDERIAL S.A.</t>
  </si>
  <si>
    <t>Reconquista</t>
  </si>
  <si>
    <t>Termoformados en acrílico</t>
  </si>
  <si>
    <t>4139-6417</t>
  </si>
  <si>
    <t>4657-2708</t>
  </si>
  <si>
    <t>SCORRANO MARIO BRUNO (SCOR)</t>
  </si>
  <si>
    <t>Industrias manufactureras N.C.P.</t>
  </si>
  <si>
    <t>SEANCE SOCIEDAD DE RESPONSABILIDAD LIMITADA</t>
  </si>
  <si>
    <t>Carteleria ecipiente rígidos, media esferas de plástico y algún otro pedido especial que sea a partir de una placa de acrílico /plástico para impresión 3d.</t>
  </si>
  <si>
    <r>
      <rPr>
        <color rgb="FF000000"/>
        <sz val="11.0"/>
        <u/>
      </rPr>
      <t>011 4657-2708</t>
    </r>
  </si>
  <si>
    <t>SERVICIOS FF S.R.L.</t>
  </si>
  <si>
    <t>BELG S.A.</t>
  </si>
  <si>
    <t>Fabricación de equipos de electrónica industrial y protección catódica</t>
  </si>
  <si>
    <t>11 2197-0512</t>
  </si>
  <si>
    <t>https://belg.com.ar/</t>
  </si>
  <si>
    <t>BELLFIORE S.A.</t>
  </si>
  <si>
    <t>SHERWIN WILLIAMS ARGENTINA I C S.A.</t>
  </si>
  <si>
    <t>Fabricación de tejidos (telas) planos de algodón y sus mezclas</t>
  </si>
  <si>
    <t>757-8027</t>
  </si>
  <si>
    <t>757-5550</t>
  </si>
  <si>
    <t>BELLPLEX S.R.L.</t>
  </si>
  <si>
    <t>Producción y comercialización de regalos empresarios y artículos de promoción, entre otros productos</t>
  </si>
  <si>
    <t>11 3479-8737</t>
  </si>
  <si>
    <t>SHIAI S.R.L.</t>
  </si>
  <si>
    <t>http://www.bellplex.com.ar/</t>
  </si>
  <si>
    <t>BELT TENSIONER PULLEY S.R.L.</t>
  </si>
  <si>
    <t>4302-4863</t>
  </si>
  <si>
    <t>SIETE IDEAS S.R.L. (GREENIE)</t>
  </si>
  <si>
    <t>tensoresbtp.com</t>
  </si>
  <si>
    <t>BELTING S.R.L.</t>
  </si>
  <si>
    <t>El Matadero</t>
  </si>
  <si>
    <t>Fabricación de Productos de Caucho N.C.P.</t>
  </si>
  <si>
    <t>769-0313</t>
  </si>
  <si>
    <t>SIKA ARGENTINA S.A.I.C.</t>
  </si>
  <si>
    <t>BELZONI IGNACIO Y BELZONI ESTEBAN S.H.</t>
  </si>
  <si>
    <t>Fabricación de productos de vidrio N.C.P.</t>
  </si>
  <si>
    <t>tripicchio.javier@ar.sika.com</t>
  </si>
  <si>
    <t>11 4488-9676</t>
  </si>
  <si>
    <t>11 3736-0960</t>
  </si>
  <si>
    <t>http://www.belzonihnos.com/</t>
  </si>
  <si>
    <t>SIME S.R.L. (INTELLIGENT GAS) (CALEFACTORES CALDEN)</t>
  </si>
  <si>
    <t>BEN PLAS S.R.L.</t>
  </si>
  <si>
    <t>4716-1441</t>
  </si>
  <si>
    <t>https://benplassrl.com.ar/</t>
  </si>
  <si>
    <t>SISTEMAS ENERGETICOS S.A.</t>
  </si>
  <si>
    <t>Fabrican ruedas para muebles de madera y de caño, etc.</t>
  </si>
  <si>
    <t>4759-4515</t>
  </si>
  <si>
    <t>11 4156-3741</t>
  </si>
  <si>
    <t>BENITO LEONARDO GASTON (FUNDICIÓN LGB)</t>
  </si>
  <si>
    <t>Sudamérica</t>
  </si>
  <si>
    <t>SKYLIFT ELEVADORES S.R.L.</t>
  </si>
  <si>
    <t>Fundición de matales no ferrosos dedicado a la industria de las motopartes de motor</t>
  </si>
  <si>
    <t>4716-2016</t>
  </si>
  <si>
    <t>https://fundicionlgb.com.ar/</t>
  </si>
  <si>
    <t>Jujuy</t>
  </si>
  <si>
    <t>SOCIEDAD INDUSTRIALIZADORA DE PRODUCTOS ALIMENTICIOS SRL (PASTAS ORALI)</t>
  </si>
  <si>
    <t>Fabricación de maquinaria para la elaboración de alimentos, bebidas y tabaco</t>
  </si>
  <si>
    <t>Equipamientos Gastronómicos (refrigeración, preparación, cocción y distribución)</t>
  </si>
  <si>
    <t>Hernán Bentivegna | Mariana (Asistente)</t>
  </si>
  <si>
    <t>11 4769-4656</t>
  </si>
  <si>
    <t xml:space="preserve"> 11 4848-0568</t>
  </si>
  <si>
    <t>11 4739-4141</t>
  </si>
  <si>
    <t>http://www.hiperinox.com</t>
  </si>
  <si>
    <t>BERCOMAR S.A.C.I.I.F.C.A. (SOCIEDAD ANONIMA COMERCIAL INDUSTRIAL INMOBILIARIA FINANCIERA CONSTRUCTORA Y AGROPECUARIA)</t>
  </si>
  <si>
    <t>SOUTH S.R.L. (KASER COMUNICACIÓN)</t>
  </si>
  <si>
    <t>3665-3677</t>
  </si>
  <si>
    <t>Fabricación de maquinaria y equipo de uso general n.c.p. (Incluye la fabricación de heladeras comerciales, freezers y conservadoras de helados, etc.)</t>
  </si>
  <si>
    <t>Heladeras, freezers y conservadoras para helados</t>
  </si>
  <si>
    <t>Daniel Converti</t>
  </si>
  <si>
    <t>11 4750-4385</t>
  </si>
  <si>
    <t>4750-6122</t>
  </si>
  <si>
    <t>11 2519-6866</t>
  </si>
  <si>
    <t>https://bercomar.com/wp/</t>
  </si>
  <si>
    <t>SPALO S.R.L.</t>
  </si>
  <si>
    <t>BERNA-PLAST</t>
  </si>
  <si>
    <t>Averiguar</t>
  </si>
  <si>
    <t>Benito Lynch</t>
  </si>
  <si>
    <t>-</t>
  </si>
  <si>
    <t>Fabrica de envases plásticos</t>
  </si>
  <si>
    <t>Federico Garcia</t>
  </si>
  <si>
    <t>15 6489-8349</t>
  </si>
  <si>
    <t>4757-7220</t>
  </si>
  <si>
    <t>STARPACK S.A.</t>
  </si>
  <si>
    <t>11 4757-7220</t>
  </si>
  <si>
    <t>http://bernaplast.com.ar/</t>
  </si>
  <si>
    <t>BERTATO CLAUDIO ATILIO Y RAFAEL PEDRO</t>
  </si>
  <si>
    <t>Roma</t>
  </si>
  <si>
    <t>Tratamiento y Revestimiento de Metales, obras de Ingeniería Mecánica en general realizadas a cambio de una Retribución o por Contrata</t>
  </si>
  <si>
    <t>4716-1240</t>
  </si>
  <si>
    <t>STARTEC ARGENTINA S.R.L.</t>
  </si>
  <si>
    <t>BESTARD MUEBLES S.A.</t>
  </si>
  <si>
    <t>Av. Gral. Paz</t>
  </si>
  <si>
    <t>Fabricación de Muebles y partes de Muebles, principalmente de Madera</t>
  </si>
  <si>
    <t>653-5121</t>
  </si>
  <si>
    <t>BESTPAQ S.R.L.</t>
  </si>
  <si>
    <t>SULFOQUIMICA S.A. ARGENTINA INDUSTRIA COMERCIAL Y AGROPECUARIA</t>
  </si>
  <si>
    <t>4841-3133</t>
  </si>
  <si>
    <t>SURGICAL SUPPLY S.R.L.</t>
  </si>
  <si>
    <t>Dr. Amadeo Sabattini</t>
  </si>
  <si>
    <t>Instalación, ejecución y mantenimiento de instalaciones eléctricas, electromecánicas y electrónicas N.C.P.</t>
  </si>
  <si>
    <t>Construcción en el rubro de instalaciones eléctricas</t>
  </si>
  <si>
    <t>Jonatan Juan Bettendorff</t>
  </si>
  <si>
    <t>11 3060-2639 | 11 5308-6034</t>
  </si>
  <si>
    <t>4716-1666</t>
  </si>
  <si>
    <t>11 5308-6034</t>
  </si>
  <si>
    <t>http://www.bettendorff.com.ar/index.html</t>
  </si>
  <si>
    <t>SYMTRON S.A.</t>
  </si>
  <si>
    <t>BHI S.R.L.</t>
  </si>
  <si>
    <t>Sebastian Martinez</t>
  </si>
  <si>
    <t>11 6246-4343</t>
  </si>
  <si>
    <t>4750-0489</t>
  </si>
  <si>
    <t>7521-5756</t>
  </si>
  <si>
    <t>https://bhisrl.com/</t>
  </si>
  <si>
    <t>TALLER BAIGORRIA S.A.</t>
  </si>
  <si>
    <t>BIANCO EUGENIO Y MIGUEL ANGEL</t>
  </si>
  <si>
    <t>Las Gardeñas</t>
  </si>
  <si>
    <t>Fabricación de calzado de cuero, excepto el ortopedico</t>
  </si>
  <si>
    <t>Paula Barzola</t>
  </si>
  <si>
    <t>4739-2949</t>
  </si>
  <si>
    <t>4769-0852</t>
  </si>
  <si>
    <t>TALLERES FUMACA S.R.L.</t>
  </si>
  <si>
    <t>Fabricación de ropa de cama y mantelería</t>
  </si>
  <si>
    <t>Hector Soto</t>
  </si>
  <si>
    <t>4716-6914 | 4716-1126</t>
  </si>
  <si>
    <t>http://www.bianqueriaancona.com.ar/</t>
  </si>
  <si>
    <t>TAPPER S.R.L.</t>
  </si>
  <si>
    <t>BIASELLA HNOS</t>
  </si>
  <si>
    <t>Fabricación de Muebles y partes de Muebles, Principalmente de otros Materiales</t>
  </si>
  <si>
    <t>4842-6126</t>
  </si>
  <si>
    <t>BIBLOS COLOR S.A.</t>
  </si>
  <si>
    <t>TECHNIC DELFINO S.A.</t>
  </si>
  <si>
    <t>Fabricación de Materias Plásticas en Formas Primarias N.C.P.</t>
  </si>
  <si>
    <t xml:space="preserve">4582-6253
</t>
  </si>
  <si>
    <t>TECKNICAM 3D CNC S.R.L.</t>
  </si>
  <si>
    <t>BICAL S.A.</t>
  </si>
  <si>
    <t>Sillones, reposeras, sombrillas</t>
  </si>
  <si>
    <t>Jorge Fernandez</t>
  </si>
  <si>
    <t>11 5457-7817</t>
  </si>
  <si>
    <t>Esteban Martino</t>
  </si>
  <si>
    <t>11 4759-0705</t>
  </si>
  <si>
    <t>4724-3300</t>
  </si>
  <si>
    <t>4759-0705</t>
  </si>
  <si>
    <t>tecknicam@gmail.com</t>
  </si>
  <si>
    <t>https://bical.com.ar/</t>
  </si>
  <si>
    <t>TECMADE S.A.</t>
  </si>
  <si>
    <t>BIG KNIT S.A.</t>
  </si>
  <si>
    <t>Fabricación de suéteres y artículos similares de punto</t>
  </si>
  <si>
    <t>4657-3589</t>
  </si>
  <si>
    <t>BIGATTI CEBALLOS MAXIMILIANO GABRIEL (MADERERA BIGATTI)</t>
  </si>
  <si>
    <t>TECNIARK S.A.</t>
  </si>
  <si>
    <t xml:space="preserve">Fabricación de productos de madera N.C.P, fabricación de artículos de paja y materiales trenzables </t>
  </si>
  <si>
    <t>fabrican muebles de cocina, placars mesas sillas y escaleras</t>
  </si>
  <si>
    <t>Maximiliano Bigatti</t>
  </si>
  <si>
    <t>4759-7003</t>
  </si>
  <si>
    <t>BIOBELLUS S.R.L.</t>
  </si>
  <si>
    <t>TECNO AMERICA S.R.L.</t>
  </si>
  <si>
    <t>Colon</t>
  </si>
  <si>
    <t>Fabricación y venta al por mayor de productos cosméticos, de tocador y de perfumería (Incluye venta de artículos para peluquería excepto equipamiento)</t>
  </si>
  <si>
    <t>Fabrica y vende cosméticos</t>
  </si>
  <si>
    <t>Matías Hernán Bonino</t>
  </si>
  <si>
    <t>11 3046-6703</t>
  </si>
  <si>
    <t>11 4712-1986</t>
  </si>
  <si>
    <t>11 2468-4097</t>
  </si>
  <si>
    <t>https://www.tiendabiobellus.com.ar/</t>
  </si>
  <si>
    <t>TECNO BOX S.R.L. (TECNOBOX)</t>
  </si>
  <si>
    <t>BIOFLEX S.R.L.</t>
  </si>
  <si>
    <t>Servicios Relacionados con la Impresión</t>
  </si>
  <si>
    <t>josiana@tecnoboxsrl.com.ar</t>
  </si>
  <si>
    <t>4842-9000</t>
  </si>
  <si>
    <t>TECNO CASEROS S.R.L.</t>
  </si>
  <si>
    <t>BIOMEC S.R.L.</t>
  </si>
  <si>
    <t>Miguel de Cervantes</t>
  </si>
  <si>
    <t>Venta al por menor de instrumental médico y odontológico y artículos ortopédicos</t>
  </si>
  <si>
    <t>Osvaldo Siniscalco</t>
  </si>
  <si>
    <t>15 5709-8566</t>
  </si>
  <si>
    <t>Noelia Barbagallo</t>
  </si>
  <si>
    <t>4716-2064/74</t>
  </si>
  <si>
    <t>TECNO COMPREZZOR GROUP S.A.</t>
  </si>
  <si>
    <t>BIROT DE JOSE FELIX ALVAREZ Y OTRO</t>
  </si>
  <si>
    <t>Fabricación de artefactos para iluminación excepto los eléctricos</t>
  </si>
  <si>
    <t>4653-5715</t>
  </si>
  <si>
    <t>BIROT S.A.</t>
  </si>
  <si>
    <t>Fabricación de aparatos y accesorios eléctricos N.C.P.</t>
  </si>
  <si>
    <t>3750-0890</t>
  </si>
  <si>
    <t>4488-3698</t>
  </si>
  <si>
    <t>BISCAYNE TECHNOLOGY S.A.</t>
  </si>
  <si>
    <t>TECNO GROUP S.R.L.</t>
  </si>
  <si>
    <t>4858 Piso:9 Dpto:A</t>
  </si>
  <si>
    <t>Servicios de consultores en informática y suministros de programas de informática</t>
  </si>
  <si>
    <t>5032-3661</t>
  </si>
  <si>
    <t>http://www.biscaynesa.com/</t>
  </si>
  <si>
    <t>TECNO TINTA S.R.L.</t>
  </si>
  <si>
    <t>BISIGNANO ROSARIO Y BISIGNANO VICENTE</t>
  </si>
  <si>
    <t>Fabricación de pinturas, barnices y productos de revestimiento similares, tintas de imprenta y masillas</t>
  </si>
  <si>
    <t>11-3387-0100</t>
  </si>
  <si>
    <t>Rosario</t>
  </si>
  <si>
    <t>4769-1946</t>
  </si>
  <si>
    <t>BISONI RINALDO ANTONIO</t>
  </si>
  <si>
    <t>TECNOPERFILES S.A. (TECNOCOM PERFILES S.A.)</t>
  </si>
  <si>
    <t>Ing. Amoretti</t>
  </si>
  <si>
    <t>Fabricación de maquinaria y equipo de uso especial N.C.P.</t>
  </si>
  <si>
    <t>4653-8323</t>
  </si>
  <si>
    <t>http://www.metalurgicarbisoni.com.ar/</t>
  </si>
  <si>
    <t>BLAWOL S.A. (FRENOS NACIONALES)</t>
  </si>
  <si>
    <t>Ing. Pereyra</t>
  </si>
  <si>
    <t>TECNOSAM ILUMINACION S.R.L.</t>
  </si>
  <si>
    <t>Fabricación y comercialización de productos para el frenado del automóvil</t>
  </si>
  <si>
    <t>4686-6566</t>
  </si>
  <si>
    <t>4686-2401</t>
  </si>
  <si>
    <t>https://frenosnacionales.com.ar/</t>
  </si>
  <si>
    <t>BLOCK DANIEL ALBERTO Y RUGGIERO LUIS GREGORIO</t>
  </si>
  <si>
    <t>claudiosamokec@gmail.com</t>
  </si>
  <si>
    <t>TERLIZZI S.A.</t>
  </si>
  <si>
    <t>4841-0720</t>
  </si>
  <si>
    <t>BOHN EQUIPAMIENTOS S.R.L.</t>
  </si>
  <si>
    <t>Mástiles, equipamiento naútico, pilates y arquitectura.</t>
  </si>
  <si>
    <t>11 5773-0001</t>
  </si>
  <si>
    <t>TEXTIL DONOSTI S.A.</t>
  </si>
  <si>
    <t>BOLLHOFF S A C I Y F S.A.</t>
  </si>
  <si>
    <t>Asesoramiento en ingeniería de aplicaciones</t>
  </si>
  <si>
    <t>Jorge Ropenius</t>
  </si>
  <si>
    <t>4816-0087</t>
  </si>
  <si>
    <t>4322-3180</t>
  </si>
  <si>
    <t>4750-1500</t>
  </si>
  <si>
    <t>https://www.boellhoff.com/</t>
  </si>
  <si>
    <t>TEXTIL GUAIRA S.R.L.</t>
  </si>
  <si>
    <t>BOMBFILT S.R.L.</t>
  </si>
  <si>
    <t>Av. Justo José de Urquiza</t>
  </si>
  <si>
    <t>Fabricación de compresores, grifos y válvulas</t>
  </si>
  <si>
    <t>4716-6557</t>
  </si>
  <si>
    <t>TEXTIL INDEPENDENCIA S.R.L.</t>
  </si>
  <si>
    <t>Silvia Beatriz Lois Mourelle (contadora)</t>
  </si>
  <si>
    <t>11 3125-2820</t>
  </si>
  <si>
    <t>NICOLAS BONABOTA</t>
  </si>
  <si>
    <t>4653-8400</t>
  </si>
  <si>
    <t>www.bombasnir.com.ar</t>
  </si>
  <si>
    <t>José Morganti</t>
  </si>
  <si>
    <t>TEXTIL MORE S.A. (BIKINIS IBIKUS)</t>
  </si>
  <si>
    <t>Acabado de productos textiles</t>
  </si>
  <si>
    <t>Proveedora de insumos, artículos y servicios textiles</t>
  </si>
  <si>
    <t>Gustavo Lavintman</t>
  </si>
  <si>
    <t>11 4991-2239</t>
  </si>
  <si>
    <t>Barbara Blumstein</t>
  </si>
  <si>
    <t>11 6093-8107</t>
  </si>
  <si>
    <t>4769-3664</t>
  </si>
  <si>
    <t>4769-3137</t>
  </si>
  <si>
    <t>11 5771-7265</t>
  </si>
  <si>
    <t>https://www.bondeadosnortex.com.ar/</t>
  </si>
  <si>
    <t>TEXTIL ROJAS S.R.L.</t>
  </si>
  <si>
    <t>BONOMI ROBERTO (EPSILON HILOS)</t>
  </si>
  <si>
    <t>4536/4530</t>
  </si>
  <si>
    <t>Carolina Bonomi</t>
  </si>
  <si>
    <t>Adriana Dellelel</t>
  </si>
  <si>
    <t>4759-7097</t>
  </si>
  <si>
    <t>BOSCH HNOS S.A.</t>
  </si>
  <si>
    <t>Fabricación de motocicletas</t>
  </si>
  <si>
    <t>4750-1793</t>
  </si>
  <si>
    <t>4750-1470</t>
  </si>
  <si>
    <t>TG TEX  S.R.L.</t>
  </si>
  <si>
    <t>BOTIQUINES S.A. - PRACTY BOTIQUIN S.A.</t>
  </si>
  <si>
    <t>Fabricación de recipientes de madera</t>
  </si>
  <si>
    <t>Botiquines</t>
  </si>
  <si>
    <t>4842-3243</t>
  </si>
  <si>
    <t>4842-3420</t>
  </si>
  <si>
    <t>http://practybotiquin.com/</t>
  </si>
  <si>
    <t>BOTTE CALZADOS S.A.</t>
  </si>
  <si>
    <t>TIANI ACRINOX S.R.L.</t>
  </si>
  <si>
    <t>Fabricación de partes de calzado</t>
  </si>
  <si>
    <t>3750-6199</t>
  </si>
  <si>
    <t>4665-9135</t>
  </si>
  <si>
    <t>4662-3298</t>
  </si>
  <si>
    <t>Potosí</t>
  </si>
  <si>
    <t>Fabricación de productos primarios de metales preciosos y metales no ferrosos N.C.P. y sus semielaborados</t>
  </si>
  <si>
    <t>Fabricación de piezas inyectadas en Zamac</t>
  </si>
  <si>
    <t>TISSUE BAIRES S.R.L.</t>
  </si>
  <si>
    <t>Aldana Bottero</t>
  </si>
  <si>
    <t>11 4186-8030</t>
  </si>
  <si>
    <t>11 3125-9736</t>
  </si>
  <si>
    <t>4750-2521</t>
  </si>
  <si>
    <t>https://www.botterosa.com.ar/</t>
  </si>
  <si>
    <t>BOZIC JOSE RODOLFO Y BOZIC DANIEL EDUARDO</t>
  </si>
  <si>
    <t>ptombolini@tissuebaires.com.ar</t>
  </si>
  <si>
    <t>TRANSMISIONES MECANICAS S.A.</t>
  </si>
  <si>
    <t>11 4712-7052</t>
  </si>
  <si>
    <t>BRALO ARGENTINO S.A.</t>
  </si>
  <si>
    <t>TRANSPORTES MOLINA S.R.L.</t>
  </si>
  <si>
    <t>4734-0412</t>
  </si>
  <si>
    <t>Mantenimiento y reparación del motor N.C.P., mecánica integral (incluye auxilio y servicios de grúa para automotores)</t>
  </si>
  <si>
    <t>Bramante Ursula | Sergio</t>
  </si>
  <si>
    <t>15 5602-4381</t>
  </si>
  <si>
    <t>TRIMET S.A.</t>
  </si>
  <si>
    <t>BRANKAMET S.R.L.</t>
  </si>
  <si>
    <t>4757-9060</t>
  </si>
  <si>
    <t>4657-5461</t>
  </si>
  <si>
    <t>BRASS DESIGN S.R.L.</t>
  </si>
  <si>
    <t>4739-7562</t>
  </si>
  <si>
    <t>TRUPPI S.A. / REBON S.A.</t>
  </si>
  <si>
    <t>BREGLIA FERRERAS DAMIAN OSVALDO</t>
  </si>
  <si>
    <t>Ensayos y análisis técnicos (incluye inspección técnica de vehículos, laboratorios de control de calidad, servicios de peritos calígrafos, servicios de bromatología)</t>
  </si>
  <si>
    <t>6172-9169</t>
  </si>
  <si>
    <t>TS LA BASE DE LA SOLDADURA AUTOGENA S.R.L.</t>
  </si>
  <si>
    <t>Fabricación de pantalones y, camisas de trabajo y zapatos de seguridad</t>
  </si>
  <si>
    <t>Hugo Gimenez</t>
  </si>
  <si>
    <t>11 5322-8121</t>
  </si>
  <si>
    <t>11 3804-2569</t>
  </si>
  <si>
    <t>BRISA CS S.A.</t>
  </si>
  <si>
    <t>Av. República</t>
  </si>
  <si>
    <t>Miguel Calle</t>
  </si>
  <si>
    <t>UTTER S.R.L.</t>
  </si>
  <si>
    <t>BRONCERIA SANITARIA S.R.L.</t>
  </si>
  <si>
    <t>Padre Elizalde</t>
  </si>
  <si>
    <t>Producción de Metales no Ferrosos N.C.P. y sus Semielaborados</t>
  </si>
  <si>
    <t>4647-1667</t>
  </si>
  <si>
    <t>4488-2998</t>
  </si>
  <si>
    <t>4647-1960</t>
  </si>
  <si>
    <t>VARGAS R S.R.L.</t>
  </si>
  <si>
    <t>Aislación, paneles, acústica, sonido</t>
  </si>
  <si>
    <t>Santiago Novarino</t>
  </si>
  <si>
    <t>11 6257-7858</t>
  </si>
  <si>
    <t>Andres Sabater</t>
  </si>
  <si>
    <t>11 6459-8682</t>
  </si>
  <si>
    <t>bruit.com.ar</t>
  </si>
  <si>
    <t>BRUMATEX S.R.L.</t>
  </si>
  <si>
    <t>Confección de prendas de vestir N.C.P., excepto prendas de piel, cuero y de punto</t>
  </si>
  <si>
    <t>VAUTOMAT S.R.L.</t>
  </si>
  <si>
    <t>4759-9155</t>
  </si>
  <si>
    <t>4734-9376</t>
  </si>
  <si>
    <t>BRUNO FACUNDO OSVALDO</t>
  </si>
  <si>
    <t>Fabricación de tejidos de punto</t>
  </si>
  <si>
    <t>4750-3723</t>
  </si>
  <si>
    <t>4716-1002</t>
  </si>
  <si>
    <t>BRUSCO RAUL ALBERTO (DISTRIBUIDORA GASTÓN)</t>
  </si>
  <si>
    <t>Ntra. Sra de Loreto</t>
  </si>
  <si>
    <t>Encuadernación con sistema de espiral y  sistema ring wire o de anillo doble de alambre</t>
  </si>
  <si>
    <t>Gaston</t>
  </si>
  <si>
    <t>VDM LOGISTICS</t>
  </si>
  <si>
    <t>4712-2401</t>
  </si>
  <si>
    <t>11 6962-2655</t>
  </si>
  <si>
    <t>http://www.distrigaston.com.ar/index.php</t>
  </si>
  <si>
    <t>Ramallo</t>
  </si>
  <si>
    <t>Fabricación de maquinaria para envasado de líquidos y para la elaboración de alimentos, bebidas y tabaco</t>
  </si>
  <si>
    <t>Fabricación de máquinas de embotellado</t>
  </si>
  <si>
    <t>VEMAR S.A. METALURGICA (ELECTROSTYLE)</t>
  </si>
  <si>
    <t>Aquiles Comacchio (Presidente)</t>
  </si>
  <si>
    <t>11 5577-1450</t>
  </si>
  <si>
    <t>Federico Comacchio</t>
  </si>
  <si>
    <t>11 5577-1451</t>
  </si>
  <si>
    <t>11 2197-8647</t>
  </si>
  <si>
    <t>4716-1892</t>
  </si>
  <si>
    <t>6089-2584 | 4750-6447</t>
  </si>
  <si>
    <t>https://bscargentina.com/</t>
  </si>
  <si>
    <t>BUACAR DIN S.R.L.</t>
  </si>
  <si>
    <t>Fabricación de instrumentos y aparatos para medir, verificar, ensayar, navegar y otros fines, excepto el equipo de control de procesos industriales</t>
  </si>
  <si>
    <t>Raul buacar</t>
  </si>
  <si>
    <t>VERONICA ANALÍA PERRI (BROCHAS PERRI)</t>
  </si>
  <si>
    <t>11 5177-4440</t>
  </si>
  <si>
    <t>LLovet Stok (Socio)</t>
  </si>
  <si>
    <t>11 4992-3423</t>
  </si>
  <si>
    <t>4653-2621</t>
  </si>
  <si>
    <t>15 5177-4440</t>
  </si>
  <si>
    <t>https://www.buacar.com.ar/</t>
  </si>
  <si>
    <t>BUJIAS HESCHER (BR GROUP S.R.L)</t>
  </si>
  <si>
    <t>Bujias</t>
  </si>
  <si>
    <t>VICTOR EDUARDO SIMO S.A. (QUIMICA SIMO)</t>
  </si>
  <si>
    <t>4716-0324</t>
  </si>
  <si>
    <t>11 5427-8769</t>
  </si>
  <si>
    <t>https://www.bujiashescher.com.ar/</t>
  </si>
  <si>
    <t>BUKALFA S.A.</t>
  </si>
  <si>
    <t>Melian</t>
  </si>
  <si>
    <t>29 1452-1871</t>
  </si>
  <si>
    <t>VILLALBA HNOS IMPLANTES  S.A.</t>
  </si>
  <si>
    <t>BUKAVALEBH S.A.</t>
  </si>
  <si>
    <t>Carlos Daniel Acosta Jacquet</t>
  </si>
  <si>
    <t>No encontrado / @buka_constructora</t>
  </si>
  <si>
    <t xml:space="preserve">Confección de prendas de vestir N.C.P., excepto prendas de piel, cuero y de punto.  
                                                </t>
  </si>
  <si>
    <t>VIP LABEL S.R.L.</t>
  </si>
  <si>
    <t>Servicios de bordados</t>
  </si>
  <si>
    <t>Gustavo</t>
  </si>
  <si>
    <t>4759-2306</t>
  </si>
  <si>
    <t>4734-0631</t>
  </si>
  <si>
    <t>4716-9682</t>
  </si>
  <si>
    <t>BURTACCIO JOSE ROQUE (JRB METALURGICA)</t>
  </si>
  <si>
    <t>José Roque Burtaccio (Socio Gerente)</t>
  </si>
  <si>
    <t>15 4027-6958</t>
  </si>
  <si>
    <t>Cristian Loureiro (Jefe de plante)</t>
  </si>
  <si>
    <t>15 6094-0323</t>
  </si>
  <si>
    <t>4842 7776</t>
  </si>
  <si>
    <t>WORREN TEXTIL S.R.L.</t>
  </si>
  <si>
    <t>BUSACCA HERMANOS S.R.L.</t>
  </si>
  <si>
    <t>Mendoza</t>
  </si>
  <si>
    <t>Elaboración de aluminio primario y semielaborados de aluminio</t>
  </si>
  <si>
    <t>4769-8469</t>
  </si>
  <si>
    <t>C H AMOBLAMIENTOS S.R.L.</t>
  </si>
  <si>
    <t>Fabricacion de muebles y partes de muebles, principalmente de madera</t>
  </si>
  <si>
    <t>XIPAP S.A.</t>
  </si>
  <si>
    <t>https://www.instagram.com/ch.amoblamientos/</t>
  </si>
  <si>
    <t>Liliana | Alejandra Chomich</t>
  </si>
  <si>
    <t>11 5473-1352</t>
  </si>
  <si>
    <t>4656-8395 | 4656-2217</t>
  </si>
  <si>
    <t>4716-1721</t>
  </si>
  <si>
    <t>C J V S.A.</t>
  </si>
  <si>
    <t>YERRY S.R.L.</t>
  </si>
  <si>
    <t>Ricardo Cecotti</t>
  </si>
  <si>
    <t>4394-9128</t>
  </si>
  <si>
    <t>C Y S CONSTRUCCIONES S.R.L.</t>
  </si>
  <si>
    <t>Consultora y constructora</t>
  </si>
  <si>
    <t>ZAPAS S.R.L. (VICUS)</t>
  </si>
  <si>
    <t>11 4500-8174</t>
  </si>
  <si>
    <t>http://www.consultoracys.com/</t>
  </si>
  <si>
    <t>CABESTI S.R.L.</t>
  </si>
  <si>
    <t>Fabricación de equipo de control de procesos industriales</t>
  </si>
  <si>
    <t>Fabricación de aparatos e instrumentos para medir, verificar, ensayar, navegar y otros fines, excepto instrumentos de óptica » industria manufacturera</t>
  </si>
  <si>
    <t>Fernando Fabian</t>
  </si>
  <si>
    <t>ZEN INGENIERIA S.R.L.</t>
  </si>
  <si>
    <t>Cecilia</t>
  </si>
  <si>
    <t>47394478/80</t>
  </si>
  <si>
    <t>http://www.cabestisrl.com.ar/</t>
  </si>
  <si>
    <t>CADIEM S.R.L.</t>
  </si>
  <si>
    <t>Construcción de obras de ingeniería civil N.C.P. (Incluye los trabajos generales de construcción para la minería y la industria, de centrales eléctricas y nucleares, excavaciones d</t>
  </si>
  <si>
    <t>B2B, DIC</t>
  </si>
  <si>
    <t>Servicios de consultoría laboratorio, diseño, ingeniería.</t>
  </si>
  <si>
    <t>4757-2992</t>
  </si>
  <si>
    <t>4757-9093</t>
  </si>
  <si>
    <t>http://www.cadiem.com.ar/index.html</t>
  </si>
  <si>
    <t>GALVANOPLASTIA STRANO</t>
  </si>
  <si>
    <t>CALABRESE JUAN ANTONIO Y TROIANO ROBERTO LUIS SOC. H.</t>
  </si>
  <si>
    <t>Wenceslao Paunero</t>
  </si>
  <si>
    <t>4734-8435</t>
  </si>
  <si>
    <t>4734-5180</t>
  </si>
  <si>
    <t>CALIZAR S.R.L.</t>
  </si>
  <si>
    <t>Viamonte</t>
  </si>
  <si>
    <t>DUBRA SRL</t>
  </si>
  <si>
    <t>Fabricación de Envases Plásticos</t>
  </si>
  <si>
    <t>4750-4117</t>
  </si>
  <si>
    <t>4750-2690</t>
  </si>
  <si>
    <t>CALLEJA SEBASTIAN ALEJANDRO</t>
  </si>
  <si>
    <t>Pablo Giorello</t>
  </si>
  <si>
    <t>Venta al por mayor de articulos de relojería, joyería y fantasías</t>
  </si>
  <si>
    <t>4222-2222</t>
  </si>
  <si>
    <t>EXPOYER SA</t>
  </si>
  <si>
    <t>CALO HNOS S.R.L.</t>
  </si>
  <si>
    <t>Muñoz</t>
  </si>
  <si>
    <t>4657-2000</t>
  </si>
  <si>
    <t>CALQUI S.R.L.</t>
  </si>
  <si>
    <t>Cuevas</t>
  </si>
  <si>
    <t>Fabricación y Reparación de Maquinaria y Equipo para las Industrias no clasificadas en otra parte excepto la maquinaria para Trabajar los Metales y la Madera</t>
  </si>
  <si>
    <t>CONELEC DE SOJO FABIAN</t>
  </si>
  <si>
    <t>40-5035</t>
  </si>
  <si>
    <t>Fabricación de hornos; hogares y quemadores</t>
  </si>
  <si>
    <t>Crematorios, incineradores y hornos termicos</t>
  </si>
  <si>
    <t>Martín Morales</t>
  </si>
  <si>
    <t>11 5584-1300</t>
  </si>
  <si>
    <t>11 4759- 0364</t>
  </si>
  <si>
    <t>4759-0362</t>
  </si>
  <si>
    <t>http://www.caltec.com.ar/</t>
  </si>
  <si>
    <t>ALAMBRADOS JOFIS (JOSEFINA PEREYRA)</t>
  </si>
  <si>
    <t>CALZADO FROF S.R.L.</t>
  </si>
  <si>
    <t>Calzados</t>
  </si>
  <si>
    <t>4658-2340 | 4656-4839</t>
  </si>
  <si>
    <t>CALZADOS MOM S.A.</t>
  </si>
  <si>
    <t>Alianza</t>
  </si>
  <si>
    <t>BAITEX BORDADOS Y CONFECCIONES DE CARLOS DANIEL SARTI</t>
  </si>
  <si>
    <t>4647-3183</t>
  </si>
  <si>
    <t>4647-1188</t>
  </si>
  <si>
    <t>Fabricacion de calzado de cuero, excepto calzado deportivo y ortopédico.</t>
  </si>
  <si>
    <t>Federico</t>
  </si>
  <si>
    <t>Ruben Lomlomdjian</t>
  </si>
  <si>
    <t>4734-0305</t>
  </si>
  <si>
    <t>VITROWALL 2023 SRL</t>
  </si>
  <si>
    <t>CALZADOS WALMAR S.R.L.</t>
  </si>
  <si>
    <t>Libertad</t>
  </si>
  <si>
    <t>4769-7911</t>
  </si>
  <si>
    <t>http://calzadoswalmarsrl.wixsite.com/argentina/calzado</t>
  </si>
  <si>
    <t>CAM - PACK S.A.</t>
  </si>
  <si>
    <t>Av. Eva Perón</t>
  </si>
  <si>
    <t>MAPS DECOR</t>
  </si>
  <si>
    <t>4848-4116</t>
  </si>
  <si>
    <t>CAMDESS S.R.L.</t>
  </si>
  <si>
    <t>Fabricación de Productos Plásticos en Formas Básicas y artículos de Plástico N.C.P., excepto Muebles</t>
  </si>
  <si>
    <t>4653-9923</t>
  </si>
  <si>
    <t>CAMIDE SEGURIDAD S.R.L.</t>
  </si>
  <si>
    <t>DISTRIBUIDORA LISBOA SA</t>
  </si>
  <si>
    <t>Servicios empresariales N.C.P.</t>
  </si>
  <si>
    <t>Nilbio Cabrera Soca</t>
  </si>
  <si>
    <t>CAMPAGNA HERMANOS JOSE Y VICTOR CAMPAGNA</t>
  </si>
  <si>
    <t>4750-8381</t>
  </si>
  <si>
    <t>VALENA SRL</t>
  </si>
  <si>
    <t>CAMPARO JOSE MARIA Y CAMPARO OSVALDO FABIAN</t>
  </si>
  <si>
    <t>4657-8902</t>
  </si>
  <si>
    <t>CAN BER HERRAJES S.R.L. (CAN BER)</t>
  </si>
  <si>
    <t>ELISIO LUIS ALBERTO</t>
  </si>
  <si>
    <t>4759-7810</t>
  </si>
  <si>
    <t>11 3568-0458</t>
  </si>
  <si>
    <t>11 5195-3372</t>
  </si>
  <si>
    <t>www.canberherrajes.com.ar</t>
  </si>
  <si>
    <t>CANCINO RENE PRINCIPI JUAN</t>
  </si>
  <si>
    <t>Cabildo</t>
  </si>
  <si>
    <t>4488-7214</t>
  </si>
  <si>
    <t>HERRAJES  FL - DE LUNA FABIAN</t>
  </si>
  <si>
    <t>CANDEX S.R.L.</t>
  </si>
  <si>
    <t>Fabricación de cerraduras y cerrojos de seguridad</t>
  </si>
  <si>
    <t>11 4750-5467</t>
  </si>
  <si>
    <t>11 4759-3793</t>
  </si>
  <si>
    <t>4734-1042</t>
  </si>
  <si>
    <t>https://candex.com.ar/</t>
  </si>
  <si>
    <t>ALUMINIOS CENTENARIO PINTURAS SRL</t>
  </si>
  <si>
    <t>fabricación de acc para redes cloacales e hidráulicas</t>
  </si>
  <si>
    <t>Julian Fernandez</t>
  </si>
  <si>
    <t>11 6724-2374</t>
  </si>
  <si>
    <t>4757-6004</t>
  </si>
  <si>
    <t>4757-3204</t>
  </si>
  <si>
    <t>http://www.canopol.com/</t>
  </si>
  <si>
    <t>CANOS S.A.</t>
  </si>
  <si>
    <t>Boqueron</t>
  </si>
  <si>
    <t>HILMER VERA DIAZ y RUALDO FEDERICO DE LA CRUZ CORDERO SS</t>
  </si>
  <si>
    <t>Construcción, Reforma y Reparación de Edificios no Residenciales (incluye construcción, reforma y reparación de restaurantes, bares, campamentos, bancos, oficinas, galerías comerciales, estaciones de servicio, edificios para tráfico y comunicaciones, garajes, edificios industriales y depósitos, escuelas, etc.)</t>
  </si>
  <si>
    <t>4644-1930</t>
  </si>
  <si>
    <t>CANTAMESSA HERRAMIENTAS S.R.L. (EXTRAPOL HERRAMIENTAS)</t>
  </si>
  <si>
    <t>Padre Carranza</t>
  </si>
  <si>
    <t>Herramientas</t>
  </si>
  <si>
    <t>GRATANI MARCELO E. y GRATANI EDUARDO  D.</t>
  </si>
  <si>
    <t>11 2508-5666</t>
  </si>
  <si>
    <t>11 6254-3128</t>
  </si>
  <si>
    <t>https://www.extrapol.com.ar/</t>
  </si>
  <si>
    <t>CANTON HNOS S.R.L. (CANTON METALWORK S.A.)</t>
  </si>
  <si>
    <t>Fabricación de Cerraduras, Herrajes y artículos de Ferretería N.C.P.</t>
  </si>
  <si>
    <t>MARCOLINI Y RAMONEDA SAIYC</t>
  </si>
  <si>
    <t>4750-2040</t>
  </si>
  <si>
    <t>11 2527-1719</t>
  </si>
  <si>
    <t>https://cantonmetalwork.com.ar/</t>
  </si>
  <si>
    <t>CANTON METALWORK S.A.</t>
  </si>
  <si>
    <t>España</t>
  </si>
  <si>
    <t>Bisagras, carteles</t>
  </si>
  <si>
    <t>HERNAN GOMEZ PERAZZO</t>
  </si>
  <si>
    <t>4750-0396 / 4750-3963</t>
  </si>
  <si>
    <t>http://www.cantonmetalwork.com.ar/</t>
  </si>
  <si>
    <t>CAÑOS BRAGANZA S.A.</t>
  </si>
  <si>
    <t>Caños de acero al carbono, con y sin costura, accesorios de acero, bridas, niples y
más productos</t>
  </si>
  <si>
    <t>11 3202-4411</t>
  </si>
  <si>
    <t>4734-5550</t>
  </si>
  <si>
    <t>https://braganza.com.ar/</t>
  </si>
  <si>
    <t>LUCIO ElVIRA</t>
  </si>
  <si>
    <t>CAÑOS PALACIOS S.R.L.</t>
  </si>
  <si>
    <t>25 de Mayo</t>
  </si>
  <si>
    <t>Laminación y estirado. Producción de lingotes, planchas o barras fabricadas por operadores independientes</t>
  </si>
  <si>
    <t>11 4653-8697</t>
  </si>
  <si>
    <t>11 4653-1300</t>
  </si>
  <si>
    <t>https://guiademantenimiento.com/canos-palacios</t>
  </si>
  <si>
    <t>JUGUETES PERDIDOS CERVEZA</t>
  </si>
  <si>
    <t>CAPELLI ANDRES LUIS (COMPRESORES BOLOGNA)</t>
  </si>
  <si>
    <t>fabricacion de compresores de aire</t>
  </si>
  <si>
    <t>Matias</t>
  </si>
  <si>
    <t>4653-2645</t>
  </si>
  <si>
    <t>https://compresoresbologna.com.ar/</t>
  </si>
  <si>
    <t>IANNINO PABLO (SPLENDOR VIRUTA DE ACERO )</t>
  </si>
  <si>
    <t>Fray Mamerto Esquiú</t>
  </si>
  <si>
    <t>Oscar Alberto Carballo</t>
  </si>
  <si>
    <t>15 4997-1705 | 15 3676-0175</t>
  </si>
  <si>
    <t>4750-8615</t>
  </si>
  <si>
    <t>4759-7405</t>
  </si>
  <si>
    <t>ww.steelflowers.com.ar</t>
  </si>
  <si>
    <t>CARBONE AUTOELEVADORES S.A.</t>
  </si>
  <si>
    <t>Venta al por mayor de máquinas, equipos e implementos de uso especial N.C.P., (Incluye motoniveladoras, excavadoras, palas mecánicas, perforadoras-percutoras, etc.)</t>
  </si>
  <si>
    <t>Venta, alquiler y servicio de repuestos para autoelevadores, apiladores y equipos para el movimiento y estiba</t>
  </si>
  <si>
    <t>FLORENCIA TORRES</t>
  </si>
  <si>
    <t xml:space="preserve">Mariela Mazzei </t>
  </si>
  <si>
    <t>11 5727-3401</t>
  </si>
  <si>
    <t>Candela Badano</t>
  </si>
  <si>
    <t>4734-2444 INT. 152</t>
  </si>
  <si>
    <t>11-5727-3401</t>
  </si>
  <si>
    <t>11-5885-7393</t>
  </si>
  <si>
    <t>11-5769-2134</t>
  </si>
  <si>
    <t>https://carboneaut.com.ar/</t>
  </si>
  <si>
    <t>CARBOSEAL S.A.</t>
  </si>
  <si>
    <t xml:space="preserve">Eduardo Comesaña </t>
  </si>
  <si>
    <t>Carbones antifriccion, sellos mecanicos, juntas rotativas, etc.</t>
  </si>
  <si>
    <t>GRUPO CASE ABERTURAS SAN JOSE SA</t>
  </si>
  <si>
    <t>11 2066-4300</t>
  </si>
  <si>
    <t>11 2057-0025</t>
  </si>
  <si>
    <t>https://www.carboseal.com.ar/</t>
  </si>
  <si>
    <t>CARCEDO HNOS S.R.L.</t>
  </si>
  <si>
    <t>Hugo Gioria</t>
  </si>
  <si>
    <t>4488-2756</t>
  </si>
  <si>
    <t>4653-7414 | 4653-8838</t>
  </si>
  <si>
    <t>4653-2917</t>
  </si>
  <si>
    <t>CARDINI JULIO CESAR</t>
  </si>
  <si>
    <t>IRIARTE MARCELA PAULA E IRIARTE ANDREA PAULA SOCIEDAD DE HECHO</t>
  </si>
  <si>
    <t>Pedro José Luis Zavatarro</t>
  </si>
  <si>
    <t>4070 Piso:PB</t>
  </si>
  <si>
    <t>Investigación y desarrollo experimental en el campo de las ciencias exactas y naturales N.C.P.</t>
  </si>
  <si>
    <t>4759-2562</t>
  </si>
  <si>
    <t>CARFLEX S.R.L.</t>
  </si>
  <si>
    <t>Fabricación de equipo médico y quirúrgico y de aparatos ortopédicos N.C.P. (Incluye prótesis, aparatos ortopédicos, materiales para fracturas, etc.)</t>
  </si>
  <si>
    <t>Articulos de ortopedia y equipamiento hospitalario</t>
  </si>
  <si>
    <t>11 3423-0706</t>
  </si>
  <si>
    <t>11 4177-1501</t>
  </si>
  <si>
    <t>http://www.carflex.com.ar/</t>
  </si>
  <si>
    <t>LEANDRO EZEQUIEL SANDOVAL LUIZAGA</t>
  </si>
  <si>
    <t>CARGIULO NATALIA Y VACCARO EDUARDO S.H.</t>
  </si>
  <si>
    <t>4712-6413</t>
  </si>
  <si>
    <t>4712-6412</t>
  </si>
  <si>
    <t>BROCOL SA</t>
  </si>
  <si>
    <t>CARGO WAY S.R.L.</t>
  </si>
  <si>
    <t>Transporte Automotor de Cargas N.C.P.</t>
  </si>
  <si>
    <t>4653-3794</t>
  </si>
  <si>
    <t>CARO'S DIVISORES S.R.L.</t>
  </si>
  <si>
    <t>METALURGICA MAN DE  SOLDI GERMAN</t>
  </si>
  <si>
    <t>4713-6366</t>
  </si>
  <si>
    <t>http://www.carosdivisores.com.ar/index.html</t>
  </si>
  <si>
    <t>CARPEAL S.R.L.</t>
  </si>
  <si>
    <t>Granaderos</t>
  </si>
  <si>
    <t>Colocación de cristales en obra (Incluye la instalación y revestimiento de vidrio, espejos y otros artículos de vidrio, etc.)</t>
  </si>
  <si>
    <t>Carpintería de aluminio, vidrios y cortinas</t>
  </si>
  <si>
    <t>OLIVART DANIEL Y OLIVART ANDRES SH</t>
  </si>
  <si>
    <t>4488-7840</t>
  </si>
  <si>
    <t>4488-4415</t>
  </si>
  <si>
    <t>4160-0793</t>
  </si>
  <si>
    <t>https://www.carpeal.com/</t>
  </si>
  <si>
    <t>CARPINTERIA AZCUENAGA S.R.L.</t>
  </si>
  <si>
    <t>CONTROL SAT GROUP SA</t>
  </si>
  <si>
    <t>4750-6033</t>
  </si>
  <si>
    <t>CARPINTERIA DE FRANCO S.R.L.</t>
  </si>
  <si>
    <t>Fabricación de productos de madera N.C.P.; fabricación de artículos de paja y materiales trenzables (Incluye enmarcado de cuadros, carpintería cuando no explicita especialidad)</t>
  </si>
  <si>
    <t>www.juegosdefranco.com.ar</t>
  </si>
  <si>
    <t xml:space="preserve">MARTIN MAXIMILIANO D´UBANO ZUGARRAMURDI </t>
  </si>
  <si>
    <t>CARPINTERIA Y ESTRUCTURAS METALICAS S.R.L. (Industria CEM)</t>
  </si>
  <si>
    <t>Ruta Nacional 8</t>
  </si>
  <si>
    <t>Construcción en seco</t>
  </si>
  <si>
    <t>4739-9295</t>
  </si>
  <si>
    <t>http://www.industriacem.com.ar/</t>
  </si>
  <si>
    <t>SOSA FELIX ALBERTO</t>
  </si>
  <si>
    <t>CARPINTERIAS POSRU S.R.L.</t>
  </si>
  <si>
    <t>2194-3608</t>
  </si>
  <si>
    <t>4653-0727</t>
  </si>
  <si>
    <t>CARRIZO LUIS RICARDO</t>
  </si>
  <si>
    <t>AQUA EASE SA</t>
  </si>
  <si>
    <t>Rectificación de motores. Mantenimiento y reparación del motor N.C.P., mecánica integral</t>
  </si>
  <si>
    <t>Rectificacion de motores</t>
  </si>
  <si>
    <t>4759-6358</t>
  </si>
  <si>
    <t>CARSETTI MAXIMILIANO</t>
  </si>
  <si>
    <t>Cochabamba</t>
  </si>
  <si>
    <t xml:space="preserve">ACEROS FARIÑA SRL </t>
  </si>
  <si>
    <t>Servicios relacionados con la electrónica y las comunicaciones</t>
  </si>
  <si>
    <t>5755-0851</t>
  </si>
  <si>
    <t>CARTELES DEMA S.R.L.</t>
  </si>
  <si>
    <t>Genova</t>
  </si>
  <si>
    <t>4653-7672</t>
  </si>
  <si>
    <t>CARTER PACK S.R.L.</t>
  </si>
  <si>
    <t>SIME ARGENTINA S H DE VERNIERI ALBERTO OSCAR Y VERNIERI HORACIO</t>
  </si>
  <si>
    <t>Saavedra</t>
  </si>
  <si>
    <t>Servicios de envase y empaque</t>
  </si>
  <si>
    <t>011 4653-5748</t>
  </si>
  <si>
    <t>CARTOBOX S.R.L.</t>
  </si>
  <si>
    <t xml:space="preserve">DAMIAN ALEJANDRODE RITO </t>
  </si>
  <si>
    <t>Cajas rigidas y cajas plegables</t>
  </si>
  <si>
    <t>Amelia</t>
  </si>
  <si>
    <t>15 4023-7258</t>
  </si>
  <si>
    <t>11 4006-4830</t>
  </si>
  <si>
    <t>4657-8196</t>
  </si>
  <si>
    <t>4653-3439</t>
  </si>
  <si>
    <t>http://cartobox.com.ar/#!/-bienvenido/</t>
  </si>
  <si>
    <t>CARTONERIA SARMIENTO S.A.C.I.F.I.E.F.</t>
  </si>
  <si>
    <t>PROSILU SRL</t>
  </si>
  <si>
    <t>Fabricación de Artículos de Pulpa Papel y Cartón no clasificados en otra parte</t>
  </si>
  <si>
    <t>4657-3810</t>
  </si>
  <si>
    <t>CASA ARGA SOCIEDAD DE RESPONSABILIDAD LIMITADA</t>
  </si>
  <si>
    <t>ALVAREZ MAXIMILIANO CARLOS</t>
  </si>
  <si>
    <t>Maria Rosa Argelaga</t>
  </si>
  <si>
    <t>11 3058-8580</t>
  </si>
  <si>
    <t>4657-8987</t>
  </si>
  <si>
    <t>4488-3549</t>
  </si>
  <si>
    <t>http://casaargasrl.com.ar/</t>
  </si>
  <si>
    <t>ELETRES SRL</t>
  </si>
  <si>
    <t>CASA MURI S.R.L.</t>
  </si>
  <si>
    <t>Fabricación y reparación de maquinaria y equipo para la construcción</t>
  </si>
  <si>
    <t>4653-2732</t>
  </si>
  <si>
    <t>eduardol@fiorenzabike.com.ar</t>
  </si>
  <si>
    <t>CASA ZAGAGLIA S.A.</t>
  </si>
  <si>
    <t>TOMAS DAVID FERNANDEZ</t>
  </si>
  <si>
    <t>4654-5408</t>
  </si>
  <si>
    <t>CASCALA S.A.</t>
  </si>
  <si>
    <t>tuberabosch@gmail.com</t>
  </si>
  <si>
    <t>FLAG MUEBLES</t>
  </si>
  <si>
    <t>Fijaciones,Tornillos,Remaches,Tornillos Para Metales,Tornillos Aterrajadores,Navales, Herrajes,Tornillos Milimetricos,Tornillos Allen De Acero Inoxidable,Tornillos De Bronce,Tornillos Especiales,Bulones,Tornillos Para Chapa</t>
  </si>
  <si>
    <t>Cesar Catanese</t>
  </si>
  <si>
    <t>4759-9411</t>
  </si>
  <si>
    <t>4750-4516</t>
  </si>
  <si>
    <t>CASEFA S.R.L.</t>
  </si>
  <si>
    <t>Panama</t>
  </si>
  <si>
    <t>Jorge Leonardo Palopoli</t>
  </si>
  <si>
    <t>4751-1716</t>
  </si>
  <si>
    <t>CASER GOM S.R.L.</t>
  </si>
  <si>
    <t>CONTRERAS LUIS ANGEL</t>
  </si>
  <si>
    <t>11 4757-8343</t>
  </si>
  <si>
    <t>4712-0227</t>
  </si>
  <si>
    <t>CASEROS GNC S.R.L.</t>
  </si>
  <si>
    <t>Tanques GNC para autos</t>
  </si>
  <si>
    <t>11 3340-8717</t>
  </si>
  <si>
    <t>4750-2756</t>
  </si>
  <si>
    <t>https://www.instagram.com/gnccaseros/?hl=es</t>
  </si>
  <si>
    <t>Blue Steel. Soluciones</t>
  </si>
  <si>
    <t>CASEROS MEDICA S.R.L.</t>
  </si>
  <si>
    <t>Servicios de consulta médica (incluye las actividades de establecimientos sin internación o cuyos servicios se desarrollen en unidades independientes a las de internación: consultorios médicos, servicios de medicina laboral)</t>
  </si>
  <si>
    <t>4734-6201</t>
  </si>
  <si>
    <t>4734-6193</t>
  </si>
  <si>
    <t>4734-2525</t>
  </si>
  <si>
    <t>Sillones Deco PB</t>
  </si>
  <si>
    <t>Filtros de aire</t>
  </si>
  <si>
    <t>Ing. Daniel Nonino | Joaquin Cirio | Diego Mieres</t>
  </si>
  <si>
    <t>11 4189-8296 | 11 6939-4747</t>
  </si>
  <si>
    <t>Patricia Zeljeznak</t>
  </si>
  <si>
    <t>11 3557-8788</t>
  </si>
  <si>
    <t>4750-0051</t>
  </si>
  <si>
    <t>1156-4447 (Ignacio Novelli)</t>
  </si>
  <si>
    <t>https://casiba.ar/</t>
  </si>
  <si>
    <t>CASSINA HNOS S.C.A.</t>
  </si>
  <si>
    <t>Ortopedia Bernat SRL</t>
  </si>
  <si>
    <t>4653-3609</t>
  </si>
  <si>
    <t>Santa Rosalia</t>
  </si>
  <si>
    <t>Elaboración de productos alimenticios N.C.P. , preparación de conservas de frutas, hortalizas y legumbres</t>
  </si>
  <si>
    <t>Aceitunas, pickles</t>
  </si>
  <si>
    <t>FMB (BURGOS ALBERTO MARCELO CUIL)</t>
  </si>
  <si>
    <t>Néstor Ignacio Lo Tauro</t>
  </si>
  <si>
    <t>11 4448-3396</t>
  </si>
  <si>
    <t>Analia Lo Tauro</t>
  </si>
  <si>
    <t>11 4991-5916</t>
  </si>
  <si>
    <t>11 5579-2616 (Ariel Marcelo Lo Tauro)</t>
  </si>
  <si>
    <t>11 4043-3833 (Leandro Marana)</t>
  </si>
  <si>
    <t>15 4474-2905</t>
  </si>
  <si>
    <t>https://olivascastell.com.ar/</t>
  </si>
  <si>
    <t>LABORATORIO MAYANA S.A.S.-</t>
  </si>
  <si>
    <t>Cerraduras, módulo para distribucion a 8 puestos de oxígeno en campaña, porta sueros de pie</t>
  </si>
  <si>
    <t>Alejandro G. Catalano</t>
  </si>
  <si>
    <t>15 5601-8394</t>
  </si>
  <si>
    <t>4750-1292</t>
  </si>
  <si>
    <t>5601-8394</t>
  </si>
  <si>
    <t>http://www.cerradurasabc.com.ar/</t>
  </si>
  <si>
    <t>CATALENT ARGENTINA S.A.I.Y.C.</t>
  </si>
  <si>
    <t>SURAMERICANA DE PLÁSTICOS SOPLADOS S.A.U (stellantis)</t>
  </si>
  <si>
    <t>Fabricación de medicamentos de uso humano y productos farmacéuticos</t>
  </si>
  <si>
    <t>Andres Robledo</t>
  </si>
  <si>
    <t>15 3488-7765</t>
  </si>
  <si>
    <t>Sergio Alter (Vicepresidente)</t>
  </si>
  <si>
    <t>11 6245-1958</t>
  </si>
  <si>
    <t>4008-8400</t>
  </si>
  <si>
    <t>4008-8494</t>
  </si>
  <si>
    <t>4654-6129</t>
  </si>
  <si>
    <t>latam.catalent.com</t>
  </si>
  <si>
    <t>CAUTIO S.R.L.</t>
  </si>
  <si>
    <t>Galileo</t>
  </si>
  <si>
    <t>VAZQUEZ RUBEN DARIO</t>
  </si>
  <si>
    <t>11 4652-3695</t>
  </si>
  <si>
    <t>11-4687-1169</t>
  </si>
  <si>
    <t>http://www.extintoresfadesa.com.ar/es/contactos</t>
  </si>
  <si>
    <t>PETROQUIM S.A.</t>
  </si>
  <si>
    <t>CAVATORI S.R.L.</t>
  </si>
  <si>
    <t>Santos Vega</t>
  </si>
  <si>
    <t>Actividades especializadas de construcción N.C.P.</t>
  </si>
  <si>
    <t>Marmoles</t>
  </si>
  <si>
    <t>Guillermo Idabour</t>
  </si>
  <si>
    <t>11 5763-9001</t>
  </si>
  <si>
    <t>PATTINI HERMANOS S.R.L.</t>
  </si>
  <si>
    <t>CECILU S.R.L. (UNIFORMES ANGELO)</t>
  </si>
  <si>
    <t>Reverenda Madre Isabel Fernandez</t>
  </si>
  <si>
    <t>Ropa de trabajo</t>
  </si>
  <si>
    <t>COLOID S.A.S</t>
  </si>
  <si>
    <t>Francisco</t>
  </si>
  <si>
    <t>4757-3009</t>
  </si>
  <si>
    <t>http://www.uniformesangelo.com.ar/home.php</t>
  </si>
  <si>
    <t>THOMAS STIRLING CAMILO ALEJO</t>
  </si>
  <si>
    <t>CEDEHA S.R.L.</t>
  </si>
  <si>
    <t>Cría de Animales y obtención de Productos de origen Animal N.C.P.</t>
  </si>
  <si>
    <t>Gladys Jimenez</t>
  </si>
  <si>
    <t>HOJAS VERDES S.R.L.</t>
  </si>
  <si>
    <t>4716-9090</t>
  </si>
  <si>
    <t>CELSIUS S.R.L.</t>
  </si>
  <si>
    <t>FLASHOVER EQUIPAMENT SAS</t>
  </si>
  <si>
    <t>QUIMICA ABIQUIM S.A.S.</t>
  </si>
  <si>
    <t>653-6019</t>
  </si>
  <si>
    <t>4488-7727</t>
  </si>
  <si>
    <t>4657-8785</t>
  </si>
  <si>
    <t>https://www.celsiussrl.com.ar/</t>
  </si>
  <si>
    <t>HOLZMAITERS EVA GRISELDA</t>
  </si>
  <si>
    <t>Fabricación de artículos de papel y carón de uso doméstico e higiénico sanitario</t>
  </si>
  <si>
    <t>Papel tissue</t>
  </si>
  <si>
    <t>CASTRO, DANIEL ROBERTO (CARDA GOM)</t>
  </si>
  <si>
    <t>Maximiliano Caceres</t>
  </si>
  <si>
    <t>11 6963-7482</t>
  </si>
  <si>
    <t>4115-8614</t>
  </si>
  <si>
    <t>4115-8674</t>
  </si>
  <si>
    <t>4115-8724</t>
  </si>
  <si>
    <t>www.celulosabaraderosa.com.ar/</t>
  </si>
  <si>
    <t xml:space="preserve">No </t>
  </si>
  <si>
    <t>CEMENTAL ARGENTINA S.A.</t>
  </si>
  <si>
    <t>BENITEZ OSVALDO RICARDO</t>
  </si>
  <si>
    <t>4757-7261</t>
  </si>
  <si>
    <t>PASTA &amp; FOOD S.A.</t>
  </si>
  <si>
    <t>CEMENTAL S.A.</t>
  </si>
  <si>
    <t>IMPRESIONES FLEXOGRAFICAS S.R.L.</t>
  </si>
  <si>
    <t>CENGA S.A.</t>
  </si>
  <si>
    <t>BLOCCATO S.R.L.</t>
  </si>
  <si>
    <t>4653-3142</t>
  </si>
  <si>
    <t>4657-8751</t>
  </si>
  <si>
    <t>CENTRAL RED</t>
  </si>
  <si>
    <t>Chile</t>
  </si>
  <si>
    <t>JORGE MIRAVALLES</t>
  </si>
  <si>
    <t>Fabrica de redes sogas e hilos</t>
  </si>
  <si>
    <t>Gaston Obholz</t>
  </si>
  <si>
    <t>11 6287-3432</t>
  </si>
  <si>
    <t>11-4170-1846</t>
  </si>
  <si>
    <t>5365-6064</t>
  </si>
  <si>
    <t>https://centralred.com.ar/</t>
  </si>
  <si>
    <t>DIAZ NORBERTO</t>
  </si>
  <si>
    <t>CENTRALMEC S.R.L.</t>
  </si>
  <si>
    <t>Del Kaiser</t>
  </si>
  <si>
    <t>GENESIS BAG SA.-</t>
  </si>
  <si>
    <t>Tornería mecánica</t>
  </si>
  <si>
    <t>11 4842-7822</t>
  </si>
  <si>
    <t>https://www.instagram.com/torneriacentralmec/?hl=es-la</t>
  </si>
  <si>
    <t>ajofre@liquid-bag.com / drivero@liquid-bag.com</t>
  </si>
  <si>
    <t>SP FILTRACIONES DE FLUIDOS S.A.</t>
  </si>
  <si>
    <t>CENTRO CARROCERO CORWIN S.A</t>
  </si>
  <si>
    <t>Fabricación de carrocerías para vehículos automotores y fabricación de remolques y semirremolques</t>
  </si>
  <si>
    <t>4759-6288</t>
  </si>
  <si>
    <t>BRAGA ALICIA BEATRIZ ( METALURGICA JORGE)</t>
  </si>
  <si>
    <t>4759-6494</t>
  </si>
  <si>
    <t>http://www.corwin.com.ar/contacto.htm</t>
  </si>
  <si>
    <t>CENTRO CARROCERO CORWIN S.A. (BIMET)</t>
  </si>
  <si>
    <t>INDUSTRIA METALURGICA LH S.R.L.-</t>
  </si>
  <si>
    <t>Fabricación de carrocerías para vehículos automotores; fabricación de remolques y semirremolques</t>
  </si>
  <si>
    <t>Carrocerías para el transporte de pasajeros</t>
  </si>
  <si>
    <t>4460-1505</t>
  </si>
  <si>
    <t>https://www.bimet.net/</t>
  </si>
  <si>
    <t>PANDIANI WALTER HUGO</t>
  </si>
  <si>
    <t>CEOFIC S.A.</t>
  </si>
  <si>
    <t>Fabricación de muebles y partes de muebles, excepto los que son principalmente de madera (metal, plástico, etc.)</t>
  </si>
  <si>
    <t>Fábrica de muebles metálicos para oficina y otros usos, corte láser</t>
  </si>
  <si>
    <t>Claudio Quinteros</t>
  </si>
  <si>
    <t>ALCOBENDAS SA-</t>
  </si>
  <si>
    <t>11 6330-5405</t>
  </si>
  <si>
    <t>11 3622-6730</t>
  </si>
  <si>
    <t>11 2332-5449</t>
  </si>
  <si>
    <t>https://www.ceofic.com.ar/</t>
  </si>
  <si>
    <t>FACCIOPANE S.R.L.</t>
  </si>
  <si>
    <t>CERAMICA FINGAL SAIYC</t>
  </si>
  <si>
    <t>Torquinst</t>
  </si>
  <si>
    <t>Fabricación de Productos de Arcilla y Cerámica no Refractaria para uso Estructural N.C.P.</t>
  </si>
  <si>
    <t>Cerámica</t>
  </si>
  <si>
    <t>394-3574</t>
  </si>
  <si>
    <t>IANNELLO, GUSTAVO DOMINGO</t>
  </si>
  <si>
    <t>CERRAMIENTOS 3 DE FEBRERO S.R.L.</t>
  </si>
  <si>
    <t>ALEMAN NORA MIRTA</t>
  </si>
  <si>
    <t>4750-3917</t>
  </si>
  <si>
    <t>4750-4885</t>
  </si>
  <si>
    <t>cerramientos3df.com.ar</t>
  </si>
  <si>
    <t>CERRI CLAUDIO Y CERRI MARCELO S.H. (PLASTICOS CERRI S.H.)</t>
  </si>
  <si>
    <t>Plásticos, tuppers / cajas</t>
  </si>
  <si>
    <t>GIANNECCHINI VICTOR MATIAS</t>
  </si>
  <si>
    <t>15 6679-6022</t>
  </si>
  <si>
    <t>11 5008-7797</t>
  </si>
  <si>
    <t>https://www.plasticoscerri.com/</t>
  </si>
  <si>
    <t>MOGNI JOSE LUIS</t>
  </si>
  <si>
    <t>CARDOZO JOSE LUIS, ESPLUGAS FRANCISCO JOSE, DIAZ MANUEL, DIAZ FERNANDO SOCIEDAD DE HECHO</t>
  </si>
  <si>
    <t>Elaboración de cerveza artesanal</t>
  </si>
  <si>
    <t>Alberto Jose Tortora</t>
  </si>
  <si>
    <t>15 4184-4791</t>
  </si>
  <si>
    <t>4712-9224</t>
  </si>
  <si>
    <t>https://www.instagram.com/bierzuhause/</t>
  </si>
  <si>
    <t>DE NUNZIO JUAN PABLO</t>
  </si>
  <si>
    <t>CESAR GONZALEZ Y CIA S.R.L. (CGC)</t>
  </si>
  <si>
    <t>GROUNDNUT S.R.L.</t>
  </si>
  <si>
    <t>Producción de piezas en serie. Tornería a CNC</t>
  </si>
  <si>
    <t>Cesar Gonzalez Zan</t>
  </si>
  <si>
    <t>4488-0132</t>
  </si>
  <si>
    <t>15 4492-1053</t>
  </si>
  <si>
    <t>https://www.cgcmecanizados.com.ar</t>
  </si>
  <si>
    <t>CEVASCO GUSTAVO EZEQUIEL (MANI EL 32)</t>
  </si>
  <si>
    <t>HERMETICA P.V.C S.R.L</t>
  </si>
  <si>
    <t>Distribucion de distintos tipos de mani tipo snacks</t>
  </si>
  <si>
    <t>11 2154-2500</t>
  </si>
  <si>
    <t>11 4992-9997</t>
  </si>
  <si>
    <t>4488-6943</t>
  </si>
  <si>
    <t>https://maniel32.com.ar/</t>
  </si>
  <si>
    <t>NINA LLANQUE VIDAL</t>
  </si>
  <si>
    <t>CHALTEN AISLACIONES S.A.</t>
  </si>
  <si>
    <t>FULL METAL S.A.</t>
  </si>
  <si>
    <t>11 4750-3055</t>
  </si>
  <si>
    <t>11 4716-6743</t>
  </si>
  <si>
    <t>https://www.grupochalten.com.ar/index.php</t>
  </si>
  <si>
    <t>CARO´S DIVISORES S.R.L.</t>
  </si>
  <si>
    <t>CHAVETAS GALAS S.R.L.</t>
  </si>
  <si>
    <t>Bolivia</t>
  </si>
  <si>
    <t>4716-5010</t>
  </si>
  <si>
    <t>4878-9854</t>
  </si>
  <si>
    <t>DE LA CUETARA HERMANOS S.R.L</t>
  </si>
  <si>
    <t>https://chavetasgalas.com.ar/</t>
  </si>
  <si>
    <t>JIMENEZ DAMIAN EZEQUIEL</t>
  </si>
  <si>
    <t>Fischetti</t>
  </si>
  <si>
    <t>Elaboración de pañales para adultos y perros, y absorbentes higiénicos descartables</t>
  </si>
  <si>
    <t>Pañales y absorbentes</t>
  </si>
  <si>
    <t>Mariano Morelli</t>
  </si>
  <si>
    <t>11 4437-8544</t>
  </si>
  <si>
    <t>Diego Frasson</t>
  </si>
  <si>
    <t>11 5329-3346</t>
  </si>
  <si>
    <t>11 4916-1561</t>
  </si>
  <si>
    <t>SPALLETTI PABLO MATIAS</t>
  </si>
  <si>
    <t>Producción de indumentaria en tejido de punto</t>
  </si>
  <si>
    <t>Laura Lachowski (Dir. Comercial)</t>
  </si>
  <si>
    <t>11 5808-7406</t>
  </si>
  <si>
    <t>Fernando Zommer (Dueño)</t>
  </si>
  <si>
    <t>11 5805-4154</t>
  </si>
  <si>
    <t>4653-4763 | 4653-5867 (int 14 Laura)</t>
  </si>
  <si>
    <t>4653-5867 (int 11 Fernando)</t>
  </si>
  <si>
    <t>https://chilleout.com.ar/</t>
  </si>
  <si>
    <t>EL ASSIR, ELIAS RUBEN</t>
  </si>
  <si>
    <t>CHILLERSYSTEM S.R.L.</t>
  </si>
  <si>
    <t>Instalaciones de gas, agua, sanitarios y de climatización, con sus artefactos conexos (Incluye la instalación de compactadores, calderas, sistemas de calefacción central, etc.)</t>
  </si>
  <si>
    <t>Aires acondicionados y mantenimiento</t>
  </si>
  <si>
    <t>DOHKO LAB SA</t>
  </si>
  <si>
    <t>11 4734-5999</t>
  </si>
  <si>
    <t>https://www.chillersystem.com/</t>
  </si>
  <si>
    <t>CHISAP S.A.</t>
  </si>
  <si>
    <t>MAROMACRI S.A.</t>
  </si>
  <si>
    <t>Elaboración de fiambres y embutidos</t>
  </si>
  <si>
    <t>Comida rapida</t>
  </si>
  <si>
    <t>Santiago Luca</t>
  </si>
  <si>
    <t>(11) 4488-0674</t>
  </si>
  <si>
    <t>Roberto Martín (Director Comercial)</t>
  </si>
  <si>
    <t>15 4997-9602</t>
  </si>
  <si>
    <t>4657-1735 | 4657-3574</t>
  </si>
  <si>
    <t>4842-4064</t>
  </si>
  <si>
    <t>4657-3574/1735 | 4488-5444</t>
  </si>
  <si>
    <t>https://chisap.com/</t>
  </si>
  <si>
    <t>PASTEN MARTIN EZEQUIEL</t>
  </si>
  <si>
    <t>CHITI DARIO ALEJANDRO</t>
  </si>
  <si>
    <t>Cuba</t>
  </si>
  <si>
    <t>LEBENMIX S.A</t>
  </si>
  <si>
    <t>4739-1261</t>
  </si>
  <si>
    <t>CHOMICH GUSTAVO DANIEL Y CHOMICH LILIANA BEATRIZ</t>
  </si>
  <si>
    <t>Fabrican trajes de baño.</t>
  </si>
  <si>
    <t>TINTOESTE SRL</t>
  </si>
  <si>
    <t>4656-8395</t>
  </si>
  <si>
    <t>Tratamientos superficiales anticorrosivos</t>
  </si>
  <si>
    <t>COOL WOOD S.R.L.</t>
  </si>
  <si>
    <t>Gustavo Acevedo</t>
  </si>
  <si>
    <t>15 4145-2174</t>
  </si>
  <si>
    <t>4653-0909</t>
  </si>
  <si>
    <t>4653-8056</t>
  </si>
  <si>
    <t>4488-7219</t>
  </si>
  <si>
    <t>https://chousa.com.ar/</t>
  </si>
  <si>
    <t>CIA DE MAQUINAS Y EQUIPOS S.A.</t>
  </si>
  <si>
    <t>GOAR S.A</t>
  </si>
  <si>
    <t>Pascual Pastorino</t>
  </si>
  <si>
    <t>Alquiler de maquinaria y equipo N.C.P., sin personal</t>
  </si>
  <si>
    <t>4757-0097</t>
  </si>
  <si>
    <t>PORTEÑITO SRL.-</t>
  </si>
  <si>
    <t>CIBAMETIC S.A. (ESMETIC)</t>
  </si>
  <si>
    <t>servicios y obras en todos los rubros civiles, edilicios y afines para empresas</t>
  </si>
  <si>
    <t>11 6639-8139</t>
  </si>
  <si>
    <t>LIBARIAN GABRIEL OHANNES</t>
  </si>
  <si>
    <t>4720-2977</t>
  </si>
  <si>
    <t>https://esmetic.com.ar/</t>
  </si>
  <si>
    <t>CICCARELLI Y LOPEZ S.H.</t>
  </si>
  <si>
    <t>Pastor Luna</t>
  </si>
  <si>
    <t>DROCO SRL</t>
  </si>
  <si>
    <t>4842-3226</t>
  </si>
  <si>
    <t>CIENCIA BIOMEDICA S.R.L.</t>
  </si>
  <si>
    <t>SALINAS JOSÉ CARLOS</t>
  </si>
  <si>
    <t>Reparación y mantenimiento de instrumentos médicos, ópticos y de precisión; equipo fotográfico, aparatos para medir, ensayar o navegar; relojes, excepto para uso personal o domésti</t>
  </si>
  <si>
    <t>4844-7749</t>
  </si>
  <si>
    <t>4759-0201</t>
  </si>
  <si>
    <t>https://grupobiored.com.ar/</t>
  </si>
  <si>
    <t>MOBILARG DE LOBO ALEJANDRO EZEQUIEL Y LOBO NATALIA SOLEDAD S. H</t>
  </si>
  <si>
    <t>CIL SEG S.R.L.</t>
  </si>
  <si>
    <t>(280) 447-4662</t>
  </si>
  <si>
    <t>COOPERATIVA DE TRABAJO BASES DE LEY LIMITADA</t>
  </si>
  <si>
    <t>CIMA S A F I A</t>
  </si>
  <si>
    <t>Fabricación de Envases Metálicos</t>
  </si>
  <si>
    <t>MISTIKA MKT S.R.L</t>
  </si>
  <si>
    <t>4759-3284</t>
  </si>
  <si>
    <t>4750-1528</t>
  </si>
  <si>
    <t>750-1528</t>
  </si>
  <si>
    <t>EUROMEL S.A.</t>
  </si>
  <si>
    <t>Ensayos de laboratorio de hormigones, suelos y todos los materiales relacionados con obras civiles</t>
  </si>
  <si>
    <t>José Tomás Adorno</t>
  </si>
  <si>
    <t>11 6294-4460</t>
  </si>
  <si>
    <t>Humberto Balzamo</t>
  </si>
  <si>
    <t>11  3488-0466</t>
  </si>
  <si>
    <t>11 4757-6985</t>
  </si>
  <si>
    <t>11 5579-4592</t>
  </si>
  <si>
    <t>https://grupocimhe.com/</t>
  </si>
  <si>
    <t>CALTABIANO ALEJANDRO</t>
  </si>
  <si>
    <t>OPTINET S.R.L</t>
  </si>
  <si>
    <t>Fabricación de papel y cartón excepto envases</t>
  </si>
  <si>
    <t>Rollo quimico termico</t>
  </si>
  <si>
    <t>Roberto C. Del Monaco</t>
  </si>
  <si>
    <t>11 3005-3823</t>
  </si>
  <si>
    <t>11 6211-9309</t>
  </si>
  <si>
    <t>11 3221-3237</t>
  </si>
  <si>
    <t>11 6091-4913</t>
  </si>
  <si>
    <t>https://www.cinens.com.ar/</t>
  </si>
  <si>
    <t>EMPRENDIMENTO RUBBERNET S.A</t>
  </si>
  <si>
    <t>CINGOLANI, CINGOLANI Y BAUER S.R.L.</t>
  </si>
  <si>
    <t>4739-6401</t>
  </si>
  <si>
    <t>NUTRASEM SRL</t>
  </si>
  <si>
    <t>CINTAGOM S.R.L. (CINTAGOM S. DE H. DE ENRICH BOSCH Y OTROS)</t>
  </si>
  <si>
    <t>KAMERMAN BRIAN ALAN</t>
  </si>
  <si>
    <t>4734-4009</t>
  </si>
  <si>
    <t>6541-3487</t>
  </si>
  <si>
    <t>4716-5832</t>
  </si>
  <si>
    <t>https://cintagom.com/</t>
  </si>
  <si>
    <t>BERTINI EMILIANO</t>
  </si>
  <si>
    <t>Fabricación de tejidos (telas) planos de fibras textiles N.C.P., incluye hilanderías y tejedurías integradas</t>
  </si>
  <si>
    <t>Fabricación y comercialización de tejido angosto</t>
  </si>
  <si>
    <t>Monica Di Santo</t>
  </si>
  <si>
    <t>11 5496-2508</t>
  </si>
  <si>
    <t>Bibiana</t>
  </si>
  <si>
    <t>11 5572-0291</t>
  </si>
  <si>
    <t>11 5654-5999</t>
  </si>
  <si>
    <t>4750-6797 | 4708-0699 (Monica)</t>
  </si>
  <si>
    <t>4735-2078 | 4766-0754</t>
  </si>
  <si>
    <t>https://cintasindustriales.com/</t>
  </si>
  <si>
    <t>FUENTE DE SILOE S.R.L.</t>
  </si>
  <si>
    <t>CINTOPLOM S.A.C.I.F.I.</t>
  </si>
  <si>
    <t>Ombu</t>
  </si>
  <si>
    <t>METALURGICA METALTEC S.R.L</t>
  </si>
  <si>
    <t>Fabricación de Pinturas, Barnices y Productos de Revestimiento Similares, Tintas de Imprenta y Masillas</t>
  </si>
  <si>
    <t>Valentin Silva</t>
  </si>
  <si>
    <t>11 6044-6976</t>
  </si>
  <si>
    <t>4657-1907</t>
  </si>
  <si>
    <t>4657-1903</t>
  </si>
  <si>
    <t>4657-2807 | 628*6393</t>
  </si>
  <si>
    <t>http://www.cintoplompinturas.com.ar/</t>
  </si>
  <si>
    <t>ANYUTILA S.R.L</t>
  </si>
  <si>
    <t>CINTOSUR S.R.L.</t>
  </si>
  <si>
    <t>Fabricación de accesorios de vestir de cuero</t>
  </si>
  <si>
    <t>11 4222-4572</t>
  </si>
  <si>
    <t>SANDEZ MARIANA SOLEDAD</t>
  </si>
  <si>
    <t>CINTRAFLEX S.R.L.</t>
  </si>
  <si>
    <t>Leandro N. Alem</t>
  </si>
  <si>
    <t>Atención y respuesta a derrames de hidrocarburos</t>
  </si>
  <si>
    <t>11 4758-0556</t>
  </si>
  <si>
    <t>CAPUA LORENA ANDREA</t>
  </si>
  <si>
    <t>11 4751-4206</t>
  </si>
  <si>
    <t>https://www.cintra.com.ar/</t>
  </si>
  <si>
    <t>CIPRIANO RICARDO JOSE</t>
  </si>
  <si>
    <t>3505 Piso:2</t>
  </si>
  <si>
    <t>Servicios inmobiliarios realizados por cuenta propia, con bienes urbanos propios o arrendados N.C.P.</t>
  </si>
  <si>
    <t>MILL HIGIENE SRL</t>
  </si>
  <si>
    <t>Maximiliano Cáceres</t>
  </si>
  <si>
    <t>Ricardo Cipriano</t>
  </si>
  <si>
    <t>4759-8846</t>
  </si>
  <si>
    <t>4734-8383</t>
  </si>
  <si>
    <t>www.ricardocipriano.com/</t>
  </si>
  <si>
    <t>CISA TUBOS S.A. (Caseros Inoxidables)</t>
  </si>
  <si>
    <t>YOUNG ILUCION S.R.L.</t>
  </si>
  <si>
    <t>Fabricación en industrias básicas de productos de hierro y acero N.C.P., (Incluye la producción de hojalata)</t>
  </si>
  <si>
    <t>Gustavo Castro</t>
  </si>
  <si>
    <t>4716-5511</t>
  </si>
  <si>
    <t>3750-5877</t>
  </si>
  <si>
    <t>4656-1939</t>
  </si>
  <si>
    <t>cisatubos.com</t>
  </si>
  <si>
    <t>CITY FLOOR S.R.L.</t>
  </si>
  <si>
    <t>PROSBEL SRL</t>
  </si>
  <si>
    <t>M. Petrovic</t>
  </si>
  <si>
    <t>Terminación y revestimiento de paredes y pisos (Incluye yesería, salpicré, el pulido de pisos y la colocación de revestimientos de cerámicas, de piedra tallada, de suelos flexibles</t>
  </si>
  <si>
    <t>4858-0878</t>
  </si>
  <si>
    <t>ALEN GOMEZ MATIAS DAMIAN</t>
  </si>
  <si>
    <t>CIUTI SOCIEDAD EN COMANDITA POR ACCIONES</t>
  </si>
  <si>
    <t>El Payador</t>
  </si>
  <si>
    <t>Forjado, prensado, estampado y laminado de metales, pulvimetalurgia</t>
  </si>
  <si>
    <t>D´ ANDREA SILVIO GABRIEL</t>
  </si>
  <si>
    <t>4750-3308</t>
  </si>
  <si>
    <t>CIVIDINO HNOS S.A.</t>
  </si>
  <si>
    <t>METALURGICA PELIZA S.R.L</t>
  </si>
  <si>
    <t>Fabricación de productos minerales no metálicos N.C.P. (Incluye la fabricación de abrasivos, lijas, membranas asfálticas, etc.)</t>
  </si>
  <si>
    <t>Daniel Cividino</t>
  </si>
  <si>
    <t>4751-0192</t>
  </si>
  <si>
    <t>4751-6040</t>
  </si>
  <si>
    <t>http://www.cividino.com.ar/</t>
  </si>
  <si>
    <t>HOSEMA SRL</t>
  </si>
  <si>
    <t>CJV S.R.L.</t>
  </si>
  <si>
    <t>Fabricación de aparatos de uso doméstico N.C.P.</t>
  </si>
  <si>
    <t>TAXO'S S.R.L</t>
  </si>
  <si>
    <t>4750-9586</t>
  </si>
  <si>
    <t>CLAMAX BAYRES S.A.</t>
  </si>
  <si>
    <t>AMATO DAVID JESUS (MP TUNELERAS)</t>
  </si>
  <si>
    <t>Ariel Alberto Cardalda</t>
  </si>
  <si>
    <t>claudio montiel</t>
  </si>
  <si>
    <t>CLARIS DOMINGUEZ E HIJO</t>
  </si>
  <si>
    <t>GATTA TOMAS EDUARDO</t>
  </si>
  <si>
    <t>11 4654-2502</t>
  </si>
  <si>
    <t>CM TEC ARGENTINA S.R.L.</t>
  </si>
  <si>
    <t>frigorifico1199@gmail.com / coninmym@gmail.com</t>
  </si>
  <si>
    <t>BRURIN S.A.</t>
  </si>
  <si>
    <t>Fabricación de maquinaria y equipo de uso general N.C.P.</t>
  </si>
  <si>
    <t>Máquinas para la producción de plástico o caucho</t>
  </si>
  <si>
    <t>4878-7310</t>
  </si>
  <si>
    <t>https://cm-tec.com.ar/</t>
  </si>
  <si>
    <t>CONDELIC SRL</t>
  </si>
  <si>
    <t>CME HECTOR SAVINI S.R.L.</t>
  </si>
  <si>
    <t>CAPARROTTA FEDERICO GABRIEL</t>
  </si>
  <si>
    <t>11 4653-0130</t>
  </si>
  <si>
    <t>CO VI SA COMPANIA DEL VIDRIO S.A.</t>
  </si>
  <si>
    <t>PRODUCTOS ASOMBROSO S.R.L.</t>
  </si>
  <si>
    <t>4750-0747</t>
  </si>
  <si>
    <t>4750-2579</t>
  </si>
  <si>
    <t>4750-8505</t>
  </si>
  <si>
    <t>https://www.covisa.com.ar/</t>
  </si>
  <si>
    <t>MAXIMILIANO CASSARA</t>
  </si>
  <si>
    <t>Lima</t>
  </si>
  <si>
    <t>CIPRIANO ENVASES S.R.L</t>
  </si>
  <si>
    <t>Vidrios templados</t>
  </si>
  <si>
    <t>Alfredo Iglesias</t>
  </si>
  <si>
    <t>11 4182-6613</t>
  </si>
  <si>
    <t>4759-8585</t>
  </si>
  <si>
    <t>11 3329-6484</t>
  </si>
  <si>
    <t>COALIX S.A.</t>
  </si>
  <si>
    <t>NATURAL INTEGRAL BUENO S.R.L.</t>
  </si>
  <si>
    <t>Fabricacion de cosméticos, perfumes y productos de higiene y tocador</t>
  </si>
  <si>
    <t>Shampoo, cosmetica capilar</t>
  </si>
  <si>
    <t>Gabriel V.  Fernandes (Presidente)</t>
  </si>
  <si>
    <t>15 4759-2833</t>
  </si>
  <si>
    <t>Gaston Risso</t>
  </si>
  <si>
    <t>11 6356-6666</t>
  </si>
  <si>
    <t>4759-2833</t>
  </si>
  <si>
    <t>4734-1190</t>
  </si>
  <si>
    <t>https://www.coalix.com/</t>
  </si>
  <si>
    <t>BORELLI DIEGO SEBASTIAN</t>
  </si>
  <si>
    <t>COB SIL S.R.L.</t>
  </si>
  <si>
    <t>ESTANCIA LOS LAGOS SRL</t>
  </si>
  <si>
    <t>Transformadores y fuentes</t>
  </si>
  <si>
    <t>11 2871-0623</t>
  </si>
  <si>
    <t>4657-2152</t>
  </si>
  <si>
    <t>https://cobsil.com.ar/</t>
  </si>
  <si>
    <t>LACTEOS FENIX SRL</t>
  </si>
  <si>
    <t>COBIAN DIEGO JAVIER</t>
  </si>
  <si>
    <t>5133 Dpto:9</t>
  </si>
  <si>
    <t>Fabricación de carpintería metálica / fabricación de tanques, depósitos y recipientes de metal</t>
  </si>
  <si>
    <t>BOAN MAXIMILIANO MARTIN (QUIM-BAT)</t>
  </si>
  <si>
    <t>5109-2060</t>
  </si>
  <si>
    <t>CODAC S.R.L.</t>
  </si>
  <si>
    <t>PLASTICOS VIMAR S.S.</t>
  </si>
  <si>
    <t>Fabricación de cosméticos, perfumes y productos de higiene y tocador</t>
  </si>
  <si>
    <t>4657-4661</t>
  </si>
  <si>
    <t>4653-1740</t>
  </si>
  <si>
    <t>https://codacsrl.com.ar/</t>
  </si>
  <si>
    <t>GIGLIO EDUARDO CLAUDIO</t>
  </si>
  <si>
    <t>CODESIL S.A.</t>
  </si>
  <si>
    <t>Fabricación de hilos y cables aislados N.C.P.</t>
  </si>
  <si>
    <t>Fabricación de conjuntos armados para instalaciones de electrodomésticos, cordones de alimentación, cables unipolares y multipolares en PVC, silicona y con envoltura textil</t>
  </si>
  <si>
    <t>TORIBIO PANDAL WILLIAM PETER</t>
  </si>
  <si>
    <t>5263-3663</t>
  </si>
  <si>
    <t>4759-3776</t>
  </si>
  <si>
    <t>4759-6914</t>
  </si>
  <si>
    <t>https://codesil.com.ar/</t>
  </si>
  <si>
    <t>COFACO INDUSTRIAL Y COMERCIAL S.R.L.</t>
  </si>
  <si>
    <t>ACEROS CARBALLEDA SRL</t>
  </si>
  <si>
    <t>Quemadores y hornos</t>
  </si>
  <si>
    <t>4750-8805</t>
  </si>
  <si>
    <t>4620-3226 | 4754-5874</t>
  </si>
  <si>
    <t>11 4734-5931</t>
  </si>
  <si>
    <t>https://www.cofaco.com.ar/</t>
  </si>
  <si>
    <t>BERAJOT S.A</t>
  </si>
  <si>
    <t>FERNANDEZ DIEGO GASTON</t>
  </si>
  <si>
    <t>Fabricación de hornos, hogares y quemadores</t>
  </si>
  <si>
    <t>Quemadores. hornos y asesoramientos</t>
  </si>
  <si>
    <t>COFAL ENLOZADOS S.R.L.</t>
  </si>
  <si>
    <t>OESTE DVH S.A</t>
  </si>
  <si>
    <t>Fabricación de Objetos Cerámicos para uso Industrial y de Laboratorio</t>
  </si>
  <si>
    <t>4750-4894</t>
  </si>
  <si>
    <t>CALIBAN S.A.-</t>
  </si>
  <si>
    <t>Corrientes</t>
  </si>
  <si>
    <t>Facundo La fuente</t>
  </si>
  <si>
    <t>11 4050-6534</t>
  </si>
  <si>
    <t>Juan De Biasi</t>
  </si>
  <si>
    <t>11 4050-6531</t>
  </si>
  <si>
    <t>11 4555-5969</t>
  </si>
  <si>
    <t>11 4739-9129/1389</t>
  </si>
  <si>
    <t>114050-6534 (presup.) | 1123294641 (Ruben Matos)</t>
  </si>
  <si>
    <t>http://coinpo.com.ar/somos.php</t>
  </si>
  <si>
    <t>S.I.P.A SRL</t>
  </si>
  <si>
    <t>COLLARD EDUARDO ENRIQUE</t>
  </si>
  <si>
    <t>TENTACION DEL PLATA S.A</t>
  </si>
  <si>
    <t>Maquinas,moldes y etiquetas para rotomoldeo</t>
  </si>
  <si>
    <t>4750-1441</t>
  </si>
  <si>
    <t>11 5058-2109</t>
  </si>
  <si>
    <t>http://www.industriasrueda.com.ar/</t>
  </si>
  <si>
    <t>COLOMET S.R.L.</t>
  </si>
  <si>
    <t>EL PROYECTO S.R.L</t>
  </si>
  <si>
    <t xml:space="preserve">productos metalicos a medida </t>
  </si>
  <si>
    <t>Oscar Colombo</t>
  </si>
  <si>
    <t>Sol</t>
  </si>
  <si>
    <t>4657-8517</t>
  </si>
  <si>
    <t>4657-1392</t>
  </si>
  <si>
    <t>colomet.com.ar</t>
  </si>
  <si>
    <t>COLTEC CIUDADELA S.A.</t>
  </si>
  <si>
    <t>MATRIPET S.A</t>
  </si>
  <si>
    <t>Servicios complementarios para el transporte terrestre N.C.P. (Incluye servicios de mantenimiento de material ferroviario)</t>
  </si>
  <si>
    <t>(237) 468-3660</t>
  </si>
  <si>
    <t>COVRE PRODUCTOS ELECTRICOS S.R.L</t>
  </si>
  <si>
    <t>COLTMATIC S.R.L. (IR3D SUDAMERICANA)</t>
  </si>
  <si>
    <t>Yanina Solange | Cotti Milutinovic</t>
  </si>
  <si>
    <t>11 5600-3146</t>
  </si>
  <si>
    <t>Claudio Gonzalez</t>
  </si>
  <si>
    <t>4751-7582</t>
  </si>
  <si>
    <t>https://www.ir3d.com.ar/</t>
  </si>
  <si>
    <t>DPF ENVASES PLASTICOS S.R.L</t>
  </si>
  <si>
    <t>COLUMBUS 92 S.A. (PLASTICOS FLORIDA)</t>
  </si>
  <si>
    <t>Muebles de plásticos</t>
  </si>
  <si>
    <t>PABLO RODRIGO CEBEY RULLO</t>
  </si>
  <si>
    <t>Mariano</t>
  </si>
  <si>
    <t>11 5470-5785</t>
  </si>
  <si>
    <t>Andrea Zuliani</t>
  </si>
  <si>
    <t>15 2725-8649</t>
  </si>
  <si>
    <t>11 3973-0661</t>
  </si>
  <si>
    <t>11 2084-4918</t>
  </si>
  <si>
    <t>https://plasticosflorida.com.ar/</t>
  </si>
  <si>
    <t>LIBAIE S.R.L-</t>
  </si>
  <si>
    <t>COMES JUAN CARLOS Y COMES RICARDO</t>
  </si>
  <si>
    <t>Francisco Raffo</t>
  </si>
  <si>
    <t>Servicios de asistencia en asilos hogares para ancianos guarderías y similares</t>
  </si>
  <si>
    <t>4712-6621</t>
  </si>
  <si>
    <t>ROTTA HECTOR JAVIER</t>
  </si>
  <si>
    <t xml:space="preserve">Fabricación de artículos confeccionados de materiales textiles N.C.P., excepto prendas de vestir, fabrica de campos quirurgicos
</t>
  </si>
  <si>
    <t>Productos quirurgicos</t>
  </si>
  <si>
    <t xml:space="preserve">Enrique Cragnolino </t>
  </si>
  <si>
    <t>11 4757-5976</t>
  </si>
  <si>
    <t>Santiago duhart</t>
  </si>
  <si>
    <t>11 5955-6714</t>
  </si>
  <si>
    <t>11 4757-5976/8809</t>
  </si>
  <si>
    <t>https://la-sante.com.ar/</t>
  </si>
  <si>
    <t>HNDM S.A</t>
  </si>
  <si>
    <t>COMPANIA ASTURIANA S.R.L.</t>
  </si>
  <si>
    <t>San Pedro</t>
  </si>
  <si>
    <t>Tostado, torrado y molienda de café</t>
  </si>
  <si>
    <t>Cafe tostado</t>
  </si>
  <si>
    <t>SPORTMED S.R.L</t>
  </si>
  <si>
    <t>4757-5252/0072</t>
  </si>
  <si>
    <t>4712-4000</t>
  </si>
  <si>
    <t>https://www.instagram.com/cia.asturiana_cafe3/?hl=es</t>
  </si>
  <si>
    <t>COMPANIA PAPELERA S.A.</t>
  </si>
  <si>
    <t>EREKTADOS S.R.L</t>
  </si>
  <si>
    <t>Fabricación de artículos de Papel y Cartón de uso Domestico e Higiénico Sanitario</t>
  </si>
  <si>
    <t>4647-1227</t>
  </si>
  <si>
    <t>TU MEJOR SOMMIER SRL</t>
  </si>
  <si>
    <t>COMPAÑIA ARGENTINA DE EMBALAJES S.R.L.</t>
  </si>
  <si>
    <t>DELICIAS DEL PLATA S.R.L.</t>
  </si>
  <si>
    <t xml:space="preserve">Línea de cartones corrugados simple faz </t>
  </si>
  <si>
    <t>4759-1194</t>
  </si>
  <si>
    <t>4759-6660</t>
  </si>
  <si>
    <t>4759-1113</t>
  </si>
  <si>
    <t>http://www.cae.com.ar/</t>
  </si>
  <si>
    <t>VIGO LUBRICANTES S.R.L.</t>
  </si>
  <si>
    <t>COMPAÑIA DE SERVICIOS MINEROS S.R.L. (COSERMIN)</t>
  </si>
  <si>
    <t>Extracción de sal</t>
  </si>
  <si>
    <t>Jorge</t>
  </si>
  <si>
    <t>Gabriela</t>
  </si>
  <si>
    <t>DI TOMASO, PABLO MARTIN</t>
  </si>
  <si>
    <t>4653-3748</t>
  </si>
  <si>
    <t>4240-6370</t>
  </si>
  <si>
    <t>11 4488-0019</t>
  </si>
  <si>
    <t>COMPAÑIA DE TELAS PLASTICAS S.A. (PLÁSTICOS TEXTIL)</t>
  </si>
  <si>
    <t>Fabricación de telas plásticas y la incorporación de espumas y colchones</t>
  </si>
  <si>
    <t>MONTAGNE OUTDOORS S.A</t>
  </si>
  <si>
    <t>11 5018-8966</t>
  </si>
  <si>
    <t>4769-1879</t>
  </si>
  <si>
    <t>4769-1192</t>
  </si>
  <si>
    <t>https://www.plasticostextil.com.ar/</t>
  </si>
  <si>
    <t>REC PLAST S.R.L</t>
  </si>
  <si>
    <t>COMPITIELLO NORA MABEL</t>
  </si>
  <si>
    <t>4757-4912</t>
  </si>
  <si>
    <t>COMPONENTES ESPECIALES DIESEL S.A. (BUJÍAS HESCHER)</t>
  </si>
  <si>
    <t>Producción de bujías incandescentes para motores diésel</t>
  </si>
  <si>
    <t>Gustavo del Bene (Socio) | Camila del Bene (Admin. )</t>
  </si>
  <si>
    <t>FAENA PROPIA S.A.S</t>
  </si>
  <si>
    <t>Sabrina Vinyolaes (COMEX)</t>
  </si>
  <si>
    <t>15 3193-2509</t>
  </si>
  <si>
    <t>4759-6679</t>
  </si>
  <si>
    <t>4716-4747</t>
  </si>
  <si>
    <t>15 4550-0355</t>
  </si>
  <si>
    <t>COMPOSIT SOCIEDAD ANONIMA (MI COCINA)</t>
  </si>
  <si>
    <t>ROMANO MATIAS</t>
  </si>
  <si>
    <t>Angel A. Cersosimo</t>
  </si>
  <si>
    <t>Andrea Bianchi</t>
  </si>
  <si>
    <t>4734-0960</t>
  </si>
  <si>
    <t>4734-4410</t>
  </si>
  <si>
    <t>4750-4075</t>
  </si>
  <si>
    <t>BARTON REBAR S.A</t>
  </si>
  <si>
    <t>COMPRESURT S.A.</t>
  </si>
  <si>
    <t>Equipamiento para estaciones de GNC - GNV</t>
  </si>
  <si>
    <t>4848-1202</t>
  </si>
  <si>
    <t>LM ALIMENTOS S.A</t>
  </si>
  <si>
    <t>4739-0831</t>
  </si>
  <si>
    <t>https://compresurt.com/</t>
  </si>
  <si>
    <t>GRUPO JORSON S.R.L.</t>
  </si>
  <si>
    <t>Venta al por mayor de artículos para la construcción N.C.P. (No incluye artículos y materiales de demolición: 466990)</t>
  </si>
  <si>
    <t>Cierre hermético para rejas y chapas</t>
  </si>
  <si>
    <t>Carlina Dorado (Dueña)</t>
  </si>
  <si>
    <t>11 5912-9798</t>
  </si>
  <si>
    <t>Celia</t>
  </si>
  <si>
    <t>11 5912-9914</t>
  </si>
  <si>
    <t>11 4505-3622</t>
  </si>
  <si>
    <t>https://www.compriband.com.ar/</t>
  </si>
  <si>
    <t>GALASSO MICAELA NATALIA</t>
  </si>
  <si>
    <t>CONDUFLEX S.A.</t>
  </si>
  <si>
    <t>PVC QUALITY SOLUTIONS S. CAP. I SECC IV</t>
  </si>
  <si>
    <t>4658-0758</t>
  </si>
  <si>
    <t>4654-1232</t>
  </si>
  <si>
    <t>https://conduflex.com.ar/</t>
  </si>
  <si>
    <t>PERNA BRENDA NATALIA</t>
  </si>
  <si>
    <t>Julian Garcia</t>
  </si>
  <si>
    <t>11 5101-7447</t>
  </si>
  <si>
    <t>4769-1419</t>
  </si>
  <si>
    <t>INDUSTRIAL PACK S.R.L.-</t>
  </si>
  <si>
    <t>https://www.conextube.com/</t>
  </si>
  <si>
    <t>CONFECCIONES EL ARTE S.R.L.</t>
  </si>
  <si>
    <t>TECNOFLEXO S.R.L.</t>
  </si>
  <si>
    <t>Confección de Indumentaria de Trabajo, Uniformes, Guardapolvos y sus Accesorios</t>
  </si>
  <si>
    <t>322-2369</t>
  </si>
  <si>
    <t>CONFECCIONES MESIBA S.R.L.</t>
  </si>
  <si>
    <t>GASAMED S.A</t>
  </si>
  <si>
    <t>11 3633-3323</t>
  </si>
  <si>
    <t xml:space="preserve"> 4750-9914</t>
  </si>
  <si>
    <t>https://www.mesiba.com.ar/</t>
  </si>
  <si>
    <t>BURKOOL SA</t>
  </si>
  <si>
    <t>CONFITERIA BLISS S.A.</t>
  </si>
  <si>
    <t>Elaboración de productos de panadería N.C.P., (Incluye la elaboración de pan, facturas, churros, pre-pizzas, masas de hojaldre, masas fritas, tortas, tartas, etc.)</t>
  </si>
  <si>
    <t>FERREIRO MARIANO JAVIER (Bulonería MaFerBul)</t>
  </si>
  <si>
    <t>4008-8000</t>
  </si>
  <si>
    <t>José Luis Cantilo</t>
  </si>
  <si>
    <t>Equipos para ensayos y mediciones eléctricas</t>
  </si>
  <si>
    <t>Eduardo G. Zareyzky (Pte.)</t>
  </si>
  <si>
    <t>11 5527-8686</t>
  </si>
  <si>
    <t>11 3107-8383</t>
  </si>
  <si>
    <t>4757-0383</t>
  </si>
  <si>
    <t>TEXTIL VALERIO S.A</t>
  </si>
  <si>
    <t>4859-6200</t>
  </si>
  <si>
    <t>http://www.conimed.com/</t>
  </si>
  <si>
    <t>CONSTRUCCIONES GONZALEZ FISCHER S.A.J.C.C.Y.F.</t>
  </si>
  <si>
    <t>KIMTHOR S.R.L.-</t>
  </si>
  <si>
    <t>De los Aromos</t>
  </si>
  <si>
    <t>4375-1601</t>
  </si>
  <si>
    <t>4375-1600</t>
  </si>
  <si>
    <t>4375-1599</t>
  </si>
  <si>
    <t>CONSTRUFAC S.R.L.</t>
  </si>
  <si>
    <t>BISIGNANO, Romina Soledad</t>
  </si>
  <si>
    <t>Pte. Illia</t>
  </si>
  <si>
    <t>Construcción, reforma y reparación de edificios residenciales (Incluye la construcción, reforma y reparación de viviendas unifamiliares y multifamiliares; bungalows, cabañas, casas de campo, departamentos, albergues para ancianos, niños, estudiantes, etc.)</t>
  </si>
  <si>
    <t>Construcción y reforma de residencias</t>
  </si>
  <si>
    <t>4844-0259</t>
  </si>
  <si>
    <t>http://construfac.com.ar/contacto</t>
  </si>
  <si>
    <t>5 PRIMAS S.R.L.</t>
  </si>
  <si>
    <t>CONSTRUSAN S.A.</t>
  </si>
  <si>
    <t xml:space="preserve">3194-3455
</t>
  </si>
  <si>
    <t>CHIACCHIARI FABIAN ANDRES</t>
  </si>
  <si>
    <t>https://www.construsan.com.ar/</t>
  </si>
  <si>
    <t>MOLINA ALBERTO SALVADOR</t>
  </si>
  <si>
    <t>Mercedes Carrizo</t>
  </si>
  <si>
    <t>11 3187-7368</t>
  </si>
  <si>
    <t>https://construseralvear.mercadoshops.com.ar/</t>
  </si>
  <si>
    <t>LABORATORIO ÓPTICO FÉNIX CASEROS S.R.L</t>
  </si>
  <si>
    <t>CONSTRUZAR S.A.</t>
  </si>
  <si>
    <t>MALMEB S.R.L</t>
  </si>
  <si>
    <t>4842-7550</t>
  </si>
  <si>
    <t>CONTARTESE MARIANO SALVADOR</t>
  </si>
  <si>
    <t>MIELES DEL CHALTEN SRL</t>
  </si>
  <si>
    <t>Metzig</t>
  </si>
  <si>
    <t>4769-7612</t>
  </si>
  <si>
    <t>15 6943-6543 (Julieta)</t>
  </si>
  <si>
    <t>15 6943-6539</t>
  </si>
  <si>
    <t>https://www.mitral.com.ar/</t>
  </si>
  <si>
    <t>WIREMAC S.R.L.</t>
  </si>
  <si>
    <t>CONTE GABRIEL CONTE CRISTIAN Y CONTE FRANCISCO S.H.</t>
  </si>
  <si>
    <t>PROCESADORA ASAMBLEA S.A-</t>
  </si>
  <si>
    <t>4734-9058</t>
  </si>
  <si>
    <t>CONVERPEL ARGENTINA S.A.</t>
  </si>
  <si>
    <t>PROFILES ACEROS S.A</t>
  </si>
  <si>
    <t>Roberto Perez</t>
  </si>
  <si>
    <t>4716-1729</t>
  </si>
  <si>
    <t>4716-4502</t>
  </si>
  <si>
    <t>https://converpelargentina.com.ar/</t>
  </si>
  <si>
    <t>ssss</t>
  </si>
  <si>
    <t>CONYCA S.R.L.</t>
  </si>
  <si>
    <t>Av. Márquez</t>
  </si>
  <si>
    <t>Fabricación de carrocerías para vehículos automotores, fabricación de remolques y semirremolques</t>
  </si>
  <si>
    <t>11 4452-9058</t>
  </si>
  <si>
    <t>https://conyca.com.ar/contacto/</t>
  </si>
  <si>
    <t>CONYLEC S.R.L.</t>
  </si>
  <si>
    <t>4712-5002</t>
  </si>
  <si>
    <t>https://conylec.com.ar/</t>
  </si>
  <si>
    <t>Juan Bautista Alberdi</t>
  </si>
  <si>
    <t>Refrigeración industrial de procesos y confort</t>
  </si>
  <si>
    <t>Valeria Marone</t>
  </si>
  <si>
    <t>11 4145-4952</t>
  </si>
  <si>
    <t>Maria Florencia Abriata</t>
  </si>
  <si>
    <t>11 5348-8467</t>
  </si>
  <si>
    <t>https://coolsmart.com.ar/</t>
  </si>
  <si>
    <t>COOPERATIVA DE CONSUMO, CREDITO, TURISMO, VIVIENDA Y SALUD PARA EL PERSONAL DE PSA PEUGEOT CITROEN ARGENTINA LIMITADA</t>
  </si>
  <si>
    <t>Cooperativa</t>
  </si>
  <si>
    <t>Servicios de federaciones, asociaciones, cámaras, gremios y organizaciones similares</t>
  </si>
  <si>
    <t>4759-0465</t>
  </si>
  <si>
    <t>COOPERATIVA DE OBRAS Y SERVICIOS PUBLICOS VIVIENDA Y SERVICIOS ASISTENCIALES LIM COMACO</t>
  </si>
  <si>
    <t>Suipacha</t>
  </si>
  <si>
    <t>Captación, depuración y distribución de agua de fuentes subterráneas</t>
  </si>
  <si>
    <t>4842-3030</t>
  </si>
  <si>
    <t>4512-7371/72</t>
  </si>
  <si>
    <t>COOPERATIVA DE TRABAJO BUHOMUEBLES LIMITADA</t>
  </si>
  <si>
    <t>4759-9191</t>
  </si>
  <si>
    <t>COOPERATIVA DE TRABAJO CINTOPLOM LIMITADA</t>
  </si>
  <si>
    <t>4657-2807</t>
  </si>
  <si>
    <t>www.cintoplompinturas.com.ar</t>
  </si>
  <si>
    <t>Folletos, cuadernos</t>
  </si>
  <si>
    <t>Mario A Aquino</t>
  </si>
  <si>
    <t>Alberto Filipelli</t>
  </si>
  <si>
    <t>4647-2717</t>
  </si>
  <si>
    <t xml:space="preserve">4647-2626 </t>
  </si>
  <si>
    <t>COOPERATIVA DE TRABAJO JUNTO A TI LIMITADA</t>
  </si>
  <si>
    <t>Servicios de atención domiciliaria programada a cabo en establecimientos que ofrecen atención por módulos a domicilio y actividades de agentes sanitarios</t>
  </si>
  <si>
    <t>COOPERATIVA DE TRABAJO LA NUEVA ARGENTINA DE PODESTA LIMITADA</t>
  </si>
  <si>
    <t>Servicios de Asociaciones N.C.P.</t>
  </si>
  <si>
    <t>4769-0077</t>
  </si>
  <si>
    <t>4769-8161</t>
  </si>
  <si>
    <t>4841-2381</t>
  </si>
  <si>
    <t>COOPERATIVA DE TRABAJO LEALTAD LIMITADA</t>
  </si>
  <si>
    <t>Cerro Olivares</t>
  </si>
  <si>
    <t>15 6337-2862</t>
  </si>
  <si>
    <t>COOPERATIVA DE TRABAJO LOS ARTESANOS LIMITADA</t>
  </si>
  <si>
    <t>Pablo Cwik</t>
  </si>
  <si>
    <t>11 3589-2222</t>
  </si>
  <si>
    <t>4769-4715</t>
  </si>
  <si>
    <t>4581-1818</t>
  </si>
  <si>
    <t>http://www.gicovate.com/contacto/</t>
  </si>
  <si>
    <t>Cavassa</t>
  </si>
  <si>
    <t>Elaboración de productos Alimenticios N.C.P.</t>
  </si>
  <si>
    <t>Clara Lamontanara</t>
  </si>
  <si>
    <t>15 6254-4013</t>
  </si>
  <si>
    <t>4734-4704</t>
  </si>
  <si>
    <t>COOPERATIVA DE TRABAJO POR UN BARRIO MEJOR LTDA.</t>
  </si>
  <si>
    <t>Servicios de asociaciones N.C.P.</t>
  </si>
  <si>
    <t>COOPERATIVA DE TRABAJO ZAPATOS Y OJOTAS LTDA.</t>
  </si>
  <si>
    <t>Fabricación calzado de cuero » fabricación de juegos y juguetes</t>
  </si>
  <si>
    <t>4757-3803</t>
  </si>
  <si>
    <t>COOPERATIVA DE VIVIENDA VI PRO LIMITADA</t>
  </si>
  <si>
    <t>De las Violetas</t>
  </si>
  <si>
    <t>11 6003-1984</t>
  </si>
  <si>
    <t>4738-9451</t>
  </si>
  <si>
    <t>4769-7406</t>
  </si>
  <si>
    <t>Fundicion de Partes y Piezas en Aleaciones de Cobre. Coladas por Gravedad</t>
  </si>
  <si>
    <t>4759-0119</t>
  </si>
  <si>
    <t>11 3143-4208</t>
  </si>
  <si>
    <t>www.copeco-fundicion.com.ar</t>
  </si>
  <si>
    <t>CORDERO HERMANOS</t>
  </si>
  <si>
    <t>Blas Pascal</t>
  </si>
  <si>
    <t>administracion@bairesdom.com</t>
  </si>
  <si>
    <t>4734-2897</t>
  </si>
  <si>
    <t>CORDOBA METALIZADOS S.A.</t>
  </si>
  <si>
    <t>Metalizado por alto vacio</t>
  </si>
  <si>
    <t>4734-6527</t>
  </si>
  <si>
    <t>COREN CONSTRUCCIONES S.R.L.</t>
  </si>
  <si>
    <t>Construcción, Reforma y Reparación de Edificios no Residenciales</t>
  </si>
  <si>
    <t>4653-3066</t>
  </si>
  <si>
    <t>CORIAN WORK S.R.L.</t>
  </si>
  <si>
    <t>4848-4093</t>
  </si>
  <si>
    <t>4721 Piso:1 Dpto:C</t>
  </si>
  <si>
    <t>diseñador</t>
  </si>
  <si>
    <t>Luciano (No llamar al  titular porque se dedica a negocios inmobiliarios)</t>
  </si>
  <si>
    <t>11 3480-3026</t>
  </si>
  <si>
    <t>4973-7858</t>
  </si>
  <si>
    <t>Hernan Corradini</t>
  </si>
  <si>
    <t>Ricardo V.Corradini</t>
  </si>
  <si>
    <t>4759-5956 | 4750-1063</t>
  </si>
  <si>
    <t>www.corradiniremaches.com.ar</t>
  </si>
  <si>
    <t>Servicios de almacenamiento y depósito N.C.P. Servicio de transporte automotor de cargas N.C.P.</t>
  </si>
  <si>
    <t>Transporte / Foco en automotriz - Decoración - Salud</t>
  </si>
  <si>
    <t>Alvaro de Leon</t>
  </si>
  <si>
    <t>11 4073-7315</t>
  </si>
  <si>
    <t>CORUPEL S.A.</t>
  </si>
  <si>
    <t>KM 21600 0</t>
  </si>
  <si>
    <t>Fabrica de Cajas</t>
  </si>
  <si>
    <t>Leandro</t>
  </si>
  <si>
    <t>11 5183-6707</t>
  </si>
  <si>
    <t>4769-0535</t>
  </si>
  <si>
    <t>4769-1241</t>
  </si>
  <si>
    <t>http://www.corupelsa.com/</t>
  </si>
  <si>
    <t>COSMETECNICA S.R.L.</t>
  </si>
  <si>
    <t>Stephenson</t>
  </si>
  <si>
    <t>4751-2667 | 4758-1381</t>
  </si>
  <si>
    <t>http://cosmetecnica.com/</t>
  </si>
  <si>
    <t>COSMETICA ARGENTINA S.R.L.</t>
  </si>
  <si>
    <t>Fabricación de Cosméticos, Perfumes y Productos de Higiene y Tocador</t>
  </si>
  <si>
    <t>11 4647-2278</t>
  </si>
  <si>
    <t>11 4647-1543</t>
  </si>
  <si>
    <t>11 4647-1786</t>
  </si>
  <si>
    <t>info@centralred.com.ar</t>
  </si>
  <si>
    <t>COSTA MEZQUIDA A Y U Y SUTIL O</t>
  </si>
  <si>
    <t>Fabricación de carteles, señales e indicadores -eléctricos o no-</t>
  </si>
  <si>
    <t>4657-0859</t>
  </si>
  <si>
    <t>COY JOSE ANTONIO Y PERILLO RICARDO S.H.</t>
  </si>
  <si>
    <t>4716-6464</t>
  </si>
  <si>
    <t>José María Bosch</t>
  </si>
  <si>
    <t>Carlos Checchia</t>
  </si>
  <si>
    <t>11 6021-7154</t>
  </si>
  <si>
    <t>Marcela</t>
  </si>
  <si>
    <t>4758-7562</t>
  </si>
  <si>
    <t>http://toche.com.ar/</t>
  </si>
  <si>
    <t>Bergamini</t>
  </si>
  <si>
    <t>11 5127-2730</t>
  </si>
  <si>
    <t>4653-4052</t>
  </si>
  <si>
    <t>4653-5444</t>
  </si>
  <si>
    <t>http://www.cremonesi.com.ar/index.html</t>
  </si>
  <si>
    <t>CREMONESI S.A.</t>
  </si>
  <si>
    <t>Nolting</t>
  </si>
  <si>
    <t>https://www.cremonesi.com.ar/#contacto</t>
  </si>
  <si>
    <t>CRISTALBANG S.A.</t>
  </si>
  <si>
    <t>Cristales antibalas y seguridad en general</t>
  </si>
  <si>
    <t>11 2431-8510</t>
  </si>
  <si>
    <t>4712-0888</t>
  </si>
  <si>
    <t>https://cristalbang.com.ar/</t>
  </si>
  <si>
    <t>CROMADOS PODESTA S.R.L.</t>
  </si>
  <si>
    <t>Podesta</t>
  </si>
  <si>
    <t>CUTER ROBOTS INDUSTRIALES S.R.L.</t>
  </si>
  <si>
    <t>4653-6247</t>
  </si>
  <si>
    <t>CROMATEX S.R.L.</t>
  </si>
  <si>
    <t>Garcia Lorca</t>
  </si>
  <si>
    <t>DACHCOM S.R.L.</t>
  </si>
  <si>
    <t>4712-9550</t>
  </si>
  <si>
    <t>http://www.industriasargentinas.com/Cromatex-SRL/</t>
  </si>
  <si>
    <t>CRONO PRODUCCIONES S.R.L.</t>
  </si>
  <si>
    <t>Edición de Periódicos, Revistas y Publicaciones Periódicas</t>
  </si>
  <si>
    <t>CROSSINGFLEX S.R.L.</t>
  </si>
  <si>
    <t>4488-8742 | 4488-0066</t>
  </si>
  <si>
    <t>https://www.facebook.com/crossingflex/?locale=es_LA</t>
  </si>
  <si>
    <t>CRUSVAR S.A.</t>
  </si>
  <si>
    <t>Roque Saenz Peña</t>
  </si>
  <si>
    <t>Fabricación de Maquinaria para la Elaboración de Productos Textiles, Prendas de Vestir y Cueros</t>
  </si>
  <si>
    <t>4757-0361</t>
  </si>
  <si>
    <t>4712-7025</t>
  </si>
  <si>
    <t>CUBCO S.R.L.</t>
  </si>
  <si>
    <t xml:space="preserve">Alpatacal </t>
  </si>
  <si>
    <t>Servicios personales N.C.P.</t>
  </si>
  <si>
    <t>4712-9053</t>
  </si>
  <si>
    <t>https://cubcosurveyor.com/es/index.html</t>
  </si>
  <si>
    <t>marcela@dharmapanificados.com.ar</t>
  </si>
  <si>
    <t>CUPRUM S.R.L.</t>
  </si>
  <si>
    <t>Av. Churruca</t>
  </si>
  <si>
    <t>4750-6539</t>
  </si>
  <si>
    <t>CURVATUBOS ZEZIOLA S.A.</t>
  </si>
  <si>
    <t>Soldado Caballero</t>
  </si>
  <si>
    <t>4769-0414 | 4841-4141</t>
  </si>
  <si>
    <t>zeziola.com</t>
  </si>
  <si>
    <t>CUSMICH JUAN (ENGRANAJES CUSMICH HNOS)</t>
  </si>
  <si>
    <t>Fabricación de motores, generadores, y transformadores electricos</t>
  </si>
  <si>
    <t>4657-2246</t>
  </si>
  <si>
    <t>Tomas Guido</t>
  </si>
  <si>
    <t>Guillermo Cuter</t>
  </si>
  <si>
    <t>11 6011-7351</t>
  </si>
  <si>
    <t>Sofia Cuter</t>
  </si>
  <si>
    <t>11 5642-6079</t>
  </si>
  <si>
    <t>4734-8216</t>
  </si>
  <si>
    <t>4139-8126</t>
  </si>
  <si>
    <t>4139-8127</t>
  </si>
  <si>
    <t>cuterrobots.com.ar</t>
  </si>
  <si>
    <t>CUTRONE ANDRES MAURICIO</t>
  </si>
  <si>
    <t>Diag. Maldonado</t>
  </si>
  <si>
    <t>Venta al por mayor de mercancías N.C.P.</t>
  </si>
  <si>
    <t>4653-2631</t>
  </si>
  <si>
    <t>axal.com.ar</t>
  </si>
  <si>
    <t>CV INGENIERIA S.R.L.</t>
  </si>
  <si>
    <t>https://www.cvingenieria.com.ar/</t>
  </si>
  <si>
    <t>CVC S.A.</t>
  </si>
  <si>
    <t>Fabricación de escobas, cepillos y pinceles</t>
  </si>
  <si>
    <t>4769-0902 | 4769- 5383 | 5648-8835</t>
  </si>
  <si>
    <t>http://www.cepilloscvc.com.ar/</t>
  </si>
  <si>
    <t>CYNTHIOS SALUD S.A.</t>
  </si>
  <si>
    <t>ESTAMPADOS RIOPLATENSE S.A.</t>
  </si>
  <si>
    <t>Servicios relacionados con la salud humana N.C.P. (Incluye servicios de psicólogos, fonoaudiólogos, servicios de enfermería, terapia ocupacional, bancos de sangre, de semen, etc.)</t>
  </si>
  <si>
    <t>4842-5502</t>
  </si>
  <si>
    <t>4667-4456/4466</t>
  </si>
  <si>
    <t>4622-4238</t>
  </si>
  <si>
    <t>https://www.cynthios.com.ar/</t>
  </si>
  <si>
    <t>ESTAPAL S.A.</t>
  </si>
  <si>
    <t>D &amp; D TREFILADOS S.A.</t>
  </si>
  <si>
    <t>11 4716-4560</t>
  </si>
  <si>
    <t>11 4734-1481</t>
  </si>
  <si>
    <t>https://dyd-brocol.com.ar/</t>
  </si>
  <si>
    <t>EXERT ARGENTINA S.R.L.</t>
  </si>
  <si>
    <t>D &amp; P GROUP S.A.</t>
  </si>
  <si>
    <t>Emancipador</t>
  </si>
  <si>
    <t>Servicios de Publicidad</t>
  </si>
  <si>
    <t>Eduardo Suarez</t>
  </si>
  <si>
    <t>15 5515-0363</t>
  </si>
  <si>
    <t>4841-0505</t>
  </si>
  <si>
    <t>D ALESSANDRO HNOS S.R.L.</t>
  </si>
  <si>
    <t>759-0387</t>
  </si>
  <si>
    <t>FLEJIE S.R.L.</t>
  </si>
  <si>
    <t>Instalaciones para edificios y obras de ingeniería civil N.C.P. (Incluye instalación de puertas automáticas o giratorias)</t>
  </si>
  <si>
    <t>Soluciones integrales</t>
  </si>
  <si>
    <t>Daniel Chavez</t>
  </si>
  <si>
    <t>11 6214-5070</t>
  </si>
  <si>
    <t>Federico Vivot</t>
  </si>
  <si>
    <t>11 6214-5070 | 11 6101-9556</t>
  </si>
  <si>
    <t>11 4716-6351</t>
  </si>
  <si>
    <t>11 4734-5984</t>
  </si>
  <si>
    <t>https://dachcomsrl.com/</t>
  </si>
  <si>
    <t>FRENOS NACIONALES S.A.</t>
  </si>
  <si>
    <t>David Cimino</t>
  </si>
  <si>
    <t>11 5720-1886</t>
  </si>
  <si>
    <t>FRIGORÍFICO POCKER S.A.</t>
  </si>
  <si>
    <t>www.chimak3d.com</t>
  </si>
  <si>
    <t>DALMEDO ALBERTO A Y CLASCA RICARDO</t>
  </si>
  <si>
    <t>FRIONE S.R.L.</t>
  </si>
  <si>
    <t>4844-2243</t>
  </si>
  <si>
    <t>DALSEMTEX S.R.L.</t>
  </si>
  <si>
    <t>Juan Bautista Anchordoqui</t>
  </si>
  <si>
    <t>4712-2409</t>
  </si>
  <si>
    <t>DAMPER (PEREZ DAMIAN ALBERTO)</t>
  </si>
  <si>
    <t xml:space="preserve">Instalación, ejecución y mantenimiento de instalaciones eléctricas, electromecánicas y electrónicas N.C.P. </t>
  </si>
  <si>
    <t>4488-8722</t>
  </si>
  <si>
    <t>15 5308-7836</t>
  </si>
  <si>
    <t>http://www.damper.com.ar/</t>
  </si>
  <si>
    <t>DANIELO JUAN DOMINGO</t>
  </si>
  <si>
    <t>GAMUZA HOGAR S.A.</t>
  </si>
  <si>
    <t>Servicio de transporte automotor urbano de carga N.C.P.</t>
  </si>
  <si>
    <t>Transporte de residuos especiales</t>
  </si>
  <si>
    <t>Danielo</t>
  </si>
  <si>
    <t>Verónica</t>
  </si>
  <si>
    <t>4759-9691</t>
  </si>
  <si>
    <t>4750-2366</t>
  </si>
  <si>
    <t>4716-1979</t>
  </si>
  <si>
    <t>retiroselsol.com.ar</t>
  </si>
  <si>
    <t>GIGANTOGRAFICA S.A.</t>
  </si>
  <si>
    <t>DANINO CONSTRUCCIONES S.A.</t>
  </si>
  <si>
    <t>o.suarez@gigantografica.com</t>
  </si>
  <si>
    <t>GLOBAL AMERICA S.R.L.</t>
  </si>
  <si>
    <t>DANNA NADIR S.A.</t>
  </si>
  <si>
    <t>4653-7433</t>
  </si>
  <si>
    <t>4647-2910</t>
  </si>
  <si>
    <t>DANY COLOR S.R.L.</t>
  </si>
  <si>
    <t>GONZALEZ VICENTE SALVADOR (INDUPINT)</t>
  </si>
  <si>
    <t>DANYTEXS S.A.</t>
  </si>
  <si>
    <t>Sillas de oficina</t>
  </si>
  <si>
    <t>Daniela Bevilacqua</t>
  </si>
  <si>
    <t>Sebastian Bevilacqua</t>
  </si>
  <si>
    <t xml:space="preserve">11 4734-2114
</t>
  </si>
  <si>
    <t>11 5697-4923</t>
  </si>
  <si>
    <t>https://www.danytexs.com.ar/</t>
  </si>
  <si>
    <t>DARIO ONETO S.R.L.</t>
  </si>
  <si>
    <t>ILUMINARTE S.R.L. (VELAS DE LOS MILAGROS S.R.L.)</t>
  </si>
  <si>
    <t>4750-6605 | 4759-3541</t>
  </si>
  <si>
    <t>DARIO ZAMPESE S.R.L.</t>
  </si>
  <si>
    <t>Fabricación de Maquinaria para la Elaboración de Alimentos, Bebidas y Tabaco</t>
  </si>
  <si>
    <t>IMPRESORES DEL BUEN AYRE S.R.L.</t>
  </si>
  <si>
    <t>4750-2798</t>
  </si>
  <si>
    <t>DARSIL S.R.L. (Azzurra Mobili)</t>
  </si>
  <si>
    <t>Julian Schemper</t>
  </si>
  <si>
    <t>15 6055-8904</t>
  </si>
  <si>
    <t>4716-1799</t>
  </si>
  <si>
    <t>4716-6643</t>
  </si>
  <si>
    <t>4716-0102</t>
  </si>
  <si>
    <t>INDUSTRIA METALÚRGICA LH S.R.L.</t>
  </si>
  <si>
    <t>http://www.sombritoldosazzurra.com.ar/</t>
  </si>
  <si>
    <t>DASA</t>
  </si>
  <si>
    <t>Fabricación de maquinaria y equipo de oficina, excepto equipo informático</t>
  </si>
  <si>
    <t xml:space="preserve">fabricando cizallas y guillotinas para el corte de papel y cofres portavalores, plastificadora y espiraladora </t>
  </si>
  <si>
    <t>contacto Hernan Tharask</t>
  </si>
  <si>
    <t>11 5981-4178</t>
  </si>
  <si>
    <t>4759-0353</t>
  </si>
  <si>
    <t>4734-5877</t>
  </si>
  <si>
    <t>http://dasa.com.ar/contacto.html</t>
  </si>
  <si>
    <t>DATTOLI S.A.</t>
  </si>
  <si>
    <t>INDUSTRIAS GH S.R.L.</t>
  </si>
  <si>
    <t>Fabricación de productos Metálicos N.C.P. (incluye clavos, productos de bulonería, vajilla de mesa y de cocina, etc.)</t>
  </si>
  <si>
    <t>4842-3983</t>
  </si>
  <si>
    <t>4842-5578</t>
  </si>
  <si>
    <t>4842-9101</t>
  </si>
  <si>
    <t>DAZ CONDUCTORES S H DE ABRAHAM ZYSKINDOWICZ Y OTROS (DAZ CONDUCTORES)</t>
  </si>
  <si>
    <t>Fabricación de Hilos y Cables Aislados</t>
  </si>
  <si>
    <t>hernan.kohan@yahoo.com.ar</t>
  </si>
  <si>
    <t>011 4657-8888</t>
  </si>
  <si>
    <t>4488-1972 | 4653-6903</t>
  </si>
  <si>
    <t>11-5958-0555</t>
  </si>
  <si>
    <t>https://dazconductores.com.ar/</t>
  </si>
  <si>
    <t>DE BARTOLO MIGUEL ANGEL</t>
  </si>
  <si>
    <t>Cantilo</t>
  </si>
  <si>
    <t>Movimiento de suelos y preparación de terrenos para obras (incluye el drenaje, excavación de zanjas para construcciones diversas, el despeje de capas superficiales no contaminadas, movimientos de tierras para hacer terraplenes o desmontes previos a la construcción de vías, carretas, autopistas, FFCC, etc.)</t>
  </si>
  <si>
    <t>Empresa de movimiento de suelos obras viales - civiles - alquiler de equipos</t>
  </si>
  <si>
    <t>Miguel Angel De Bartolo</t>
  </si>
  <si>
    <t>11 3568-1239</t>
  </si>
  <si>
    <t>INDUSTRIAS TOMADONI S.A.</t>
  </si>
  <si>
    <t>https://www.instagram.com/debartoloobrasviales/</t>
  </si>
  <si>
    <t>DE LUCA ELEONARDO Y AGURRE DELMIRO</t>
  </si>
  <si>
    <t>Elaboración de Quesos</t>
  </si>
  <si>
    <t>brunotomadoni@gmail.com</t>
  </si>
  <si>
    <t>4734-4949?</t>
  </si>
  <si>
    <t>la baña de don armando?</t>
  </si>
  <si>
    <t>DE MARINIS AF S.A.</t>
  </si>
  <si>
    <t>J J SANCHEZ S.A. (Selfix)</t>
  </si>
  <si>
    <t>Industrias manufactureras N.C.P. (incluye fabricación de paraguas, termos, pelucas, etc.)</t>
  </si>
  <si>
    <t>4657-2420</t>
  </si>
  <si>
    <t>4488-3519</t>
  </si>
  <si>
    <t>demarinis.com.ar</t>
  </si>
  <si>
    <t>DE RIGO REFRIGERATION S.A.</t>
  </si>
  <si>
    <t>KELCOT S.A.</t>
  </si>
  <si>
    <t>Fabricación de heladeras, freezers, lavarropas y secarropas</t>
  </si>
  <si>
    <t>3750-7261/7306 | 4488-5781</t>
  </si>
  <si>
    <t>DECAL S S.R.L.</t>
  </si>
  <si>
    <t>4750-7729</t>
  </si>
  <si>
    <t>5434-4139</t>
  </si>
  <si>
    <t>https://linktr.ee/decalsgrafica?utm_source=linktree_profile_share&amp;ltsid=d3643be4-063e-4e1a-b06a-ce3d427a303b</t>
  </si>
  <si>
    <t>julian@ecovita.com.ar</t>
  </si>
  <si>
    <t>Carritos de supermercados</t>
  </si>
  <si>
    <t>Pablo Zalazar Jonson</t>
  </si>
  <si>
    <t>11 4888-8416</t>
  </si>
  <si>
    <t>Felipe Barcetto Reboucas</t>
  </si>
  <si>
    <t>11 3854-7277</t>
  </si>
  <si>
    <t>4750-2463</t>
  </si>
  <si>
    <t>4759-7576</t>
  </si>
  <si>
    <t>www.tecnicarsa.com.ar</t>
  </si>
  <si>
    <t>DEL OESTE S.R.L.</t>
  </si>
  <si>
    <t>Ricardo Gutierrez</t>
  </si>
  <si>
    <t>LIMAGADIS S.R.L.</t>
  </si>
  <si>
    <t>4658-1933</t>
  </si>
  <si>
    <t>4656-2667</t>
  </si>
  <si>
    <t>DEL PIAVE S.R.L.</t>
  </si>
  <si>
    <t>Fabricación de Heladeras, Freezer, Lavarropas y Secarropas</t>
  </si>
  <si>
    <t>769-8789</t>
  </si>
  <si>
    <t>DEL RIO Y ASOCIADOS S.A.</t>
  </si>
  <si>
    <t>Jose Maria del Río</t>
  </si>
  <si>
    <t>11 6237-7701</t>
  </si>
  <si>
    <t>4734-6209</t>
  </si>
  <si>
    <t>http://delrioasoc.com/cintastransportadoras/home/</t>
  </si>
  <si>
    <t>DEL SUR INDUSTRIAL S.R.L.</t>
  </si>
  <si>
    <t>Fabricación de cocinas, calefones, estufas y calefactores no eléctricos</t>
  </si>
  <si>
    <t>Calefactores electricos y de gas</t>
  </si>
  <si>
    <t>15 3654-1495</t>
  </si>
  <si>
    <t>4647-1950</t>
  </si>
  <si>
    <t>https://delsurindustrial.com.ar/</t>
  </si>
  <si>
    <t>DELENTE S.R.L. (LABORATORIOS DELENTE S.R.L.)</t>
  </si>
  <si>
    <t>Manuel de Sarratea</t>
  </si>
  <si>
    <t>MANCHART RUBEN DARIO (COOPER REPOSTERIA S.R.L.)</t>
  </si>
  <si>
    <t>Fabricación de insecticidas, plaguicidas y productos químicos de uso agropecuario</t>
  </si>
  <si>
    <t>4734-8808</t>
  </si>
  <si>
    <t>4750-4678</t>
  </si>
  <si>
    <t>http://www.laboratoriosdelente.com.ar/</t>
  </si>
  <si>
    <t>DELGADO JULIO MARCELO</t>
  </si>
  <si>
    <t>2521 Dpto:6 M:33</t>
  </si>
  <si>
    <t>Servicios de evaluación de riesgos y daños (servicios auxiliares a los servicios de seguros N.C.P.)</t>
  </si>
  <si>
    <t>4713-4234</t>
  </si>
  <si>
    <t>MARIANA MONARRIZ (BLANCO INFANTIL TEXTILES)</t>
  </si>
  <si>
    <t xml:space="preserve">Salvador </t>
  </si>
  <si>
    <t>11 3078-5981</t>
  </si>
  <si>
    <t>Tomas</t>
  </si>
  <si>
    <t>11 6797-9914</t>
  </si>
  <si>
    <t>4716-4488</t>
  </si>
  <si>
    <t>DELISIGLASS S.R.L.</t>
  </si>
  <si>
    <t>4924-1129</t>
  </si>
  <si>
    <t>DELMADERA S.A.</t>
  </si>
  <si>
    <t>33-9155</t>
  </si>
  <si>
    <t>4301-3349</t>
  </si>
  <si>
    <t>DELROSARITO S.R.L.</t>
  </si>
  <si>
    <t>METALURGICA DAMEC SOC. DE HECHO - DE GRICHUK ALEJO , GRICHUK DANIEL ALEJANDRO Y GRICHUK LORENA VIVIANA</t>
  </si>
  <si>
    <t>4653-1842</t>
  </si>
  <si>
    <t>4642-6841</t>
  </si>
  <si>
    <t>Cera para depilar, calentador</t>
  </si>
  <si>
    <t>100 + 60 misiones</t>
  </si>
  <si>
    <t>Suarez Adriana | Agustin Villanueva</t>
  </si>
  <si>
    <t>0 | 15 5745-8622</t>
  </si>
  <si>
    <t>Marcos suarez 1165030434/ Marcelo hryciuk 1135818877</t>
  </si>
  <si>
    <t>4759-8406</t>
  </si>
  <si>
    <t>depimiel.com</t>
  </si>
  <si>
    <t>DESARROLLOS LUMINICOS S.R.L.</t>
  </si>
  <si>
    <t>Fabricación de productos que se destacan en el mercado luminotécnico</t>
  </si>
  <si>
    <t>4716-4296</t>
  </si>
  <si>
    <t>4759-4213</t>
  </si>
  <si>
    <t>https://www.idoler.com.ar/</t>
  </si>
  <si>
    <t>DETEGRAF S.A.</t>
  </si>
  <si>
    <t>Dedicados a la construcción integral</t>
  </si>
  <si>
    <t>4769-1293</t>
  </si>
  <si>
    <t>4739-8493</t>
  </si>
  <si>
    <t>4769-1288</t>
  </si>
  <si>
    <t>Maestra Baldini</t>
  </si>
  <si>
    <t xml:space="preserve">Soluciones en Zamak y plástico para la industria. </t>
  </si>
  <si>
    <t>Jorge Kusniecki</t>
  </si>
  <si>
    <t>11 3950-1010</t>
  </si>
  <si>
    <t>Ruben Adjiman</t>
  </si>
  <si>
    <t>11 4477-5013</t>
  </si>
  <si>
    <t>11 4193-4498</t>
  </si>
  <si>
    <t>4734-0333</t>
  </si>
  <si>
    <t>https://deuan.site/</t>
  </si>
  <si>
    <t>DGF DIVISION GRAFICA S.R.L.</t>
  </si>
  <si>
    <t>Ministro Francisco Cocchiararo</t>
  </si>
  <si>
    <t>Fabricación de Maquinaria de uso especial N.C.P.</t>
  </si>
  <si>
    <t>4840-2860</t>
  </si>
  <si>
    <t>4101-0131</t>
  </si>
  <si>
    <t>MUSETTA (GIULIANI ANTONIO)</t>
  </si>
  <si>
    <t xml:space="preserve">Elaboración de productos de panadería N.C.P. </t>
  </si>
  <si>
    <t>Pan</t>
  </si>
  <si>
    <t>Luis LLanos</t>
  </si>
  <si>
    <t>11 2236-3299</t>
  </si>
  <si>
    <t>11 6467-5810</t>
  </si>
  <si>
    <t>https://dharmapanificados.com.ar/</t>
  </si>
  <si>
    <t>DI LELLA ARIEL NICOLAS</t>
  </si>
  <si>
    <t>4739-1243</t>
  </si>
  <si>
    <t>epinelli@nelo.com.ar</t>
  </si>
  <si>
    <t>DI MURO JORGE NORBERTO RONDEAU JUAN CARLOS S.H.</t>
  </si>
  <si>
    <t>4653-4688 | 4653-9350</t>
  </si>
  <si>
    <t>Fabricación de sodas.</t>
  </si>
  <si>
    <t>Embotelladora</t>
  </si>
  <si>
    <t>Daniel Di Paolo</t>
  </si>
  <si>
    <t>4848-3641</t>
  </si>
  <si>
    <t>OPEN MAQUINAS S.R.L.</t>
  </si>
  <si>
    <t>DI PLEG S.R.L.</t>
  </si>
  <si>
    <t>Viviana Di Stefano</t>
  </si>
  <si>
    <t>4751-6033 | 4758-5658</t>
  </si>
  <si>
    <t>PAN FRESH S.A.</t>
  </si>
  <si>
    <t>http://dipleg.com.ar/servicios.html</t>
  </si>
  <si>
    <t>DIAGMA S.R.L.</t>
  </si>
  <si>
    <t>Servicios Hospitalarios N.C.P.</t>
  </si>
  <si>
    <t>4488-7278</t>
  </si>
  <si>
    <t>DIAZ Y FIOCCO S.R.L.</t>
  </si>
  <si>
    <t>Fabricación de Carpintería Metálica</t>
  </si>
  <si>
    <t>4750-4632</t>
  </si>
  <si>
    <t>DIBAPLASTIC S.H. DE DIAZ OMAR A BASIL JORGE A Y DIAZ MUNDO A</t>
  </si>
  <si>
    <t>Dr. Aldo Della Rosa</t>
  </si>
  <si>
    <t>4750-6869</t>
  </si>
  <si>
    <t>DICIANO ADOLFO Y DICIANO ROBERTO</t>
  </si>
  <si>
    <t>Lavoisier</t>
  </si>
  <si>
    <t>PELMAG S.A.</t>
  </si>
  <si>
    <t>4757-7571</t>
  </si>
  <si>
    <t>DIDESI S.R.L.</t>
  </si>
  <si>
    <t>Av. Rodriguez Peña</t>
  </si>
  <si>
    <t>Clelia</t>
  </si>
  <si>
    <t>4757-6408</t>
  </si>
  <si>
    <t>ffierro@peters.com.ar</t>
  </si>
  <si>
    <t>PLÁSTICOS NUEVO MILENIO S.R.L</t>
  </si>
  <si>
    <t>DIEMER TRADING S.A.</t>
  </si>
  <si>
    <t>Fabrica de mangueras de caucho</t>
  </si>
  <si>
    <t>Alberto Santiago Tenaglia (Presidente)</t>
  </si>
  <si>
    <t>11 5471-5696</t>
  </si>
  <si>
    <t>11 4734-2200</t>
  </si>
  <si>
    <t>656-1243</t>
  </si>
  <si>
    <t>641-9640</t>
  </si>
  <si>
    <t>https://www.e-diemer.com.ar/</t>
  </si>
  <si>
    <t>PLENARIO S.A.</t>
  </si>
  <si>
    <t>Ariel (Contador)</t>
  </si>
  <si>
    <t>Alvaro</t>
  </si>
  <si>
    <t>4734-9000</t>
  </si>
  <si>
    <t>4734-9192/9000/9197</t>
  </si>
  <si>
    <t>4613-8800 (local)</t>
  </si>
  <si>
    <t>diferenttex.com.ar</t>
  </si>
  <si>
    <t>DIFHA S.R.L.</t>
  </si>
  <si>
    <t>marisabenitez@neopack.com.ar</t>
  </si>
  <si>
    <t>Cesto de basura y canastos</t>
  </si>
  <si>
    <t>4734-8093</t>
  </si>
  <si>
    <t>4750-4057</t>
  </si>
  <si>
    <t>DIGICOR SALUD S.R.L.</t>
  </si>
  <si>
    <t>4816-6180</t>
  </si>
  <si>
    <t>4816-0602</t>
  </si>
  <si>
    <t>DILAP DE LUCESOLI ATILIO L Y LUCESOLI PEDRO D SOC. H.</t>
  </si>
  <si>
    <t>Fabricación de cuerdas, cordeles, bramantes y redes</t>
  </si>
  <si>
    <t>4657-8974</t>
  </si>
  <si>
    <t xml:space="preserve"> 4647-0118</t>
  </si>
  <si>
    <t>DILMAX S.R.L.</t>
  </si>
  <si>
    <t>Arevalo</t>
  </si>
  <si>
    <t>danaaisenberg@gmail.com</t>
  </si>
  <si>
    <t>4759-3502 | 4716-9192</t>
  </si>
  <si>
    <t>http://dilmax.com.ar/</t>
  </si>
  <si>
    <t>Roberto Potilinski</t>
  </si>
  <si>
    <t>11 3463-8341</t>
  </si>
  <si>
    <t>Roberto Potilinski (Dir. Comercial)</t>
  </si>
  <si>
    <t>4008-8020</t>
  </si>
  <si>
    <t>4400-8800</t>
  </si>
  <si>
    <t>www.gaci.com.ar</t>
  </si>
  <si>
    <t>DIMAQ AUTOMATIZACION</t>
  </si>
  <si>
    <t>1572/76</t>
  </si>
  <si>
    <t>Automatización</t>
  </si>
  <si>
    <t>Guillermo Ariel Venuto</t>
  </si>
  <si>
    <t>11 5486-0664</t>
  </si>
  <si>
    <t>4488-7041</t>
  </si>
  <si>
    <t>www.dimaq.com.ar</t>
  </si>
  <si>
    <t>Cnel. Julio Moreno</t>
  </si>
  <si>
    <t>Fabricación de ventiladores, extractores de aire, aspiradoras y similares</t>
  </si>
  <si>
    <t>fabrican arman y distribuyen ventiladores, hornos, caloventores, y planchas.</t>
  </si>
  <si>
    <t>11 5177-2233</t>
  </si>
  <si>
    <t>4718-6562</t>
  </si>
  <si>
    <t>https://bonn.com.ar/</t>
  </si>
  <si>
    <t>DIN KOS S.R.L.</t>
  </si>
  <si>
    <t>Venta al por mayor de artículos de plástico</t>
  </si>
  <si>
    <t>RICPAT CONSTRUCCIONES SOCIEDAD ANONIMA</t>
  </si>
  <si>
    <t>4647-0849</t>
  </si>
  <si>
    <t>http://www.din-kos.com.ar/</t>
  </si>
  <si>
    <t>administracion@ricpat.com.ar</t>
  </si>
  <si>
    <t>RIO CHICO S.A. (IPESA)</t>
  </si>
  <si>
    <t>DINEU S.A.</t>
  </si>
  <si>
    <t>Aviadores Newbery y Romero</t>
  </si>
  <si>
    <t>Componentes neumáticos</t>
  </si>
  <si>
    <t>ROCA GRIFERIA S.A.</t>
  </si>
  <si>
    <t>Componentes neumaticos</t>
  </si>
  <si>
    <t>15 5486-0664</t>
  </si>
  <si>
    <t>2199-78887</t>
  </si>
  <si>
    <t>www.dineu.com.ar</t>
  </si>
  <si>
    <t>DIOTISALVI JORGE RAFAEL</t>
  </si>
  <si>
    <t xml:space="preserve">Fabricación de Productos Plásticos en Formas Básicas y artículos de Plástico N.C.P., excepto Muebles </t>
  </si>
  <si>
    <t>fabricacion de polietileno</t>
  </si>
  <si>
    <t>Maria de los Angeles</t>
  </si>
  <si>
    <t>15 3571-3665</t>
  </si>
  <si>
    <t>4739-1981</t>
  </si>
  <si>
    <t>Venta al por mayor de metales y minerales metalíferos</t>
  </si>
  <si>
    <t>Biomateriales,instrumental quirurgico, veterinaria/ortopedia</t>
  </si>
  <si>
    <t>Claudio Alberto Russo</t>
  </si>
  <si>
    <t>11 3379-3672</t>
  </si>
  <si>
    <t>11 3511-4298</t>
  </si>
  <si>
    <t>4750-6164</t>
  </si>
  <si>
    <t>https://diquimevet.mitiendanube.com/</t>
  </si>
  <si>
    <t>SEEGER RENO S.A.</t>
  </si>
  <si>
    <t>DISEGNO ITALIANO S.A.</t>
  </si>
  <si>
    <t>11 5294-6795</t>
  </si>
  <si>
    <t>DISELA S.A.</t>
  </si>
  <si>
    <t>Nicaragua</t>
  </si>
  <si>
    <t>Fabricación de artículos confeccionados de materiales Textiles excepto Prendas de Vestir N.C.P.</t>
  </si>
  <si>
    <t>4757-1039</t>
  </si>
  <si>
    <t>DISENOS LOAL S.A.</t>
  </si>
  <si>
    <t>4759 9758
 / 4759 7494</t>
  </si>
  <si>
    <t>DISENOS VALEREYES S.R.L.</t>
  </si>
  <si>
    <t>STAPLER S.R.L.</t>
  </si>
  <si>
    <t>Berazain</t>
  </si>
  <si>
    <t>4488-4666</t>
  </si>
  <si>
    <t>DISEÑOS Y COLORES S.R.L.</t>
  </si>
  <si>
    <t>Serrano</t>
  </si>
  <si>
    <t>Fabricación de productos Textiles N.C.P.</t>
  </si>
  <si>
    <t>4774-0901</t>
  </si>
  <si>
    <t>DISPOMETAL S.R.L.</t>
  </si>
  <si>
    <t>SUCESION DE CALI SALVADOR</t>
  </si>
  <si>
    <t>DISTPAMPA S.R.L.</t>
  </si>
  <si>
    <t>116013-0532</t>
  </si>
  <si>
    <t>https://distpampa.com.ar/</t>
  </si>
  <si>
    <t>DISTRIBUIDORA ALVEAR S.R.L.</t>
  </si>
  <si>
    <t>Venta al por mayor de productos alimenticios N.C.P. (Incluye la venta de miel y derivados, productos congelados, etc.)</t>
  </si>
  <si>
    <t>4657-8424</t>
  </si>
  <si>
    <t>DISTRIBUIDORA LOMA HERMOSA S.R.L.</t>
  </si>
  <si>
    <t>Distribución y venta de bebidas no alcohólicas malteadas cervezas y aguas gaseosas</t>
  </si>
  <si>
    <t>4769-5391</t>
  </si>
  <si>
    <t>4739-5400 Antepechos El Ángel?</t>
  </si>
  <si>
    <t>DISTRIBUIDORA MOTA'S S.R.L.</t>
  </si>
  <si>
    <t>Venta al por mayor de fiambres y quesos. Servicio de transporte automotor de cargas N.C.P.</t>
  </si>
  <si>
    <t>4842-2056</t>
  </si>
  <si>
    <t>4506-2256</t>
  </si>
  <si>
    <t>DISTRIQUIM INTERAMERICAN S.R.L. (CORONEL MARIO HERNAN)</t>
  </si>
  <si>
    <t>Fabricacion de productos quimicos N.C.P.</t>
  </si>
  <si>
    <t>Mario Hernan Coronel</t>
  </si>
  <si>
    <t>11 6662-7415</t>
  </si>
  <si>
    <t>4718-6783</t>
  </si>
  <si>
    <t>http://www.distriquim.com.ar/</t>
  </si>
  <si>
    <t>DISTRISER S.R.L.</t>
  </si>
  <si>
    <t>Servicios de gestión y logística para el transporte de mercaderías N.C.P. (Fraccionamiento y distribución de gas)</t>
  </si>
  <si>
    <t>4750-2491</t>
  </si>
  <si>
    <t>(221) 479-0578</t>
  </si>
  <si>
    <t>DISYUNTORES SAN BLAS S.R.L.</t>
  </si>
  <si>
    <t>Zarratea</t>
  </si>
  <si>
    <t>Fabricación de aparatos de uso doméstico, servicios de contabilidad, auditoría y asesoría fiscal</t>
  </si>
  <si>
    <t>4572-2929</t>
  </si>
  <si>
    <t>15 4022-2440</t>
  </si>
  <si>
    <t>https://www.dsanblas.com.ar/contact.html</t>
  </si>
  <si>
    <t>Fabricación de preparados para limpieza, pulido y saneamiento</t>
  </si>
  <si>
    <t>Gerardo Cester</t>
  </si>
  <si>
    <t>11 6857-9116</t>
  </si>
  <si>
    <t>https://diversey.com.ar/es/node</t>
  </si>
  <si>
    <t>4842-8200 | 4842-8222 | 4842-8260</t>
  </si>
  <si>
    <t>4842-2224</t>
  </si>
  <si>
    <t>4842-1009</t>
  </si>
  <si>
    <t>diversey.com</t>
  </si>
  <si>
    <t>DIVERSEYLEVER ARGENTINA S.A.</t>
  </si>
  <si>
    <t>Fabricación de Jabones y Detergentes</t>
  </si>
  <si>
    <t>4842-8200</t>
  </si>
  <si>
    <t>https://www.solenis.com/es-mx//</t>
  </si>
  <si>
    <t>DLT TOOLS S.A.</t>
  </si>
  <si>
    <t>4716-2686 | 4750-0072</t>
  </si>
  <si>
    <t>VICTORY PRODUCTOS DE LIMPIEZA PROFESIONAL S.R.L.</t>
  </si>
  <si>
    <t>DOCE FELIX LUIS</t>
  </si>
  <si>
    <t>Fabricación de productos metalicos de tormeria</t>
  </si>
  <si>
    <t>5430-9077</t>
  </si>
  <si>
    <t>https://www.facebook.com/pg/tensoresfosters/about/</t>
  </si>
  <si>
    <t>DOFICA S.A.</t>
  </si>
  <si>
    <t>Gral. Enrique Mosconi</t>
  </si>
  <si>
    <t>Fabricación de calzado de tela, plástico, goma, caucho y otros materiales, excepto calzado ortopédico y de asbesto</t>
  </si>
  <si>
    <t>4757-7864</t>
  </si>
  <si>
    <t>Fabricación de partes, piezas y accesorios para vehículos automotores y sus motores N.C.P</t>
  </si>
  <si>
    <t>Autopartes</t>
  </si>
  <si>
    <t>Jorge Gopp</t>
  </si>
  <si>
    <t>11 6680-6053</t>
  </si>
  <si>
    <t>Maria de los Ángeles Jaworski</t>
  </si>
  <si>
    <t>admfcadehielo@gmail.com</t>
  </si>
  <si>
    <t>11 4190-5966</t>
  </si>
  <si>
    <t>11 4488-2849</t>
  </si>
  <si>
    <t>ALVAREZ XIMENA  SOLEDAD</t>
  </si>
  <si>
    <t>11 4488-3397</t>
  </si>
  <si>
    <t>11 6061-4156</t>
  </si>
  <si>
    <t>https://www.idolz.com.ar/</t>
  </si>
  <si>
    <t>info@mcaembalajes.com.ar</t>
  </si>
  <si>
    <t>DON HUGO ARGENTINA S.A.</t>
  </si>
  <si>
    <t>Elaboración de aceites y grasas vegetales sin refinar</t>
  </si>
  <si>
    <t>4639-3254</t>
  </si>
  <si>
    <t>4508-9422</t>
  </si>
  <si>
    <t>DON JORGE S.A.</t>
  </si>
  <si>
    <t>info@maferbul.com.ar</t>
  </si>
  <si>
    <t>Osvaldo Gonzalez</t>
  </si>
  <si>
    <t>4657-4699</t>
  </si>
  <si>
    <t>4653-7173</t>
  </si>
  <si>
    <t>4657-6995/2975</t>
  </si>
  <si>
    <t>https://donjorge.com.ar/</t>
  </si>
  <si>
    <t>DORTA E HIJOS S.R.L.</t>
  </si>
  <si>
    <t>administracion@estudioapop.com.ar</t>
  </si>
  <si>
    <t>ddd</t>
  </si>
  <si>
    <t>Estañado de alambres de cobre - estañado electrolitico taller de estañado - flejes de cobre estañado - aluminio cobreado</t>
  </si>
  <si>
    <t>Luis Dorta</t>
  </si>
  <si>
    <t>4699-3184</t>
  </si>
  <si>
    <t>4173-8996</t>
  </si>
  <si>
    <t>4173-8992</t>
  </si>
  <si>
    <t>info@dosg.com.ar</t>
  </si>
  <si>
    <t>Fabricación de productos de calidad para el mercado petrolero mundial</t>
  </si>
  <si>
    <t>recepcion@amasd.com.ar</t>
  </si>
  <si>
    <t>lineas de tratamiento, equipos de cabeza de pozo, equipos de pqb.</t>
  </si>
  <si>
    <t>Ariel Oscar Fraifer</t>
  </si>
  <si>
    <t>11 4049-0121</t>
  </si>
  <si>
    <t>11 3986-9833</t>
  </si>
  <si>
    <t>DRACO EQUIPAMIENTOS S.R.L.</t>
  </si>
  <si>
    <t>christianpatko@hotmail.com</t>
  </si>
  <si>
    <t>4750-9296</t>
  </si>
  <si>
    <t>http://draco-equipamientos.com.ar/</t>
  </si>
  <si>
    <t>DT METALURGICA</t>
  </si>
  <si>
    <t>aantaj@aantaj.com.ar</t>
  </si>
  <si>
    <t>Calentadores a gas, barrales para garrafa, parrillas plegables, anafes industriales y pantallas infrarrojas.</t>
  </si>
  <si>
    <t>Cocinas  y repuestos</t>
  </si>
  <si>
    <t>Leandro di Tomaso</t>
  </si>
  <si>
    <t>11 3819-5838</t>
  </si>
  <si>
    <t>4734-1619</t>
  </si>
  <si>
    <t>DUBASA S.R.L.</t>
  </si>
  <si>
    <t>info@abaflex.com.ar</t>
  </si>
  <si>
    <t>José Mármol</t>
  </si>
  <si>
    <t>Tapado, etiquetado, transporte y envasado de productos líquidos, semilíquidos, y cremas.</t>
  </si>
  <si>
    <t>Jorge Sammarco</t>
  </si>
  <si>
    <t>11 5759-3325</t>
  </si>
  <si>
    <t>11 4750-4106</t>
  </si>
  <si>
    <t>11 4734-4818</t>
  </si>
  <si>
    <t>abbomar.abbomar@gmail.com</t>
  </si>
  <si>
    <t>11 5434-1489</t>
  </si>
  <si>
    <t>https://dubasa.com.ar/</t>
  </si>
  <si>
    <t>DULCES DEL PLATA S.A.I.Y.C.</t>
  </si>
  <si>
    <t>cynthia@valvulas-esteban.com.ar</t>
  </si>
  <si>
    <t>Puerto Argentino</t>
  </si>
  <si>
    <t>4792-3187</t>
  </si>
  <si>
    <t>4841-3720</t>
  </si>
  <si>
    <t>abermatic@abermatic.com</t>
  </si>
  <si>
    <t>Juán José Paso</t>
  </si>
  <si>
    <t>Elaboración de productos alimenticios N.C.P. (incluye la elaboración de polvos para preparar postres y gelatinas, levadura, productos para copetín, sopas, sal de mesa, mayonesa, mostaza, etc.)</t>
  </si>
  <si>
    <t>Gustavo N. Bonomi</t>
  </si>
  <si>
    <t>abk@abk.com.ar</t>
  </si>
  <si>
    <t>11 6093-5307</t>
  </si>
  <si>
    <t>Norberto Bonomi</t>
  </si>
  <si>
    <t>4653-2343</t>
  </si>
  <si>
    <t>457-3231</t>
  </si>
  <si>
    <t xml:space="preserve"> 4653-4396</t>
  </si>
  <si>
    <t>www.emeth.com.ar/</t>
  </si>
  <si>
    <t>DURALITTE S.A. (DIQUEME SA)</t>
  </si>
  <si>
    <t>producto@accecuer.com.ar</t>
  </si>
  <si>
    <t>4005-5540/5587</t>
  </si>
  <si>
    <t>DUSVAR S.R.L.</t>
  </si>
  <si>
    <t>acerosaceper@gmail.com</t>
  </si>
  <si>
    <t>Abdon Garcia</t>
  </si>
  <si>
    <t>4647-1487 | 4653-4155</t>
  </si>
  <si>
    <t>http://www.dusvar.com/</t>
  </si>
  <si>
    <t>dante@aceroscofer.com.ar</t>
  </si>
  <si>
    <t>DUZZEN S.A.</t>
  </si>
  <si>
    <t>Tupper a fasón y demas productos personalizados de plásticos</t>
  </si>
  <si>
    <t>Daniel Salgado (Director)</t>
  </si>
  <si>
    <t>Jorge de Torres (Presidente)</t>
  </si>
  <si>
    <t>11 4488-1561</t>
  </si>
  <si>
    <t>https://www.duzzen.com.ar/</t>
  </si>
  <si>
    <t>ventas@acerosdr.com.ar</t>
  </si>
  <si>
    <t>administracion@inoxicaseros.com.ar</t>
  </si>
  <si>
    <t>Fabricación de receptores de radio y televisión, aparatos de grabación y reproducción de sonido y video, y productos conexos</t>
  </si>
  <si>
    <t>Elizabeth Petroni</t>
  </si>
  <si>
    <t xml:space="preserve">Juan Pablo Borda </t>
  </si>
  <si>
    <t>4647-2100</t>
  </si>
  <si>
    <t>dxcontrol.com.ar</t>
  </si>
  <si>
    <t>E G P IMPRESORES S.R.L.</t>
  </si>
  <si>
    <t>cbrun@acerosmb.com.ar</t>
  </si>
  <si>
    <t>4657-3733/5113/5056/9883</t>
  </si>
  <si>
    <t>info@los-amores.com.ar</t>
  </si>
  <si>
    <t>Matriz de flexografía</t>
  </si>
  <si>
    <t>Carlos H. Petrola</t>
  </si>
  <si>
    <t>11 3062-9078</t>
  </si>
  <si>
    <t>Damián Petrola</t>
  </si>
  <si>
    <t>11 5763-2892</t>
  </si>
  <si>
    <t>4488-4941</t>
  </si>
  <si>
    <t>pablo@acytra.com</t>
  </si>
  <si>
    <t>4588-3740</t>
  </si>
  <si>
    <t>www.flexoemagen.com.ar</t>
  </si>
  <si>
    <t>EASY MADE S.R.L.</t>
  </si>
  <si>
    <t>adheplast1@gmail.com</t>
  </si>
  <si>
    <t>821-7963</t>
  </si>
  <si>
    <t>info@aditivosplasticos.com</t>
  </si>
  <si>
    <t>ECOBAIRES SOLUCIONES S.R.L.</t>
  </si>
  <si>
    <t>Transporte</t>
  </si>
  <si>
    <t>Recolección, transporte, tratamiento y disposición final de residuos peligrosos</t>
  </si>
  <si>
    <t>Jonathan Szprynger</t>
  </si>
  <si>
    <t>kaminskijuanpablo@gmail.com </t>
  </si>
  <si>
    <t>11 6224-0086</t>
  </si>
  <si>
    <t>4712-5152</t>
  </si>
  <si>
    <t>https://www.ecoilsrl.com.ar/</t>
  </si>
  <si>
    <t>info@soluplex.com</t>
  </si>
  <si>
    <t>Fabricación de productos químicoS N.C.P. (Incluye la producción de aceites esenciales, tintas excepto para imprenta, etc.)</t>
  </si>
  <si>
    <t>Productos quimicos</t>
  </si>
  <si>
    <t>Alejando Zamalloa</t>
  </si>
  <si>
    <t>11 5420-1531</t>
  </si>
  <si>
    <t>Rodrigo Loyola Conesa</t>
  </si>
  <si>
    <t>15 5420-1531</t>
  </si>
  <si>
    <t>4734-5977</t>
  </si>
  <si>
    <t>4734-9593</t>
  </si>
  <si>
    <t>compras@box4000.com.ar</t>
  </si>
  <si>
    <t>www.ecoprol.com.ar/</t>
  </si>
  <si>
    <t>EDICIONES TODO COLOR</t>
  </si>
  <si>
    <t>3 de Febrero</t>
  </si>
  <si>
    <t>Cotillon</t>
  </si>
  <si>
    <t>Fabrica cotillon, venta al por menor de art de cotillon y juegos de mesa</t>
  </si>
  <si>
    <t>Silvia Moreno</t>
  </si>
  <si>
    <t>11 6931-3031</t>
  </si>
  <si>
    <t>guiga@hotmail.com</t>
  </si>
  <si>
    <t>San Martín</t>
  </si>
  <si>
    <t>empresa de empaquetado, embalajes.</t>
  </si>
  <si>
    <t>Oscar Brignolo</t>
  </si>
  <si>
    <t>11 5339-2014</t>
  </si>
  <si>
    <t>Mariano Brignolo | Karina (contadora)</t>
  </si>
  <si>
    <t>hola@caissa.com.ar</t>
  </si>
  <si>
    <t>4656-1178</t>
  </si>
  <si>
    <t>4653-9614/5315</t>
  </si>
  <si>
    <t>4653-8063</t>
  </si>
  <si>
    <t>edos.com.ar</t>
  </si>
  <si>
    <t>EDUAPLAST S.A.</t>
  </si>
  <si>
    <t>info@aiman-sa.com</t>
  </si>
  <si>
    <t>4657-3212 | 4653-8038</t>
  </si>
  <si>
    <t>https://eduaplast.com.ar/</t>
  </si>
  <si>
    <t>EDUARDO H. ROCA, EDUARDO A. ROCA Y CECILIA N.ROCA (METALURGICA FRH)</t>
  </si>
  <si>
    <t>jrivarola@aitec-ingenieria.com.ar</t>
  </si>
  <si>
    <t>4657-4830</t>
  </si>
  <si>
    <t>aituedesarrollos.contacto@gmail.com</t>
  </si>
  <si>
    <t>Mecanizados por CNC, tornería automática, laminación de roscas</t>
  </si>
  <si>
    <t>Rodrigo H. Loyola Conesa</t>
  </si>
  <si>
    <t>Eduardo R. Peliza (Socio Gerente), Mauro E. Peliza (Gerencia de producción)</t>
  </si>
  <si>
    <t>4653-4843</t>
  </si>
  <si>
    <t>algremioherrajes@gmail.com</t>
  </si>
  <si>
    <t>4657-4648</t>
  </si>
  <si>
    <t>http://www.peliza.com.ar/htmlv/empresa.html</t>
  </si>
  <si>
    <t>alfundicion@gmail.com</t>
  </si>
  <si>
    <t>EINE FRENOS DE ROMANI CARLOS GABRIEL ROMANI PABLO CESAR Y ROMANI CARLOS C S.H.</t>
  </si>
  <si>
    <t>0800-333-7266</t>
  </si>
  <si>
    <t>4488-3876</t>
  </si>
  <si>
    <t>info@acerosbosch.com.ar</t>
  </si>
  <si>
    <t>4653-2325</t>
  </si>
  <si>
    <t>http://www.einefrenos.com.ar/cms/index.php?lang=es</t>
  </si>
  <si>
    <t>EL ARRAYAN S.A.</t>
  </si>
  <si>
    <t>San Carlos</t>
  </si>
  <si>
    <t>1680 Piso:4 Dpto:B</t>
  </si>
  <si>
    <t>Alcohol</t>
  </si>
  <si>
    <t>info@alcidestessa.com.ar</t>
  </si>
  <si>
    <t>4452-2760</t>
  </si>
  <si>
    <t>4295-8731</t>
  </si>
  <si>
    <t>EL BRAVO S.R.L.</t>
  </si>
  <si>
    <t xml:space="preserve">Barragán </t>
  </si>
  <si>
    <t>merengueseltriunfo@gmail.com</t>
  </si>
  <si>
    <t>Fabricación de bombas, compresores, grifos y válvulas</t>
  </si>
  <si>
    <t>4657-4909</t>
  </si>
  <si>
    <t>4653-7616</t>
  </si>
  <si>
    <t>http://www.bombaselbravo.com.ar/</t>
  </si>
  <si>
    <t>tresba@live.com.ar</t>
  </si>
  <si>
    <t>EL EBANO DESIGN S.R.L.</t>
  </si>
  <si>
    <t>Roman Gomez</t>
  </si>
  <si>
    <t>Muebles de oficina, sillas</t>
  </si>
  <si>
    <t>Roberto</t>
  </si>
  <si>
    <t>11 5182-7322</t>
  </si>
  <si>
    <t>4712-0316</t>
  </si>
  <si>
    <t>administracion@sabbatini.com.ar</t>
  </si>
  <si>
    <t>https://www.elebanodesign.com.ar</t>
  </si>
  <si>
    <t>Fabricación de sodas y embotellado de aguas naturales y minerales</t>
  </si>
  <si>
    <t>info@crisppino.com</t>
  </si>
  <si>
    <t>Hector Darritchon | Carlos Maiztegui</t>
  </si>
  <si>
    <t>11 6133-1530</t>
  </si>
  <si>
    <t>Cesar I. Darritchon</t>
  </si>
  <si>
    <t>11 5098-4550</t>
  </si>
  <si>
    <t>11 2275-3000</t>
  </si>
  <si>
    <t>4657-8607 | 4469-8946</t>
  </si>
  <si>
    <t>11 4473-2421 (Maximo Compagni)</t>
  </si>
  <si>
    <t>http://somoselagua.com.ar/</t>
  </si>
  <si>
    <t>pedidos@bacigalupo.com.ar</t>
  </si>
  <si>
    <t>EL LUCERO MAYORISTA S.R.L.</t>
  </si>
  <si>
    <t>Av. Triunvirato</t>
  </si>
  <si>
    <t>Venta al por menor de productos alimenticios N.C.P., en comercios especializados</t>
  </si>
  <si>
    <t>Angel</t>
  </si>
  <si>
    <t>11 2655-0256</t>
  </si>
  <si>
    <t>4844-1995</t>
  </si>
  <si>
    <t>4739-1917</t>
  </si>
  <si>
    <t>alimentos@kapac.com.ar</t>
  </si>
  <si>
    <t>yzitzmann@noly.com.ar</t>
  </si>
  <si>
    <t>11 5039-4602</t>
  </si>
  <si>
    <t>Martin Zajd (Jefe)</t>
  </si>
  <si>
    <t>11 6141-8129</t>
  </si>
  <si>
    <t>4653-5495</t>
  </si>
  <si>
    <t>4488-7004</t>
  </si>
  <si>
    <t>4488-7003</t>
  </si>
  <si>
    <t>https://elacin.com.ar/</t>
  </si>
  <si>
    <t>alimentos_silva@hotmail.com</t>
  </si>
  <si>
    <t>ELAM S.A.</t>
  </si>
  <si>
    <t>Aserrado y Cepillado de Madera</t>
  </si>
  <si>
    <t>750-0016</t>
  </si>
  <si>
    <t>haydee@allcleanmayorista.com.ar</t>
  </si>
  <si>
    <t>ELASA REDES URBANAS S.R.L.</t>
  </si>
  <si>
    <t>4435-8211</t>
  </si>
  <si>
    <t>ELASTOMEC S.A.</t>
  </si>
  <si>
    <t>Portugal</t>
  </si>
  <si>
    <t>info@almartt.com</t>
  </si>
  <si>
    <t>4757-5957</t>
  </si>
  <si>
    <t>matriceria_alonso@hotmail.com</t>
  </si>
  <si>
    <t>ELECSIS S.A.</t>
  </si>
  <si>
    <t>11 5291-5041</t>
  </si>
  <si>
    <t>11 5291-5042</t>
  </si>
  <si>
    <t>alpharomaris@aol.com</t>
  </si>
  <si>
    <t>http://elecsistems.com/</t>
  </si>
  <si>
    <t>ELECTRICA TRAFUL S.R.L.</t>
  </si>
  <si>
    <t>altron@altronsh.com.ar</t>
  </si>
  <si>
    <t>info@alumetal.com.ar</t>
  </si>
  <si>
    <t>4734-6100</t>
  </si>
  <si>
    <t>ALUMINIO REAL S.A.</t>
  </si>
  <si>
    <t>ELECTRO INSTAL S.R.L.</t>
  </si>
  <si>
    <t>Instalaciones para edificios y obras de ingeniería civil N.C.P.</t>
  </si>
  <si>
    <t>sergiofedele@aluminioreal.com.ar</t>
  </si>
  <si>
    <t>011 4163-7333</t>
  </si>
  <si>
    <t>https://electroinstal.com.ar/</t>
  </si>
  <si>
    <t>administracion@aluoest.com.ar</t>
  </si>
  <si>
    <t>ELECTROHOGAR S.A.</t>
  </si>
  <si>
    <t>Edison</t>
  </si>
  <si>
    <t>4769-5230/5248</t>
  </si>
  <si>
    <t>flexitub@ciudad.com.ar</t>
  </si>
  <si>
    <t>ELECTROMECANICA CATTOZZO S.R.L.</t>
  </si>
  <si>
    <t>marcelo@amalgraf.com.ar</t>
  </si>
  <si>
    <t>4734-4504</t>
  </si>
  <si>
    <t>4759-7571</t>
  </si>
  <si>
    <t>https://www.cattozzosrl.com.ar/</t>
  </si>
  <si>
    <t>ELECTRONICA WAX S.R.L.</t>
  </si>
  <si>
    <t>Las Camelias</t>
  </si>
  <si>
    <t>karina.amendola@gmail.com</t>
  </si>
  <si>
    <t>4574-0397</t>
  </si>
  <si>
    <t>ELECTROPROEL S.A.</t>
  </si>
  <si>
    <t>amentuel@amentuel.com.ar</t>
  </si>
  <si>
    <t>Entre Rios</t>
  </si>
  <si>
    <t>mueblesnovacasa@hotmail.com</t>
  </si>
  <si>
    <t>4769-9361</t>
  </si>
  <si>
    <t>info@electroproelsa.com.ar</t>
  </si>
  <si>
    <t>ELEFE COM S.R.L.</t>
  </si>
  <si>
    <t>dasfabrica@gmail.com</t>
  </si>
  <si>
    <t>Servicios de telecomunicaciones N.C.P. (Incluye el servicio de pagers)</t>
  </si>
  <si>
    <t>DIC</t>
  </si>
  <si>
    <t>rizzutocesar@gmail.com</t>
  </si>
  <si>
    <t>11 4712-5878</t>
  </si>
  <si>
    <t>https://elefe.com/</t>
  </si>
  <si>
    <t>ventas@anacon.com.ar</t>
  </si>
  <si>
    <t>ELEMAN ELECTROMECANICA S.A.</t>
  </si>
  <si>
    <t>Julio Besada</t>
  </si>
  <si>
    <t>Reparaciones eléctricas del tablero e instrumental; reparación y recarga de baterías; instalación de alarmas, radios, sistemas de climatización</t>
  </si>
  <si>
    <t>4842-9296</t>
  </si>
  <si>
    <t>info@analba.com</t>
  </si>
  <si>
    <t>ELEVADORES Y COMPONENTES S.R.L.</t>
  </si>
  <si>
    <t>Fabricación de Equipo de Elevación y Manipulación (Incluye la fabricación de ascensores, escaleras mecánicas, montacargas, etc.)</t>
  </si>
  <si>
    <t>4652-2790</t>
  </si>
  <si>
    <t>info@andamiosnestradunol.com.ar</t>
  </si>
  <si>
    <t>ELIBET S.A.</t>
  </si>
  <si>
    <t>Fabricación de aparatos de distribución y control de la energía eléctrica</t>
  </si>
  <si>
    <t>cremadr@yahoo.com.ar</t>
  </si>
  <si>
    <t>7079-0022</t>
  </si>
  <si>
    <t>https://www.elibet.com/</t>
  </si>
  <si>
    <t>info@anodimar.com.ar</t>
  </si>
  <si>
    <t>Tuercas y arandelas</t>
  </si>
  <si>
    <t>Pablo Toniollo</t>
  </si>
  <si>
    <t>11 5917-6106</t>
  </si>
  <si>
    <t>11 6361-5785</t>
  </si>
  <si>
    <t>11 2459-0911</t>
  </si>
  <si>
    <t>anodizadoseimada@hotmail.com</t>
  </si>
  <si>
    <t>https://elityc.com.ar/es/</t>
  </si>
  <si>
    <t>ANTONIO JOSÉ FABREGA CONFECCIONES S.A.</t>
  </si>
  <si>
    <t>ELITYC S.R.L. (METALÚRGICA ELITYC)</t>
  </si>
  <si>
    <t>cfabrega@outlook.com</t>
  </si>
  <si>
    <t>11 5352-9888</t>
  </si>
  <si>
    <t>11 6861-5785</t>
  </si>
  <si>
    <t>info@apret.com.ar</t>
  </si>
  <si>
    <t>Fabricación de maquinaria metalurgica</t>
  </si>
  <si>
    <t>Hernán Arenas</t>
  </si>
  <si>
    <t>5752-7560</t>
  </si>
  <si>
    <t>Nahuel Arenas</t>
  </si>
  <si>
    <r>
      <rPr>
        <rFont val="Calibri"/>
        <color rgb="FF000000"/>
        <sz val="11.0"/>
      </rPr>
      <t>6809-5511</t>
    </r>
    <r>
      <rPr>
        <rFont val="Calibri"/>
        <color rgb="FF000000"/>
        <sz val="11.0"/>
      </rPr>
      <t>​</t>
    </r>
  </si>
  <si>
    <t>4653-3207/3809</t>
  </si>
  <si>
    <t>https://www.emasonline.com.ar/</t>
  </si>
  <si>
    <t>administracion@aptitud.com.ar</t>
  </si>
  <si>
    <t>EMBALAJE TOTAL S.R.L.</t>
  </si>
  <si>
    <t>Fabricación de artículos de Papel y Cartón N.C.P.</t>
  </si>
  <si>
    <t>vegetalpack@vegetalpack.com.br</t>
  </si>
  <si>
    <t>4658-8220</t>
  </si>
  <si>
    <t>EMBALAJES INDUSTRIALES S.A.</t>
  </si>
  <si>
    <t>Fabricación de Papel y Cartón excepto Envases</t>
  </si>
  <si>
    <t>bruno_almagro_@hotmail.com</t>
  </si>
  <si>
    <t>4768-0323</t>
  </si>
  <si>
    <t>11 3725-3400</t>
  </si>
  <si>
    <t>http://www.embalajesindustriales.com/page/homepage</t>
  </si>
  <si>
    <t>silvina@araujosrl.com.ar</t>
  </si>
  <si>
    <t>Hilos y Cintas de polipropileno y de polietileno, flejes de polipropileno para uso manual y flejes para máquinas automáticas y semiautomáticas, etc</t>
  </si>
  <si>
    <t>Sebastían Bello</t>
  </si>
  <si>
    <t>11 5095-7051</t>
  </si>
  <si>
    <t>11 4653-2585</t>
  </si>
  <si>
    <t>4657-2813</t>
  </si>
  <si>
    <t>https://embalflej.com.ar/</t>
  </si>
  <si>
    <t>ventas@arcolor-sa.com.ar</t>
  </si>
  <si>
    <t>EMBOTELLADORA LAS NENAS S.R.L.</t>
  </si>
  <si>
    <t>info@rigiflex.com.ar</t>
  </si>
  <si>
    <t>Fabricación de Sodas</t>
  </si>
  <si>
    <t>11 4848-3641</t>
  </si>
  <si>
    <t>EMECOL S.R.L.</t>
  </si>
  <si>
    <t>Rotarismo Argentino</t>
  </si>
  <si>
    <t>info.aaarquitectura@gmail.com</t>
  </si>
  <si>
    <t>B2B, BK, DIC</t>
  </si>
  <si>
    <t>4757-1500</t>
  </si>
  <si>
    <t>4115-0212</t>
  </si>
  <si>
    <t>argenchap@hotmail.com</t>
  </si>
  <si>
    <t xml:space="preserve">Fabricación de envases plásticos </t>
  </si>
  <si>
    <t>15 3516-1193</t>
  </si>
  <si>
    <t>https://emedeplast.com/</t>
  </si>
  <si>
    <t>pabloram@live.com.ar</t>
  </si>
  <si>
    <t>1832 PB</t>
  </si>
  <si>
    <t>argenfarma@gmail.com</t>
  </si>
  <si>
    <t>4750-8970</t>
  </si>
  <si>
    <t>emeli.com.ar</t>
  </si>
  <si>
    <t>Manuel Quintana</t>
  </si>
  <si>
    <t>Industria manufacturera. Fabricación de productos elaborados de metal N.C.P., servicios de trabajo de metales</t>
  </si>
  <si>
    <t>argensil@argensil.com.ar</t>
  </si>
  <si>
    <t>Proveedor de metales</t>
  </si>
  <si>
    <t>Leonardo Oscar Narda</t>
  </si>
  <si>
    <t>15 5011-7277</t>
  </si>
  <si>
    <t>EMERGENCIAS PETROLERAS S.R.L.</t>
  </si>
  <si>
    <t>Conde Zeppelin</t>
  </si>
  <si>
    <t>info@argentinascrap.com</t>
  </si>
  <si>
    <t>Descontaminación y otros servicios de gestión de residuos</t>
  </si>
  <si>
    <t>Prestadora de servicios, asesoramientos y consultoría en tareas de prevención y control de derrames</t>
  </si>
  <si>
    <t>4502-4950</t>
  </si>
  <si>
    <t>http://www.emerpetro.com/</t>
  </si>
  <si>
    <t>g.arias@mgaconstrucciones.com.ar</t>
  </si>
  <si>
    <t>ARIZONA CALZADOS S.R.L.</t>
  </si>
  <si>
    <t>EMILIO PEDRONI Y CIA S.A.</t>
  </si>
  <si>
    <t>José Murias</t>
  </si>
  <si>
    <t>respuesto para autos</t>
  </si>
  <si>
    <t>Info@dravidal.com.ar</t>
  </si>
  <si>
    <t>4750-6061</t>
  </si>
  <si>
    <t>EMOS S.A.</t>
  </si>
  <si>
    <t>arkino.info@gmail.com</t>
  </si>
  <si>
    <t>4759-9986</t>
  </si>
  <si>
    <t>4484-2576</t>
  </si>
  <si>
    <t>https://www.emos-sa.com.ar/</t>
  </si>
  <si>
    <t>ventas@arlimetal.com.ar</t>
  </si>
  <si>
    <t>EMPRE S.R.L.</t>
  </si>
  <si>
    <t>cmeyer@armaferro.com.ar</t>
  </si>
  <si>
    <t>hebillas</t>
  </si>
  <si>
    <t>Alejandro R. Pregelj (Socio gerente)</t>
  </si>
  <si>
    <t>11 4991-1651</t>
  </si>
  <si>
    <t>4657-6804</t>
  </si>
  <si>
    <t>4653-1591</t>
  </si>
  <si>
    <t>administracion@agmetalurgica.com.ar</t>
  </si>
  <si>
    <t>http://www.hebillasempre.com.ar/espanol/contacto</t>
  </si>
  <si>
    <t>ENCENDIDO KM 21 100 DE ROBERTO MACIERI Y SOCIEDAD DE HECHO</t>
  </si>
  <si>
    <t>info@aroquim.com.ar</t>
  </si>
  <si>
    <t>4551-7650</t>
  </si>
  <si>
    <t>ENKA DE JERNEJ KALAN Y ELENA KALAN</t>
  </si>
  <si>
    <t>ariel.gomezcheda@gmail.com</t>
  </si>
  <si>
    <t>Fabricación de Maquinaria Metalúrgica</t>
  </si>
  <si>
    <t>759-3926</t>
  </si>
  <si>
    <t>info@arquiceica.com.ar</t>
  </si>
  <si>
    <t>ENKA S.R.L.</t>
  </si>
  <si>
    <t>Fabricación de maquinaria metalúrgica</t>
  </si>
  <si>
    <t>4759-3926</t>
  </si>
  <si>
    <t>info@heladosaloha.com.ar</t>
  </si>
  <si>
    <t>ENLOZADORA FRAUN S.A.</t>
  </si>
  <si>
    <t>Soldado Bordon</t>
  </si>
  <si>
    <t>Fabricación de Sustancias Químicas Industriales Básicas excepto abonos no clasificadas en otra parte</t>
  </si>
  <si>
    <t>estiloarte.deco@gmail.com</t>
  </si>
  <si>
    <t>4759-7465</t>
  </si>
  <si>
    <t>ENRIQUEZ ERCILIA ISABEL</t>
  </si>
  <si>
    <t>5954 Dpto:4</t>
  </si>
  <si>
    <t>matriceriaams@gmail.com</t>
  </si>
  <si>
    <t>Carros, carretas y contenedores de supermercados</t>
  </si>
  <si>
    <t>Matias | Horacio</t>
  </si>
  <si>
    <t>Ercilia Enriquez | Mariela Lanata</t>
  </si>
  <si>
    <t>4751-3025</t>
  </si>
  <si>
    <t>https://galvanotecniajl.com.ar/</t>
  </si>
  <si>
    <t>info@artecniamarmoles.com.ar</t>
  </si>
  <si>
    <t>Elaboración de productos de confitería N.C.P.</t>
  </si>
  <si>
    <t>Chocolate, alfajores y galletitas</t>
  </si>
  <si>
    <t>Andrea Garcia Acosta</t>
  </si>
  <si>
    <t>11 5878-6246</t>
  </si>
  <si>
    <t>Carolina Panarella</t>
  </si>
  <si>
    <t>11 5902-5112</t>
  </si>
  <si>
    <t>4488-4165</t>
  </si>
  <si>
    <t>4647-3352</t>
  </si>
  <si>
    <t>4647-3089</t>
  </si>
  <si>
    <t>http://www.cachafaz.com/</t>
  </si>
  <si>
    <t>artecuer@attachepiramide.com.ar</t>
  </si>
  <si>
    <t>ENVACO S.A.</t>
  </si>
  <si>
    <t>info@artenvases.com.ar</t>
  </si>
  <si>
    <t>4769-1761</t>
  </si>
  <si>
    <t>ENVADEC S.R.L.</t>
  </si>
  <si>
    <t>Río Negro</t>
  </si>
  <si>
    <t>info@artestamp.com.ar</t>
  </si>
  <si>
    <t xml:space="preserve"> Fabricacion de productos plásticos en formas básicas y artículos de plástico N.C.P, Excepto muebles</t>
  </si>
  <si>
    <t>fabr envases plásticos</t>
  </si>
  <si>
    <t>Hugo R.L. Bello</t>
  </si>
  <si>
    <t>11 5801-8754</t>
  </si>
  <si>
    <t>Claudio Runca (Gte. De ventas)</t>
  </si>
  <si>
    <t>15 5801-8754</t>
  </si>
  <si>
    <t>5801-8754</t>
  </si>
  <si>
    <t>4848-4112</t>
  </si>
  <si>
    <t>4506-1532</t>
  </si>
  <si>
    <t>www.envadecsrl.com.ar</t>
  </si>
  <si>
    <t>info@artrama.com.ar</t>
  </si>
  <si>
    <t>Materiales plásticos flexibles</t>
  </si>
  <si>
    <t>Claudio Runca</t>
  </si>
  <si>
    <t>asanno@asanno.com</t>
  </si>
  <si>
    <t>4734-1000</t>
  </si>
  <si>
    <t>4734-1400</t>
  </si>
  <si>
    <t>4734-1600</t>
  </si>
  <si>
    <t>https://www.envasesjohn.com.ar/es/</t>
  </si>
  <si>
    <t>administracion@tecniform.com.ar</t>
  </si>
  <si>
    <t>ENVATERM S.R.L.</t>
  </si>
  <si>
    <t>Roberto Lage</t>
  </si>
  <si>
    <t>Luis Kipers</t>
  </si>
  <si>
    <t>4757-9786</t>
  </si>
  <si>
    <t>11 2464-4070</t>
  </si>
  <si>
    <t>asimcic@aselmetalurgica.com.ar</t>
  </si>
  <si>
    <t>envaterm.com</t>
  </si>
  <si>
    <t>ENVISOL S.A.</t>
  </si>
  <si>
    <t>Beazley</t>
  </si>
  <si>
    <t>Gerardo Creixent</t>
  </si>
  <si>
    <t>info@aserraderoteco.com</t>
  </si>
  <si>
    <t>11 5579 7700</t>
  </si>
  <si>
    <t>4712 3600</t>
  </si>
  <si>
    <t>asistenciavirtual@asi.com.ar</t>
  </si>
  <si>
    <t>Fabricación de carpintería metálica - productos metálicos para uso estructural, tanques, depósitos y generadores de vapor</t>
  </si>
  <si>
    <t>Cortinas metálicas</t>
  </si>
  <si>
    <t xml:space="preserve">Enzo Vivaldi </t>
  </si>
  <si>
    <t xml:space="preserve">Gianluca Vivaldi </t>
  </si>
  <si>
    <t>11 5952-9178</t>
  </si>
  <si>
    <t>EPHA S.A.</t>
  </si>
  <si>
    <t>astremsa@gmail.com</t>
  </si>
  <si>
    <t>pistolas pintura en polvo</t>
  </si>
  <si>
    <t>4769-7711</t>
  </si>
  <si>
    <t>4769-4643</t>
  </si>
  <si>
    <t>www.epha.com.ar</t>
  </si>
  <si>
    <t>atlas@atlasplasticos.com.ar</t>
  </si>
  <si>
    <t>EQUIPAMIENTOS BAS S.R.L.</t>
  </si>
  <si>
    <t>5452-6763</t>
  </si>
  <si>
    <t>attaplast@gmail.com</t>
  </si>
  <si>
    <t>Fabricación de hornos,  hogares, y quemadores.</t>
  </si>
  <si>
    <t xml:space="preserve">Equipamiento gastronómico </t>
  </si>
  <si>
    <t>Fernando Guzman</t>
  </si>
  <si>
    <t>11 6499-6760</t>
  </si>
  <si>
    <t>Marcelo Adrian Branchini</t>
  </si>
  <si>
    <t>11 5157-6233</t>
  </si>
  <si>
    <t>4712-9024</t>
  </si>
  <si>
    <t>4757-9482/0624</t>
  </si>
  <si>
    <t>11 2293-1129</t>
  </si>
  <si>
    <t>aurametal@argentina.com</t>
  </si>
  <si>
    <t>https://equiposdelchef.com.ar/</t>
  </si>
  <si>
    <t>ERNESTO SANCHEZ Y CIA S.A.I.C.F.I.A.</t>
  </si>
  <si>
    <t>Padre Silberman</t>
  </si>
  <si>
    <t>info@auritor.com.ar</t>
  </si>
  <si>
    <t>4757-0323</t>
  </si>
  <si>
    <t>ERPLAST S.R.L.</t>
  </si>
  <si>
    <t>admaustraltechsa@gmail.com</t>
  </si>
  <si>
    <t>4734-5361</t>
  </si>
  <si>
    <t>4754-5363</t>
  </si>
  <si>
    <t>info@drgsa.com.ar</t>
  </si>
  <si>
    <t>ESBRI SA (ABROCHADORAS GRAP)</t>
  </si>
  <si>
    <t>Rauch</t>
  </si>
  <si>
    <t xml:space="preserve">fabrica y exporta abrochadoras,  broches destinadas a oficinas.
</t>
  </si>
  <si>
    <t>Enrique Espejo | Juan Manuel Britos</t>
  </si>
  <si>
    <t>11 4448-1940</t>
  </si>
  <si>
    <t>11 2198-0025</t>
  </si>
  <si>
    <t>https://www.abrochadorasgrap.com/</t>
  </si>
  <si>
    <t>belen@aviber.com.ar</t>
  </si>
  <si>
    <t>ESPACE S.A.</t>
  </si>
  <si>
    <t>ventas@avibra.com.ar</t>
  </si>
  <si>
    <t>Fabricación de Medias</t>
  </si>
  <si>
    <t>4750-6634</t>
  </si>
  <si>
    <t>ESPACIOS-DESIGN de Lineas Modernas srl</t>
  </si>
  <si>
    <t>fusiontexfibras@hotmail.com</t>
  </si>
  <si>
    <t>4757-0102</t>
  </si>
  <si>
    <t>info@ayelenpublicidad.com.ar</t>
  </si>
  <si>
    <t>ESPECIAS 537 S.R.L.</t>
  </si>
  <si>
    <t>Elaboración y molienda de hierbas aromáticas y especias</t>
  </si>
  <si>
    <t>ventas@correasbts.com.ar</t>
  </si>
  <si>
    <t>4840-0497</t>
  </si>
  <si>
    <t>4844-7265</t>
  </si>
  <si>
    <t>https://www.especias537.com.ar/</t>
  </si>
  <si>
    <t>administracion@byh.com.ar</t>
  </si>
  <si>
    <t>M. Constanza L. Alvarez Cela</t>
  </si>
  <si>
    <t>15 3418-2912</t>
  </si>
  <si>
    <t>Nestor Alvarez</t>
  </si>
  <si>
    <t>4639-5029</t>
  </si>
  <si>
    <t>4759-4683</t>
  </si>
  <si>
    <t>4750-0139</t>
  </si>
  <si>
    <t>www.especieracaseros.com.ar/</t>
  </si>
  <si>
    <t>(Caladoras Espejo) ESPEJO GUSTAVO Y ESPEJO MIGUEL</t>
  </si>
  <si>
    <t>Santiago Zanella</t>
  </si>
  <si>
    <t>nataliabaamonde@yahoo.com.ar</t>
  </si>
  <si>
    <t>4750-6374</t>
  </si>
  <si>
    <t>4734-7928</t>
  </si>
  <si>
    <t>15-2159-9637</t>
  </si>
  <si>
    <t>ESPLAST S.R.L.</t>
  </si>
  <si>
    <t>info@bacumsa.com.ar</t>
  </si>
  <si>
    <t>fábrica de clabes</t>
  </si>
  <si>
    <t>4657-0268</t>
  </si>
  <si>
    <t>4653-0035</t>
  </si>
  <si>
    <t>dirj@comercialbadi.com</t>
  </si>
  <si>
    <t>ESTABLECIMIENTO DE MARTINO IND Y COM S.R.L.</t>
  </si>
  <si>
    <t>Mantenimiento y reparación del motor N.C.P., mecánica integral</t>
  </si>
  <si>
    <t>administracion@eyclaboratorio.com.ar</t>
  </si>
  <si>
    <t>4923-8435</t>
  </si>
  <si>
    <t>ESTABLECIMIENTO EDER S.R.L.</t>
  </si>
  <si>
    <t>banko.cia.srl@gmail.com</t>
  </si>
  <si>
    <t>Efectos para la industria del calzado</t>
  </si>
  <si>
    <t>4653-4631</t>
  </si>
  <si>
    <t>4657-9072</t>
  </si>
  <si>
    <t>nico_barbo@hotmail.com</t>
  </si>
  <si>
    <t>ESTABLECIMIENTO METALURGICO  G Y G  S.A.</t>
  </si>
  <si>
    <t>gaby-barone@hotmail.com</t>
  </si>
  <si>
    <t>11 4240 8295</t>
  </si>
  <si>
    <t>http://www.gygmetalmecanica.com.ar/</t>
  </si>
  <si>
    <t>gvetrale@bavosi.com.ar</t>
  </si>
  <si>
    <t>ESTABLECIMIENTO METALURGICO DIFRAN DE ANGEL Y JOSE DI FRANCE</t>
  </si>
  <si>
    <t>4769-2874</t>
  </si>
  <si>
    <t>4841-5005</t>
  </si>
  <si>
    <t>http://www.difran.com.ar/</t>
  </si>
  <si>
    <t>info@bawtsa.com</t>
  </si>
  <si>
    <t>ESTABLECIMIENTO METALURGICO GRACIELA SRL</t>
  </si>
  <si>
    <t>Fabricación de envases metálicos</t>
  </si>
  <si>
    <t>alu-mar@hotmail.com.ar</t>
  </si>
  <si>
    <t>4734-8964</t>
  </si>
  <si>
    <t>4750-2687</t>
  </si>
  <si>
    <t>https://emgraciela.com.ar/</t>
  </si>
  <si>
    <t>bederialsa@hotmail.com</t>
  </si>
  <si>
    <t>Gustavo A. Litiuniuk (Jefe de planta)</t>
  </si>
  <si>
    <t>15 4994-9418</t>
  </si>
  <si>
    <t>Lidia Klinger (Apoderada)</t>
  </si>
  <si>
    <t>15 5249-5517</t>
  </si>
  <si>
    <t>4734-0200</t>
  </si>
  <si>
    <t>4401-4004</t>
  </si>
  <si>
    <t>4953-6228</t>
  </si>
  <si>
    <t>www.klinger.com.ar</t>
  </si>
  <si>
    <t>belg@belg.com.ar</t>
  </si>
  <si>
    <t>ESTABLECIMIENTO METALURGICO SUPER B.S. SOCIEDAD DE RESPONSABILIDAD LIMITADA</t>
  </si>
  <si>
    <t>Necochea</t>
  </si>
  <si>
    <t>4488-5295</t>
  </si>
  <si>
    <t>info@bellplex.com.ar</t>
  </si>
  <si>
    <t>www.superbs.com.ar</t>
  </si>
  <si>
    <t>ESTABLECIMIENTO METALURGICO VARIA S.R.L.</t>
  </si>
  <si>
    <t>Fabricación en industrias básicas de productos de hierro y acero N.C.P. (Incluye la producción de hojalata)</t>
  </si>
  <si>
    <t>info@tensoresbtp.com</t>
  </si>
  <si>
    <t>4657-0304</t>
  </si>
  <si>
    <t>4653-4705</t>
  </si>
  <si>
    <t>ESTABLECIMIENTO TECNICO INDUSTRIAL ARGENTINO S.R.L.</t>
  </si>
  <si>
    <t>Labarden</t>
  </si>
  <si>
    <t>Dispositivos, matrices, moldes, proyectos. Fabricación y producción</t>
  </si>
  <si>
    <t>info@belzonihnos.com</t>
  </si>
  <si>
    <t>4759-3420</t>
  </si>
  <si>
    <t>ESTABLECIMIENTO TEMPLA S.A.</t>
  </si>
  <si>
    <t>info@benplassrl.com.ar</t>
  </si>
  <si>
    <t>4751-4709</t>
  </si>
  <si>
    <t>ESTABLECIMIENTOS GOMECO S.R.L.</t>
  </si>
  <si>
    <t>15 De Agosto</t>
  </si>
  <si>
    <t>info@fundicionlgb.com.ar</t>
  </si>
  <si>
    <t>4757-2826</t>
  </si>
  <si>
    <t>4757-5412</t>
  </si>
  <si>
    <t>https://www.legadogomecosrl.com/</t>
  </si>
  <si>
    <t>administracion@bercomar.com</t>
  </si>
  <si>
    <t>ESTABLECIMIENTOS GRAFICOS PURPURA S.A.</t>
  </si>
  <si>
    <t>Chacabuco</t>
  </si>
  <si>
    <t>info@bernaplast.com.ar</t>
  </si>
  <si>
    <t>4657-5056</t>
  </si>
  <si>
    <t xml:space="preserve">ESTABLECIMIENTOS METALURGICOS NA-TI-CO S.A.C.I.F. </t>
  </si>
  <si>
    <t>info@bettendorff.com.ar</t>
  </si>
  <si>
    <t>Juan M. Morelli</t>
  </si>
  <si>
    <t>15 6813-2952</t>
  </si>
  <si>
    <t>4750-6092</t>
  </si>
  <si>
    <t>4750-2100</t>
  </si>
  <si>
    <t>www.naticosa.com.ar</t>
  </si>
  <si>
    <t>ESTAMPA LEX S.A.I.Y.C.</t>
  </si>
  <si>
    <t>trakersok2019@gmail.com</t>
  </si>
  <si>
    <t>Fábrica de arandelas biseladas y tuercas mariposas de acero</t>
  </si>
  <si>
    <t>Sergio Seifert</t>
  </si>
  <si>
    <t>155311-5333</t>
  </si>
  <si>
    <t>11 4750-9541</t>
  </si>
  <si>
    <t>11 4716-6161</t>
  </si>
  <si>
    <t>Info@bianqueriaancona.com.ar</t>
  </si>
  <si>
    <t>11 5292-8770 / 11 5292-8772</t>
  </si>
  <si>
    <t>http://www.estampalex.com.ar/</t>
  </si>
  <si>
    <t>info@bical.com.ar</t>
  </si>
  <si>
    <t xml:space="preserve">Abel Dario Marcosian </t>
  </si>
  <si>
    <t xml:space="preserve">Brenda Burgos </t>
  </si>
  <si>
    <t>4759-0700</t>
  </si>
  <si>
    <t>e-rioplatense.com.ar</t>
  </si>
  <si>
    <t>maderbig@hotmail.com</t>
  </si>
  <si>
    <t>ESTANTERIAS JAPONESAS S.R.L.</t>
  </si>
  <si>
    <t>4750-1303</t>
  </si>
  <si>
    <t>ventasbiobellus@gmail.com</t>
  </si>
  <si>
    <t>http://japonesassrl.com.ar/es/</t>
  </si>
  <si>
    <t>biomec@gmail.com</t>
  </si>
  <si>
    <t>Aquiles Di Sbroiavacca</t>
  </si>
  <si>
    <t>11 3801-5794</t>
  </si>
  <si>
    <t>M. Flavia Di Sbroiavacca</t>
  </si>
  <si>
    <t>11 5451-4718</t>
  </si>
  <si>
    <t>4653-8116</t>
  </si>
  <si>
    <t>4653-8129</t>
  </si>
  <si>
    <t>4657-6059 (fax)</t>
  </si>
  <si>
    <t>www.estapal.com.ar/</t>
  </si>
  <si>
    <t>ESTRUCTURAS METALICAS TECTUM S.R.L.</t>
  </si>
  <si>
    <t>pinturasaro@hotmail.com</t>
  </si>
  <si>
    <t>4656-9844</t>
  </si>
  <si>
    <t>https://www.tectumonline.com.ar/</t>
  </si>
  <si>
    <t>info@metalurgicarbisoni.com.ar</t>
  </si>
  <si>
    <t>ESTRULAM S.A.</t>
  </si>
  <si>
    <t>Av. Brig. Gral. Juan Manuel de Rosas</t>
  </si>
  <si>
    <t>frenos@frenosnacionales.com.ar</t>
  </si>
  <si>
    <t> 4769-1779</t>
  </si>
  <si>
    <t>11 4848-3104</t>
  </si>
  <si>
    <t>https://www.estrulam.com.ar/</t>
  </si>
  <si>
    <t>ventas.bohn@gmail.com</t>
  </si>
  <si>
    <t>pedidos@bombasnir.com.ar</t>
  </si>
  <si>
    <t>Metal desplegado, chapa perforada. Cerco, reja perimetral.</t>
  </si>
  <si>
    <t>Juan Carlos Santilli</t>
  </si>
  <si>
    <t>11 4070-0156</t>
  </si>
  <si>
    <t>Liliana Alvarez</t>
  </si>
  <si>
    <t>11 3560-0576 | 4759-2211 int. 202</t>
  </si>
  <si>
    <t>4759-2211</t>
  </si>
  <si>
    <t>https://etc.com.ar/</t>
  </si>
  <si>
    <t>administracion@bondeadosnortex.com.ar</t>
  </si>
  <si>
    <t>ETERCOM S.A.</t>
  </si>
  <si>
    <t>epsilonhilos@gmail.com</t>
  </si>
  <si>
    <t>11 3221-4258</t>
  </si>
  <si>
    <t xml:space="preserve"> 15 6201-6934</t>
  </si>
  <si>
    <t>ETIQUETARTE S.R.L.</t>
  </si>
  <si>
    <t>info@practybotiquin.com</t>
  </si>
  <si>
    <t>Fabricación de accesorios de vestir excepto de cuero</t>
  </si>
  <si>
    <t>4443-2159</t>
  </si>
  <si>
    <t>4759-2905</t>
  </si>
  <si>
    <t>EUREKA S.A.I.Y.C.</t>
  </si>
  <si>
    <t>ventas@ibsanitarios.com.ar</t>
  </si>
  <si>
    <t>4757-9001</t>
  </si>
  <si>
    <t>http://rmbdesignsolutions.com/</t>
  </si>
  <si>
    <t>info@bruit.com.ar</t>
  </si>
  <si>
    <t>EUROTECNO S.A.</t>
  </si>
  <si>
    <t>Florencio Varela</t>
  </si>
  <si>
    <t>pmusachio@yahoo.com.ar</t>
  </si>
  <si>
    <t>4750-1188</t>
  </si>
  <si>
    <t>4750-9500</t>
  </si>
  <si>
    <t>eurotecno.com</t>
  </si>
  <si>
    <t>facundo_bruno@hotmail.com</t>
  </si>
  <si>
    <t>Javier puente (Lic. HyS)</t>
  </si>
  <si>
    <t>15-6534-7080</t>
  </si>
  <si>
    <t>4750-2738</t>
  </si>
  <si>
    <t>4716-1144</t>
  </si>
  <si>
    <t>http://www.eurotubo.com.ar/</t>
  </si>
  <si>
    <t>EXCAVACIONES BOSCH S.A.</t>
  </si>
  <si>
    <t>distrigaston2014@gmail.com</t>
  </si>
  <si>
    <t>4842-3234</t>
  </si>
  <si>
    <t>EXCELENCIA ALIMENTICIA S.A.</t>
  </si>
  <si>
    <t>info@bscargentina.com.ar</t>
  </si>
  <si>
    <t>Javier Bespresvany</t>
  </si>
  <si>
    <t>4750-1335</t>
  </si>
  <si>
    <t>4734-2630</t>
  </si>
  <si>
    <t>4750-6660</t>
  </si>
  <si>
    <t>https://www.facebook.com/excelenciaalimenticia/?fref=ts</t>
  </si>
  <si>
    <t>EXCELENCIA QUIMICA ARGENTINA S.R.L.</t>
  </si>
  <si>
    <t>ventas@hescher.com.ar</t>
  </si>
  <si>
    <t>4753-8000</t>
  </si>
  <si>
    <t>4653-3396</t>
  </si>
  <si>
    <t>4647-1555</t>
  </si>
  <si>
    <t>bukaconstructora@gmail.com</t>
  </si>
  <si>
    <t>Adrian Carelli (Socio)</t>
  </si>
  <si>
    <t>11 6536-0498</t>
  </si>
  <si>
    <t>4751-7109</t>
  </si>
  <si>
    <t>4844-6202</t>
  </si>
  <si>
    <t>4751-7038</t>
  </si>
  <si>
    <t>exertsrl.com.ar</t>
  </si>
  <si>
    <t>metalurgicajrb@yahoo.com.ar</t>
  </si>
  <si>
    <t>EXIBA S.A.</t>
  </si>
  <si>
    <t>653-2729</t>
  </si>
  <si>
    <t>chgroup@hotmail.com.ar</t>
  </si>
  <si>
    <t>EXILPLAST S.R.L.</t>
  </si>
  <si>
    <t>Envases para laboratorio Elea</t>
  </si>
  <si>
    <t>info@cysempresas.com.ar</t>
  </si>
  <si>
    <t>4750-6097</t>
  </si>
  <si>
    <t>4759-9382</t>
  </si>
  <si>
    <t>http://www.exilplast.com.ar/</t>
  </si>
  <si>
    <t>EXPORBORDADOS S.R.L.</t>
  </si>
  <si>
    <t>info@cabesti.com.ar</t>
  </si>
  <si>
    <t>4758-5085</t>
  </si>
  <si>
    <t>4758 4992</t>
  </si>
  <si>
    <t>http://www.exporbordados.com.ar/</t>
  </si>
  <si>
    <t>EXPOSITORES Y CANASTOS S.A.</t>
  </si>
  <si>
    <t>oftecnica@cadiem.com.ar</t>
  </si>
  <si>
    <t xml:space="preserve">Fabricación en Industrias básicas de productos de hierro y acero N.C.P. </t>
  </si>
  <si>
    <t>4488-9728</t>
  </si>
  <si>
    <t>jrimprenta@yahoo.com.ar</t>
  </si>
  <si>
    <t>EXPOXI LD S.R.L.</t>
  </si>
  <si>
    <t>4647-1802</t>
  </si>
  <si>
    <t>administracion@caltec.com.ar</t>
  </si>
  <si>
    <t>Fabricación de productos minerales no metálicos N.C.P.</t>
  </si>
  <si>
    <t>oropaco@hotmail.com</t>
  </si>
  <si>
    <t>Carlos Monayer</t>
  </si>
  <si>
    <t>11 2303-8804</t>
  </si>
  <si>
    <t>4734-1200</t>
  </si>
  <si>
    <t>Conmutador: 4759-4566</t>
  </si>
  <si>
    <t>https://www.expoyerweb.com.ar/</t>
  </si>
  <si>
    <t>topsy@calzadostopsy.com.ar</t>
  </si>
  <si>
    <t>EXTRACRYL</t>
  </si>
  <si>
    <t>Fabrica de pintura</t>
  </si>
  <si>
    <t>calzadoswalmar@hotmail.com</t>
  </si>
  <si>
    <t>Pinturas</t>
  </si>
  <si>
    <t>4653-7577</t>
  </si>
  <si>
    <t>https://www.extracryl.com.ar</t>
  </si>
  <si>
    <t>EXTRAPOL S.A.</t>
  </si>
  <si>
    <t>campacksa@yahoo.com.ar</t>
  </si>
  <si>
    <t>Fabricación de máquinas herramienta</t>
  </si>
  <si>
    <t>4843-0151</t>
  </si>
  <si>
    <t>josemaria2426@hotmail.com</t>
  </si>
  <si>
    <t>F&amp;A STORE S.R.L. Fervimax</t>
  </si>
  <si>
    <t>info@canberherrajes.com.ar</t>
  </si>
  <si>
    <t>4713-7562</t>
  </si>
  <si>
    <t>4716-6233</t>
  </si>
  <si>
    <t>4716-2193</t>
  </si>
  <si>
    <t>https://www.fervimax.com.ar/p/nosotros</t>
  </si>
  <si>
    <t>tizianobenjamin31@hotmail.com</t>
  </si>
  <si>
    <t>FABRI MOL S.A.C.I.F.</t>
  </si>
  <si>
    <t>Aserrado y cepillado de madera implantada</t>
  </si>
  <si>
    <t>4757-6435</t>
  </si>
  <si>
    <t>4757-3724/6435/2463</t>
  </si>
  <si>
    <t>info@candex.com.ar</t>
  </si>
  <si>
    <t>https://www.fabrimol.com/contacto</t>
  </si>
  <si>
    <t>FABRICA DE MUEBLES SAENZ PEÑA S.R.L.</t>
  </si>
  <si>
    <t>Florentino Ameghino</t>
  </si>
  <si>
    <t>info@canopol.com</t>
  </si>
  <si>
    <t>4757-0101</t>
  </si>
  <si>
    <t>FABRICA DE SERVILLETAS S.R.L.</t>
  </si>
  <si>
    <t>Ramón L. Falcón</t>
  </si>
  <si>
    <t xml:space="preserve">Fabricación de artículos de papel y cartón N.C.P. </t>
  </si>
  <si>
    <t>extrapol@extrapol.com.ar</t>
  </si>
  <si>
    <t>4488-9042</t>
  </si>
  <si>
    <t>FABRICA DE SILLAS BAHIA BLANCA S.R.L.</t>
  </si>
  <si>
    <t>info@cantonmetalwork.com.ar</t>
  </si>
  <si>
    <t>4750-8051</t>
  </si>
  <si>
    <t>4116-2522</t>
  </si>
  <si>
    <t>http://sillasbahiablanca.com.ar/</t>
  </si>
  <si>
    <t>ignaciomoggi@yahoo.com.ar</t>
  </si>
  <si>
    <t>Ezequiel Cuelli (Director)</t>
  </si>
  <si>
    <t>11 5056-6103</t>
  </si>
  <si>
    <t>Ariel</t>
  </si>
  <si>
    <t>11 3878-8893</t>
  </si>
  <si>
    <t>4751-1533</t>
  </si>
  <si>
    <t>4751-9034</t>
  </si>
  <si>
    <t>https://fchsa.com.ar/</t>
  </si>
  <si>
    <t>contacto@compresoresbologna.com.ar</t>
  </si>
  <si>
    <t>mmazzei@carboneaut.com.ar</t>
  </si>
  <si>
    <t>Uniformes militares, borceguies para Ministerio de Defensa</t>
  </si>
  <si>
    <t>Noel Petrone (Apoderado)</t>
  </si>
  <si>
    <t>11 4192-9568</t>
  </si>
  <si>
    <t>Nazareno Petrone | Nahuel Petrone</t>
  </si>
  <si>
    <t>4653-1102</t>
  </si>
  <si>
    <t>4653-0785</t>
  </si>
  <si>
    <t>FABRIS FEDERICO MATIAS (GRAFICA FABRIS)</t>
  </si>
  <si>
    <t>info@carboseal.com.ar</t>
  </si>
  <si>
    <t>Offset</t>
  </si>
  <si>
    <t>11 4653-6969</t>
  </si>
  <si>
    <t>4653-6969</t>
  </si>
  <si>
    <t>https://www.linkedin.com/in/federico-matias-fabris-58663551?lipi=urn%3Ali%3Apage%3Ad_flagship3_profile_view_base_contact_details%3B1h4bYkIvT%2Byo%2FwwJL1WVOQ%3D%3D</t>
  </si>
  <si>
    <t>carcedohnos@gmail.com</t>
  </si>
  <si>
    <t>FACE S.R.L. (VOLTURNO)</t>
  </si>
  <si>
    <t>info@carflex.com.ar</t>
  </si>
  <si>
    <t>Fabricación de aparatos de uso doméstico N.C.P., (Incluye enceradoras, pulidoras, batidoras, licuadoras y similares)</t>
  </si>
  <si>
    <t>Adrian Onoda</t>
  </si>
  <si>
    <t>11 5805-7391</t>
  </si>
  <si>
    <t>Ana Onoda</t>
  </si>
  <si>
    <t>5199-9048</t>
  </si>
  <si>
    <t>5238-0405</t>
  </si>
  <si>
    <t>11 4750-0158</t>
  </si>
  <si>
    <t>https://volturno.com.ar/</t>
  </si>
  <si>
    <t>info@carpeal.com.ar</t>
  </si>
  <si>
    <t>FACU FABRICA ARGENTINA CARRETILLAS UNIVERSALES S.R.L.</t>
  </si>
  <si>
    <t>info@industriacem.com.ar</t>
  </si>
  <si>
    <t>4750-1461</t>
  </si>
  <si>
    <t>FADEPAR S.R.L.</t>
  </si>
  <si>
    <t>cartobox@cartobox.ar</t>
  </si>
  <si>
    <t>11 2672-1166</t>
  </si>
  <si>
    <t>4739-1527</t>
  </si>
  <si>
    <t>4739-2015</t>
  </si>
  <si>
    <t>www.precurex.com</t>
  </si>
  <si>
    <t>FAELCO SOCIEDAD ANONIMA COMERCIAL INDUSTRIAL INMOBILIARIA CONSTRUCTORA Y MAND (FAELCO S.A.)</t>
  </si>
  <si>
    <t>info@casaargasrl.com.ar</t>
  </si>
  <si>
    <t>11 4750-6767</t>
  </si>
  <si>
    <t>4750-6767</t>
  </si>
  <si>
    <t>4584-4401</t>
  </si>
  <si>
    <t>https://1260-ar.all.biz/</t>
  </si>
  <si>
    <t>cascalaventas@yahoo.com.ar</t>
  </si>
  <si>
    <t>FAEMA S.R.L.</t>
  </si>
  <si>
    <t>Fabricación de Maquinaria de uso General</t>
  </si>
  <si>
    <t>casergomsrl@gmail.com</t>
  </si>
  <si>
    <t>4757-1855</t>
  </si>
  <si>
    <t>FAICA S.R.L.</t>
  </si>
  <si>
    <t>ventas@casiba.com.ar</t>
  </si>
  <si>
    <t xml:space="preserve">Fabricación de autopiezas de goma y goma metal </t>
  </si>
  <si>
    <t>4716-1621/22</t>
  </si>
  <si>
    <t>750-9780</t>
  </si>
  <si>
    <t>http://www.bujesgomet.com.ar/</t>
  </si>
  <si>
    <t>recursoshumanos@castell.com.ar</t>
  </si>
  <si>
    <t>FAIP FABRICA AMERICANA INDUSTRIALIZADORA DE PAPELES SOC ANO IND Y COM (Rapifix)</t>
  </si>
  <si>
    <t>info@cerradurasabc.com.ar</t>
  </si>
  <si>
    <t>Cinta de papel</t>
  </si>
  <si>
    <t>Belinda Della Vecchia</t>
  </si>
  <si>
    <t>11 4750-1132</t>
  </si>
  <si>
    <t>11 4759-1357</t>
  </si>
  <si>
    <t>info@extintoresfadesa.com.ar</t>
  </si>
  <si>
    <t>https://faipsa.com/</t>
  </si>
  <si>
    <t>gerencia@uniformesangelo.com.ar</t>
  </si>
  <si>
    <t>Terminación y revestimiento de paredes y pisos (incluye yesería, salpicré, el pulido de pisos y la colocación de revestimientos de cerámicas, de piedra tallada, de suelos flexibles, parqué, baldosas, empapelados, etc.)</t>
  </si>
  <si>
    <t>Nicolas Torres</t>
  </si>
  <si>
    <t>11 5451-2564</t>
  </si>
  <si>
    <t>4488-9675</t>
  </si>
  <si>
    <t>4657-8925</t>
  </si>
  <si>
    <t>https://fapremol.com/contacto/</t>
  </si>
  <si>
    <t>info@celsiussrl.com.ar</t>
  </si>
  <si>
    <t>FARE EMPRENDIMIENTOS S.R.L.</t>
  </si>
  <si>
    <t>info@celulosabaraderosa.com.ar</t>
  </si>
  <si>
    <t>7711-8598</t>
  </si>
  <si>
    <t>https://fareemprendimientos.com.ar/</t>
  </si>
  <si>
    <t>FARIAS HECTOR FABIAN</t>
  </si>
  <si>
    <t>casa@cementalargentina.com.ar</t>
  </si>
  <si>
    <t>Lucio Mansilla</t>
  </si>
  <si>
    <t>4769-2415</t>
  </si>
  <si>
    <t>FAROS DAM S.R.L. (FAROS DAM DE LA TORRE HNOS)</t>
  </si>
  <si>
    <t>comercial@centralred.com.ar</t>
  </si>
  <si>
    <t>Produccion de autopartes</t>
  </si>
  <si>
    <t>Julián Latorre</t>
  </si>
  <si>
    <t>11 4565-3860</t>
  </si>
  <si>
    <t>Antonio Latorre | Domingo Latorre | Hernan Ricardo Martinez</t>
  </si>
  <si>
    <t>4657-4911</t>
  </si>
  <si>
    <t>4657-0248</t>
  </si>
  <si>
    <t>4653-2920</t>
  </si>
  <si>
    <t>https://www.damautopartes.com.ar/</t>
  </si>
  <si>
    <t>FASS HERIBERTO GERARDO</t>
  </si>
  <si>
    <t>Claudio Castro</t>
  </si>
  <si>
    <t>centralmec@yahoo.com.ar</t>
  </si>
  <si>
    <t>Matriceria que realizan matrices para cortantes de chapas</t>
  </si>
  <si>
    <t>Gerardo</t>
  </si>
  <si>
    <t>4842-5326</t>
  </si>
  <si>
    <t>FATAN S.A.C.I.F.I.A.</t>
  </si>
  <si>
    <t>Varillas</t>
  </si>
  <si>
    <t>4734-2385</t>
  </si>
  <si>
    <t>info@bimet.net</t>
  </si>
  <si>
    <t>4759-0410</t>
  </si>
  <si>
    <t>https://www.fatansa.com.ar/</t>
  </si>
  <si>
    <t>FAVONE MIGUEL EDUARDO (Mikriz Alimentos SRL)</t>
  </si>
  <si>
    <t>FÁBRICA DE PRODUCTOS DE COPETÍN - PAPA, PALITO, MANí</t>
  </si>
  <si>
    <t>Miguel Favone</t>
  </si>
  <si>
    <t>15 6256-1690</t>
  </si>
  <si>
    <t>marcelo@corwin.com.ar</t>
  </si>
  <si>
    <t>Gonzalo Favone</t>
  </si>
  <si>
    <t>15 3676-0174</t>
  </si>
  <si>
    <t>4716-4953</t>
  </si>
  <si>
    <t>FCI METALURGICA S.A.</t>
  </si>
  <si>
    <t>Matias (socio)</t>
  </si>
  <si>
    <t>11 5043-9796</t>
  </si>
  <si>
    <t>11 4734-9564</t>
  </si>
  <si>
    <t>11 4734-7335</t>
  </si>
  <si>
    <t>4734-9564</t>
  </si>
  <si>
    <t>https://www.fcisa.com.ar/</t>
  </si>
  <si>
    <t>info@ceofic.com.ar</t>
  </si>
  <si>
    <t>info@cerramientos3df.com.ar</t>
  </si>
  <si>
    <t>Alfredo De Monte | Pascual Mariángeles</t>
  </si>
  <si>
    <t>11 6911-7957 | 11 3677-9682</t>
  </si>
  <si>
    <t>Miguelina | Maria Micaela Robustella</t>
  </si>
  <si>
    <t>15 5583-7958 | 15 4413-7956</t>
  </si>
  <si>
    <t>15 5583-7958</t>
  </si>
  <si>
    <t>4653-3159 | 6942-2016</t>
  </si>
  <si>
    <t>4488-3718</t>
  </si>
  <si>
    <t>http://www.fdm-srl.com.ar/</t>
  </si>
  <si>
    <t>mecanizados@cgcmecanizados.com.ar</t>
  </si>
  <si>
    <t xml:space="preserve">Impresión N.C.P., excepto de diarios y revistas </t>
  </si>
  <si>
    <t>Stand de muebles para publicidad y promoción</t>
  </si>
  <si>
    <t>Mayra Sassi | Ricardo Sassi</t>
  </si>
  <si>
    <t>11 5307-1906</t>
  </si>
  <si>
    <t>Liliana María Panighetto</t>
  </si>
  <si>
    <t>11 6636-9234</t>
  </si>
  <si>
    <t>4769-8925</t>
  </si>
  <si>
    <t>11 4739-1668</t>
  </si>
  <si>
    <t>www.fepublicidad.com.ar/</t>
  </si>
  <si>
    <t>FEGO S.R.L.</t>
  </si>
  <si>
    <t>maniel32jyg@gmail.com</t>
  </si>
  <si>
    <t>11 3600-4189</t>
  </si>
  <si>
    <t>4750-7218</t>
  </si>
  <si>
    <t>4827-0608</t>
  </si>
  <si>
    <t>https://www.instagram.com/fegosrl/</t>
  </si>
  <si>
    <t>FELCAP S.A.</t>
  </si>
  <si>
    <t>11 6800-2833</t>
  </si>
  <si>
    <t>info@grupochalten.com.ar</t>
  </si>
  <si>
    <t>11 4739-8131</t>
  </si>
  <si>
    <t>4739-4340</t>
  </si>
  <si>
    <t>https://www.instagram.com/felcap.s.a/?hl=es</t>
  </si>
  <si>
    <t>FEMALUX S.R.L. (FORLI)</t>
  </si>
  <si>
    <t>José Hernandez</t>
  </si>
  <si>
    <t>Federico D'angelo</t>
  </si>
  <si>
    <t>11 4937-1895</t>
  </si>
  <si>
    <t xml:space="preserve">Luciano Galluzzo </t>
  </si>
  <si>
    <t>15 4937-1895</t>
  </si>
  <si>
    <t>11 6888-8198</t>
  </si>
  <si>
    <t>https://www.forli.com.ar/</t>
  </si>
  <si>
    <t>chavetasgalas@hotmail.com</t>
  </si>
  <si>
    <t>FENIX METAL S.R.L.</t>
  </si>
  <si>
    <t>4759-8147</t>
  </si>
  <si>
    <t>4750-6229</t>
  </si>
  <si>
    <t>ramiromorelli10@gmail.com</t>
  </si>
  <si>
    <t>Av. Campo de Mayo</t>
  </si>
  <si>
    <t>Carlos Jose Gonzalez</t>
  </si>
  <si>
    <t>11 5759-7117</t>
  </si>
  <si>
    <t>José Gonzalez</t>
  </si>
  <si>
    <t>11 5757-6706</t>
  </si>
  <si>
    <t>4842-7117</t>
  </si>
  <si>
    <t>4842-7786</t>
  </si>
  <si>
    <t>11 6598-5019 (Perla Sarradel)</t>
  </si>
  <si>
    <t>www.fercor.com.ar</t>
  </si>
  <si>
    <t>FERMAR MECANIZACIONES S.A.</t>
  </si>
  <si>
    <t>info@chilleout.com.ar</t>
  </si>
  <si>
    <t>11 4687-8889</t>
  </si>
  <si>
    <t xml:space="preserve">11 4687-3840 </t>
  </si>
  <si>
    <t>FERNANDEZ HNOS (S.H.) DE DAMIAN D FERNANDEZ Y JONATAN J FERNANDEZ</t>
  </si>
  <si>
    <t>Av. Juan B. Justo</t>
  </si>
  <si>
    <t>piletas de lona</t>
  </si>
  <si>
    <t>administracion@chillersystem.com.ar</t>
  </si>
  <si>
    <t>4653-0938</t>
  </si>
  <si>
    <t>FERRARESI HNOS</t>
  </si>
  <si>
    <t>4750-9569</t>
  </si>
  <si>
    <t>administracion@chisap.com</t>
  </si>
  <si>
    <t>FERRO NORBERTO OMAR</t>
  </si>
  <si>
    <t xml:space="preserve">Instalaciones para edificios y obras de ingeniería civil N.C.P. </t>
  </si>
  <si>
    <t>4734-2990</t>
  </si>
  <si>
    <t>FERVE S.R.L.</t>
  </si>
  <si>
    <t>Servicios de gestión y logística para el transporte de mercaderías N.C.P. (Incluye las actividades de empresas empaquetadoras para comercio exterior; alquiler de contenedores; etc)</t>
  </si>
  <si>
    <t>administracion@chousa.com.ar</t>
  </si>
  <si>
    <t>4213-9807</t>
  </si>
  <si>
    <t>FESAN S.A.</t>
  </si>
  <si>
    <t>De Vicenzi</t>
  </si>
  <si>
    <t>Cultivo de cereales N.C.P., excepto los de uso forrajero (Incluye alforfón, cebada cervecera, etc.)</t>
  </si>
  <si>
    <t>FIBRALTEX S.A.</t>
  </si>
  <si>
    <t>info@esmetic.com.ar</t>
  </si>
  <si>
    <t>Fabricación de tejidos (telas) planos de algodón y sus mezclas, incluye hilanderías y tejedurías integradas</t>
  </si>
  <si>
    <t>Fabrican telas de jeans.</t>
  </si>
  <si>
    <t>4488-4300</t>
  </si>
  <si>
    <t>4488-2179</t>
  </si>
  <si>
    <t>4488-6091</t>
  </si>
  <si>
    <t>http://www.fibraltex.com.ar/</t>
  </si>
  <si>
    <t>lengamuebles@live.com.ar</t>
  </si>
  <si>
    <t>Fabricación de hilados textiles de lana, pelos y sus mezclas</t>
  </si>
  <si>
    <t>11-6451-2577</t>
  </si>
  <si>
    <t>5195-7193</t>
  </si>
  <si>
    <t>http://www.lanasargentinas.com.ar/index.html</t>
  </si>
  <si>
    <t>FICHERA JUAN Y MAURICIO</t>
  </si>
  <si>
    <t>ventas@grupobiored.com.ar</t>
  </si>
  <si>
    <t>CIMHE S.R.L.</t>
  </si>
  <si>
    <t>4488-6115</t>
  </si>
  <si>
    <t>FIESTISSIMA S.A.</t>
  </si>
  <si>
    <t>Juan B. Anchordoqui</t>
  </si>
  <si>
    <t>https://fiestissima.com/</t>
  </si>
  <si>
    <t>cimhe.tecnica@gmail.com</t>
  </si>
  <si>
    <t>FIJACIONES IMEL S.R.L</t>
  </si>
  <si>
    <t>info@cinens.com.ar</t>
  </si>
  <si>
    <t>11 4750-1062</t>
  </si>
  <si>
    <t>11 4750-1870</t>
  </si>
  <si>
    <t>http://fijacionesimel.com.ar/</t>
  </si>
  <si>
    <t>FIJACIONES IMEL S.R.L.</t>
  </si>
  <si>
    <t>ventas@cintasindustriales.com</t>
  </si>
  <si>
    <t>4750-1062 | 4750-1870</t>
  </si>
  <si>
    <t>https://fijacionesimel.com.ar/contacto</t>
  </si>
  <si>
    <t>cintoplom@yahoo.com.ar</t>
  </si>
  <si>
    <t>4750-1062</t>
  </si>
  <si>
    <t>4750-1870</t>
  </si>
  <si>
    <t>B. Machado</t>
  </si>
  <si>
    <t>Calzado, Marroquineria, Construcción, etc.</t>
  </si>
  <si>
    <t>Federico Blumstein</t>
  </si>
  <si>
    <t>11 3649-6822</t>
  </si>
  <si>
    <t>info@cintra.com.ar</t>
  </si>
  <si>
    <t>FILTROS METALICOS S.A.</t>
  </si>
  <si>
    <t>Filtros y metal desplegado</t>
  </si>
  <si>
    <t>4488-8842 | 6079-6450</t>
  </si>
  <si>
    <t>4653-9976</t>
  </si>
  <si>
    <t>http://filtros-metalicos.com.ar/</t>
  </si>
  <si>
    <t>ricardo_cipriano@yahoo.com.ar</t>
  </si>
  <si>
    <t>FILTROS SERRANO S.A.</t>
  </si>
  <si>
    <t>Filtros</t>
  </si>
  <si>
    <t>4750-5535</t>
  </si>
  <si>
    <t>4759-4676</t>
  </si>
  <si>
    <t>4759-0218</t>
  </si>
  <si>
    <t>http://filtros-serrano.com.ar/</t>
  </si>
  <si>
    <t>sandralta@yahoo.com.ar</t>
  </si>
  <si>
    <t>FIMET S.A.</t>
  </si>
  <si>
    <t>Pablo</t>
  </si>
  <si>
    <t>4961-6533</t>
  </si>
  <si>
    <t>4750-7634</t>
  </si>
  <si>
    <t>FIORA VICTOR HUGO</t>
  </si>
  <si>
    <t>info@covisa.com.ar</t>
  </si>
  <si>
    <t>amoblamientos</t>
  </si>
  <si>
    <t>4734-6556</t>
  </si>
  <si>
    <t>dtplanta@coalix.com</t>
  </si>
  <si>
    <t>FIORENTINI PABLO ANDRES</t>
  </si>
  <si>
    <t>Servicios de contabilidad, auditoría y asesoría fiscal</t>
  </si>
  <si>
    <t>5833-9614</t>
  </si>
  <si>
    <t>codac@codacsrl.com.ar</t>
  </si>
  <si>
    <t>FIORO SACIFEI</t>
  </si>
  <si>
    <t>Fabricación de Motocicletas Bicicletas y Vehículos Similares sus Componentes Repuestos y Accesorios</t>
  </si>
  <si>
    <t>a.fiorentino@codesil.com.ar</t>
  </si>
  <si>
    <t>394-2608</t>
  </si>
  <si>
    <t>FIRST PACKAGING S.A.</t>
  </si>
  <si>
    <t>info@cofaco.com.ar</t>
  </si>
  <si>
    <t>4759-7695</t>
  </si>
  <si>
    <t>4759-7776</t>
  </si>
  <si>
    <t>4759-9369</t>
  </si>
  <si>
    <t>cobranzas@colomet.com.ar</t>
  </si>
  <si>
    <t>info@coltmatic.com.ar</t>
  </si>
  <si>
    <t xml:space="preserve">muebleria </t>
  </si>
  <si>
    <t>Alejandro Gimenez</t>
  </si>
  <si>
    <t>4750-1859</t>
  </si>
  <si>
    <t xml:space="preserve"> 4734-6750</t>
  </si>
  <si>
    <t>plasticosflorida@gmail.com</t>
  </si>
  <si>
    <t>flejie.com.ar</t>
  </si>
  <si>
    <t>ventas@la-sante.com.ar</t>
  </si>
  <si>
    <t>11-6996-7234</t>
  </si>
  <si>
    <t>4759-2298</t>
  </si>
  <si>
    <t>http://www.flexatec.com.ar/site/</t>
  </si>
  <si>
    <t>cafe3asturiana@yahoo.com</t>
  </si>
  <si>
    <t>FLEXELO S.A.</t>
  </si>
  <si>
    <t>alanhz@cae.com.ar</t>
  </si>
  <si>
    <t>11 4863-2643</t>
  </si>
  <si>
    <t>11 4863-4683</t>
  </si>
  <si>
    <t>11 4635-1636</t>
  </si>
  <si>
    <t>https://www.flexelo.com/?page=Contacto</t>
  </si>
  <si>
    <t>administracion@cosermin.com.ar</t>
  </si>
  <si>
    <t>Bernardino Frione</t>
  </si>
  <si>
    <t>Mario Saravia</t>
  </si>
  <si>
    <t>11 5988-0865</t>
  </si>
  <si>
    <t>Andres Mauricio Cutrone</t>
  </si>
  <si>
    <t>4488-4732</t>
  </si>
  <si>
    <t>http://www.flexico.com.ar/</t>
  </si>
  <si>
    <t>administracion@hescher.com.ar</t>
  </si>
  <si>
    <t>FLEXIN S.R.L.</t>
  </si>
  <si>
    <t>info@micocinaweb.com</t>
  </si>
  <si>
    <t>Nestor Tellerman | Juan Cruz</t>
  </si>
  <si>
    <t>11 4475-1163</t>
  </si>
  <si>
    <t>4769-1537</t>
  </si>
  <si>
    <t>info@compresurt.com</t>
  </si>
  <si>
    <t>flexin.com.ar</t>
  </si>
  <si>
    <t>FLEXITEC S.R.L.</t>
  </si>
  <si>
    <t>lorena.compribandsrl@gmail.com</t>
  </si>
  <si>
    <t>4750-6993</t>
  </si>
  <si>
    <t>4758-9517</t>
  </si>
  <si>
    <t>info@conextube.com</t>
  </si>
  <si>
    <t>https://www.flexitec.com.ar/</t>
  </si>
  <si>
    <t>mesibamayorista@gmail.com</t>
  </si>
  <si>
    <t>FLEXITEK CAÑOS S.R.L.</t>
  </si>
  <si>
    <t>admin@conimed.com</t>
  </si>
  <si>
    <t>11 4750-6993</t>
  </si>
  <si>
    <t>FLEXO S.A.</t>
  </si>
  <si>
    <t>info@construfac.com.ar</t>
  </si>
  <si>
    <t>ventas@construseralvear.com.ar</t>
  </si>
  <si>
    <t>Rodrigo Saez</t>
  </si>
  <si>
    <t>11 3398-6966</t>
  </si>
  <si>
    <t>6045-9091</t>
  </si>
  <si>
    <t>4734-6315</t>
  </si>
  <si>
    <t>4734-0745</t>
  </si>
  <si>
    <t>www.flexo-sa.com.ar</t>
  </si>
  <si>
    <t>FLOOD S.R.L.</t>
  </si>
  <si>
    <t>info@mitral.com.ar </t>
  </si>
  <si>
    <t>Fabricación de Equipo de Elevación y Manipulación</t>
  </si>
  <si>
    <t>con-plast@hotmail.com</t>
  </si>
  <si>
    <t>4734-1446</t>
  </si>
  <si>
    <t>FLORES ARIEL GERMAN</t>
  </si>
  <si>
    <t>ventas@papeleraconverpel.com</t>
  </si>
  <si>
    <t>Actividades profesionales, científicas y técnicas N.C.P.</t>
  </si>
  <si>
    <t>4450-2926</t>
  </si>
  <si>
    <t>info@conyca.com.ar</t>
  </si>
  <si>
    <t>cooperativaparapsa@hotmail.com</t>
  </si>
  <si>
    <t>Reparación y mantenimiento de maquinaria de uso general</t>
  </si>
  <si>
    <t>elevadores para auto</t>
  </si>
  <si>
    <t>Claudio Bialostoki</t>
  </si>
  <si>
    <t>11 5529-1474</t>
  </si>
  <si>
    <t>Gonzalez Mauricio</t>
  </si>
  <si>
    <t>11 6846-1732</t>
  </si>
  <si>
    <t>2200-0152</t>
  </si>
  <si>
    <t>gerencia@comaco.coop</t>
  </si>
  <si>
    <t>FLORES SERGIO DAMIAN</t>
  </si>
  <si>
    <t>Pinches de seguridad para rejas</t>
  </si>
  <si>
    <t>vsanmartin@imfc.coop</t>
  </si>
  <si>
    <t>5430-0993</t>
  </si>
  <si>
    <t>11 5669-6154</t>
  </si>
  <si>
    <t>http://www.pinchesdeseguridad.com.ar/</t>
  </si>
  <si>
    <t>FORESTAL NORESSTE S.R.L.</t>
  </si>
  <si>
    <t>lucaleonar@cponline.org.ar</t>
  </si>
  <si>
    <t xml:space="preserve">Sargento Díaz </t>
  </si>
  <si>
    <t>Aserrado y cepillado de madera</t>
  </si>
  <si>
    <t>estudiocontableguerrero@gmail.com</t>
  </si>
  <si>
    <t>4841-2332</t>
  </si>
  <si>
    <t>4739-4560</t>
  </si>
  <si>
    <t>4295-6273</t>
  </si>
  <si>
    <t>http://www.grupoforestal.com/</t>
  </si>
  <si>
    <t>FORNS CONSTRUCCIONES S.R.L.</t>
  </si>
  <si>
    <t>Jeronimo Salguero</t>
  </si>
  <si>
    <t>ktadj@hotmail.com</t>
  </si>
  <si>
    <t>Instalaciones para edificios y obras de ingeniería civil N.C.P. (incluye instalación de puertas automáticas o giratorias)</t>
  </si>
  <si>
    <t>6088-9300</t>
  </si>
  <si>
    <t>4958-4653</t>
  </si>
  <si>
    <t>info@gicovate.com</t>
  </si>
  <si>
    <t>marilina_mulero@yahoo.es</t>
  </si>
  <si>
    <t>Fabricación de almohadas y almohadones</t>
  </si>
  <si>
    <t>Elio</t>
  </si>
  <si>
    <t>11 5964-5279</t>
  </si>
  <si>
    <t>4750-9065</t>
  </si>
  <si>
    <t>http://www.almoharsh.com.ar/</t>
  </si>
  <si>
    <t>veronicacordoba3@hotmail.com</t>
  </si>
  <si>
    <t>FRALL S.R.L.</t>
  </si>
  <si>
    <t>Vanesa Gomez</t>
  </si>
  <si>
    <t>11 6486-3689</t>
  </si>
  <si>
    <t>11 3155-8795</t>
  </si>
  <si>
    <t>4139-5258</t>
  </si>
  <si>
    <t>cr@corradiniremaches.com.ar</t>
  </si>
  <si>
    <t>4139-5295</t>
  </si>
  <si>
    <t>https://www.pinturasfrall.com.ar/</t>
  </si>
  <si>
    <t>josecrocco@corupel.com</t>
  </si>
  <si>
    <t>FRANCIO S.A.</t>
  </si>
  <si>
    <t>info@cosmetecnica.com</t>
  </si>
  <si>
    <t>4842-1644</t>
  </si>
  <si>
    <t>4840-2332</t>
  </si>
  <si>
    <t>ventas-smandes@hotmail.com</t>
  </si>
  <si>
    <t>Alejandro Isaac Umaschi</t>
  </si>
  <si>
    <t>establecimiento_egr@hotmail.com</t>
  </si>
  <si>
    <t>4841-2062</t>
  </si>
  <si>
    <t>4739-4142</t>
  </si>
  <si>
    <t>4653-3255</t>
  </si>
  <si>
    <t>www.frare.com.ar</t>
  </si>
  <si>
    <t>FRANCISCO PRAT SOCIEDAD ANONIMA INDUSTRIAL Y COMERCIAL</t>
  </si>
  <si>
    <t>tochehombres@hotmail.com</t>
  </si>
  <si>
    <t>Fabricación de medias</t>
  </si>
  <si>
    <t>4750-1785</t>
  </si>
  <si>
    <t>cremonesi@gmail.com</t>
  </si>
  <si>
    <t>FRANCISCO RIZZO E HIJOS S.R.L.</t>
  </si>
  <si>
    <t>info@cristalbang.com.ar</t>
  </si>
  <si>
    <t>frhequipamientos.com.ar</t>
  </si>
  <si>
    <t>info@cromatex.com.ar</t>
  </si>
  <si>
    <t>FRANZUTTI GABRIEL RUBEN</t>
  </si>
  <si>
    <t>4758-0275</t>
  </si>
  <si>
    <t>https://talleres-rjf.negocio.site/</t>
  </si>
  <si>
    <t>aidafernandesp@yahoo.com.ar</t>
  </si>
  <si>
    <t>FRARE SOCIEDAD EN COMANDITA POR ACCIONES</t>
  </si>
  <si>
    <t>crossingflex@gmail.com</t>
  </si>
  <si>
    <t>Fabricación de ventiladores, extractores y acondicionadores de aire, aspiradoras y similares</t>
  </si>
  <si>
    <t>0054 4841-2062</t>
  </si>
  <si>
    <t>http://www.frare.com.ar/</t>
  </si>
  <si>
    <t>info@cubcosurveyor.com</t>
  </si>
  <si>
    <t>Info@zeziola.com</t>
  </si>
  <si>
    <t>4657-7240</t>
  </si>
  <si>
    <t>4647 0243</t>
  </si>
  <si>
    <t>http://www.frenosnacionales.com.ar/</t>
  </si>
  <si>
    <t>FRIGORIFICO ATAHUALPA S.R.L.</t>
  </si>
  <si>
    <t>engranajescusmich@gmail.com</t>
  </si>
  <si>
    <t>4750-1176</t>
  </si>
  <si>
    <t>https://www.facebook.com/frigorificoatahualpa/</t>
  </si>
  <si>
    <t>cuter@cuterrobots.com.ar</t>
  </si>
  <si>
    <t>FRIGORIFICO DON ANTONINO S.A.</t>
  </si>
  <si>
    <t>Elaboración de Fiambres y Embutidos</t>
  </si>
  <si>
    <t>4750-1408</t>
  </si>
  <si>
    <t>info@axal.com.ar</t>
  </si>
  <si>
    <t>FRIGORIFICO MOREIRA HNOS S.R.L.</t>
  </si>
  <si>
    <t>El Clavel</t>
  </si>
  <si>
    <t>Operaciones de intermediación de carne excepto consignatario directo</t>
  </si>
  <si>
    <t>4739-0394</t>
  </si>
  <si>
    <t>4841-3328</t>
  </si>
  <si>
    <t>ventas@cepilloscvc.com</t>
  </si>
  <si>
    <t>Procesamiento de carne de ganado bovino</t>
  </si>
  <si>
    <t>Carne vacuna</t>
  </si>
  <si>
    <t>Adrian Lopez Rito</t>
  </si>
  <si>
    <t>11 5308-1024</t>
  </si>
  <si>
    <t>Ivan Javier Lopes Rito</t>
  </si>
  <si>
    <t>11 3459-5840</t>
  </si>
  <si>
    <t>4734-5052</t>
  </si>
  <si>
    <t>info@dachcomsrl.com</t>
  </si>
  <si>
    <t>FRIGORIFICO SARRIA S.R.L.</t>
  </si>
  <si>
    <t>Oyuela</t>
  </si>
  <si>
    <t>Jose Enrique perez</t>
  </si>
  <si>
    <t>info@damper.com.ar</t>
  </si>
  <si>
    <t>4757-5359</t>
  </si>
  <si>
    <t>4757-1607</t>
  </si>
  <si>
    <t>www.frigorificosarria.com</t>
  </si>
  <si>
    <t>residuospeligrosos@retiroselsol.com.ar</t>
  </si>
  <si>
    <t xml:space="preserve">textil , ventas de paños mesa de pool y acc </t>
  </si>
  <si>
    <t>Gustavo Frione</t>
  </si>
  <si>
    <t>4657-0028</t>
  </si>
  <si>
    <t>www.frione.com</t>
  </si>
  <si>
    <t>FS AUTOELEVADORES S.R.L.</t>
  </si>
  <si>
    <t>dr.walteriannarella@gmail.com</t>
  </si>
  <si>
    <t>4653-2970</t>
  </si>
  <si>
    <t>4488-4516</t>
  </si>
  <si>
    <t>FUENTES POMA CAROLA ALEJANDRA (INFLABLES KINDER)</t>
  </si>
  <si>
    <t>danycolor@gmail.com</t>
  </si>
  <si>
    <t>Servicios de entretenimiento N.C.P.</t>
  </si>
  <si>
    <t>Juegos para plazas, tachos de basura</t>
  </si>
  <si>
    <t>Daniel Galeani</t>
  </si>
  <si>
    <t>11 5715-0518</t>
  </si>
  <si>
    <t>infodanytexs@gmail.com</t>
  </si>
  <si>
    <t>FUERADESERIE S.R.L.</t>
  </si>
  <si>
    <t>4488-0081</t>
  </si>
  <si>
    <t>darioonetosrl@hotmail.com</t>
  </si>
  <si>
    <t>https://fueradeseriesrl.com/</t>
  </si>
  <si>
    <t>info@sombritoldosazzurra.com.ar</t>
  </si>
  <si>
    <t>Carlos Alberto Rinaldi</t>
  </si>
  <si>
    <t>15 5020-1340</t>
  </si>
  <si>
    <t>Gabriela Rinaldi</t>
  </si>
  <si>
    <t>11 5018-5448</t>
  </si>
  <si>
    <t>11 6473-6214</t>
  </si>
  <si>
    <t>4759-3811</t>
  </si>
  <si>
    <t>https://www.fullplastics.com.ar/</t>
  </si>
  <si>
    <t>ventas@dasa.com.ar</t>
  </si>
  <si>
    <t>FUNDICION DELTA S.R.L.</t>
  </si>
  <si>
    <t>Matias Gagliardino</t>
  </si>
  <si>
    <t>Gabriel Gagliadino</t>
  </si>
  <si>
    <t>ventas@dazconductores.com.ar</t>
  </si>
  <si>
    <t>11 4479-3570</t>
  </si>
  <si>
    <t>4769-0881</t>
  </si>
  <si>
    <t>4769-1325</t>
  </si>
  <si>
    <t>4769-4187</t>
  </si>
  <si>
    <t>www.fundiciondelta.com.ar</t>
  </si>
  <si>
    <t>FUNDICION LAPRIDA S.R.L.</t>
  </si>
  <si>
    <t>info@demarinis.com.ar</t>
  </si>
  <si>
    <t>Fundición de hierro y acero</t>
  </si>
  <si>
    <t>4755-2968</t>
  </si>
  <si>
    <t>FUNDICION LAZZARINI S.R.L.</t>
  </si>
  <si>
    <t>miriam.b@derigoargentina.com.ar</t>
  </si>
  <si>
    <t>Se dedican a la fundición en aluminio, de piezas en general</t>
  </si>
  <si>
    <t>4716-1220</t>
  </si>
  <si>
    <t>http://www.fundicionlazzarini.com.ar/</t>
  </si>
  <si>
    <t>info@decals-serigrafia.com</t>
  </si>
  <si>
    <t>FUNDICION THERRA S.R.L.</t>
  </si>
  <si>
    <t>info@tecnicarsa.com.ar</t>
  </si>
  <si>
    <t>(2320) 44-6722</t>
  </si>
  <si>
    <t>(2320) 44-6032</t>
  </si>
  <si>
    <t>pablo@delsurindustrial.com.ar</t>
  </si>
  <si>
    <t>FUNDICION Y LAMINACION LUIS COSTA S.A.I.C.Y.F.</t>
  </si>
  <si>
    <t>4757-0486/4217</t>
  </si>
  <si>
    <t>http://costaluminio.com.ar/</t>
  </si>
  <si>
    <t>infodelente@gmail.com</t>
  </si>
  <si>
    <t>FUNDICIONES DARCHO S.R.L.</t>
  </si>
  <si>
    <t>4757-0091</t>
  </si>
  <si>
    <t>delisiglass@gmail.com</t>
  </si>
  <si>
    <t>FUNDIMER S.R.L.</t>
  </si>
  <si>
    <t>delrosarito@yahoo.com.ar</t>
  </si>
  <si>
    <t>4769-5009</t>
  </si>
  <si>
    <t>FUNDIMET</t>
  </si>
  <si>
    <t>depimiel@depimiel.com</t>
  </si>
  <si>
    <t>Fundiciones y terminaciones. Moldeos en arena, tierra y en cascara</t>
  </si>
  <si>
    <t>11 5834-2439</t>
  </si>
  <si>
    <t>4683-5500</t>
  </si>
  <si>
    <t>ventas@idoler.com.ar</t>
  </si>
  <si>
    <t>https://fundimet.com.ar/</t>
  </si>
  <si>
    <t>FUNDOR S.R.L.</t>
  </si>
  <si>
    <t>San Salvador</t>
  </si>
  <si>
    <t>ventas@deuan.com.ar</t>
  </si>
  <si>
    <t>4769-1490</t>
  </si>
  <si>
    <t>marceladelgado133@hotmail.com</t>
  </si>
  <si>
    <t>FUSHIVA INSTRUMENTAL S.R.L.</t>
  </si>
  <si>
    <t>Pilar</t>
  </si>
  <si>
    <t>Emilio Ossola</t>
  </si>
  <si>
    <t>imprenta_dimuro@yahoo.com.ar</t>
  </si>
  <si>
    <t>4654-3135</t>
  </si>
  <si>
    <t>http://www.fushiva.com/</t>
  </si>
  <si>
    <t>FUTUREX ARGENTINA S.R.L.</t>
  </si>
  <si>
    <t>administracion@dipleg.com.ar</t>
  </si>
  <si>
    <t>4567-3243</t>
  </si>
  <si>
    <t>4639-6927</t>
  </si>
  <si>
    <t>FUTURO TRADING ARGENTINA S.A.</t>
  </si>
  <si>
    <t>info@dibaplast.com</t>
  </si>
  <si>
    <t>Fabricación de artículos de cerámica no refractaria para uso no estructural N.C.P.</t>
  </si>
  <si>
    <t>Natalia</t>
  </si>
  <si>
    <t>4759-7830</t>
  </si>
  <si>
    <t>http://www.futurotrading.com/</t>
  </si>
  <si>
    <t>FX INFORMATICA S.A.</t>
  </si>
  <si>
    <t>dodimesas@yahoo.com.ar</t>
  </si>
  <si>
    <t>4751-5836</t>
  </si>
  <si>
    <t>4751-0436 (Int. 103 o 111)</t>
  </si>
  <si>
    <t>http://www.fxinformatica.com/</t>
  </si>
  <si>
    <t>diemertrading@yahoo.com.ar</t>
  </si>
  <si>
    <t>G N C UNIVERSAL S.A.</t>
  </si>
  <si>
    <t>Mantenimiento y reparacion del motor N.C.P.,mecanica integral (incluye auxilio y servicios de grúa para automotores; instalación y reparación de equipos de gnc)</t>
  </si>
  <si>
    <t>4653-0810</t>
  </si>
  <si>
    <t>administracion@diferenttex.com.ar</t>
  </si>
  <si>
    <t>G&amp;G SLIPPER S.A.</t>
  </si>
  <si>
    <t>michelottiricardo@gmail.com</t>
  </si>
  <si>
    <t>G7 SALUD S.A.</t>
  </si>
  <si>
    <t>dilapsh@gmail.com</t>
  </si>
  <si>
    <t>4484-0256</t>
  </si>
  <si>
    <t>4482-6111</t>
  </si>
  <si>
    <t>4482-4536</t>
  </si>
  <si>
    <t>GADOL BERAKA SRL SEGURIDAD PRIVADA</t>
  </si>
  <si>
    <t>quimica@dilmax.com.ar</t>
  </si>
  <si>
    <t>4739-7607</t>
  </si>
  <si>
    <t>https://www.gadolberaka.com.ar/</t>
  </si>
  <si>
    <t>hricciardulli@gaci.com.ar</t>
  </si>
  <si>
    <t>GALAS HNOS</t>
  </si>
  <si>
    <t>info@dimaq.com.ar</t>
  </si>
  <si>
    <t>11 4750-4325</t>
  </si>
  <si>
    <t>GALCO METAL S.R.L.</t>
  </si>
  <si>
    <t>info@dimashq.com.ar</t>
  </si>
  <si>
    <t>4750-4605</t>
  </si>
  <si>
    <t>5244-0702</t>
  </si>
  <si>
    <t>GALE LIVE S.A.</t>
  </si>
  <si>
    <t>infodincos@yahoo.com.ar</t>
  </si>
  <si>
    <t>11 6332-4108</t>
  </si>
  <si>
    <t>11 6332-4297</t>
  </si>
  <si>
    <t>https://galelive.com/</t>
  </si>
  <si>
    <t>ventas2@dineu.com.ar</t>
  </si>
  <si>
    <t>Fabricación y Reparación de Maquinarias y Aparatos Industriales Eléctricos no clasificados en otra parte</t>
  </si>
  <si>
    <t>jorfa89@hotmail.com</t>
  </si>
  <si>
    <t>Carlos H. Grisolia</t>
  </si>
  <si>
    <t>11 5691-4996</t>
  </si>
  <si>
    <t>Ricardo De Simone</t>
  </si>
  <si>
    <t>11 4712-8002</t>
  </si>
  <si>
    <t>11-4145-4885</t>
  </si>
  <si>
    <t xml:space="preserve"> 11-2666-6452</t>
  </si>
  <si>
    <t>4712-8002</t>
  </si>
  <si>
    <t>https://www.galileoar.com/</t>
  </si>
  <si>
    <t>GALVANOPLASTIA CHROMIUM S.R.L.</t>
  </si>
  <si>
    <t>Directorio</t>
  </si>
  <si>
    <t>info@diquime.com.ar</t>
  </si>
  <si>
    <t>11 2195-2203</t>
  </si>
  <si>
    <t>https://galvanoplastia.com.ar/</t>
  </si>
  <si>
    <t>GALVANOPLASTIA EL TREBOL S.R.L.</t>
  </si>
  <si>
    <t>Luis María Campos</t>
  </si>
  <si>
    <t>crios.dispometal@gmail.com</t>
  </si>
  <si>
    <t>4759-3529</t>
  </si>
  <si>
    <t>4750-4016</t>
  </si>
  <si>
    <t>11 5833-7906/01147504016</t>
  </si>
  <si>
    <t>https://galvanoplastiaeltrebol.com/</t>
  </si>
  <si>
    <t>info@distpampa.com.ar</t>
  </si>
  <si>
    <t>GALVANOPLASTIA GAME S.R.L.</t>
  </si>
  <si>
    <t>info@distriquim.com.ar</t>
  </si>
  <si>
    <t>4712-1403</t>
  </si>
  <si>
    <t>5762-1274</t>
  </si>
  <si>
    <t>GALVANOTECNIA ZINCAD S.R.L.</t>
  </si>
  <si>
    <t>disyuntoressanblas43@gmail.com</t>
  </si>
  <si>
    <t>Norberto</t>
  </si>
  <si>
    <t>4750-8757</t>
  </si>
  <si>
    <t>fabian.hidalgo@diversey.com</t>
  </si>
  <si>
    <t>Adrian Cabre Bassas | Mayra Sol Martinez, Tel: 11 6264-8217</t>
  </si>
  <si>
    <t>Marcelo Casalnuovo</t>
  </si>
  <si>
    <t>11 3524-9472</t>
  </si>
  <si>
    <t>0810-444-4258</t>
  </si>
  <si>
    <t>4716-0565</t>
  </si>
  <si>
    <t>www.galvylam.com</t>
  </si>
  <si>
    <t>Dr. Fleming</t>
  </si>
  <si>
    <t>4030 Piso:4 Dpto:1</t>
  </si>
  <si>
    <t>tensoresfosters@gmail.com</t>
  </si>
  <si>
    <t>Fabricación de artículos de cuchillería y utensillos de mesa y de cocina</t>
  </si>
  <si>
    <t>Ollas y cacerolas. Menaje</t>
  </si>
  <si>
    <t>Matilde</t>
  </si>
  <si>
    <t>Claudio Cardinali</t>
  </si>
  <si>
    <t>11 4759-2611</t>
  </si>
  <si>
    <t>https://www.gamuza.com.ar/</t>
  </si>
  <si>
    <t>administracion@idolz.com.ar</t>
  </si>
  <si>
    <t>GANADERA SANTA MARTA S.A.</t>
  </si>
  <si>
    <t>(2227) 49-2788</t>
  </si>
  <si>
    <t>info@donjorge.com.ar</t>
  </si>
  <si>
    <t>GARAICOECHEA FRANCISCO DANIEL Y GARAICOECHEA G</t>
  </si>
  <si>
    <t>dortaehijossrl@gmail.com</t>
  </si>
  <si>
    <t>Fabricación de artículos de papel y cartón de uso doméstico e higiénico sanitario</t>
  </si>
  <si>
    <t>Toallas de papel</t>
  </si>
  <si>
    <t>Gabriela Garbini</t>
  </si>
  <si>
    <t>11 3907-8196</t>
  </si>
  <si>
    <t>11 4759-9921</t>
  </si>
  <si>
    <t>11 6511-3134</t>
  </si>
  <si>
    <t>https://www.toallasdepapel.com.ar/</t>
  </si>
  <si>
    <t>Dracoequip@hotmail.com</t>
  </si>
  <si>
    <t>GARCIA FEDERICO BERNARDO Y GARCIA LUCIANO ADOLFO</t>
  </si>
  <si>
    <t>dtmetalurgica@yahoo.com.ar</t>
  </si>
  <si>
    <t>GARCIA Y SCE S.R.L.</t>
  </si>
  <si>
    <t>4759-6316</t>
  </si>
  <si>
    <t>maradubasa@gmail.com</t>
  </si>
  <si>
    <t>GAS ARECO S.A.C.I.</t>
  </si>
  <si>
    <t>Fraccionamiento y distribución de gas licuado</t>
  </si>
  <si>
    <t>claudio_bazan@emeth.com.ar</t>
  </si>
  <si>
    <t>(2473) 42-1777</t>
  </si>
  <si>
    <t>(2326) 45-6170</t>
  </si>
  <si>
    <t>(2326) 45-6113</t>
  </si>
  <si>
    <t>GAS DIESEL SERVICE S.R.L.</t>
  </si>
  <si>
    <t>info@dusvar.com</t>
  </si>
  <si>
    <t>11 4841-3435</t>
  </si>
  <si>
    <t>GAS TRELEW S.A.</t>
  </si>
  <si>
    <t>info@duzzen.com.ar</t>
  </si>
  <si>
    <t>4734-4804</t>
  </si>
  <si>
    <t>4759-0641</t>
  </si>
  <si>
    <t>GASCOLI S.R.L.</t>
  </si>
  <si>
    <t>dxcontrol@dxcontrol.com.ar</t>
  </si>
  <si>
    <t>SERVICIOS PERSONALES N.C.P.</t>
  </si>
  <si>
    <t>4600-5068</t>
  </si>
  <si>
    <t>4657-3246</t>
  </si>
  <si>
    <t>GAUTO MIGUEL ANGEL</t>
  </si>
  <si>
    <t>patricio.rollandi@gmail.com</t>
  </si>
  <si>
    <t>Fabricación de productos de madera N.C.P., fabricación de artículos de paja y materiales trenzables</t>
  </si>
  <si>
    <t>4739-4226</t>
  </si>
  <si>
    <t>administracion@flexoemagen.com.ar</t>
  </si>
  <si>
    <t>GDE S.A.</t>
  </si>
  <si>
    <t>Neuquén</t>
  </si>
  <si>
    <t>Servicios de publicidad N.C.P.</t>
  </si>
  <si>
    <t>4648-3289</t>
  </si>
  <si>
    <t>administracion@ecobairessoluciones.com.ar</t>
  </si>
  <si>
    <t>GELUMA S.A.</t>
  </si>
  <si>
    <t>kwalker@edos.com.ar</t>
  </si>
  <si>
    <t>5437-5283</t>
  </si>
  <si>
    <t>GENARO Y ANDRES DE STEFANO SOCIEDAD ANONIMA COMERCIAL INDUSTRIAL AGRICOLA Y GANADERA S. A.</t>
  </si>
  <si>
    <t>eduaplast@gmail.com</t>
  </si>
  <si>
    <t>Eliana Coronel</t>
  </si>
  <si>
    <t>11 7027-5286</t>
  </si>
  <si>
    <t>(341) 437-0854</t>
  </si>
  <si>
    <t>(341) 430-5890</t>
  </si>
  <si>
    <t>(280) 445-7603</t>
  </si>
  <si>
    <t>GENERAY S.A.</t>
  </si>
  <si>
    <t>ventas@metalurgicafrh.com.ar</t>
  </si>
  <si>
    <t>750-5392</t>
  </si>
  <si>
    <t>GENTILE FABIO ANIBAL (ASTILLEROS VIKING)</t>
  </si>
  <si>
    <t>administracion@peliza.com.ar</t>
  </si>
  <si>
    <t>Pío Díaz</t>
  </si>
  <si>
    <t>Construcción y reparación de embarcaciones de recreo y deporte</t>
  </si>
  <si>
    <t>Industria nautica, embarcaciones</t>
  </si>
  <si>
    <t>11 6821-4564</t>
  </si>
  <si>
    <t>4757-4131</t>
  </si>
  <si>
    <t>ventas@einefrenos.com</t>
  </si>
  <si>
    <t>GERIZIM S.A.</t>
  </si>
  <si>
    <t>fabricaelebano@gmail.com</t>
  </si>
  <si>
    <t>22 4644-5130</t>
  </si>
  <si>
    <t>GERONIMO RUSSO Y CIA S.R.L.</t>
  </si>
  <si>
    <t>11 6381-6955</t>
  </si>
  <si>
    <t>4653-8850</t>
  </si>
  <si>
    <t>http://www.grusso.com.ar/</t>
  </si>
  <si>
    <t>info@el-jumillano.com.ar</t>
  </si>
  <si>
    <t>GETSEMANI S.R.L.</t>
  </si>
  <si>
    <t>elluceromayorista@gmail.com</t>
  </si>
  <si>
    <t>Venta al por mayor de aceites y grasas</t>
  </si>
  <si>
    <t>767-2277</t>
  </si>
  <si>
    <t>elacin@elacin.com.ar</t>
  </si>
  <si>
    <t>Gerardo Capelli</t>
  </si>
  <si>
    <t>11 6608-6106</t>
  </si>
  <si>
    <t>2203-5456</t>
  </si>
  <si>
    <t>11 5620-5798</t>
  </si>
  <si>
    <t>https://gevametal.negocio.site/ http://gevametal.com.ar/</t>
  </si>
  <si>
    <t>elastomec@gmail.com</t>
  </si>
  <si>
    <t>GEVIAL CONSTRUCCIONES S.A.</t>
  </si>
  <si>
    <t>Servicios relacionados con la construcción. (Incluye los servicios prestados por ingenieros, arquitectos y técnicos)</t>
  </si>
  <si>
    <t>info@elecsistems.com</t>
  </si>
  <si>
    <t>5307-3226</t>
  </si>
  <si>
    <t>Elaboración de Pastas Alimentarias frescas</t>
  </si>
  <si>
    <t>electrohogar.adm@gmail.com</t>
  </si>
  <si>
    <t>Tapas para tarta</t>
  </si>
  <si>
    <t>Carolina Montoya</t>
  </si>
  <si>
    <t>4757-8479</t>
  </si>
  <si>
    <t>GHIA VIAL S.A.</t>
  </si>
  <si>
    <t>750-2835</t>
  </si>
  <si>
    <t>Info@elefe.com</t>
  </si>
  <si>
    <t>Inmobiliarios</t>
  </si>
  <si>
    <t>Servicios inmobiliarios</t>
  </si>
  <si>
    <t>Servicios Inmobiliarios</t>
  </si>
  <si>
    <t>Guillermo Perez Lattanzi</t>
  </si>
  <si>
    <t>15 3491-1771</t>
  </si>
  <si>
    <t>4716-6185</t>
  </si>
  <si>
    <t>15 6565-3857</t>
  </si>
  <si>
    <t>https://www.perezlattanziprop.com.ar/</t>
  </si>
  <si>
    <t>ventas@elibet.com</t>
  </si>
  <si>
    <t>GIAC GAS S.A.</t>
  </si>
  <si>
    <t>pdtoniollo@elityc.com.ar</t>
  </si>
  <si>
    <t>Servicios de gestión y logística para el transporte de mercaderías N.C.P.</t>
  </si>
  <si>
    <t xml:space="preserve"> 4750-2491</t>
  </si>
  <si>
    <t>ventas@emasonline.com.ar</t>
  </si>
  <si>
    <t>Juan Marcelo Duchini</t>
  </si>
  <si>
    <t>4541-9883</t>
  </si>
  <si>
    <t>4759-8977</t>
  </si>
  <si>
    <t>grupo@embalajesindustriales.com</t>
  </si>
  <si>
    <t>GIOFRE SPECIAL CARS S.R.L.</t>
  </si>
  <si>
    <t>Reparación y pintura de carrocerías, colocación y reparación de guardabarros y protecciones exteriores</t>
  </si>
  <si>
    <t>embalflej@embalflej.com.ar</t>
  </si>
  <si>
    <t>11 3571-4902</t>
  </si>
  <si>
    <t>GIORCELLI OMAR ALEJANDRO</t>
  </si>
  <si>
    <t>Campo de Mayo</t>
  </si>
  <si>
    <t>emecolsrl@yahoo.com.ar</t>
  </si>
  <si>
    <t>4844-7961</t>
  </si>
  <si>
    <t>4844-3988</t>
  </si>
  <si>
    <t>GIORIA HUGO MARCELO</t>
  </si>
  <si>
    <t>ventas@emeli.com.ar</t>
  </si>
  <si>
    <t xml:space="preserve"> 4116-4180</t>
  </si>
  <si>
    <t>mauropedroni@gmail.com</t>
  </si>
  <si>
    <t>Venta al por mayor de juguetes</t>
  </si>
  <si>
    <t>Scalextric</t>
  </si>
  <si>
    <t>Adriana Bachi</t>
  </si>
  <si>
    <t>11 5754-0057</t>
  </si>
  <si>
    <t>4754-1246</t>
  </si>
  <si>
    <t>GIUSTI RONAL ORLANDO</t>
  </si>
  <si>
    <t>info@emos-sa.com.ar</t>
  </si>
  <si>
    <t xml:space="preserve">Fabricación de partes, piezas y accesorios para vehículos automotores y sus motores N.C.P. </t>
  </si>
  <si>
    <t>4734-1561</t>
  </si>
  <si>
    <t>GIZEH S.A.</t>
  </si>
  <si>
    <t>administracion@hebillasempre.com.ar</t>
  </si>
  <si>
    <t>11 4769-2407</t>
  </si>
  <si>
    <t>GLARUS S.A.</t>
  </si>
  <si>
    <t>info@galvanotecniajl.com.ar</t>
  </si>
  <si>
    <t>4769-4256</t>
  </si>
  <si>
    <t>info@cachafaz.com</t>
  </si>
  <si>
    <t xml:space="preserve">Horacio Ardolino </t>
  </si>
  <si>
    <t>11 5578-8096</t>
  </si>
  <si>
    <t>Patricio Hernán Ardolino</t>
  </si>
  <si>
    <t>11 6916-8722</t>
  </si>
  <si>
    <t>4488-1968</t>
  </si>
  <si>
    <t>4653-2708</t>
  </si>
  <si>
    <t>www.globalamerica.com.ar</t>
  </si>
  <si>
    <t>ventas@envadecsrl.com</t>
  </si>
  <si>
    <t>GNATYNA HERMANOS</t>
  </si>
  <si>
    <t>4750 3025</t>
  </si>
  <si>
    <t>ariadnafaimali@envasesjohn.com</t>
  </si>
  <si>
    <t>Elaboración de alimentos preparados para animales</t>
  </si>
  <si>
    <t>Snacks para perros y gatos. Huesitos, palitos, biscuits y bocaditos</t>
  </si>
  <si>
    <t>Agustin Silvestre</t>
  </si>
  <si>
    <t>11 6617-3134</t>
  </si>
  <si>
    <t>Luciana Zuvic</t>
  </si>
  <si>
    <t>info@pro-air.com.ar</t>
  </si>
  <si>
    <t>11 5561-1763</t>
  </si>
  <si>
    <t>11 3427-1784</t>
  </si>
  <si>
    <t>4739-6867</t>
  </si>
  <si>
    <t>11 4579-5796 (Lucia Salo)</t>
  </si>
  <si>
    <t>https://www.golocan.com.ar/</t>
  </si>
  <si>
    <t>GOMEZ HNOS S.R.L.</t>
  </si>
  <si>
    <t>epha@epha.com.ar</t>
  </si>
  <si>
    <t>José Batallan</t>
  </si>
  <si>
    <t>Fabricación y reparación de maquinaria y equipo para la agricultura y la ganadería</t>
  </si>
  <si>
    <t>4712-0087</t>
  </si>
  <si>
    <t>recepcion@equiposdelchef.com.ar</t>
  </si>
  <si>
    <t>GOMEZ TORRALBA II S.A.</t>
  </si>
  <si>
    <t>Natalia Gomez</t>
  </si>
  <si>
    <t>11 6477-2270</t>
  </si>
  <si>
    <t>info@abrochadorasgrap.com</t>
  </si>
  <si>
    <t>4769-0249</t>
  </si>
  <si>
    <t>4739-2615/6204</t>
  </si>
  <si>
    <t>https://gomeztorralba.com.ar/</t>
  </si>
  <si>
    <t>GONZALEZ ARMANDO JOSE Y MOLINA MANUEL ORLANDO</t>
  </si>
  <si>
    <t>nkg28@hotmail.com</t>
  </si>
  <si>
    <t>Cultivo de Vid</t>
  </si>
  <si>
    <t>4657-5866</t>
  </si>
  <si>
    <t>ventas@especias537.com.ar</t>
  </si>
  <si>
    <t>GONZALEZ LARES CARLOS ANDRES LEONAR (CARMILA VELAS ARTESANALES)</t>
  </si>
  <si>
    <t>Velas</t>
  </si>
  <si>
    <t>Carlos | Mariela</t>
  </si>
  <si>
    <t>Karim Gonzalez Lares (hijo)</t>
  </si>
  <si>
    <t>11 6828-9359</t>
  </si>
  <si>
    <t>info@especieracaseros.com.ar</t>
  </si>
  <si>
    <t>4647-2307</t>
  </si>
  <si>
    <t>11 3253-4793</t>
  </si>
  <si>
    <t>GONZALEZ OSCAR ALFREDO Y GONZALEZ NAHUEL OSCAR S.H.</t>
  </si>
  <si>
    <t>espejocaladoras@yahoo.com.ar</t>
  </si>
  <si>
    <t>Oscar Gonzalez</t>
  </si>
  <si>
    <t>4769-9342</t>
  </si>
  <si>
    <t>267/9</t>
  </si>
  <si>
    <t>marcelomediavilla@yahoo.com.ar</t>
  </si>
  <si>
    <t>11 3349-3493</t>
  </si>
  <si>
    <t>Yelda Saavedra</t>
  </si>
  <si>
    <t>11 3919-4188</t>
  </si>
  <si>
    <t>4657-2793</t>
  </si>
  <si>
    <t>4657-1983</t>
  </si>
  <si>
    <t>http://www.indupint.com.ar/</t>
  </si>
  <si>
    <t>GOOD GROUP S.A.</t>
  </si>
  <si>
    <t>info@gygmetalmecanica.com.ar</t>
  </si>
  <si>
    <t>Tienda de ropa de mujer</t>
  </si>
  <si>
    <t>4844-5099</t>
  </si>
  <si>
    <t>4840-1222</t>
  </si>
  <si>
    <t>4842-2835</t>
  </si>
  <si>
    <t>https://uniongood.com/</t>
  </si>
  <si>
    <t>info@emgraciela.com.ar</t>
  </si>
  <si>
    <t>GOPRI S.R.L.</t>
  </si>
  <si>
    <t>metalúrgica orientada al rubro de mecanizado de piezas, sobre plano o muestra</t>
  </si>
  <si>
    <t>info@klinger.com.ar</t>
  </si>
  <si>
    <t>Mecanizado</t>
  </si>
  <si>
    <t>4653-9240</t>
  </si>
  <si>
    <t>https://goprisrl.negocio.site/#details</t>
  </si>
  <si>
    <t>info@superbs.com.ar</t>
  </si>
  <si>
    <t>GORDIOLA ANDRES JORGE (INDUSTRIAS LUCEY)</t>
  </si>
  <si>
    <t>Uruguay</t>
  </si>
  <si>
    <t>Cables</t>
  </si>
  <si>
    <t>4712-9026</t>
  </si>
  <si>
    <t>4757-3903</t>
  </si>
  <si>
    <t>estmetvaria@yahoo.com.ar</t>
  </si>
  <si>
    <t>http://www.industriaslucey.com/</t>
  </si>
  <si>
    <t>GOUNARIDIS ELEUTERIO (ZBM)</t>
  </si>
  <si>
    <t>Fabricación de productos de laboratorio y productos botánicos de uso farmaceútico N.C.P.</t>
  </si>
  <si>
    <t>etiasrl@gmail.com</t>
  </si>
  <si>
    <t>11 4769-6669</t>
  </si>
  <si>
    <t>11 4769-1391</t>
  </si>
  <si>
    <t>https://www.facebook.com/zbm.lab/?locale=es_LA</t>
  </si>
  <si>
    <t>GPOALBATROS S.R.L.</t>
  </si>
  <si>
    <t>peinadosergio@hotmail.com</t>
  </si>
  <si>
    <t>2095-5511</t>
  </si>
  <si>
    <t>ventas@estampalex.com.ar</t>
  </si>
  <si>
    <t>GRAFICA ARGENTINA S.R.L.</t>
  </si>
  <si>
    <t>Edición de libros, folletos, y otras publicaciones</t>
  </si>
  <si>
    <t>Agustina</t>
  </si>
  <si>
    <t>342-7827</t>
  </si>
  <si>
    <t>administracion@e-rioplatense.com.ar</t>
  </si>
  <si>
    <t>www.graficaargentinasrl.com.ar</t>
  </si>
  <si>
    <t>GRAFICA AUSTRAL SOCIEDAD ANONIMA</t>
  </si>
  <si>
    <t>11 5623-6139</t>
  </si>
  <si>
    <t>daniela@japonesassrl.com.ar</t>
  </si>
  <si>
    <t>4716-1390</t>
  </si>
  <si>
    <t>GRAFICA HMA S.A.</t>
  </si>
  <si>
    <t>Curapaligüe</t>
  </si>
  <si>
    <t>info@estapal.com.ar</t>
  </si>
  <si>
    <t>4759-5651</t>
  </si>
  <si>
    <t>GRAFICA JP S.R.L.</t>
  </si>
  <si>
    <t>info@estrulam.com.ar</t>
  </si>
  <si>
    <t>Servicios de fotocopiado, preparación de documentos y otros servicios de apoyo de oficina</t>
  </si>
  <si>
    <t>4653-9037</t>
  </si>
  <si>
    <t>GRAFICA MITRE SAIYC</t>
  </si>
  <si>
    <t>info@etc.com.ar</t>
  </si>
  <si>
    <t>4759-2268</t>
  </si>
  <si>
    <t>4716-0225</t>
  </si>
  <si>
    <t>4750-8625</t>
  </si>
  <si>
    <t>GRAFICAMENTE 1926 S.R.L.</t>
  </si>
  <si>
    <t>info@etercor.com.ar</t>
  </si>
  <si>
    <t>Servicios de Impresión Heliográfica, Fotocopia y otras Formas de Reproducciones</t>
  </si>
  <si>
    <t>4844-9650</t>
  </si>
  <si>
    <t>etiquetarte.srl@gmail.com</t>
  </si>
  <si>
    <t>GRAFICAPEL S.R.L.</t>
  </si>
  <si>
    <t>4647-3314</t>
  </si>
  <si>
    <t>4657-3479</t>
  </si>
  <si>
    <t>dpaterno@eurotecno.com</t>
  </si>
  <si>
    <t>4657-3530</t>
  </si>
  <si>
    <t>GRAFICOM S.R.L.</t>
  </si>
  <si>
    <t>Servicios de impresión heliográfica, fotocopia y otras formas de reproducciones</t>
  </si>
  <si>
    <t>Soluciones gráficas de alta calidad</t>
  </si>
  <si>
    <t>info@eurotubo.com.ar</t>
  </si>
  <si>
    <t>11 4753-9415</t>
  </si>
  <si>
    <t>GRAN MARC S.R.L.</t>
  </si>
  <si>
    <t>Excavacionesbosch@yahoo.com.ar</t>
  </si>
  <si>
    <t>Ricardo Grande | Vicente Marcone</t>
  </si>
  <si>
    <t>Juliana, Julieta?</t>
  </si>
  <si>
    <t>4739-1985/8286</t>
  </si>
  <si>
    <t>gran-marc.com.ar</t>
  </si>
  <si>
    <t>GRANADEROS GT S.R.L.</t>
  </si>
  <si>
    <t>excelencia_alimenticia@hotmail.com</t>
  </si>
  <si>
    <t>Confección de indumentaria de trabajo, uniformes, guardapolvos y sus accesorios</t>
  </si>
  <si>
    <t>11 4488-8054</t>
  </si>
  <si>
    <t>contactenos@eqarte.com.ar</t>
  </si>
  <si>
    <t>Pilcomayo</t>
  </si>
  <si>
    <t>4848-3637</t>
  </si>
  <si>
    <t>4739-5003</t>
  </si>
  <si>
    <t>www.gravaz.com.ar</t>
  </si>
  <si>
    <t>ventas@exilplast.com.ar</t>
  </si>
  <si>
    <t>GRAZIANO ANTONIO Y VALENTINO ANGEL</t>
  </si>
  <si>
    <t>Fabricación de tejidos de alambre</t>
  </si>
  <si>
    <t>info@expoyer.com.ar</t>
  </si>
  <si>
    <t>4759-5432</t>
  </si>
  <si>
    <t>Venta de equipamiento, calibración y servicio técnico para áreas limpias.</t>
  </si>
  <si>
    <t>Gabriel Grillo</t>
  </si>
  <si>
    <t>11 5919-6024</t>
  </si>
  <si>
    <t>11 5933-8558</t>
  </si>
  <si>
    <t>info@extracryl.com.ar</t>
  </si>
  <si>
    <t>4116-0591</t>
  </si>
  <si>
    <t>4116-0592</t>
  </si>
  <si>
    <t>https://www.opyr.com.ar/</t>
  </si>
  <si>
    <t>GROSSO GUILLERMO BENITO (AMOBLAMIENTO GROSSO)</t>
  </si>
  <si>
    <t>extrapol@hotmail.com</t>
  </si>
  <si>
    <t>4757-5998</t>
  </si>
  <si>
    <t>https://www.instagram.com/amoblamientosgrosso/?hl=es</t>
  </si>
  <si>
    <t>info@fabri-mol.com.ar</t>
  </si>
  <si>
    <t>fabricalco@hotmail.com</t>
  </si>
  <si>
    <t>Fundicion de Partes y Piezas en Aleaciones de Aluminio. Coladas en moldes de Arena y Coquilla por sistema de gravedad e inyeccion</t>
  </si>
  <si>
    <t>Luis Molindi | Mario Fischer</t>
  </si>
  <si>
    <t>11 6692-4484</t>
  </si>
  <si>
    <t>4739-1300</t>
  </si>
  <si>
    <t>4769-5140</t>
  </si>
  <si>
    <t>www.fundicionalear.com.ar</t>
  </si>
  <si>
    <t>rodolfowfabris@live.com</t>
  </si>
  <si>
    <t>GRUPO DEL DISENO S.R.L.</t>
  </si>
  <si>
    <t>4653-7726</t>
  </si>
  <si>
    <t>administracion3@volturno.com.ar</t>
  </si>
  <si>
    <t>GRUPO GRIOT S.R.L.</t>
  </si>
  <si>
    <t>Aviador Santos Dumont</t>
  </si>
  <si>
    <t>11 4446-0644</t>
  </si>
  <si>
    <t>precurex@precurex.com</t>
  </si>
  <si>
    <t>GRUPO JARDA S.R.L.</t>
  </si>
  <si>
    <t>Fabricación de tanques, depósitos y recipientes de metal (Incluye la fabricación de silos)</t>
  </si>
  <si>
    <t>4716-4996</t>
  </si>
  <si>
    <t>bujesgomet@bujesgomet.com.ar</t>
  </si>
  <si>
    <t>GRUPO METODO ARGENTINO S.R.L.</t>
  </si>
  <si>
    <t>11 5290-2998</t>
  </si>
  <si>
    <t>administracion@faipsa.com</t>
  </si>
  <si>
    <t>11 5290-2968</t>
  </si>
  <si>
    <t>https://www.metodogps.com.ar/gps/</t>
  </si>
  <si>
    <t>GRUPO SAENZ PENA S.R.L.</t>
  </si>
  <si>
    <t>fareemprendimientos@gmail.com</t>
  </si>
  <si>
    <t>info@damsa.com.ar</t>
  </si>
  <si>
    <t>GRUPO SIPROCSI S.R.L.</t>
  </si>
  <si>
    <t>11 2058-3596</t>
  </si>
  <si>
    <t>mamiamberg@hotmail.com</t>
  </si>
  <si>
    <t>https://www.siprocsi.com.ar/</t>
  </si>
  <si>
    <t>info@fatansa.com.ar</t>
  </si>
  <si>
    <t>Fabricacion de aberturas de aluminio y pvc, pieles de vidrio también</t>
  </si>
  <si>
    <t>Aberturas</t>
  </si>
  <si>
    <t>11 4758-5111</t>
  </si>
  <si>
    <t>https://www.instagram.com/aberturasgrupototal/?hl=es</t>
  </si>
  <si>
    <t>mikriz@live.com.ar</t>
  </si>
  <si>
    <t>GRUPO VILUM S.R.L.</t>
  </si>
  <si>
    <t>4647-3588</t>
  </si>
  <si>
    <t>https://www.vilum.com.ar/</t>
  </si>
  <si>
    <t>consultas@fcisa.com.ar</t>
  </si>
  <si>
    <t>GRUPO ZERO S.A.</t>
  </si>
  <si>
    <t>4712-6858</t>
  </si>
  <si>
    <t>4859-6873</t>
  </si>
  <si>
    <t>4712-6558</t>
  </si>
  <si>
    <t>administracion@fdm-srl.com.ar</t>
  </si>
  <si>
    <t>3460/3469</t>
  </si>
  <si>
    <t>Etiquetas, fabricación de insumos</t>
  </si>
  <si>
    <t>Hector A. Torres (Pte.) | Daniel Puente (Coord. Negocios)</t>
  </si>
  <si>
    <t xml:space="preserve">Norberto Torres </t>
  </si>
  <si>
    <t>11 3688-1098</t>
  </si>
  <si>
    <t>11 2263-3857 (Matias Jaime)</t>
  </si>
  <si>
    <t>ventas@fepublicidad.com.ar</t>
  </si>
  <si>
    <t>11 6780-3278 (Nadia Torres, nadia@gtcribbon.com)</t>
  </si>
  <si>
    <t>15 5487-2499 (Ivana del Rio) | 15 2251-4952 (Silvina Mancino)</t>
  </si>
  <si>
    <t>https://gtcribbon.com/</t>
  </si>
  <si>
    <t>GUARNITAL S.R.L.</t>
  </si>
  <si>
    <t>federico.d@femalux.com</t>
  </si>
  <si>
    <t>4653-1123</t>
  </si>
  <si>
    <t>4488-7767</t>
  </si>
  <si>
    <t>https://www.guarnitalsrl.com/</t>
  </si>
  <si>
    <t>golobic80@hotmail.com</t>
  </si>
  <si>
    <t>GUAYULE S.R.L.</t>
  </si>
  <si>
    <t>4653-4427</t>
  </si>
  <si>
    <t>psarradell@hotmail.com</t>
  </si>
  <si>
    <t>GUERRA JAVIER ALFREDO</t>
  </si>
  <si>
    <t>Santiago del Estero</t>
  </si>
  <si>
    <t>Fabricación de carteles, señales e indicadores -eléctricos o no- (Industria manufacturera N.C.P.)</t>
  </si>
  <si>
    <t>4506-1918</t>
  </si>
  <si>
    <t>GUIDOLIN LUIS ANGEL</t>
  </si>
  <si>
    <t>piletaspileton@gmail.com</t>
  </si>
  <si>
    <t>5197-0566</t>
  </si>
  <si>
    <t>GUTIERREZ EDGARDO</t>
  </si>
  <si>
    <t>info@fibraltex.com.ar</t>
  </si>
  <si>
    <t>5108-9953</t>
  </si>
  <si>
    <t>H D TAKSON S.R.L.</t>
  </si>
  <si>
    <t>christian_cencherle@yahoo.com.ar</t>
  </si>
  <si>
    <t>La Paz</t>
  </si>
  <si>
    <t>Fabricación de Aparatos y Suministros Eléctricos no clasificados en otra parte</t>
  </si>
  <si>
    <t>11 4653-5700</t>
  </si>
  <si>
    <t> info@fiestissima.com.ar </t>
  </si>
  <si>
    <t>Fabricación de carton ondulado y envases de carton</t>
  </si>
  <si>
    <t xml:space="preserve">Hernan Nimeth </t>
  </si>
  <si>
    <t xml:space="preserve">11 6179 9017 </t>
  </si>
  <si>
    <t>4759-6006</t>
  </si>
  <si>
    <t>https://www.hkoch.com.ar/</t>
  </si>
  <si>
    <t>fijacionesimel@gmail.com</t>
  </si>
  <si>
    <t>H20 FILTRACIONES S.R.L.</t>
  </si>
  <si>
    <t>info@filtros-metalicos.com.ar</t>
  </si>
  <si>
    <t>4759-6413</t>
  </si>
  <si>
    <t>h2ofiltraciones.com.ar</t>
  </si>
  <si>
    <t>HACZEK TEODORO MIGUEL</t>
  </si>
  <si>
    <t>sierras para carpintería</t>
  </si>
  <si>
    <t>info@flejie.com.ar</t>
  </si>
  <si>
    <t>HAN COLOR</t>
  </si>
  <si>
    <t>Fabricación de productos capilares, orienado para los profesionales del peinado</t>
  </si>
  <si>
    <t>Shampoo, enjuages, coloracion, etc</t>
  </si>
  <si>
    <t>ventas@flexelo.com</t>
  </si>
  <si>
    <t>4653-7211/5042</t>
  </si>
  <si>
    <t>https://hancolor.com.ar/</t>
  </si>
  <si>
    <t>HARD CORE S.A.</t>
  </si>
  <si>
    <t>info@flexico.com.ar</t>
  </si>
  <si>
    <t>Fabricación de Envases de Cartón</t>
  </si>
  <si>
    <t>4978-1211</t>
  </si>
  <si>
    <t>flexin@flexin.com.ar</t>
  </si>
  <si>
    <t>Aristoteles</t>
  </si>
  <si>
    <t>Elaboración de Jugos Naturales y Sus Concentrados, de Frutas, Hortalizas y Legumbres</t>
  </si>
  <si>
    <t>Jugos y mermeladas</t>
  </si>
  <si>
    <t>Luis alfredo carballo</t>
  </si>
  <si>
    <t>11 3958-6529</t>
  </si>
  <si>
    <t>https://jmdistribuidora.com/product-category/productos-jberries/</t>
  </si>
  <si>
    <t>flexitec@flexitec.com.ar</t>
  </si>
  <si>
    <t>HASHIRA S.R.L.</t>
  </si>
  <si>
    <t>rodrigo.saez@flexo-sa.com.ar</t>
  </si>
  <si>
    <t>Cesar Sosa</t>
  </si>
  <si>
    <t>4751 2434</t>
  </si>
  <si>
    <t>11 4073-7310</t>
  </si>
  <si>
    <t>https://hashirasrl.com.ar/ / No tiene</t>
  </si>
  <si>
    <t>HEDIAR S.R.L.</t>
  </si>
  <si>
    <t>pinchesdeseguridad@hotmail.com.ar</t>
  </si>
  <si>
    <t>Guatemala</t>
  </si>
  <si>
    <t>4769-7455</t>
  </si>
  <si>
    <t>https://www.hediar.com.ar/</t>
  </si>
  <si>
    <t>info@grupoforestal.com</t>
  </si>
  <si>
    <t>HELIODINO S.A.I.C.</t>
  </si>
  <si>
    <t>administracion@pinturasfrall.com.ar</t>
  </si>
  <si>
    <t>4750-0360</t>
  </si>
  <si>
    <t>www.heliodino.com.ar</t>
  </si>
  <si>
    <t>contaduria@frare.com.ar</t>
  </si>
  <si>
    <t>Nuria Méndez</t>
  </si>
  <si>
    <t>11 5579-0281</t>
  </si>
  <si>
    <t>4137-6900</t>
  </si>
  <si>
    <t>herbron.com.ar</t>
  </si>
  <si>
    <t>juleprat@hotmail.com</t>
  </si>
  <si>
    <t>Cerraduras</t>
  </si>
  <si>
    <t>Nuria Maria Mendez</t>
  </si>
  <si>
    <t>11 3142-6748</t>
  </si>
  <si>
    <t>0810 - 220 6900</t>
  </si>
  <si>
    <t>https://www.herbron.com.ar/</t>
  </si>
  <si>
    <t>administracion@frare.com.ar</t>
  </si>
  <si>
    <t>HERIC SOC RESP L.D.A.</t>
  </si>
  <si>
    <t>4653-0532</t>
  </si>
  <si>
    <t>ventas@frenosnacionales.com.ar</t>
  </si>
  <si>
    <t>HERMEPLAS S.A.</t>
  </si>
  <si>
    <t>Confeccionadoras, selladoras</t>
  </si>
  <si>
    <t>4657-2372</t>
  </si>
  <si>
    <t>frigorificoatahualpa@gmail.com</t>
  </si>
  <si>
    <t>4653-5805</t>
  </si>
  <si>
    <t>http://hermeplas.com.ar/index.html</t>
  </si>
  <si>
    <t>HERRACER S.R.L.</t>
  </si>
  <si>
    <t>Socrates</t>
  </si>
  <si>
    <t>frigorificopocker@hotmail.com</t>
  </si>
  <si>
    <t>4653-0162</t>
  </si>
  <si>
    <t>HERRAJES SAN CARLOS S.R.L.</t>
  </si>
  <si>
    <t>info@frigorificosarria.com</t>
  </si>
  <si>
    <t>4716-4229/1871</t>
  </si>
  <si>
    <t>4750-2210</t>
  </si>
  <si>
    <t>4759-1128</t>
  </si>
  <si>
    <t>HERRAMIENTAS A. TORIANO S.R.L.</t>
  </si>
  <si>
    <t>kinderempresa@gmail.com</t>
  </si>
  <si>
    <t>4750-9654</t>
  </si>
  <si>
    <t xml:space="preserve"> 5422-1227</t>
  </si>
  <si>
    <t>https://www.herramientastoriano.com.ar/web/</t>
  </si>
  <si>
    <t>info@fundicionlazzarini.com.ar</t>
  </si>
  <si>
    <t>HERRAMIENTAS NEUMATICAS HERCULES S.A.</t>
  </si>
  <si>
    <t>mail@costaluminio.com.ar</t>
  </si>
  <si>
    <t>4750-0889</t>
  </si>
  <si>
    <t>4361-9196</t>
  </si>
  <si>
    <t>info@fundimet.com.ar</t>
  </si>
  <si>
    <t>Herreria de obra y en gral</t>
  </si>
  <si>
    <t>Daniel Torres</t>
  </si>
  <si>
    <t>11 6274-2400</t>
  </si>
  <si>
    <t>6385-0551</t>
  </si>
  <si>
    <t>15 6274-2400</t>
  </si>
  <si>
    <t>fta@futurotrading.com</t>
  </si>
  <si>
    <t>http://www.herrerialaartistica.com.ar/</t>
  </si>
  <si>
    <t>HIDRAULICA ARGENFLEX S.A.</t>
  </si>
  <si>
    <t>Calle Nº 109</t>
  </si>
  <si>
    <t>jmacaya@fxinformatica.com</t>
  </si>
  <si>
    <t>11 4713-1344</t>
  </si>
  <si>
    <t>https://argenflexsa.com.ar/contacto/</t>
  </si>
  <si>
    <t>luishmercado2@hotmail.com</t>
  </si>
  <si>
    <t>HIDRAULICA BETO S.R.L.</t>
  </si>
  <si>
    <t>Mantenimiento y reparación del motor N.C.P.; mecánica integral (Incluye auxilio y servicios de grúa para automotores)</t>
  </si>
  <si>
    <t>4769-0012</t>
  </si>
  <si>
    <t>creacionesirene@yahoo.com.ar</t>
  </si>
  <si>
    <t>Fabrica de hidrolavadoras de agua fria y agua caliente, hidrolavadoras industriales y comerciales de agua fria y caliente, aspiradoras y lustradoras, barredoras.</t>
  </si>
  <si>
    <t>Gerónimo Pereiro</t>
  </si>
  <si>
    <t>11 5101-2472</t>
  </si>
  <si>
    <t>galcometalsrl@arnetbiz.com.ar</t>
  </si>
  <si>
    <t>11 6041-2474</t>
  </si>
  <si>
    <t>4734-2656</t>
  </si>
  <si>
    <t>www.hidrolimpsrl.com.ar</t>
  </si>
  <si>
    <t>galelive@fibertel.com.ar</t>
  </si>
  <si>
    <t>Alicia Lopez</t>
  </si>
  <si>
    <t>4328-2551</t>
  </si>
  <si>
    <t>4734-0400</t>
  </si>
  <si>
    <t>www.hidrotecnica.com.ar</t>
  </si>
  <si>
    <t>HIDROWAR S.R.L.</t>
  </si>
  <si>
    <t>Dr. Schweitzer</t>
  </si>
  <si>
    <t>abel.valdes@galileoar.com/marcelo.cammi@galileoar.com</t>
  </si>
  <si>
    <t>11 4653-9097</t>
  </si>
  <si>
    <t>4488-8847</t>
  </si>
  <si>
    <t>4653-9097</t>
  </si>
  <si>
    <t>11 4488-8847</t>
  </si>
  <si>
    <t>HIELOS AITANA S.A.</t>
  </si>
  <si>
    <t>ariel.farriol@hotmail.com</t>
  </si>
  <si>
    <t>Elaboración de hielo</t>
  </si>
  <si>
    <t>4758-7346</t>
  </si>
  <si>
    <t>galvanopeltrebol@fibercorp.com.ar</t>
  </si>
  <si>
    <t>HIERROTRAFIL S.A.I.C.</t>
  </si>
  <si>
    <t>Londres</t>
  </si>
  <si>
    <t>11  4769-0769</t>
  </si>
  <si>
    <t>galvanoplastia-game@hotmail.com</t>
  </si>
  <si>
    <t>HIGA BOSSICH Y GUTIERREZ SOC. H. (SOPLADORAS ARGENTINAS)</t>
  </si>
  <si>
    <t>Sopladoras</t>
  </si>
  <si>
    <t>gzincad@yahoo.com.ar</t>
  </si>
  <si>
    <t>4750-7954</t>
  </si>
  <si>
    <t>4750-2014</t>
  </si>
  <si>
    <t>4750-1088</t>
  </si>
  <si>
    <t>HIJOS DE CONDINO Y PRADO S.A.</t>
  </si>
  <si>
    <t>arquitectura@galvylam.com</t>
  </si>
  <si>
    <t>HIJOS DE OMAR COBIAN S.A.</t>
  </si>
  <si>
    <t>gamuza.hogar@gmail.com</t>
  </si>
  <si>
    <t>Salas, ruletas, tragamonedas</t>
  </si>
  <si>
    <t>11 5144-3238</t>
  </si>
  <si>
    <t>4648-2918</t>
  </si>
  <si>
    <t>https://hoc-sa.com/hijos-de-omar-cobian/#</t>
  </si>
  <si>
    <t>HILADOS SUDAMERICANOS S.R.L.</t>
  </si>
  <si>
    <t>federicobgarcia@hotmail.com</t>
  </si>
  <si>
    <t>Fabricación de Hilados Textiles excepto de Lana y de Algodón</t>
  </si>
  <si>
    <t>4750-7254</t>
  </si>
  <si>
    <t>jcolombo@arecogas.com.ar</t>
  </si>
  <si>
    <t>HILADOS Y TEJIDOS INDUSTRIALES S.R.L.</t>
  </si>
  <si>
    <t>Chaco</t>
  </si>
  <si>
    <t>Fabricación de hilados de algodón y sus mezclas</t>
  </si>
  <si>
    <t>11 3977-7664</t>
  </si>
  <si>
    <t>dfds@destefano.com.ar</t>
  </si>
  <si>
    <t>https://www.hiladosindustriales.com/home</t>
  </si>
  <si>
    <t>HILANDERIAS M G S.A.</t>
  </si>
  <si>
    <t>info@astillerosviking.com.</t>
  </si>
  <si>
    <t>Fabricación de hilados textiles excepto de lana y de algodón</t>
  </si>
  <si>
    <t>11 4657-2087</t>
  </si>
  <si>
    <t>grusso@grusso.com.ar</t>
  </si>
  <si>
    <t>HISTO S.A.</t>
  </si>
  <si>
    <t>Fabricación de equipo médico y quirúrgico y de aparatos ortopédicos N.C.P., (Incluye prótesis, aparatos ortopédicos, materiales para fracturas, etc.)</t>
  </si>
  <si>
    <t>4712-5941</t>
  </si>
  <si>
    <t>4471-2594</t>
  </si>
  <si>
    <t>https://www.histo.com.ar/</t>
  </si>
  <si>
    <t>perezlattanzipropiedades@gmail.com</t>
  </si>
  <si>
    <t>HOMCON S.R.L.</t>
  </si>
  <si>
    <t>Victor Hugo</t>
  </si>
  <si>
    <t>Construcción, reforma y reparación de edificios residenciales</t>
  </si>
  <si>
    <t>info@globalamerica.com.ar</t>
  </si>
  <si>
    <t>11 2514-0222</t>
  </si>
  <si>
    <t>5355-0926</t>
  </si>
  <si>
    <t>https://www.homcon.com.ar/</t>
  </si>
  <si>
    <t>HUEGAS S.A.</t>
  </si>
  <si>
    <t>info@golocan.com.ar</t>
  </si>
  <si>
    <t>(299) 441-3922</t>
  </si>
  <si>
    <t>(299) 441-3496</t>
  </si>
  <si>
    <t>HUMEDAD DE CIMIENTOS S.A.</t>
  </si>
  <si>
    <t>gomeztorralba2@hotmail.com</t>
  </si>
  <si>
    <t>4657-2453</t>
  </si>
  <si>
    <t>4657-2407</t>
  </si>
  <si>
    <t>4488-1921</t>
  </si>
  <si>
    <t>https://www.humedad-cimientos.com.ar/</t>
  </si>
  <si>
    <t>solofierrito@gmail.com</t>
  </si>
  <si>
    <t>HYAF (HIERRO Y ACERO FUNDIDO) S.A.</t>
  </si>
  <si>
    <t>Gral. Juan Martín de Pueyrredón</t>
  </si>
  <si>
    <t>ventas@indupint.com.ar</t>
  </si>
  <si>
    <t>Fundicion de partes y piezas en hierro gris y nodular</t>
  </si>
  <si>
    <t>Raul Belardo</t>
  </si>
  <si>
    <t>4653-4226</t>
  </si>
  <si>
    <t>4653-0686</t>
  </si>
  <si>
    <t>https://www.hyaf.com.ar/</t>
  </si>
  <si>
    <t>sandra@uniongood.com.ar</t>
  </si>
  <si>
    <t>Elaboración industrial de productos de panadería, excepto galletitas y bizcochos. Servicios industriales para la elaboración de alimentos y bebidas</t>
  </si>
  <si>
    <t>Nestor Villalva</t>
  </si>
  <si>
    <t>11 6945-9773</t>
  </si>
  <si>
    <t>Andres Vargas (Gte. compras)</t>
  </si>
  <si>
    <t>15 6375-1314</t>
  </si>
  <si>
    <t>4488-5623</t>
  </si>
  <si>
    <t>4488-5644</t>
  </si>
  <si>
    <t>4488-3834</t>
  </si>
  <si>
    <t>gpoalbatros@hotmail.com</t>
  </si>
  <si>
    <t>https://www.panlaperla.com.ar/</t>
  </si>
  <si>
    <t>Manuel Estrada</t>
  </si>
  <si>
    <t>administracion@graficaargentinasrl.com.ar</t>
  </si>
  <si>
    <t>Fabricación y reparación balanzas</t>
  </si>
  <si>
    <t>Jorge Sapir</t>
  </si>
  <si>
    <t>4757-1839</t>
  </si>
  <si>
    <t>11 4757-1839</t>
  </si>
  <si>
    <t>http://www.ispisa.com.ar/contacto.php</t>
  </si>
  <si>
    <t>grafica.austral@gmail.com</t>
  </si>
  <si>
    <t>IAMA S.A. (ACEITUNAS LOTAURO)</t>
  </si>
  <si>
    <t>4961-0059</t>
  </si>
  <si>
    <t>4757-1665/5613</t>
  </si>
  <si>
    <t>grafica.hmasa@gmail.com</t>
  </si>
  <si>
    <t>IBEA S.R.L.</t>
  </si>
  <si>
    <t>graficamente1926@yahoo.com.ar</t>
  </si>
  <si>
    <t>4653-8712</t>
  </si>
  <si>
    <t>Honduras</t>
  </si>
  <si>
    <t>ventas@graficapel.com.ar</t>
  </si>
  <si>
    <t>Fabricación de calzado de materiales N.C.P, excepto calzado deportivo y ortopédico</t>
  </si>
  <si>
    <t>Oscar Rigazio</t>
  </si>
  <si>
    <t>11 4739-2900</t>
  </si>
  <si>
    <t>Marcos O. Rigazio (Socio gte.)</t>
  </si>
  <si>
    <t>11 4732-0574</t>
  </si>
  <si>
    <t>4739-4300</t>
  </si>
  <si>
    <t>11 4750-4243</t>
  </si>
  <si>
    <t>https://rigazio.com.ar/</t>
  </si>
  <si>
    <t>ventas@gran-marc.com.ar</t>
  </si>
  <si>
    <t>IDEAL SUR S.R.L.</t>
  </si>
  <si>
    <t>gravazsa@gravaz.com</t>
  </si>
  <si>
    <t>11 4238-3558</t>
  </si>
  <si>
    <t>11 4233-8096</t>
  </si>
  <si>
    <t>11 4233-8095 | 11 4233-4102</t>
  </si>
  <si>
    <t>info@opyr.com.ar</t>
  </si>
  <si>
    <t>Ruben Berazain</t>
  </si>
  <si>
    <t>11 6213-3202</t>
  </si>
  <si>
    <t>11 2387-9577</t>
  </si>
  <si>
    <t>11 7724-0811</t>
  </si>
  <si>
    <t>amoblamientosgrosso@gmail.com</t>
  </si>
  <si>
    <t>https://www.idg.com.ar/</t>
  </si>
  <si>
    <t>administracion@fundicionalear.com.ar</t>
  </si>
  <si>
    <t>IGNAP S.A.</t>
  </si>
  <si>
    <t>Mecanizado CNC de alta precisión</t>
  </si>
  <si>
    <t>Sebastian Ignacio Berardo</t>
  </si>
  <si>
    <t>11 4657-3817</t>
  </si>
  <si>
    <t>grupojarda@arnet.com.ar</t>
  </si>
  <si>
    <t>https://ignap.com.ar/</t>
  </si>
  <si>
    <t>IKON SOLUTIONS S.A.</t>
  </si>
  <si>
    <t>administracion@vilum.com.ar</t>
  </si>
  <si>
    <t>Fabricación y venta de insumos de impresión de alta calidad</t>
  </si>
  <si>
    <t>Monica Mossi</t>
  </si>
  <si>
    <t>https://www.ikonsolutions.com/</t>
  </si>
  <si>
    <t>grupozero.arg@gmail.com</t>
  </si>
  <si>
    <t>IL FORGIAIO S.R.L. (PENNISI FABRICANTES)</t>
  </si>
  <si>
    <t>abigail@gtcribbon.com</t>
  </si>
  <si>
    <t>Fabricación de muebles y partes de muebles, principalmente de otros materiales</t>
  </si>
  <si>
    <t>Fabricante de muebles de hogar</t>
  </si>
  <si>
    <t>11 2291-9510</t>
  </si>
  <si>
    <t>4734-9090</t>
  </si>
  <si>
    <t>4759-3474/2714</t>
  </si>
  <si>
    <t>https://ayelenporetti.mercadoshops.com.ar/</t>
  </si>
  <si>
    <t>guarnital@ciudad.com.ar</t>
  </si>
  <si>
    <t>Agostina Malvitano</t>
  </si>
  <si>
    <t>15 5485-0680</t>
  </si>
  <si>
    <t>info@hkoch.com.ar</t>
  </si>
  <si>
    <t>Leonardo Spanu</t>
  </si>
  <si>
    <t>11 6998-3091</t>
  </si>
  <si>
    <t>4488-7679</t>
  </si>
  <si>
    <t>4716-2111</t>
  </si>
  <si>
    <t>http://iluminarte.com.ar/</t>
  </si>
  <si>
    <t>info@h2ofiltraciones.com.ar</t>
  </si>
  <si>
    <t>Lucas Herrero</t>
  </si>
  <si>
    <t>11 2371-5829</t>
  </si>
  <si>
    <t>11 4794-7333</t>
  </si>
  <si>
    <t xml:space="preserve"> 4716-2037</t>
  </si>
  <si>
    <t>https://www.ilunor.com.ar/</t>
  </si>
  <si>
    <t>miguelhaczek@hotmail.com</t>
  </si>
  <si>
    <t>Pje. Maria Alberta</t>
  </si>
  <si>
    <t>Fabricación de Máquinas para la industria madedera. Máquinas especiales.</t>
  </si>
  <si>
    <t>Fernando Capdevila</t>
  </si>
  <si>
    <t>administracion@hancolor.com.ar</t>
  </si>
  <si>
    <t>11 4653-5716</t>
  </si>
  <si>
    <t>11 3503-6979</t>
  </si>
  <si>
    <t>11 3503-6468</t>
  </si>
  <si>
    <t>http://www.capdevila.com.ar</t>
  </si>
  <si>
    <t>IMAD S.R.L. (CAPDEVILA FERNANDO ENRIQUE)</t>
  </si>
  <si>
    <t>María Alberta</t>
  </si>
  <si>
    <t>info@hashirasrl.com.ar</t>
  </si>
  <si>
    <t>BK</t>
  </si>
  <si>
    <t>Máquinas para industria maderera</t>
  </si>
  <si>
    <t>4653-5716</t>
  </si>
  <si>
    <t>https://capdevila.com.ar/</t>
  </si>
  <si>
    <t>hediar84@yahoo.com.ar</t>
  </si>
  <si>
    <t>IMAGEN PRODUCCIONES S.A.</t>
  </si>
  <si>
    <t>2834 Piso:PB Dpto:0</t>
  </si>
  <si>
    <t>info@heliodino.com</t>
  </si>
  <si>
    <t>4050-6121</t>
  </si>
  <si>
    <t>https://www.facebook.com/imagenproduccionessa/?locale=es_LA</t>
  </si>
  <si>
    <t>herbron@herbron.com.ar</t>
  </si>
  <si>
    <t xml:space="preserve">IMMH SA </t>
  </si>
  <si>
    <t>info@hermeplas.com.ar</t>
  </si>
  <si>
    <t>11 3153-8054</t>
  </si>
  <si>
    <t>Gabriel Alejandro Tomás Monopoli</t>
  </si>
  <si>
    <t>4716-6815</t>
  </si>
  <si>
    <t>4716-6818</t>
  </si>
  <si>
    <t>5197-0613</t>
  </si>
  <si>
    <t>IMPREL S.R.L.</t>
  </si>
  <si>
    <t>Cajas de cartón</t>
  </si>
  <si>
    <t>ventas@herramientastoriano.com.ar</t>
  </si>
  <si>
    <t>6560-7197</t>
  </si>
  <si>
    <t>4750-4777</t>
  </si>
  <si>
    <t>4716-4213</t>
  </si>
  <si>
    <t>11 3213-8471</t>
  </si>
  <si>
    <t>http://www.imprelsrl.com.ar/</t>
  </si>
  <si>
    <t>Julio Perdiguero</t>
  </si>
  <si>
    <t>4750-8519</t>
  </si>
  <si>
    <t>4734-5620</t>
  </si>
  <si>
    <t>hidraulica@argenflexsa.com.ar</t>
  </si>
  <si>
    <t>INDALFAR S.R.L. (ELABORADO S.A. 30714034541)</t>
  </si>
  <si>
    <t>barbijos de friselina doble capa</t>
  </si>
  <si>
    <t>Jonathan Grucki</t>
  </si>
  <si>
    <t>11 6722-6777</t>
  </si>
  <si>
    <t>4712-6444</t>
  </si>
  <si>
    <t>info@hidrolimpsrl.com.ar</t>
  </si>
  <si>
    <t>4757-4842</t>
  </si>
  <si>
    <t>https://fabricadetelas.wixsite.com/indalfar</t>
  </si>
  <si>
    <t>INDARPO S.R.L.</t>
  </si>
  <si>
    <t>administracion@hidrotecnica.com.ar</t>
  </si>
  <si>
    <t>Fabricación de materias plásticas en formas primarias N.C.P.</t>
  </si>
  <si>
    <t>Fabricación de productos de TEFLON® Y FLUON (PTFE) y recubrimientos con materiales antiadherentes (TEFLON®, FLUON, HOSTAFLON)</t>
  </si>
  <si>
    <t>11 3422-8571</t>
  </si>
  <si>
    <t>4734-7298</t>
  </si>
  <si>
    <t>4734-9559</t>
  </si>
  <si>
    <t>https://indarpo.com/</t>
  </si>
  <si>
    <t>info@hoc-sa.com.ar</t>
  </si>
  <si>
    <t>Laura Ravetti (Socia Gerente)</t>
  </si>
  <si>
    <t>11 6639-1776</t>
  </si>
  <si>
    <t>info@hiladosindustriales.com</t>
  </si>
  <si>
    <t>4750-9318</t>
  </si>
  <si>
    <t>4734-9342</t>
  </si>
  <si>
    <t>11 3759-8889</t>
  </si>
  <si>
    <t>https://indrasrl.com.ar/</t>
  </si>
  <si>
    <t>INDRA S.R.L. (INDRA MATRICES S.R.L.)</t>
  </si>
  <si>
    <t>info@histo.com.ar</t>
  </si>
  <si>
    <t>Matriceria y estampado de piezas metalicas</t>
  </si>
  <si>
    <t>Laura Ravetti</t>
  </si>
  <si>
    <t>https://www.indrasrl.com.ar/</t>
  </si>
  <si>
    <t>info@homcon.com.ar</t>
  </si>
  <si>
    <t>INDUAGUA S.A.</t>
  </si>
  <si>
    <t>Primera Junta</t>
  </si>
  <si>
    <t>Fabricación de sodas</t>
  </si>
  <si>
    <t>Soda</t>
  </si>
  <si>
    <t>Alejandra</t>
  </si>
  <si>
    <t>11345-1864</t>
  </si>
  <si>
    <t>4769-0971</t>
  </si>
  <si>
    <t>informes@humedad-cimientos.com.ar</t>
  </si>
  <si>
    <t>INDUMENTARIAS TIBECAR S.A.</t>
  </si>
  <si>
    <t>4750-6515</t>
  </si>
  <si>
    <t>info@hyaf.com.ar</t>
  </si>
  <si>
    <t>INDUPLAR S.R.L.</t>
  </si>
  <si>
    <t>José Camilo Crotto</t>
  </si>
  <si>
    <t>4751-8766</t>
  </si>
  <si>
    <t>compras_iadasa@hotmail.com</t>
  </si>
  <si>
    <t>INDUPLASTIC S.A.I.C.</t>
  </si>
  <si>
    <t>Burletes, caños, mangueras, perfiles, tubos, varillas</t>
  </si>
  <si>
    <t>4488-8955 | 4631-8881</t>
  </si>
  <si>
    <t>servicios@ispisa.com.ar</t>
  </si>
  <si>
    <t>15 4415-0673</t>
  </si>
  <si>
    <t>4712-6155</t>
  </si>
  <si>
    <t>http://induplastic.com.ar/</t>
  </si>
  <si>
    <t>Reparación y mantenimiento de máquinas y equipo N.C.P.</t>
  </si>
  <si>
    <t>Hugo Carlos Rodriguez</t>
  </si>
  <si>
    <t>11 3180-3963</t>
  </si>
  <si>
    <t>ventas@idg.com.ar</t>
  </si>
  <si>
    <t>Germán Flores</t>
  </si>
  <si>
    <t>15-4171-5746</t>
  </si>
  <si>
    <t>Analía</t>
  </si>
  <si>
    <t>4759-4591</t>
  </si>
  <si>
    <t>2198-6353</t>
  </si>
  <si>
    <t>4734-6862 | 4759-7948</t>
  </si>
  <si>
    <t>https://www.indusetglobal.com/</t>
  </si>
  <si>
    <t>INDUSGRAF S.A.</t>
  </si>
  <si>
    <t>info@ikonsolutions.com</t>
  </si>
  <si>
    <t>11 4751-3075</t>
  </si>
  <si>
    <t>4751-5021</t>
  </si>
  <si>
    <t>4843-0638</t>
  </si>
  <si>
    <t>https://indusgraf.com.ar/</t>
  </si>
  <si>
    <t>marcelo@iluminarte.com.ar</t>
  </si>
  <si>
    <t>INDUSTERMIC S.A.</t>
  </si>
  <si>
    <t>tratamiento y revestimiento de metales y tratamientos de metales en gral</t>
  </si>
  <si>
    <t>ilunor@live.com</t>
  </si>
  <si>
    <t>5654-7955</t>
  </si>
  <si>
    <t>2332-2128</t>
  </si>
  <si>
    <t>11 5654-7955</t>
  </si>
  <si>
    <t>https://industermic.com.ar/</t>
  </si>
  <si>
    <t>INDUSTRIA EN CORTE Y PUNZONADO (ICP) S.A.</t>
  </si>
  <si>
    <t>info@capdevila.com.ar</t>
  </si>
  <si>
    <t>4848-9057</t>
  </si>
  <si>
    <t>https://www.icpsa.com.ar/</t>
  </si>
  <si>
    <t>imad.maquinas@gmail.com</t>
  </si>
  <si>
    <t>INDUSTRIA M.T. S.R.L.</t>
  </si>
  <si>
    <t>ventas@imprelsrl.com.ar</t>
  </si>
  <si>
    <t>4842-5988</t>
  </si>
  <si>
    <t>http://www.industriamt.com.ar/contacto.php</t>
  </si>
  <si>
    <t>info@ibuenayre.com.ar</t>
  </si>
  <si>
    <t>INDUSTRIA METALURGICA GALAS S.R.L.</t>
  </si>
  <si>
    <t>4750-8026</t>
  </si>
  <si>
    <t>indalfar@gmail.com</t>
  </si>
  <si>
    <t>Remolques y semirremolques con estructura hidraulica. fabricación de equipos roll-off a cable y articulados, cajas, repuestos y accesorios para equipos de higiene urbana. asesoram.</t>
  </si>
  <si>
    <t>contacto@indarpo.com.ar</t>
  </si>
  <si>
    <t>Roberto Vetere</t>
  </si>
  <si>
    <t>11 4044-2530</t>
  </si>
  <si>
    <t>Sonia Escuder</t>
  </si>
  <si>
    <t>11 5817-1009</t>
  </si>
  <si>
    <t>4506-2448</t>
  </si>
  <si>
    <t>4739-3333</t>
  </si>
  <si>
    <t>www.metalurgica-lh.com.ar</t>
  </si>
  <si>
    <t>INDUSTRIA METALURGICA MIDA S.R.L.</t>
  </si>
  <si>
    <t>indramatricessrl@gmail.com</t>
  </si>
  <si>
    <t>11 4750-4662</t>
  </si>
  <si>
    <t>alecarsetti@hotmail.com</t>
  </si>
  <si>
    <t>INDUSTRIA PUBLICITARIA ITAL ART S.A.</t>
  </si>
  <si>
    <t>Reparación y mantenimiento de productos de metal, excepto maquinaria y equipo</t>
  </si>
  <si>
    <t>Ricardo Brengi</t>
  </si>
  <si>
    <t>11 2640-8475</t>
  </si>
  <si>
    <t>11 4769-2153</t>
  </si>
  <si>
    <t>11 4769-2839</t>
  </si>
  <si>
    <t>11 4739-4589</t>
  </si>
  <si>
    <t>soledad@indusetglobal.com</t>
  </si>
  <si>
    <t>http://www.italart-sa.com.ar/</t>
  </si>
  <si>
    <t>INDUSTRIA SEGHIMET S.A.</t>
  </si>
  <si>
    <t>admi@indusgraf.com.ar</t>
  </si>
  <si>
    <t>11 4854-0660</t>
  </si>
  <si>
    <t>4856-6135</t>
  </si>
  <si>
    <t>4857-3729</t>
  </si>
  <si>
    <t>https://www.seghimetsa.com.ar/contactos.html</t>
  </si>
  <si>
    <t>administracion@industermic.com.ar</t>
  </si>
  <si>
    <t>INDUSTRIAS ALBANO S.R.L.</t>
  </si>
  <si>
    <t>icpsa@icpsa.com.ar</t>
  </si>
  <si>
    <t>Muebles escolares</t>
  </si>
  <si>
    <t>11 3906-2365</t>
  </si>
  <si>
    <t>4716-0134</t>
  </si>
  <si>
    <t>4750-5494</t>
  </si>
  <si>
    <t>https://industriasalbano.com/</t>
  </si>
  <si>
    <t>pedidosweb@industriamt.com.ar</t>
  </si>
  <si>
    <t>imgalas@hotmail.com</t>
  </si>
  <si>
    <t>Claudio</t>
  </si>
  <si>
    <t>11 6000-7794</t>
  </si>
  <si>
    <t>Marcelo Stocco</t>
  </si>
  <si>
    <t>4769-8828</t>
  </si>
  <si>
    <t>4769-8986</t>
  </si>
  <si>
    <t>www.aston.com.ar</t>
  </si>
  <si>
    <t>INDUSTRIAS CAMPORESI S.A.C.I.F.I.</t>
  </si>
  <si>
    <t>info@lhea.com.ar</t>
  </si>
  <si>
    <t>Fabricantes de tornos cnc, automatizados, alimentadores hidráulicos de barra, fresadoras, laminadoras de rosca y maquinas especiales.</t>
  </si>
  <si>
    <t>4750-6892</t>
  </si>
  <si>
    <t>4734-1777</t>
  </si>
  <si>
    <t>https://www.industriascamporesi.com.ar/</t>
  </si>
  <si>
    <t>info@italart-sa.com.ar</t>
  </si>
  <si>
    <t>INDUSTRIAS DEL AUTOMOTOR S.A.</t>
  </si>
  <si>
    <t>11 3679-2598</t>
  </si>
  <si>
    <t>https://www.instagram.com/industriasdelautomotor/?hl=es-la</t>
  </si>
  <si>
    <t>ventas@seghimetsa.com.ar</t>
  </si>
  <si>
    <t>INDUSTRIAS ECI S.R.L.</t>
  </si>
  <si>
    <t>info@industriasalbano.com</t>
  </si>
  <si>
    <t>Sebastian L. de Lorenzo</t>
  </si>
  <si>
    <t>4653-7627</t>
  </si>
  <si>
    <t>www.eciextintores.com</t>
  </si>
  <si>
    <t>aston@aston.com.ar</t>
  </si>
  <si>
    <t xml:space="preserve">Rejillas de desagüe pluvial </t>
  </si>
  <si>
    <t>Nicolás Mariano Moretti</t>
  </si>
  <si>
    <t>11 5365-7691</t>
  </si>
  <si>
    <t>María Laura Moretti</t>
  </si>
  <si>
    <t>11 5701-6686</t>
  </si>
  <si>
    <t>15 5701-6296</t>
  </si>
  <si>
    <t>11 5701-6707</t>
  </si>
  <si>
    <t>https://www.industriasedigma.com.ar/</t>
  </si>
  <si>
    <t>camporesi@industriascamporesi.com.ar</t>
  </si>
  <si>
    <t xml:space="preserve">El Parque </t>
  </si>
  <si>
    <t>industriasdelautomotor@yahoo.com.ar</t>
  </si>
  <si>
    <t>Resortes</t>
  </si>
  <si>
    <t xml:space="preserve">Edgardo Lucio </t>
  </si>
  <si>
    <t>11 6887-3933</t>
  </si>
  <si>
    <t>114405-2607</t>
  </si>
  <si>
    <t>4769-2709/7265</t>
  </si>
  <si>
    <t>https://www.industriaselinec.com/</t>
  </si>
  <si>
    <t>info@eciextintores.com</t>
  </si>
  <si>
    <t>INDUSTRIAS EPTA S.R.L.</t>
  </si>
  <si>
    <t xml:space="preserve">Fabricación de comprensores, grifos y válvulas </t>
  </si>
  <si>
    <t>Rosio Luis Fusetti (Socio gerente)</t>
  </si>
  <si>
    <t>María Angela Fusetti Betz</t>
  </si>
  <si>
    <t>11 6726-0061</t>
  </si>
  <si>
    <t>info@industriasedigma.com.ar</t>
  </si>
  <si>
    <t>11 4769-3213</t>
  </si>
  <si>
    <t>11 6726-0092</t>
  </si>
  <si>
    <t>11 6724-6216</t>
  </si>
  <si>
    <t>https://epta.com.ar/</t>
  </si>
  <si>
    <t>INDUSTRIAS EYRO S.C.</t>
  </si>
  <si>
    <t>epta@epta.com.ar</t>
  </si>
  <si>
    <t>656-6618</t>
  </si>
  <si>
    <t>4488-0779</t>
  </si>
  <si>
    <t>industriaseyro@yahoo.com.ar</t>
  </si>
  <si>
    <t>INDUSTRIAS F.A.C.O.S.A.</t>
  </si>
  <si>
    <t>Fabricación de Autopartes de Caucho excepto Cámaras y Cubiertas</t>
  </si>
  <si>
    <t>comex@sabusiness.com.ar</t>
  </si>
  <si>
    <t>11 4654-1526</t>
  </si>
  <si>
    <t>11 4654-1483</t>
  </si>
  <si>
    <t>INDUSTRIAS FEMAR S.R.L.</t>
  </si>
  <si>
    <t>industriasgh@hotmail.com.ar</t>
  </si>
  <si>
    <t>INDUSTRIAS GR S.R.L.</t>
  </si>
  <si>
    <t>470-1893</t>
  </si>
  <si>
    <t>4550-7559</t>
  </si>
  <si>
    <t>info@industriasgr.com.ar</t>
  </si>
  <si>
    <t>Mirama y Río Negro</t>
  </si>
  <si>
    <t xml:space="preserve">Matanza de ganado bovino </t>
  </si>
  <si>
    <t>Alimenticia - Frigorífico</t>
  </si>
  <si>
    <t>Ignacio Agosti</t>
  </si>
  <si>
    <t>11 6665-4017</t>
  </si>
  <si>
    <t>Ing. Eduardo Lois  </t>
  </si>
  <si>
    <t>11 2216-2061</t>
  </si>
  <si>
    <t>4739-2999</t>
  </si>
  <si>
    <t>11 4662-3182</t>
  </si>
  <si>
    <t>https://www.ifssa.com.ar/</t>
  </si>
  <si>
    <t>sac@industriaskras.com</t>
  </si>
  <si>
    <t>INDUSTRIAS LUZ SRL</t>
  </si>
  <si>
    <t>ad@birot.com</t>
  </si>
  <si>
    <t>INDUSTRIAS MAINER S.R.L.</t>
  </si>
  <si>
    <t xml:space="preserve">Sebastian </t>
  </si>
  <si>
    <t>11 5708-5402</t>
  </si>
  <si>
    <t>Hernan</t>
  </si>
  <si>
    <t>11-3083-6575</t>
  </si>
  <si>
    <t>4843-0947</t>
  </si>
  <si>
    <t>4716-2130</t>
  </si>
  <si>
    <t>Antonio Berutti</t>
  </si>
  <si>
    <t>mainerinox@fibertel.com.ar</t>
  </si>
  <si>
    <t>INDUSTRIAS MENDEZ  E HIJOS S.A.</t>
  </si>
  <si>
    <t>4739-7169</t>
  </si>
  <si>
    <t>4841-5542</t>
  </si>
  <si>
    <t>www.industriasgr.com.ar</t>
  </si>
  <si>
    <t>spc@industriasmendez.com.ar</t>
  </si>
  <si>
    <t>INDUSTRIAS METALURGICAS INTERMEC S.R.L.</t>
  </si>
  <si>
    <t>Fabricación de objetos de marketing, merchandising y señalización</t>
  </si>
  <si>
    <t>Hector Guillermo Cardenas (Director de Ventas)</t>
  </si>
  <si>
    <t>11 6093-6550</t>
  </si>
  <si>
    <t>11 4878-2446</t>
  </si>
  <si>
    <t>info@intermec.com.ar</t>
  </si>
  <si>
    <t>4878-2449</t>
  </si>
  <si>
    <t>INDUSTRIAS METALURGICAS TURBION SACIF</t>
  </si>
  <si>
    <t>Fabricación de maquinas para talleres de rectificación de motores</t>
  </si>
  <si>
    <t>info@turbion.com.ar</t>
  </si>
  <si>
    <t>Eduardo | Gabriel Kjuder</t>
  </si>
  <si>
    <t>6903-3048</t>
  </si>
  <si>
    <t>INDUSTRIAS MILO S.A.</t>
  </si>
  <si>
    <t>Alejandro Klarreich</t>
  </si>
  <si>
    <t>11 6903-3017</t>
  </si>
  <si>
    <t>11 4716-1399</t>
  </si>
  <si>
    <t>11 3149-7803</t>
  </si>
  <si>
    <t>0800-888-2232</t>
  </si>
  <si>
    <t>https://www.industriaskras.com/</t>
  </si>
  <si>
    <t>industriasmilo@gmail.com</t>
  </si>
  <si>
    <t>INDUSTRIAS PLASTICAS POR EXTRUSION S.A.</t>
  </si>
  <si>
    <t>4812-1118</t>
  </si>
  <si>
    <t>4812-0800</t>
  </si>
  <si>
    <t>4311-6783</t>
  </si>
  <si>
    <t>ventas@ipesa.com.ar</t>
  </si>
  <si>
    <t>INDUSTRIAS PLASTICAS RAICES S.A.</t>
  </si>
  <si>
    <t>INDUSTRIAS M&amp;A S.R.L.</t>
  </si>
  <si>
    <t>Rio Pilcomayo</t>
  </si>
  <si>
    <t>info@iprsa.com.ar</t>
  </si>
  <si>
    <t>4739-0990</t>
  </si>
  <si>
    <t>iquisa@iquisa.com.ar</t>
  </si>
  <si>
    <t>INDUSTRIAS ROLLER S.R.L.</t>
  </si>
  <si>
    <t>4734-5591</t>
  </si>
  <si>
    <t>4734-5515/1383</t>
  </si>
  <si>
    <t>industriasroller@hotmail.com.ar</t>
  </si>
  <si>
    <t>INDUSTRIAS SUA S.R.L.</t>
  </si>
  <si>
    <t>11 4296-7424</t>
  </si>
  <si>
    <t>11 4281-8423</t>
  </si>
  <si>
    <t>sua_srl@hotmail.com</t>
  </si>
  <si>
    <t>INDUSTRIAS TODOFLEX S.R.L.</t>
  </si>
  <si>
    <t>ventas@todoflex.com</t>
  </si>
  <si>
    <t>11 6379-8245</t>
  </si>
  <si>
    <t>https://intermec.com.ar/</t>
  </si>
  <si>
    <t>info@tomadoni.com</t>
  </si>
  <si>
    <t>INDUSTRIAS VERNA S.R.L. (INDUSVER)</t>
  </si>
  <si>
    <t>FABRICACION EN INDUSTRIAS BASICAS DE PRODUCTOS DE HIERRO Y ACERO NCP</t>
  </si>
  <si>
    <t>Giuliano Lannuzzi</t>
  </si>
  <si>
    <t>11 4043-4325</t>
  </si>
  <si>
    <t>4757-3666/47500203</t>
  </si>
  <si>
    <t>4750-0203</t>
  </si>
  <si>
    <t>www.turbion.com.ar</t>
  </si>
  <si>
    <t>info@indusver.com.ar</t>
  </si>
  <si>
    <t>INGECOL S.R.L.</t>
  </si>
  <si>
    <t>INDUSTRIAS NOR BUR S.A.</t>
  </si>
  <si>
    <t>info@ingecol.com.ar</t>
  </si>
  <si>
    <t>INGENIERIA TERMO ACUSTICA S. R. L.</t>
  </si>
  <si>
    <t>Guillermo Noriega | Alfredo Burquet | Erik Burquet</t>
  </si>
  <si>
    <t>4759-1802</t>
  </si>
  <si>
    <t>11 3433-8828</t>
  </si>
  <si>
    <t>info@ventanasita.com.ar</t>
  </si>
  <si>
    <t>INIRE S.R.L.</t>
  </si>
  <si>
    <t>11 4469-6800</t>
  </si>
  <si>
    <t>0800 222 SILO (7456)</t>
  </si>
  <si>
    <t>http://www.ipesa.com.ar/es/inicio/</t>
  </si>
  <si>
    <t>administracion@moutex.com.ar</t>
  </si>
  <si>
    <t>INPLACA S.A. (INDUSTRIAS PLASTICAS CASEROS)</t>
  </si>
  <si>
    <t>inplaca@inplaca.com.ar</t>
  </si>
  <si>
    <t>INPRESMA S.R.L. (SEGURIDAD E HIGIENE)</t>
  </si>
  <si>
    <t>perfiles mazisos para usos varios como almas de productos de limpieza, guias de plantines, baquetas de percucion. etc.</t>
  </si>
  <si>
    <t>Esteban</t>
  </si>
  <si>
    <t>4716-9050</t>
  </si>
  <si>
    <t>iprsa.com.ar</t>
  </si>
  <si>
    <t>info@inpresma.com</t>
  </si>
  <si>
    <t>INTEGRA GESTION S.R.L.</t>
  </si>
  <si>
    <t>Investigacion y desarrollo de productos cosmeticos y químicos a fasón.</t>
  </si>
  <si>
    <t>Andres Saraceno</t>
  </si>
  <si>
    <t>15 6651-4723</t>
  </si>
  <si>
    <t>Luis Quaranta</t>
  </si>
  <si>
    <t>11 6651-4732</t>
  </si>
  <si>
    <t>5263-2555 (Int. 1)</t>
  </si>
  <si>
    <t>iquisa.com.ar</t>
  </si>
  <si>
    <t>info@integraarg.com.ar</t>
  </si>
  <si>
    <t>INTEMA S.R.L.</t>
  </si>
  <si>
    <t>4769-0979 | 4739-6913 | 4739-6914</t>
  </si>
  <si>
    <t>intemasrl@gmail.com</t>
  </si>
  <si>
    <t>INTER RUEDA S.A.</t>
  </si>
  <si>
    <t>4739-6817</t>
  </si>
  <si>
    <t>ruedasinter@gmail.com</t>
  </si>
  <si>
    <t>INDUSTRIAS TEXTILES FRIONE S.R.L.</t>
  </si>
  <si>
    <t>info@ndajeans.com</t>
  </si>
  <si>
    <t>INTERLUB S.A.</t>
  </si>
  <si>
    <t>11 2883-3686</t>
  </si>
  <si>
    <t>11 4657-4152</t>
  </si>
  <si>
    <t>11 4657-8721</t>
  </si>
  <si>
    <t>https://www.frione.com/</t>
  </si>
  <si>
    <t>eduardo@interlubsa.com</t>
  </si>
  <si>
    <t>INTERMEC DE ARGENTINA S.A. (TIDAR)</t>
  </si>
  <si>
    <t>info@tidar.com.ar</t>
  </si>
  <si>
    <t>11 4734-2477</t>
  </si>
  <si>
    <t>INUMET S.A.</t>
  </si>
  <si>
    <t>11 4759-2778</t>
  </si>
  <si>
    <t>http://www.todoflex.com.ar/#gsc.tab=0</t>
  </si>
  <si>
    <t>ventas@inumet.com.ar</t>
  </si>
  <si>
    <t>INYECTAL S.R.L.</t>
  </si>
  <si>
    <t>Sebastian Umaschi (interno 113) | Roberto Pucchi | Omar</t>
  </si>
  <si>
    <t>Bruno Tomadoni</t>
  </si>
  <si>
    <t>15 3066-8304</t>
  </si>
  <si>
    <t>4848-8400</t>
  </si>
  <si>
    <t>4488-8556</t>
  </si>
  <si>
    <t>ventas@inyectal.com</t>
  </si>
  <si>
    <t>www.tomadoni.com</t>
  </si>
  <si>
    <t>IQASA S.A.</t>
  </si>
  <si>
    <t>iqasa.sa@gmail.com</t>
  </si>
  <si>
    <t>4759-3968</t>
  </si>
  <si>
    <t>4374-1299</t>
  </si>
  <si>
    <t xml:space="preserve"> 4759-1299</t>
  </si>
  <si>
    <t>http://www.indusver.com.ar/</t>
  </si>
  <si>
    <t>info@ir3d.com.ar</t>
  </si>
  <si>
    <t>4712-1964</t>
  </si>
  <si>
    <t>IRAOLA S.R.L.</t>
  </si>
  <si>
    <t>administracion@iraolasrl.com.ar</t>
  </si>
  <si>
    <t>IROBE S.A.</t>
  </si>
  <si>
    <t>11 5342-1480</t>
  </si>
  <si>
    <t>4658-7579</t>
  </si>
  <si>
    <t>4647-1636</t>
  </si>
  <si>
    <t>https://ingenieriatermoacustica.com/</t>
  </si>
  <si>
    <t>Irobegalletitas@hotmail.com</t>
  </si>
  <si>
    <t>IRUMA S.A.</t>
  </si>
  <si>
    <t>INGENIERO CARLOS A DOMECQ E HIJO S.R.L.</t>
  </si>
  <si>
    <t>Fabricación de Aparatos de Distribución y Control de la Energía Eléctrica</t>
  </si>
  <si>
    <t>4734-5733</t>
  </si>
  <si>
    <t>hcid@iruma.com.ar</t>
  </si>
  <si>
    <t>ISAGA S.R.L. (JOSE Y FRANCISCO AGASI)</t>
  </si>
  <si>
    <t>INGETEK S.A.</t>
  </si>
  <si>
    <t>isaga_srl@yahoo.com.ar</t>
  </si>
  <si>
    <t>(297) 447-6516</t>
  </si>
  <si>
    <t>(297) 446-3217</t>
  </si>
  <si>
    <t>ITAL GROUP ALUMINIO S.A.</t>
  </si>
  <si>
    <t>4644-0579</t>
  </si>
  <si>
    <t>INGRAO JOSE DARIO</t>
  </si>
  <si>
    <t>San Gerónimo</t>
  </si>
  <si>
    <t>italgroupsrl@italgroupsrl.com.ar</t>
  </si>
  <si>
    <t>ITZA S.A.</t>
  </si>
  <si>
    <t>4842-6970</t>
  </si>
  <si>
    <t>compras@itzasa.com.ar</t>
  </si>
  <si>
    <t>Fabricación de hilados textiles de algodón y sus mezclas</t>
  </si>
  <si>
    <t>J M CASOLI S.A.</t>
  </si>
  <si>
    <t xml:space="preserve">fabricac.de hilados </t>
  </si>
  <si>
    <t>4637-1532</t>
  </si>
  <si>
    <t>4637-4240</t>
  </si>
  <si>
    <t>cdr_altomare@hotmail.com</t>
  </si>
  <si>
    <t>5410/20</t>
  </si>
  <si>
    <t>Daniel Ruiz (Presidente)</t>
  </si>
  <si>
    <t>11 4750-3505</t>
  </si>
  <si>
    <t>11 5944-4852</t>
  </si>
  <si>
    <t>https://www.inplaca.com.ar/</t>
  </si>
  <si>
    <t>deco@jaimsrl.com.ar</t>
  </si>
  <si>
    <t>JBM INOXIDABLES S.A.</t>
  </si>
  <si>
    <t>3386 Piso:PB Dpto:B</t>
  </si>
  <si>
    <t>info@jbminox.com.ar</t>
  </si>
  <si>
    <t>11 5263-7057</t>
  </si>
  <si>
    <t>https://consultoradehigieneyseguridad.com/</t>
  </si>
  <si>
    <t>ventas@jerf.com.ar.</t>
  </si>
  <si>
    <t>JH MANTENIMIENTOS DE PUENTES GRUAS S.R.L.</t>
  </si>
  <si>
    <t>INPROCIL S.A.</t>
  </si>
  <si>
    <t>Industria productora de cilindros - Oficina comercial en Caseros, la fabrica esta en Entre Rios.</t>
  </si>
  <si>
    <t>jhmantenimientos@yahoo.com.ar</t>
  </si>
  <si>
    <t>4759-0256</t>
  </si>
  <si>
    <t>http://www.inprocil.com/</t>
  </si>
  <si>
    <t>INSTALACIONES TEVES S.A. (CLIMATIZACIONES TEVES S.A.)</t>
  </si>
  <si>
    <t>Dr. A. Carbone</t>
  </si>
  <si>
    <t>pablofiocca@hotmail.com</t>
  </si>
  <si>
    <t>JOFRE WALTER NORBERTO Y JOFRE ALEJANDRO DANIEL S.H.</t>
  </si>
  <si>
    <t>11 4712-3233</t>
  </si>
  <si>
    <t>walterjofre@yahoo.com.ar</t>
  </si>
  <si>
    <t>JORGE DAHER S.R.L.</t>
  </si>
  <si>
    <t>http://info@integraarg.com.ar/</t>
  </si>
  <si>
    <t>info@altra.com.ar</t>
  </si>
  <si>
    <t>JORGE L REBAGLIATI E HIJOS S.R.L.</t>
  </si>
  <si>
    <t>Diseño y construcción de gabinetes metálicos</t>
  </si>
  <si>
    <t>11 2236-2055</t>
  </si>
  <si>
    <t>4769-0809</t>
  </si>
  <si>
    <t>contable@cintra.com.ar</t>
  </si>
  <si>
    <t>4769-4442</t>
  </si>
  <si>
    <t>https://agrosigma.wixsite.com/intemasrl</t>
  </si>
  <si>
    <t>JOSE LOPEZ RODRIGUEZ E HIJOS S.A.</t>
  </si>
  <si>
    <t>krizia_tejidos@hotmail.com</t>
  </si>
  <si>
    <t>JOSE REBULA E HIJOS S.R.L.</t>
  </si>
  <si>
    <t>Ruedas</t>
  </si>
  <si>
    <t>Nicolas Lombardi</t>
  </si>
  <si>
    <t>Daniel Lombardi</t>
  </si>
  <si>
    <t>11 2444-4415</t>
  </si>
  <si>
    <t>4712-5770</t>
  </si>
  <si>
    <t>4757-3145</t>
  </si>
  <si>
    <t>4712-5778</t>
  </si>
  <si>
    <t>www.inter-ruedas.com.ar</t>
  </si>
  <si>
    <t>INTERCRET S.R.L.</t>
  </si>
  <si>
    <t>informes@jrclip.com.ar</t>
  </si>
  <si>
    <t>4266 Piso:PB Dpto:E</t>
  </si>
  <si>
    <t>JOSE SCHMIDT S.R.L.</t>
  </si>
  <si>
    <t>11 4750-1646</t>
  </si>
  <si>
    <t>4750-1646 | 4759-9286</t>
  </si>
  <si>
    <t>11 4759-7137</t>
  </si>
  <si>
    <t>shimeq@shimeq.com.ar</t>
  </si>
  <si>
    <t>JOSE TRENTO VIDRIOS S.R.L.</t>
  </si>
  <si>
    <t>Moldería, tejido, corte, confección, lavado y terminación de jeans</t>
  </si>
  <si>
    <t>Daniel Alonso</t>
  </si>
  <si>
    <t>11 5012-5252</t>
  </si>
  <si>
    <t>recepcion@trentovidrios.com.ar</t>
  </si>
  <si>
    <t>4568-9855</t>
  </si>
  <si>
    <t>4568-5139</t>
  </si>
  <si>
    <t>2067-6126 | 5294-1338</t>
  </si>
  <si>
    <t>JOSE VARELA MARIANO VARELA SOC. H.</t>
  </si>
  <si>
    <t>https://ndajeans.com/</t>
  </si>
  <si>
    <t>Argentina</t>
  </si>
  <si>
    <t>infoeticapublicidad@gmail.com</t>
  </si>
  <si>
    <t>JR TECNOLOGIA AUTOMOTRIZ S.A.</t>
  </si>
  <si>
    <t>Fabricación de productos de la refinación del petróleo</t>
  </si>
  <si>
    <t>Daniela Marin</t>
  </si>
  <si>
    <t>4769-4850</t>
  </si>
  <si>
    <t>4769-6980</t>
  </si>
  <si>
    <t>www.interlubsa.com.ar</t>
  </si>
  <si>
    <t>jrdigitalsrl@gmail.com</t>
  </si>
  <si>
    <t>4716-6009</t>
  </si>
  <si>
    <t>https://tidar.com.ar/</t>
  </si>
  <si>
    <t>exlamp.argentina@gmail.com</t>
  </si>
  <si>
    <t>JUAN B AGUILAR E HIJO S.R.L.</t>
  </si>
  <si>
    <t>selloscasanorma@gmail.com</t>
  </si>
  <si>
    <t>Mario</t>
  </si>
  <si>
    <t>JUAN JOSE EIJO Y CIA S.R.L.</t>
  </si>
  <si>
    <t>11 4654-1794</t>
  </si>
  <si>
    <t>11 6116-7742</t>
  </si>
  <si>
    <t>4739-6184</t>
  </si>
  <si>
    <t>https://inumet.com.ar/</t>
  </si>
  <si>
    <t>jjeijo@hotmail.com</t>
  </si>
  <si>
    <t>INVISE S.R.L. (INVISE SEGURIDAD ARGENTINA S.A.)</t>
  </si>
  <si>
    <t>JUAN PAROLA E HIJOS S.A.C.I.F.I.</t>
  </si>
  <si>
    <t>Valentín Gómez</t>
  </si>
  <si>
    <t>0221  414-2312</t>
  </si>
  <si>
    <t>0810 666-7284</t>
  </si>
  <si>
    <t>monvisobikes@yahoo.com.ar</t>
  </si>
  <si>
    <t>https://www.inviseseguridad.com.ar/inicio.html</t>
  </si>
  <si>
    <t>JUAN PELLEGRINET E HIJO</t>
  </si>
  <si>
    <t>luispellegrinet1@fibertel.com.ar</t>
  </si>
  <si>
    <t>KAPLAN SERGIO MARCOS (ex KAPMETAL S.R.L.)</t>
  </si>
  <si>
    <t>11 4750-7979</t>
  </si>
  <si>
    <t>11 4750-7427</t>
  </si>
  <si>
    <t>https://www.inyectal.com/index.html</t>
  </si>
  <si>
    <t>kapmetal@hotmail.com</t>
  </si>
  <si>
    <t>info@kelcot.com.ar</t>
  </si>
  <si>
    <t>Resinas Poliester, Fibras De Vidrio , Auxiliares</t>
  </si>
  <si>
    <t>KING MATIC S.A.</t>
  </si>
  <si>
    <t>4759-7573</t>
  </si>
  <si>
    <t>4750-0170</t>
  </si>
  <si>
    <t>4759-3963</t>
  </si>
  <si>
    <t>https://www.iqasa.com.ar/</t>
  </si>
  <si>
    <t>administracion@kingmaticsa.com.ar</t>
  </si>
  <si>
    <t>KIOTO S.A.</t>
  </si>
  <si>
    <t>Yanina Cotti Milutinovic</t>
  </si>
  <si>
    <t>15 5600-3146</t>
  </si>
  <si>
    <t>compras@kioto.com.ar</t>
  </si>
  <si>
    <t>15 4158-1180</t>
  </si>
  <si>
    <t>11 4758-3196</t>
  </si>
  <si>
    <t>11 4751 7582</t>
  </si>
  <si>
    <t>KISELIS DANIEL ANIBAL (J.I.V MALLAS METALICAS)</t>
  </si>
  <si>
    <t>5530 Piso:PB</t>
  </si>
  <si>
    <t>info@jivcinmet.com.ar</t>
  </si>
  <si>
    <t>KITEX S.A.</t>
  </si>
  <si>
    <t>11 4750-56620</t>
  </si>
  <si>
    <t>11 4750-5799</t>
  </si>
  <si>
    <t>11 4716-0080</t>
  </si>
  <si>
    <t>https://iraolasrl.com.ar/</t>
  </si>
  <si>
    <t>kistex_tejidos@yahoo.com.ar</t>
  </si>
  <si>
    <t>KONFEK S.A.</t>
  </si>
  <si>
    <t>Elaboración de productos alimenticios N.C.P.</t>
  </si>
  <si>
    <t>Osvaldo Paulsen</t>
  </si>
  <si>
    <t>11 4716-2747</t>
  </si>
  <si>
    <t>https://www.instagram.com/irobe.sa/?hl=es-la</t>
  </si>
  <si>
    <t>konfekadministracion@hotmail.com</t>
  </si>
  <si>
    <t>KORPER S.A. (VIALE PRESS S.A. VER CUIT)</t>
  </si>
  <si>
    <t>tesoreria@korpersa.com.ar</t>
  </si>
  <si>
    <t>Fabricación de bombas 2</t>
  </si>
  <si>
    <t>KORZIN S.A.C.I.</t>
  </si>
  <si>
    <t>4488-5029</t>
  </si>
  <si>
    <t>4653-7848</t>
  </si>
  <si>
    <t>4653-0696</t>
  </si>
  <si>
    <t>https://www.iruma.com.ar/</t>
  </si>
  <si>
    <t>massaldi@hotmail.com</t>
  </si>
  <si>
    <t>KUASAR S.R.L.</t>
  </si>
  <si>
    <t>IS PROVEEDORES DE INDUSTRIAS S.A.</t>
  </si>
  <si>
    <t>Balanza</t>
  </si>
  <si>
    <t>Kuasar.ascensores@gmail.com</t>
  </si>
  <si>
    <t>4757-8598</t>
  </si>
  <si>
    <t>4757-1839 | 15 5261-0262</t>
  </si>
  <si>
    <t>ispisa.com.ar</t>
  </si>
  <si>
    <t>30709080047 / 33663808899</t>
  </si>
  <si>
    <t>KUPPE AUTOMOTIVE S.A.</t>
  </si>
  <si>
    <t>Producción de matrices cortantes y estampas</t>
  </si>
  <si>
    <t>Francisco Agasi</t>
  </si>
  <si>
    <t>11 4759-9094</t>
  </si>
  <si>
    <t>4101-0031</t>
  </si>
  <si>
    <t>https://isaga.com.ar/</t>
  </si>
  <si>
    <t>proveedores@kuppe.com.ar</t>
  </si>
  <si>
    <t>L&amp;G HERRAJES S.H. DE LASKO MIGUEL Y GUGLIELMINO LUIS</t>
  </si>
  <si>
    <t>ISDE S.R.L.</t>
  </si>
  <si>
    <t>De las Rosas</t>
  </si>
  <si>
    <t>eleigeherrajes@yahoo.com.ar</t>
  </si>
  <si>
    <t>4097-5933</t>
  </si>
  <si>
    <t>https://isde.online/</t>
  </si>
  <si>
    <t>info@laalvear.com.ar</t>
  </si>
  <si>
    <t>LA BO TODO S.R.L.</t>
  </si>
  <si>
    <t>Juan Pablo</t>
  </si>
  <si>
    <t>4647-2793</t>
  </si>
  <si>
    <t>Oan1966@hotmail.com</t>
  </si>
  <si>
    <t>4488-3700</t>
  </si>
  <si>
    <t>4657-0030</t>
  </si>
  <si>
    <t>https://italgroupsa.com.ar/</t>
  </si>
  <si>
    <t>LA CARROSERA S.R.L.</t>
  </si>
  <si>
    <t>ITALIAN LINE S.A.</t>
  </si>
  <si>
    <t>info@lacarrocera.com.ar</t>
  </si>
  <si>
    <t>LA FABRICA DE EFECTOS S.A.</t>
  </si>
  <si>
    <t>Fabricación de Calzado de Tela, Plástico, Goma, Caucho y otros Materiales, excepto Calzado Ortopédico y de Asbesto</t>
  </si>
  <si>
    <t>4750-1174</t>
  </si>
  <si>
    <t>ITALO SANITARIOS S.R.L.</t>
  </si>
  <si>
    <t>Instalaciones de gas, agua, sanitarios y de climatización, con sus artefactos conexos (incluye la instalación de compactadores, calderas, sistemas de calefacción central, etc.)</t>
  </si>
  <si>
    <t>ederservicios@gmail.com</t>
  </si>
  <si>
    <t>LA PRIMERA DE VILLA BOSCH S.A.</t>
  </si>
  <si>
    <t>4716-6772</t>
  </si>
  <si>
    <t>ITALPASTAS S.R.L.</t>
  </si>
  <si>
    <t>contacto@primeradevillabosch.com.ar</t>
  </si>
  <si>
    <t>LABORATORIO BARCAT S.A.</t>
  </si>
  <si>
    <t>4848-1601</t>
  </si>
  <si>
    <t>Ventas@laboratoriobarcat.com.ar</t>
  </si>
  <si>
    <t>LABORATORIO CIRCE S.R.L.</t>
  </si>
  <si>
    <t>4683-7139</t>
  </si>
  <si>
    <t>4684-1882</t>
  </si>
  <si>
    <t>4684-1137</t>
  </si>
  <si>
    <t>ventas3@circe.com.ar</t>
  </si>
  <si>
    <t>https://www.itzasa.com.ar/</t>
  </si>
  <si>
    <t>LABORATORIO DICOFAR S.R.L.</t>
  </si>
  <si>
    <t>J A GROSSELLI S.R.L.</t>
  </si>
  <si>
    <t>Pedro Palacios</t>
  </si>
  <si>
    <t>info@dicofar.com</t>
  </si>
  <si>
    <t>LABORATORIOS DETERPLUS S.R.L.</t>
  </si>
  <si>
    <t>Instalaciones de redes de cable, fibra óptica, teléfono</t>
  </si>
  <si>
    <t>4712-7095</t>
  </si>
  <si>
    <t>4712-4799</t>
  </si>
  <si>
    <t>4712-5944</t>
  </si>
  <si>
    <t>J ALEN Y CIA S.C.</t>
  </si>
  <si>
    <t>rrhh@labdeterplus.com.ar</t>
  </si>
  <si>
    <t>Francisco Suárez</t>
  </si>
  <si>
    <t>Fabricación de Motores, Generadores y Transformadores Eléctricos</t>
  </si>
  <si>
    <t>4653-5912</t>
  </si>
  <si>
    <t>info@ecovita.com.ar</t>
  </si>
  <si>
    <t>Enzo Andres Cutrone</t>
  </si>
  <si>
    <t>11 4946-1267</t>
  </si>
  <si>
    <t>4488-7316</t>
  </si>
  <si>
    <t>4653-8300</t>
  </si>
  <si>
    <t>4488-7551</t>
  </si>
  <si>
    <t>www.selffix.com.ar</t>
  </si>
  <si>
    <t>info@laboratoriosgaudium.com</t>
  </si>
  <si>
    <t>LABORATORIOS GREYTON ARGENTINA S.A.</t>
  </si>
  <si>
    <t>Fabricación de papel ondulado y envases de papel</t>
  </si>
  <si>
    <t>4653-4629 | 4662-9699</t>
  </si>
  <si>
    <t>4657-8483</t>
  </si>
  <si>
    <t>info@laboratoriosgreyton.com.ar</t>
  </si>
  <si>
    <t>4488-9908</t>
  </si>
  <si>
    <t>LAM DIESEL S.R.L.</t>
  </si>
  <si>
    <t>Fábrica de sillas, mesas, banquetas y sillones de alta calidad</t>
  </si>
  <si>
    <t>Adolfo Zolwker</t>
  </si>
  <si>
    <t>lamrepuestos@hotmail.com</t>
  </si>
  <si>
    <t>15 6660-9037</t>
  </si>
  <si>
    <t>11 5431-2500</t>
  </si>
  <si>
    <t>15 6690-2500</t>
  </si>
  <si>
    <t>http://www.jaimsrl.com.ar/</t>
  </si>
  <si>
    <t>General Lavalle</t>
  </si>
  <si>
    <t>info@lambdachemical.com.ar</t>
  </si>
  <si>
    <t>LAMBDAT S.R.L.</t>
  </si>
  <si>
    <t>Juan Marti</t>
  </si>
  <si>
    <t>11 4992-9240</t>
  </si>
  <si>
    <t>4769-6457</t>
  </si>
  <si>
    <t>4769-4775</t>
  </si>
  <si>
    <t>4769-4296</t>
  </si>
  <si>
    <t>www.jbminox.com.ar</t>
  </si>
  <si>
    <t>lambdatsrl@lambdat.com.ar</t>
  </si>
  <si>
    <t>LAMINPLAST S.A.</t>
  </si>
  <si>
    <t>filtros</t>
  </si>
  <si>
    <t>Jonathan Sayal</t>
  </si>
  <si>
    <t>11 3301-8968</t>
  </si>
  <si>
    <t>4671-3312</t>
  </si>
  <si>
    <t>4674-0388</t>
  </si>
  <si>
    <t>https://www.jerf.com.ar/</t>
  </si>
  <si>
    <t>lami@arnetbiz.com.ar</t>
  </si>
  <si>
    <t>LARA A M A J Y F S.H.</t>
  </si>
  <si>
    <t>El Parque</t>
  </si>
  <si>
    <t>gruaslaraehijos@gmail.com</t>
  </si>
  <si>
    <t>4767-4506</t>
  </si>
  <si>
    <t>4764-2848</t>
  </si>
  <si>
    <t>LARING</t>
  </si>
  <si>
    <t>http://www.jhservicios.com.ar/</t>
  </si>
  <si>
    <t>leandro@laring.com</t>
  </si>
  <si>
    <t>Articulos publicitarios</t>
  </si>
  <si>
    <t>Juan Carlos Fiocca</t>
  </si>
  <si>
    <t>15 5114-9928</t>
  </si>
  <si>
    <t>LAVUSETE ARGENTINA S.A.</t>
  </si>
  <si>
    <t>4657-2545</t>
  </si>
  <si>
    <t>4488-6457</t>
  </si>
  <si>
    <t>4653-4758</t>
  </si>
  <si>
    <t>http://www.jivi.com.ar/</t>
  </si>
  <si>
    <t>JOANAL S.R.L.</t>
  </si>
  <si>
    <t>lavusete@hotmail.com</t>
  </si>
  <si>
    <t>LAZZARI GABRIEL ALEJANDRO</t>
  </si>
  <si>
    <t>Fabricación de Piezas y Suministros Utilizados Especialmente para aparatos de Radio Televisión y Comunicaciones</t>
  </si>
  <si>
    <t>4488-5243</t>
  </si>
  <si>
    <t>4653-6581</t>
  </si>
  <si>
    <t>4653-0834</t>
  </si>
  <si>
    <t>omar_racciatti@yahoo.com.ar</t>
  </si>
  <si>
    <t>LD METALURGICA SOC. H.</t>
  </si>
  <si>
    <t>4848-4954</t>
  </si>
  <si>
    <t>ldmetalurgica@hotmail.com</t>
  </si>
  <si>
    <t>LEADER ART S.A.</t>
  </si>
  <si>
    <t>MATIAS DAHER</t>
  </si>
  <si>
    <t>4757-7887</t>
  </si>
  <si>
    <t>leader-art@leader-art.com.ar</t>
  </si>
  <si>
    <t>4757-7085</t>
  </si>
  <si>
    <t>LEALI DINO E HIJOS S.R.L. (VIGOR)</t>
  </si>
  <si>
    <t>http://www.altra.com.ar/</t>
  </si>
  <si>
    <t>Servicios para la navegación</t>
  </si>
  <si>
    <t>Defensas inflables, macizas. Barreras de contención, skimmers, tanques temporarios.</t>
  </si>
  <si>
    <t>Vigor@vigor.com.ar</t>
  </si>
  <si>
    <t>LECITEC S.R.L.</t>
  </si>
  <si>
    <t>4758-0556</t>
  </si>
  <si>
    <t xml:space="preserve">cintra.com.ar </t>
  </si>
  <si>
    <t>JORGE LUIS OTERO</t>
  </si>
  <si>
    <t>2264 Dpto:3</t>
  </si>
  <si>
    <t>info@lecitec.com.ar</t>
  </si>
  <si>
    <t>LEDUCOM S.R.L.</t>
  </si>
  <si>
    <t>5007-2363</t>
  </si>
  <si>
    <t>leducomsrl@gmail.com</t>
  </si>
  <si>
    <t>LEIVA CHRISTIAN GABRIEL</t>
  </si>
  <si>
    <t>spventas@gmail.com</t>
  </si>
  <si>
    <t>Ventas y fabricación al por mayor de productos alimenticios N.C.P.</t>
  </si>
  <si>
    <t>LENSI S.R.L.</t>
  </si>
  <si>
    <t xml:space="preserve">Pablo Rizzolo </t>
  </si>
  <si>
    <t>15 6035-5373</t>
  </si>
  <si>
    <t>lensisrl@gmail.com</t>
  </si>
  <si>
    <t>LEONOV ROBERTO EDUARDO (KIVEENT)</t>
  </si>
  <si>
    <t>4541-3537</t>
  </si>
  <si>
    <t>4716-1118</t>
  </si>
  <si>
    <t>http://www.kriziatejidos.com.ar/</t>
  </si>
  <si>
    <t>ventasartelak@hotmail.com</t>
  </si>
  <si>
    <t>luzbaires.ventas@gmail.com</t>
  </si>
  <si>
    <t>4642-3081</t>
  </si>
  <si>
    <t>642-3031</t>
  </si>
  <si>
    <t>https://www.jrclip.com.ar/</t>
  </si>
  <si>
    <t>marmoleria-bortolin@hotmail.com</t>
  </si>
  <si>
    <t>LLAKEN S.R.L.</t>
  </si>
  <si>
    <t>nardosala@gmail.com</t>
  </si>
  <si>
    <t>4848-1754</t>
  </si>
  <si>
    <t>LOCATELLI HNOS S.R.L.</t>
  </si>
  <si>
    <t>shimeq.com.ar</t>
  </si>
  <si>
    <t>info@locatellihnos.com.ar</t>
  </si>
  <si>
    <t>LOGISTICA SMIRAGLIA S.R.L. (SMIRAGLIA TRANSPORTE Y LOGÍSTICA)</t>
  </si>
  <si>
    <t>4769-6666</t>
  </si>
  <si>
    <t>www.trentovidrios.com.ar</t>
  </si>
  <si>
    <t>info@logisticasmiraglia.com.ar</t>
  </si>
  <si>
    <t>LOMA HERMOSA PLAST S.A.</t>
  </si>
  <si>
    <t>4488-0495</t>
  </si>
  <si>
    <t>4653-8417</t>
  </si>
  <si>
    <t>info@lomaplast.com</t>
  </si>
  <si>
    <t>LOPEZ FERNANDO GABRIEL (AREA-FLEX)</t>
  </si>
  <si>
    <t>Rectificación</t>
  </si>
  <si>
    <t>fernandoglopez@gmail.com</t>
  </si>
  <si>
    <t>Javier Ramos</t>
  </si>
  <si>
    <t>11 5452-1992</t>
  </si>
  <si>
    <t>4758-6780</t>
  </si>
  <si>
    <t>http://jrservicios.com/</t>
  </si>
  <si>
    <t>ventas@lubeseguridad.com.ar</t>
  </si>
  <si>
    <t>Lampazo</t>
  </si>
  <si>
    <t>Maria Elena Deus</t>
  </si>
  <si>
    <t>11 5982-2345</t>
  </si>
  <si>
    <t>Aldo Hernan Conejeros</t>
  </si>
  <si>
    <t>11 6294-3419</t>
  </si>
  <si>
    <t>11 3109-6801</t>
  </si>
  <si>
    <t>15 5982-2345</t>
  </si>
  <si>
    <t>ventas@lubriweb.com.ar</t>
  </si>
  <si>
    <t>https://exlampargentina.com/</t>
  </si>
  <si>
    <t>LUBRICANTES VIGO S.R.L.</t>
  </si>
  <si>
    <t>JUAGUS S.A.</t>
  </si>
  <si>
    <t>pnt@sion.com</t>
  </si>
  <si>
    <t>Las Heras</t>
  </si>
  <si>
    <t>2424 Piso:9C</t>
  </si>
  <si>
    <t>LUCIO NICOLAS</t>
  </si>
  <si>
    <t>Alejandro Jose Gelati</t>
  </si>
  <si>
    <t>4757-9500</t>
  </si>
  <si>
    <t>JUAN ANGEL VEGA S.R.L.</t>
  </si>
  <si>
    <t>variplas@hotmail.com</t>
  </si>
  <si>
    <t>LUKMAN S.A.</t>
  </si>
  <si>
    <t>Servicios para la navegación (Incluye servicios de practicaje y pilotaje, atraque y salvamento)</t>
  </si>
  <si>
    <t>(3489) 43-7383</t>
  </si>
  <si>
    <t>(3489) 42-4565</t>
  </si>
  <si>
    <t>info@lukmansa.com.ar</t>
  </si>
  <si>
    <t>Fabricación de lápices, lapiceras, bolígrafos, sellos y artículos similares para oficinas y artistas</t>
  </si>
  <si>
    <t>bperrotta@lumaproductos.com.ar</t>
  </si>
  <si>
    <t>M G INSTALACIONES S.R.L.</t>
  </si>
  <si>
    <t>4716-0202</t>
  </si>
  <si>
    <t xml:space="preserve"> 4750-2241</t>
  </si>
  <si>
    <t>http://www.selloscasanorma.com.ar/</t>
  </si>
  <si>
    <t>JUAN GIUFFRE E HIJOS</t>
  </si>
  <si>
    <t>Laureana Ferrari</t>
  </si>
  <si>
    <t>info@mginstalaciones.com.ar</t>
  </si>
  <si>
    <t>M M A MANUFACTURA DE MOTORES ARGENTINOS S.R.L. (JOHNSON ELECTRIC)</t>
  </si>
  <si>
    <t>4758-5744</t>
  </si>
  <si>
    <t>4758-5052</t>
  </si>
  <si>
    <t>4758-5743</t>
  </si>
  <si>
    <t>JUAN H ROBIOLO S.R.L.</t>
  </si>
  <si>
    <t>fernando.vicini@johnsonelectric.com</t>
  </si>
  <si>
    <t>4488-8297</t>
  </si>
  <si>
    <t>M R INDUSTRIAS PLASTICAS S.A.</t>
  </si>
  <si>
    <t>mrsa@mriplasticas.com.ar</t>
  </si>
  <si>
    <t>MADERTEX S.R.L.</t>
  </si>
  <si>
    <t>4653-3089</t>
  </si>
  <si>
    <t>cdor.vidal@gmail.com</t>
  </si>
  <si>
    <t>Fabricación de bicicletas y de sillones de ruedas ortopédicos</t>
  </si>
  <si>
    <t>MALDONADO ANGEL RISERIO HERRAJES RIMAC</t>
  </si>
  <si>
    <t>4734-4518</t>
  </si>
  <si>
    <t>http://monvisobikes.com.ar</t>
  </si>
  <si>
    <t>administracion@herrajesrimac.com.ar</t>
  </si>
  <si>
    <t>MALLET S.A.</t>
  </si>
  <si>
    <t>Fundición de Metales no Ferrosos</t>
  </si>
  <si>
    <t>Fundicion de Partes y Piezas en Aleaciones de Cobre</t>
  </si>
  <si>
    <t>4488-4711</t>
  </si>
  <si>
    <t>650-1974</t>
  </si>
  <si>
    <t>fusiontex.mma@gmail.com</t>
  </si>
  <si>
    <t>JUAN SCHUVAKS Y ALBERTO SCHUVAKS</t>
  </si>
  <si>
    <t>MAMPARAL S.R.L.</t>
  </si>
  <si>
    <t>4750-5511</t>
  </si>
  <si>
    <t>4734-1711</t>
  </si>
  <si>
    <t>tecnica@mamparal.com</t>
  </si>
  <si>
    <t>JUFU S.A.</t>
  </si>
  <si>
    <t>Fabricación de Relojes</t>
  </si>
  <si>
    <t>4750-7278</t>
  </si>
  <si>
    <t>administracion@manguerasconcord.com.ar</t>
  </si>
  <si>
    <t>MAP TECNOLOGIA S.R.L.</t>
  </si>
  <si>
    <t>JULCIN S.A.</t>
  </si>
  <si>
    <t>Cría de ganado bovino, excepto la realizada en cabañas y para la producción de leche (Incluye: ganado bubalino)</t>
  </si>
  <si>
    <t>ventas@maptecnologia.com.ar</t>
  </si>
  <si>
    <t>MARCLIMA S.R.L.</t>
  </si>
  <si>
    <t>11 4734-2270</t>
  </si>
  <si>
    <t>K Y T DE KREUTZER FERNANDO KREUTZER GABRIEL S.H.</t>
  </si>
  <si>
    <t>service@marclima.com.ar</t>
  </si>
  <si>
    <t>MARCOMET S.A.</t>
  </si>
  <si>
    <t>4716-2847</t>
  </si>
  <si>
    <t>4734-8611</t>
  </si>
  <si>
    <t>4759-8118</t>
  </si>
  <si>
    <t>ventas@marcometsa.com.ar</t>
  </si>
  <si>
    <t>MARTI TERESA MERCEDES</t>
  </si>
  <si>
    <t>K Y T SOC. DE HECHO KREUTZER JOSE THOURTE S</t>
  </si>
  <si>
    <t>cartonerialanza@yahoo.com.ar</t>
  </si>
  <si>
    <t>MAS LUZ S.R.L.</t>
  </si>
  <si>
    <t>masluz360@gmail.com</t>
  </si>
  <si>
    <t>MASANPA S.R.L.</t>
  </si>
  <si>
    <t>Hebillas, cadenas, tachas</t>
  </si>
  <si>
    <t>4750-0077</t>
  </si>
  <si>
    <t>http://www.kapmetal.com.ar/</t>
  </si>
  <si>
    <t>dhchemin@gmail.com</t>
  </si>
  <si>
    <t>KARDI</t>
  </si>
  <si>
    <t>MASELLI GABRIEL ANDRES DOMINGO</t>
  </si>
  <si>
    <t>Lamparas</t>
  </si>
  <si>
    <t>11 4158-1180</t>
  </si>
  <si>
    <t>gabriel.indgama@gmail.com</t>
  </si>
  <si>
    <t>4758-3196</t>
  </si>
  <si>
    <t>MASTERPOL S.R.L.</t>
  </si>
  <si>
    <t>Fabricación de resinas y cauchos sintéticos</t>
  </si>
  <si>
    <t>Pintura, hormigón</t>
  </si>
  <si>
    <t>Dr. Fernando J. Quesada</t>
  </si>
  <si>
    <t>bolsasmasterpol@hotmail.com</t>
  </si>
  <si>
    <t>Gabriel Lojk</t>
  </si>
  <si>
    <t>11 5874-2091</t>
  </si>
  <si>
    <t>4757-5667</t>
  </si>
  <si>
    <t>MATRICERIA ALCARAZ DE BOSI Y REMONDA</t>
  </si>
  <si>
    <t>www.kelcot.com.ar/</t>
  </si>
  <si>
    <t>KELLPAR S.R.L.</t>
  </si>
  <si>
    <t>Reparación y mantenimiento de maquinaria de uso especial N.C.P.</t>
  </si>
  <si>
    <t>matriceriaalcaraz@hotmail.com</t>
  </si>
  <si>
    <t>MATRICERIA H.A. S.R.L.</t>
  </si>
  <si>
    <t>4716-9602/2026</t>
  </si>
  <si>
    <t>https://www.kellparsrl.com/#!/-inicio-2/</t>
  </si>
  <si>
    <t>info@matriceriaha.com.ar</t>
  </si>
  <si>
    <t>MATRICERIA ROALDA S.R.L.</t>
  </si>
  <si>
    <t>Fabricación de partes, piezas y accesorios para vehículos automotores y sus motores N.C.P. Especificamente tranporte publico y carga</t>
  </si>
  <si>
    <t>fabricación y comercialización de partes para el transporte</t>
  </si>
  <si>
    <t>Nancy Goenaga</t>
  </si>
  <si>
    <t>4523-5078</t>
  </si>
  <si>
    <t>4712-6433</t>
  </si>
  <si>
    <t>4750-0550</t>
  </si>
  <si>
    <t>mb@mbautopiezas.com</t>
  </si>
  <si>
    <t>http://kingmaticsa.com.ar/</t>
  </si>
  <si>
    <t>MAYRATEX S.R.L.</t>
  </si>
  <si>
    <t>mayratexsrl@hotmail.com</t>
  </si>
  <si>
    <t>audio y sonido</t>
  </si>
  <si>
    <t>4488-1599</t>
  </si>
  <si>
    <t>4641-7873</t>
  </si>
  <si>
    <t>4653 2103 | 4488-1599</t>
  </si>
  <si>
    <t>www.kioto.com.ar</t>
  </si>
  <si>
    <t>info@servi-maz.com.ar</t>
  </si>
  <si>
    <t>MAZZEO Y LORENZO S.R.L. (GALLY-BELL)</t>
  </si>
  <si>
    <t>11 3082-1958</t>
  </si>
  <si>
    <t>4759-4200</t>
  </si>
  <si>
    <t>11 6441-0267</t>
  </si>
  <si>
    <t>https://www.jivcinmet.com.ar/</t>
  </si>
  <si>
    <t>galletitasgallybell@gmail.com</t>
  </si>
  <si>
    <t>MCM TERMOFORMADO S.R.L.</t>
  </si>
  <si>
    <t>Fabricación de tejidos (telas) planos de lana y sus mezclas, incluye hilanderías y tejedurías integradas</t>
  </si>
  <si>
    <t>info@termoformadomcm.com.ar</t>
  </si>
  <si>
    <t>MDC MACHINES S.A.</t>
  </si>
  <si>
    <t>info@mdc-impresiones.com.ar</t>
  </si>
  <si>
    <t>Paula</t>
  </si>
  <si>
    <t>11 3264-2512</t>
  </si>
  <si>
    <t>MECANOBRA S.R.L.</t>
  </si>
  <si>
    <t xml:space="preserve">KORPER S.A. (VIALE PRESS S.A. VER CUIT) </t>
  </si>
  <si>
    <t>info@mecanobrasrl.com.ar</t>
  </si>
  <si>
    <t>Distribuidora Autopartes</t>
  </si>
  <si>
    <t>MEDAMIL S.R.L.</t>
  </si>
  <si>
    <t>Carlos Maximiliano Granillo</t>
  </si>
  <si>
    <t>Victoria</t>
  </si>
  <si>
    <t>4734-2874</t>
  </si>
  <si>
    <t>4734-1008</t>
  </si>
  <si>
    <t>4750-9509 | 4759-9202 | 4734-1705</t>
  </si>
  <si>
    <t>http://korpersa.com.ar/</t>
  </si>
  <si>
    <t>info@medamil.com.ar</t>
  </si>
  <si>
    <t>4541-2190</t>
  </si>
  <si>
    <t>4653-1425</t>
  </si>
  <si>
    <t>https://www.korzin.com.ar/</t>
  </si>
  <si>
    <t>rr@megamec.com.ar</t>
  </si>
  <si>
    <t>MELESIA S.R.L.</t>
  </si>
  <si>
    <t>KOSMIN HNOS S.R.L.</t>
  </si>
  <si>
    <t>melesiasrl@gmail.com</t>
  </si>
  <si>
    <t>4759-1513</t>
  </si>
  <si>
    <t>4759-1543</t>
  </si>
  <si>
    <t>KOSTURAT S.R.L.</t>
  </si>
  <si>
    <t>Fabricación de productos de Tejeduría N.C.P.</t>
  </si>
  <si>
    <t>info@menaje-elsiglo.com</t>
  </si>
  <si>
    <t>MENDEZ DANIEL ALBERTO</t>
  </si>
  <si>
    <t>4374-9209</t>
  </si>
  <si>
    <t>KREART S.R.L.</t>
  </si>
  <si>
    <t>mendezhnos@mendezhnos.com.ar</t>
  </si>
  <si>
    <t>Construcción Reforma o Reparación de Edificios</t>
  </si>
  <si>
    <t>MERCOMAC S.R.L.</t>
  </si>
  <si>
    <t>4653-6287</t>
  </si>
  <si>
    <t>info@mercomacsrl.com.ar</t>
  </si>
  <si>
    <t>Instalaciones de ascensores, montacargas y escaleras mecánicas</t>
  </si>
  <si>
    <t>MERCOPLAST S.A.</t>
  </si>
  <si>
    <t>4657-5270</t>
  </si>
  <si>
    <t>4488-2476</t>
  </si>
  <si>
    <t>http://www.kuasar-srl.com.ar/</t>
  </si>
  <si>
    <t>mercoplast@mercoplast.com.ar</t>
  </si>
  <si>
    <t>MERCURI E HIJOS S.R.L. (Expte ALOISE LUIS?)</t>
  </si>
  <si>
    <t>mercuriehijos@hotmail.com</t>
  </si>
  <si>
    <t>MERCURIO PAPAIANNI S.A.</t>
  </si>
  <si>
    <t>4734-5666</t>
  </si>
  <si>
    <t>https://www.kuppe.com.ar/</t>
  </si>
  <si>
    <t>ventas@mpapaianni.com.ar</t>
  </si>
  <si>
    <t>Fábrica de sillas ergonómicas</t>
  </si>
  <si>
    <t>meroar@meroar.com.ar</t>
  </si>
  <si>
    <t>4759-8398</t>
  </si>
  <si>
    <t>MESS S.A.</t>
  </si>
  <si>
    <t>leffort.com.ar</t>
  </si>
  <si>
    <t>mess@messmedicion.com.ar</t>
  </si>
  <si>
    <t>Herrajes</t>
  </si>
  <si>
    <t>4842-7802</t>
  </si>
  <si>
    <t>5264-4272</t>
  </si>
  <si>
    <t>https://www.instagram.com/lyg_herrajes/?hl=es</t>
  </si>
  <si>
    <t>hola@mestanostra.com</t>
  </si>
  <si>
    <t>MESTAPEN S.R.L.</t>
  </si>
  <si>
    <t>Elaboración de productos de panadería N.C.P. (Incluye la elaboración de pan, facturas, churros, pre-pizzas, masas de hojaldre, masas fritas, tortas, tartas, etc.) (No incluye la fa</t>
  </si>
  <si>
    <t>Infomestapen@yahoo.com.ar</t>
  </si>
  <si>
    <t>pan, panadería</t>
  </si>
  <si>
    <t>METAC S.A.</t>
  </si>
  <si>
    <t>Karina Bertrand</t>
  </si>
  <si>
    <t>11 4471-4578</t>
  </si>
  <si>
    <t>info@metacsa.com</t>
  </si>
  <si>
    <t>651-3144</t>
  </si>
  <si>
    <t>info@metalcrispino.com</t>
  </si>
  <si>
    <t>METAL CRISPINO S.A. (MIRON Y CRISPINO S.A.)</t>
  </si>
  <si>
    <t xml:space="preserve">Manuela Pedraza </t>
  </si>
  <si>
    <t>Fabricación de carrocerias para vehiculos automotores, fabricación de remolques y semi remolques</t>
  </si>
  <si>
    <t>Carlos Delmas</t>
  </si>
  <si>
    <t>11 2798-0351</t>
  </si>
  <si>
    <t>11-3166-8017</t>
  </si>
  <si>
    <t>4842-5294</t>
  </si>
  <si>
    <t>mironycrispino@mironycrispino.com.ar</t>
  </si>
  <si>
    <t>4842-2331</t>
  </si>
  <si>
    <t>https://www.lacarrocera.com.ar/</t>
  </si>
  <si>
    <t>METALURGICA  BARBERA S.R.L.</t>
  </si>
  <si>
    <t>info@metalurgicabarbera.com</t>
  </si>
  <si>
    <t>METALURGICA A.T.K. S.R.L.</t>
  </si>
  <si>
    <t>info@atk.com.ar</t>
  </si>
  <si>
    <t>Tupungato</t>
  </si>
  <si>
    <t>METALURGICA BULCAR S.R.L.</t>
  </si>
  <si>
    <t>4759-2909</t>
  </si>
  <si>
    <t>https://primeradevillabosch.com.ar/</t>
  </si>
  <si>
    <t>bulcar@bulcar.com.ar</t>
  </si>
  <si>
    <t>LA ROCCA OSCAR VICENTE Y MARANZINA ARISTIDES</t>
  </si>
  <si>
    <t>administracion@metalurgicacolla.com.ar</t>
  </si>
  <si>
    <t>4631-6985</t>
  </si>
  <si>
    <t>4653-5773</t>
  </si>
  <si>
    <t>info@dakot.com.ar</t>
  </si>
  <si>
    <t>Elaboración de productos de panadería N.C.P. (Incluye la elaboración de pan, facturas, churros, pre-pizzas, masas de hojaldre, masas fritas, tortas, tartas, etc.)</t>
  </si>
  <si>
    <t>Carlos Ezequiel Alvarado</t>
  </si>
  <si>
    <t>11 5141-5491</t>
  </si>
  <si>
    <t>info@damec.com.ar</t>
  </si>
  <si>
    <t>METALURGICA ECAS S.R.L.</t>
  </si>
  <si>
    <t>info@metalurgicaecas.com.ar</t>
  </si>
  <si>
    <t>4848-3211</t>
  </si>
  <si>
    <t>4769-5137</t>
  </si>
  <si>
    <t>METALURGICA GAMA 2 S.A.</t>
  </si>
  <si>
    <t>www.laboratoriobarcat.com.ar/</t>
  </si>
  <si>
    <t>info@gama2.com.ar</t>
  </si>
  <si>
    <t>METALURGICA GIAMPETRUZZI S.R.L.</t>
  </si>
  <si>
    <t>Mónica</t>
  </si>
  <si>
    <t>4653-6266</t>
  </si>
  <si>
    <t>4653-4521</t>
  </si>
  <si>
    <t>4653-1690</t>
  </si>
  <si>
    <t>http://www.circeonline.com.ar/</t>
  </si>
  <si>
    <t>martingiampetruzzi@hotmail.com</t>
  </si>
  <si>
    <t>METALURGICA M Y M S.A.</t>
  </si>
  <si>
    <t xml:space="preserve">Fabricación de medicamentos de uso humano y productos farmacéuticos </t>
  </si>
  <si>
    <t>4488-1836</t>
  </si>
  <si>
    <t>4657-7910</t>
  </si>
  <si>
    <t>https://www.dicofar.com/</t>
  </si>
  <si>
    <t>ventas@maximarsa.com.ar</t>
  </si>
  <si>
    <t>METALURGICA MAGARELLI E HIJOS S.R.L.</t>
  </si>
  <si>
    <t>LABORATORIO LABORIT S.R.L.</t>
  </si>
  <si>
    <t>Botiquines, productos de belleza, salud</t>
  </si>
  <si>
    <t>magarelli_gustavo@hotmail.com</t>
  </si>
  <si>
    <t>Martin Jorge Gutierrez</t>
  </si>
  <si>
    <t>11 3210-1621</t>
  </si>
  <si>
    <t>Facundo</t>
  </si>
  <si>
    <t>METALURGICA MORA S.R.L.</t>
  </si>
  <si>
    <t>4750-8799</t>
  </si>
  <si>
    <t>4759-3280</t>
  </si>
  <si>
    <t>11 6552-9032 (Tomas Fenoglio)</t>
  </si>
  <si>
    <t>http://www.laborit.com</t>
  </si>
  <si>
    <t>info@metalurgicamora.com.ar</t>
  </si>
  <si>
    <t>Fabricación de jabones y detergentes</t>
  </si>
  <si>
    <t>METALURGICA NICOLETTA S.R.L.</t>
  </si>
  <si>
    <t>4759-4568 | 4734-1197</t>
  </si>
  <si>
    <t>www.labdeterplus.com.ar</t>
  </si>
  <si>
    <t>info@metalurgicanicoletta.com</t>
  </si>
  <si>
    <t>METALURGICA PELLEGRINI S.R.L.</t>
  </si>
  <si>
    <t>LABORATORIOS DOPLAS ARGENTINA S.A.</t>
  </si>
  <si>
    <t>metpellegrini@sinectis.com.ar</t>
  </si>
  <si>
    <t>4759-0113</t>
  </si>
  <si>
    <t>METALURGICA PESKINS S.C.A.</t>
  </si>
  <si>
    <t>info@herrajesbis.com.ar</t>
  </si>
  <si>
    <t>Fabricación de productos químicos N.C.P. (incluye la producción de aceites esenciales, tintas excepto para imprenta, etc.)</t>
  </si>
  <si>
    <t>Guido Mellicovsky</t>
  </si>
  <si>
    <t>11 5663-7998</t>
  </si>
  <si>
    <t>Julian</t>
  </si>
  <si>
    <t>11 52235-7008</t>
  </si>
  <si>
    <t>4753-8206</t>
  </si>
  <si>
    <t>https://www.ecovita.com.ar/</t>
  </si>
  <si>
    <t>roxana@petrecca.com.ar</t>
  </si>
  <si>
    <t>METALURGICA PROALPO S.R.L.</t>
  </si>
  <si>
    <t>Elaboración y envasado de dulces, mermeladas y jaleas</t>
  </si>
  <si>
    <t>Carlos della paolera</t>
  </si>
  <si>
    <t>11 6254- 0808</t>
  </si>
  <si>
    <t>mproalpo@yahoo.com.ar</t>
  </si>
  <si>
    <t>653-2342</t>
  </si>
  <si>
    <t>METALÚRGICA RG S.A.</t>
  </si>
  <si>
    <t>653-2343</t>
  </si>
  <si>
    <t>https://www.emeth.com.ar/</t>
  </si>
  <si>
    <t>LABORATORIOS FAAT S.R.L.</t>
  </si>
  <si>
    <t>metalurgicarg1@yahoo.com.ar</t>
  </si>
  <si>
    <t>Roosevelt</t>
  </si>
  <si>
    <t>4750-3157</t>
  </si>
  <si>
    <t>administracion@metalurgicaruedamas.com.ar</t>
  </si>
  <si>
    <t>METALURGICA TUYU S.R.L. (GARDENIA / PROTALIA)</t>
  </si>
  <si>
    <t>Espéculos descartables para ORL</t>
  </si>
  <si>
    <t>Sergio barbo</t>
  </si>
  <si>
    <t>11 5516-2096</t>
  </si>
  <si>
    <t>Hugo</t>
  </si>
  <si>
    <t>11 2163-1223</t>
  </si>
  <si>
    <t>4734-9666 | 4716-0048</t>
  </si>
  <si>
    <t>7711-0642</t>
  </si>
  <si>
    <t>laboratoriosgaudium.com</t>
  </si>
  <si>
    <t>tuyu@metalurgicatuyu.com.ar</t>
  </si>
  <si>
    <t>Ramiro Fernandez</t>
  </si>
  <si>
    <t>4716-1353</t>
  </si>
  <si>
    <t>administracion@metvelazquez.com</t>
  </si>
  <si>
    <t>METALURGICA VISSON S.A.</t>
  </si>
  <si>
    <t>LABORATORIOS LABBEY S.A.I.Y.C.</t>
  </si>
  <si>
    <t>773-1000</t>
  </si>
  <si>
    <t>metvisson@hotmail.com</t>
  </si>
  <si>
    <t>4488-2074</t>
  </si>
  <si>
    <t>MIDA S.R.L.</t>
  </si>
  <si>
    <t>LABORATORIOS PLANETA S.R.L.</t>
  </si>
  <si>
    <t>Fabricación de Medicamentos de uso Veterinario</t>
  </si>
  <si>
    <t>midasrl@mida.com.ar</t>
  </si>
  <si>
    <t>MIGUEL ANGEL PASTAS S.R.L.</t>
  </si>
  <si>
    <t>4488-0785</t>
  </si>
  <si>
    <t xml:space="preserve">Ensayos y análisis técnicos (incluye inspección técnica de vehículos, laboratorios de control de calidad, servicios de peritos calígrafos, servicios de bromatología) </t>
  </si>
  <si>
    <t>info@miguelangelpastas.com.ar</t>
  </si>
  <si>
    <t>Metal, plástico, goma, calibraciones, ambiental.</t>
  </si>
  <si>
    <t>MIKROCLIMA CALEFACCION S.R.L.</t>
  </si>
  <si>
    <t>4712-5484</t>
  </si>
  <si>
    <t>11 3402-0226</t>
  </si>
  <si>
    <t>http://www.labtesa.com.ar/</t>
  </si>
  <si>
    <t>info@microzoc.com.ar</t>
  </si>
  <si>
    <t>Venta al por menor de partes, piezas y accesorios nuevos N.C.P.</t>
  </si>
  <si>
    <t>Repuestos diesel en general</t>
  </si>
  <si>
    <t>11 5156-4625</t>
  </si>
  <si>
    <t>4841-0389</t>
  </si>
  <si>
    <t>https://www.instagram.com/lamrepuestos/</t>
  </si>
  <si>
    <t>lacteos@lacteoslamansa.com.ar</t>
  </si>
  <si>
    <t>Productos químicos para la industria (Efluentes)</t>
  </si>
  <si>
    <t>Armando Simesen</t>
  </si>
  <si>
    <t>11 4479-0770</t>
  </si>
  <si>
    <t>Alejandra Ferriol</t>
  </si>
  <si>
    <t>11 5110-1747</t>
  </si>
  <si>
    <t>4716-1327</t>
  </si>
  <si>
    <t>4734-8180 /8231/7440</t>
  </si>
  <si>
    <t>info@mimago.com.ar</t>
  </si>
  <si>
    <t>https://www.lambdachemical.com.ar/</t>
  </si>
  <si>
    <t>info@minerafame.com</t>
  </si>
  <si>
    <t>MINUTELLA RODRIGO GABRIEL (MINUTELLA DESIGN)</t>
  </si>
  <si>
    <t>4641-6383</t>
  </si>
  <si>
    <t>4641-8669</t>
  </si>
  <si>
    <t>LAMI FILM S.A.</t>
  </si>
  <si>
    <t>Los Crisantemos</t>
  </si>
  <si>
    <t>minutano@gmail.com</t>
  </si>
  <si>
    <t>MIPLO DE HACHLOUSKY RUBEN Y HACHLOUSKY RICARDO SOC. H.</t>
  </si>
  <si>
    <t>4841-3188</t>
  </si>
  <si>
    <t>11 2762-7641</t>
  </si>
  <si>
    <t>https://www.lamifilm.com.ar/</t>
  </si>
  <si>
    <t>miplo2000@yahoo.com.ar</t>
  </si>
  <si>
    <t>MISKI HUASI S.R.L (AGLU)</t>
  </si>
  <si>
    <t>11 2203-4364</t>
  </si>
  <si>
    <t>miski_huasi@hotmail.com.ar</t>
  </si>
  <si>
    <t>4750-2585</t>
  </si>
  <si>
    <t>4759-4581</t>
  </si>
  <si>
    <t>MOBILEGNO S.R.L.</t>
  </si>
  <si>
    <t>LAMMOGLIA PASCUALINA</t>
  </si>
  <si>
    <t>mobilegno@gmail.com</t>
  </si>
  <si>
    <t>5294-2120</t>
  </si>
  <si>
    <t>MOBILIFARMA S.R.L.</t>
  </si>
  <si>
    <t>LANSIX CONSTRUCCIONES S.R.L.</t>
  </si>
  <si>
    <t>info@mobilifarma.com.ar</t>
  </si>
  <si>
    <t>4842-4606</t>
  </si>
  <si>
    <t>LANTERMO Y FILARETO SACIF</t>
  </si>
  <si>
    <t>Barragán</t>
  </si>
  <si>
    <t>info@mocar.com.ar</t>
  </si>
  <si>
    <t>MOHER REPUESTOS S.A.</t>
  </si>
  <si>
    <t>4653-7621</t>
  </si>
  <si>
    <t>4653-3580</t>
  </si>
  <si>
    <t>653-7631</t>
  </si>
  <si>
    <t>info@moher.com.ar</t>
  </si>
  <si>
    <t>Servicios complementarios para el Transporte Terrestre N.C.P.</t>
  </si>
  <si>
    <t>MOLINOS ARARAT S.R.L.</t>
  </si>
  <si>
    <t>4488-3801</t>
  </si>
  <si>
    <t>4653-8246</t>
  </si>
  <si>
    <t>4653-3525</t>
  </si>
  <si>
    <t>Ararat@molinosararat.com.ar</t>
  </si>
  <si>
    <t>MONTHELADO S.A.</t>
  </si>
  <si>
    <t>Fabricación de materias químicas inorgánicas básicas N.C.P.</t>
  </si>
  <si>
    <t>Leandro Bronstein</t>
  </si>
  <si>
    <t>11 5881-1091</t>
  </si>
  <si>
    <t>4638-7900</t>
  </si>
  <si>
    <t>elena_sosa2003@yahoo.com.ar</t>
  </si>
  <si>
    <t>http://laring.com/#somos</t>
  </si>
  <si>
    <t>MORIS OSVALDO HECTOR Y MORIS ALFREDO JOSE</t>
  </si>
  <si>
    <t>LAS PENCAS S.A.</t>
  </si>
  <si>
    <t>Gabino Ezeiza</t>
  </si>
  <si>
    <t>morisweaters@hotmail.com</t>
  </si>
  <si>
    <t>4769-2537</t>
  </si>
  <si>
    <t>mma@motomec.com.ar</t>
  </si>
  <si>
    <t>LAVATEL S.A.</t>
  </si>
  <si>
    <t>MOTTO S.A.</t>
  </si>
  <si>
    <t>Lavado y limpieza de artículos de tela, cuero y/o de piel, incluso la limpieza en seco</t>
  </si>
  <si>
    <t>11 4759-3564</t>
  </si>
  <si>
    <t>motto@mottocompresores.com.ar</t>
  </si>
  <si>
    <t>MOVITEC SERVICE S.R.L.</t>
  </si>
  <si>
    <t>info@movitecservice.com.ar</t>
  </si>
  <si>
    <t>MSC CONSTRUCCIONES S.R.L.</t>
  </si>
  <si>
    <t>4769-0187</t>
  </si>
  <si>
    <t>2052 Piso:PB</t>
  </si>
  <si>
    <t>Info@mscconstrucciones.com.ar</t>
  </si>
  <si>
    <t>info@myka.com.ar</t>
  </si>
  <si>
    <t>herrerías obra</t>
  </si>
  <si>
    <t>4750-5021</t>
  </si>
  <si>
    <t>ventas@naonis.com.ar</t>
  </si>
  <si>
    <t>NAROCE SOCIEDAD DE HECHO DE BOLLANTE MARONI Y BOLLANTE</t>
  </si>
  <si>
    <t>4712-5887</t>
  </si>
  <si>
    <t xml:space="preserve"> 4759-9288/37</t>
  </si>
  <si>
    <t>4712-6222</t>
  </si>
  <si>
    <t>leader-art.com.ar</t>
  </si>
  <si>
    <t>distdevoto@hotmail.com</t>
  </si>
  <si>
    <t>GUILLOTINAS, PLEGADORAS Y PRENSAS HIDRAULICAS</t>
  </si>
  <si>
    <t>Dra. Carla Leali</t>
  </si>
  <si>
    <t>4653-5358</t>
  </si>
  <si>
    <t>4653-1500</t>
  </si>
  <si>
    <t>lukkas_76@hotmail.com</t>
  </si>
  <si>
    <t>http://www.vigor.com.ar/chapasyt.htm</t>
  </si>
  <si>
    <t>necho@nechosa.com</t>
  </si>
  <si>
    <t>11-3139-3625</t>
  </si>
  <si>
    <t>4750-3525</t>
  </si>
  <si>
    <t>4734-0174</t>
  </si>
  <si>
    <t>http://www.lecitec.com.ar/</t>
  </si>
  <si>
    <t>glapinelli@nelo.com.ar</t>
  </si>
  <si>
    <t>4750-1032</t>
  </si>
  <si>
    <t>https://leducom.com.ar/</t>
  </si>
  <si>
    <t>LEGUINA HNOS S.R.L.</t>
  </si>
  <si>
    <t>Info@neocolor.com.ar</t>
  </si>
  <si>
    <t>NEOPAC S.R.L.</t>
  </si>
  <si>
    <t>Servicios relacionados con la Imprenta (Electrotipia Composición de tipo Grabado etc.)</t>
  </si>
  <si>
    <t>4653-5582</t>
  </si>
  <si>
    <t>4657-6764</t>
  </si>
  <si>
    <t>info@neopac.com.ar</t>
  </si>
  <si>
    <t>LEGUIZAMON ELVIO A Y LAZARTE MARCELO L S.H.</t>
  </si>
  <si>
    <t>NEW IRONS S.R.L.</t>
  </si>
  <si>
    <t>Servicios Notariales</t>
  </si>
  <si>
    <t>LEIDI ALEJANDRO ROMULO</t>
  </si>
  <si>
    <t>contacto@newirons.com.ar</t>
  </si>
  <si>
    <t>NEW METAL S.R.L.</t>
  </si>
  <si>
    <t>Servicios de asesoramiento, dirección y gestión empresarial realizados por integrantes de los órganos de administración y/o fiscalización en sociedades anónimas</t>
  </si>
  <si>
    <t>4488-0174</t>
  </si>
  <si>
    <t>Dr. Canepa</t>
  </si>
  <si>
    <t>newmetal@newmetal.com.ar</t>
  </si>
  <si>
    <t>NIBRE ELECT MET S.A.</t>
  </si>
  <si>
    <t>offset y digital</t>
  </si>
  <si>
    <t>Christian Gabriel Leiva</t>
  </si>
  <si>
    <t>11 3698-9498</t>
  </si>
  <si>
    <t>4712-1338 (casa)</t>
  </si>
  <si>
    <t>info@nibre.com.ar</t>
  </si>
  <si>
    <t>LEMABE SOCIEDAD ANONIMA COMERCIAL INDUSTRIAL FINAN INMOB Y A</t>
  </si>
  <si>
    <t>info@lagouluechocolatier.com</t>
  </si>
  <si>
    <t>4502-1268</t>
  </si>
  <si>
    <t>NIPLO S.R.L.</t>
  </si>
  <si>
    <t>ventas@niplo.com.ar</t>
  </si>
  <si>
    <t>NIQUELADOS SAN MARTIN S.A.</t>
  </si>
  <si>
    <t>4759-3270</t>
  </si>
  <si>
    <t>Leonismo Argentino</t>
  </si>
  <si>
    <t>c.gilabert@niquesm.com.ar</t>
  </si>
  <si>
    <t>NITROPHYL S.A.</t>
  </si>
  <si>
    <t>4751-4880</t>
  </si>
  <si>
    <t xml:space="preserve"> 15 5144-7604</t>
  </si>
  <si>
    <t>http://kiveent.wixsite.com/kiveent/mesas</t>
  </si>
  <si>
    <t>LERMAN ANDRES FERNANDO</t>
  </si>
  <si>
    <t>claudio@nitrophyl.com.ar</t>
  </si>
  <si>
    <t>NIVEL ELECTRONICA S.R.L.</t>
  </si>
  <si>
    <t>Fabricación de productos de madera N.C.P..; fabricación de artículos de paja y materiales trenzables</t>
  </si>
  <si>
    <t xml:space="preserve"> 5434-3178</t>
  </si>
  <si>
    <t>digitax@ciudad.com.ar</t>
  </si>
  <si>
    <t>LES FRANCAISES S.R.L.</t>
  </si>
  <si>
    <t>NOBER S.R.L.</t>
  </si>
  <si>
    <t>4139-5604</t>
  </si>
  <si>
    <t>info@noberargentina.com.ar</t>
  </si>
  <si>
    <t>NODULO S.A.</t>
  </si>
  <si>
    <t>LESTAMPA S.R.L.</t>
  </si>
  <si>
    <t>4759-4004</t>
  </si>
  <si>
    <t>pablocantor@nodulo.com</t>
  </si>
  <si>
    <t>NOVA TECH S.A.</t>
  </si>
  <si>
    <t>LIBERCOM S.R.L.</t>
  </si>
  <si>
    <t>Instalación, ejecución y mantenimiento de instalaciones eléctricas, electromecánicas y electrónicas N.C.P. (Incluye la instalación de antenas, pararrayos, sistemas de alarmas contr</t>
  </si>
  <si>
    <t>novatech3sa@gmail.com</t>
  </si>
  <si>
    <t>4911-8863</t>
  </si>
  <si>
    <t>4307-2074</t>
  </si>
  <si>
    <t>NUNEZ MARCELO JORGE GOMEZ LUIS ALBERTO Y PONCE OSCAR</t>
  </si>
  <si>
    <t>Marceloflorida2002@hotmail.com</t>
  </si>
  <si>
    <t>NUNIVAK S.R.L.</t>
  </si>
  <si>
    <t>Claudio Lignini</t>
  </si>
  <si>
    <t>11 3094-6287</t>
  </si>
  <si>
    <t>nunivaksrl@gmail.com</t>
  </si>
  <si>
    <t xml:space="preserve">Dante </t>
  </si>
  <si>
    <t>ventas@nunezhnos.com.ar</t>
  </si>
  <si>
    <t>11 4759-1581</t>
  </si>
  <si>
    <t>NVD DAP S.R.L.</t>
  </si>
  <si>
    <t>https://coworking.com.ar/</t>
  </si>
  <si>
    <t>LIN FU SHENG "SHENG FU"</t>
  </si>
  <si>
    <t>campoinformaticolp@gmail.com</t>
  </si>
  <si>
    <t>OB MICROSOLDADURA</t>
  </si>
  <si>
    <t>Fábricante de Fideos de arroz &amp; Fideos de trigo (apto celiacos, veganos, vegetarianos, diabeticos, hipertensos,etc.)</t>
  </si>
  <si>
    <t>Fideos sin TACC</t>
  </si>
  <si>
    <t>11 4716-1725</t>
  </si>
  <si>
    <t>https://fusheng.negocio.site/?m=true/ ig  @fideosfusheng</t>
  </si>
  <si>
    <t>LINEA MAESTRA S.R.L.</t>
  </si>
  <si>
    <t>info@microsoldadura.com.ar</t>
  </si>
  <si>
    <t>Río de la Plata</t>
  </si>
  <si>
    <t>Elaboración de Azúcar</t>
  </si>
  <si>
    <t>4841-0256</t>
  </si>
  <si>
    <t>4739-6257</t>
  </si>
  <si>
    <t>administracion@obin.com.ar</t>
  </si>
  <si>
    <t>LIPLAS S.R.L.</t>
  </si>
  <si>
    <t>OREMOR S.R.L.</t>
  </si>
  <si>
    <t>4751-4361</t>
  </si>
  <si>
    <t>rromero@sinectis.com.ar</t>
  </si>
  <si>
    <t>rebotado_inexistente</t>
  </si>
  <si>
    <t>Claudio Bortolin</t>
  </si>
  <si>
    <t>11 565-65197</t>
  </si>
  <si>
    <t>Federico Bortolin</t>
  </si>
  <si>
    <t>hola@yerbamateorigen.com.ar</t>
  </si>
  <si>
    <t>11 6641-7250</t>
  </si>
  <si>
    <t>4750-7429</t>
  </si>
  <si>
    <t>OSCAR GONZALEZ E HIJOS S.A.</t>
  </si>
  <si>
    <t>https://www.marmolesbortolin.com/</t>
  </si>
  <si>
    <t>ventas@inn-pro.com.ar</t>
  </si>
  <si>
    <t>OSCAR SANFELIU E HIJO</t>
  </si>
  <si>
    <t>Elaboración de cerveza, bebidas malteadas y malta</t>
  </si>
  <si>
    <t>15 5063-9300</t>
  </si>
  <si>
    <t>josanfeliu@live.com.ar</t>
  </si>
  <si>
    <t>OSSUR PLASTICOS S.R.L.</t>
  </si>
  <si>
    <t>Giuliana Locatelli</t>
  </si>
  <si>
    <t>11 4407-4890</t>
  </si>
  <si>
    <t>4716-6873</t>
  </si>
  <si>
    <t>info@ossurplasticos.com.ar</t>
  </si>
  <si>
    <t>4587-5165</t>
  </si>
  <si>
    <t>4759-0054</t>
  </si>
  <si>
    <t>https://www.locatellihnos.com.ar/</t>
  </si>
  <si>
    <t>OSVALDO F MARTIN S.R.L.</t>
  </si>
  <si>
    <t>osvaldofmartinsrl@gmail.com</t>
  </si>
  <si>
    <t>Servicios de mudanza (Incluye servicios de guardamuebles)</t>
  </si>
  <si>
    <t>11 5847-0021</t>
  </si>
  <si>
    <t>11 6477-5850</t>
  </si>
  <si>
    <t>https://www.logisticasmiraglia.com.ar/</t>
  </si>
  <si>
    <t>pablo.vicente@outsourcesrl.com</t>
  </si>
  <si>
    <t>OUTSOURCING DEL PLATA S.A.</t>
  </si>
  <si>
    <t>administracion@outdelplata.com.ar</t>
  </si>
  <si>
    <t>OVAL ALUMINIO S.R.L.</t>
  </si>
  <si>
    <t xml:space="preserve"> 4767-5515</t>
  </si>
  <si>
    <t>www.lomaplast.com</t>
  </si>
  <si>
    <t>LOPARDO NESTOR Y ROQUE</t>
  </si>
  <si>
    <t>ovalaluminio@gmail.com</t>
  </si>
  <si>
    <t>OXI PLAST S.R.L.</t>
  </si>
  <si>
    <t>4734-7616</t>
  </si>
  <si>
    <t>rutaplast@yahoo.com.ar</t>
  </si>
  <si>
    <t>PA. SE. T S.R.L.</t>
  </si>
  <si>
    <t>https://es-es.facebook.com/pages/biz/Area-Flex-1106119089514238/</t>
  </si>
  <si>
    <t>info@paset.com.ar</t>
  </si>
  <si>
    <t>LORD TECNOLOGIA S.A.</t>
  </si>
  <si>
    <t>PACKAGING FORCE S.A.</t>
  </si>
  <si>
    <t>packaging.force@gmail.com</t>
  </si>
  <si>
    <t>LOS PIOJOS S.R.L.</t>
  </si>
  <si>
    <t>Las Malvinas</t>
  </si>
  <si>
    <t>Distribución de filmes y videocintas</t>
  </si>
  <si>
    <t>consultaspadovani@gmail.com</t>
  </si>
  <si>
    <t>(237) 462-3974</t>
  </si>
  <si>
    <t>4842-4246</t>
  </si>
  <si>
    <t>LOS SERBIOS REFRIGERACION S.R.L.</t>
  </si>
  <si>
    <t>Reparaciones de equipos de frío</t>
  </si>
  <si>
    <t>correo@cpelectronica.com.ar</t>
  </si>
  <si>
    <t>PALOMBI HERNAN DIEGO Y ZELAYA ALDO ROBER</t>
  </si>
  <si>
    <t>11 3546-7929</t>
  </si>
  <si>
    <t>https://www.facebook.com/losserbiosrefrigeracionsr/</t>
  </si>
  <si>
    <t>carptotal@hotmail.com</t>
  </si>
  <si>
    <t>PAMPA CUEROS S.R.L.</t>
  </si>
  <si>
    <t>Venta al por mayor de equipo profesional y científico e instrumentos de medida y de control N.C.P.</t>
  </si>
  <si>
    <t>Elementos e indumentaria para seguridad industrial</t>
  </si>
  <si>
    <t>Adrian Tallarico</t>
  </si>
  <si>
    <t>11 2157-0200</t>
  </si>
  <si>
    <t>Sabrina Iacona</t>
  </si>
  <si>
    <t>11 6199-2692</t>
  </si>
  <si>
    <t>4653-2066</t>
  </si>
  <si>
    <t>4488-5595</t>
  </si>
  <si>
    <t>4488-3053</t>
  </si>
  <si>
    <t>https://www.lubeseguridad.com.ar/</t>
  </si>
  <si>
    <t>pampacuerossrl@hotmail.com</t>
  </si>
  <si>
    <t>info@panfresh.com.ar</t>
  </si>
  <si>
    <t>Equipos para Minería / Oil &amp; Gas / Constructoras</t>
  </si>
  <si>
    <t>Ing. Claudio Norberto Milman</t>
  </si>
  <si>
    <t>4139-5926</t>
  </si>
  <si>
    <t>Daniel Slongo</t>
  </si>
  <si>
    <t>4139-5026</t>
  </si>
  <si>
    <t>41395026/27</t>
  </si>
  <si>
    <t>4653-8410</t>
  </si>
  <si>
    <t>11 4477-8361 | 11 5932-4095</t>
  </si>
  <si>
    <t>http://www.lubriweb.com.ar/</t>
  </si>
  <si>
    <t>info@panbrown.com</t>
  </si>
  <si>
    <t>PANIFICADORA LOMA HERMOSA S.A. (TIO GUIS)</t>
  </si>
  <si>
    <t>Ricardo | Pablo</t>
  </si>
  <si>
    <t>Emanuel</t>
  </si>
  <si>
    <t>4488-8175</t>
  </si>
  <si>
    <t>http://www.pntlubricantes.com.ar</t>
  </si>
  <si>
    <t>contacto@aitec-ingenieria.com.ar</t>
  </si>
  <si>
    <t>LUCERO JOSE LUIS</t>
  </si>
  <si>
    <t>4769-9389</t>
  </si>
  <si>
    <t>info@pantoquimica.com.ar</t>
  </si>
  <si>
    <t>PAPELERA H V DE SCAMBATO HORACIO O Y CASINI DE SCAMBATO ADELA T SOC. H.</t>
  </si>
  <si>
    <t>LUCERO JOSE OMAR (FRINOX)</t>
  </si>
  <si>
    <t>B2B, BK, B2C</t>
  </si>
  <si>
    <t>equipamiento gastronomico profesional</t>
  </si>
  <si>
    <t>hvbolsas@gmail.com</t>
  </si>
  <si>
    <t>4750-6271</t>
  </si>
  <si>
    <t>5365-8392/93</t>
  </si>
  <si>
    <t>http://www.frinox.com.ar/</t>
  </si>
  <si>
    <t>administracion@papeleralamilagrosa.com.ar</t>
  </si>
  <si>
    <t xml:space="preserve">Fabrica de alambres para rodillos de pintura </t>
  </si>
  <si>
    <t>PARRILLAS KALI OREXI</t>
  </si>
  <si>
    <t>Nicolas Lucio</t>
  </si>
  <si>
    <t>4739-2707</t>
  </si>
  <si>
    <t>Paraná</t>
  </si>
  <si>
    <t>info@kaliorexi.com.ar</t>
  </si>
  <si>
    <t>PARTS S.A.</t>
  </si>
  <si>
    <t>4769-3150</t>
  </si>
  <si>
    <t>4769-0894</t>
  </si>
  <si>
    <t>4769-6036</t>
  </si>
  <si>
    <t>www.lukmansa.com.ar</t>
  </si>
  <si>
    <t>partssa@partssa.com.ar</t>
  </si>
  <si>
    <t>PATTINI MARIELA ALEJANDRA (BAT ALU)</t>
  </si>
  <si>
    <t>Artículos de papeleria comercial y escolar</t>
  </si>
  <si>
    <t>Jeronimo Marquez</t>
  </si>
  <si>
    <t>11 3661-0198</t>
  </si>
  <si>
    <t>Martin Salvador Pileggi</t>
  </si>
  <si>
    <t>11 5806-3850</t>
  </si>
  <si>
    <t>4734-4710</t>
  </si>
  <si>
    <t>4758-1677</t>
  </si>
  <si>
    <t>marielapattini@hotmail.com</t>
  </si>
  <si>
    <t>Bianca Perotta 11 37795-7602</t>
  </si>
  <si>
    <t>https://www.lumaproductos.com.ar/</t>
  </si>
  <si>
    <t>PEDRO D ANGELO E HIJOS S.R.L.</t>
  </si>
  <si>
    <t>M F G S.R.L.</t>
  </si>
  <si>
    <t>daniel.d@femalux.com</t>
  </si>
  <si>
    <t>PELISSETTI S.A.I.Y.C.</t>
  </si>
  <si>
    <t>4750-2353</t>
  </si>
  <si>
    <t>4382-7013</t>
  </si>
  <si>
    <t>info@pelissetti.com</t>
  </si>
  <si>
    <t>4769-8008</t>
  </si>
  <si>
    <t>www.mginstalaciones.com.ar</t>
  </si>
  <si>
    <t>M J CABLES S.R.L.</t>
  </si>
  <si>
    <t>info@pelmag.com.ar</t>
  </si>
  <si>
    <t>PENY SRL (TOPSI)</t>
  </si>
  <si>
    <t>02324 15-68-2050</t>
  </si>
  <si>
    <t>info@topsi.com.ar</t>
  </si>
  <si>
    <t>PERMETAL S.R.L.</t>
  </si>
  <si>
    <t>Juan ignacio Fresco</t>
  </si>
  <si>
    <t>permetalsrl@gmail.com</t>
  </si>
  <si>
    <t>4739-4848</t>
  </si>
  <si>
    <t>4657-2863</t>
  </si>
  <si>
    <t>http://www.johnsonelectric.com</t>
  </si>
  <si>
    <t>ventas@peters.com.ar</t>
  </si>
  <si>
    <t>Jesica</t>
  </si>
  <si>
    <t>4734-0240</t>
  </si>
  <si>
    <t xml:space="preserve"> 4758-7229</t>
  </si>
  <si>
    <t>https://www.mriplasticas.com.ar/?i=1</t>
  </si>
  <si>
    <t>gripautomacion@yahoo.com.ar</t>
  </si>
  <si>
    <t>MACAVI S.A.</t>
  </si>
  <si>
    <t>prfvsa@prfvsa.com.ar</t>
  </si>
  <si>
    <t>PETROQUIMICA TINARCA S.R.L.</t>
  </si>
  <si>
    <t>11 7020-2000</t>
  </si>
  <si>
    <t>4769-8500</t>
  </si>
  <si>
    <t>www.macavi.com.ar</t>
  </si>
  <si>
    <t>pqtinarca@tinarca.com.ar</t>
  </si>
  <si>
    <t>Fabricación de prendas de vestir y artículos similares de punto</t>
  </si>
  <si>
    <t>4734-6941</t>
  </si>
  <si>
    <t>info@phyl.com.ar</t>
  </si>
  <si>
    <t>PIGMALE S.R.L. (IL MOLISE)</t>
  </si>
  <si>
    <t>Federico Brian</t>
  </si>
  <si>
    <t>5294-8219</t>
  </si>
  <si>
    <t>11 5659-5220</t>
  </si>
  <si>
    <t>https://www.instagram.com/cerveza_kraken/?hl=es</t>
  </si>
  <si>
    <t>info@ilmolise.com.ar</t>
  </si>
  <si>
    <t>PILENZA CAYETANO Y ANTONIO</t>
  </si>
  <si>
    <t>edyfernandezc@hotmail.com</t>
  </si>
  <si>
    <t>PILI CIPRIANO (ALE MYR)</t>
  </si>
  <si>
    <t>Jose Luis Naglieri</t>
  </si>
  <si>
    <t>4557-1326</t>
  </si>
  <si>
    <t>MAHEROGA ALLEDAFE S.R.L.</t>
  </si>
  <si>
    <t>ale-myr@hotmail.com</t>
  </si>
  <si>
    <t>Pío XII</t>
  </si>
  <si>
    <t>PINERAL S.A.</t>
  </si>
  <si>
    <t>4712-0677</t>
  </si>
  <si>
    <t>adm.pineral@gmail.com</t>
  </si>
  <si>
    <t>PINTURAS GILLMORE S.R.L.</t>
  </si>
  <si>
    <t>Fabricación de herrajes y accesorios para muebles</t>
  </si>
  <si>
    <t>15 3093 -0755</t>
  </si>
  <si>
    <t>4653-3350</t>
  </si>
  <si>
    <t>info@pinturasgillmore.com.ar</t>
  </si>
  <si>
    <t>www.herrajesrimac.com.ar</t>
  </si>
  <si>
    <t>PIRKER'S S.R.L.</t>
  </si>
  <si>
    <t>MALENKA S.R.L.</t>
  </si>
  <si>
    <t>Fabricación de Accesorios de Vestir excepto de Cuero</t>
  </si>
  <si>
    <t>plasticos_ariesplast@yahoo.com.ar</t>
  </si>
  <si>
    <t>4481-6194</t>
  </si>
  <si>
    <t>PIT S.R.L.</t>
  </si>
  <si>
    <t>pitproducciones@hotmail.com</t>
  </si>
  <si>
    <t>PLASTICA TOTAL S.R.L. (BAGS PLAST)</t>
  </si>
  <si>
    <t>4654-6451</t>
  </si>
  <si>
    <t>VER AVILA MIRTA MARIA</t>
  </si>
  <si>
    <t>Garavano</t>
  </si>
  <si>
    <t>administracion@bags-plast.com.ar</t>
  </si>
  <si>
    <t>PLASTICO REFORZADO OESTE S.R.L.</t>
  </si>
  <si>
    <t>Tabiques, divisiones, mamparas</t>
  </si>
  <si>
    <t>4488-2324</t>
  </si>
  <si>
    <t>4653-5724</t>
  </si>
  <si>
    <t>www.mamparal.com</t>
  </si>
  <si>
    <t>info@plasticorefoeste.com.ar</t>
  </si>
  <si>
    <t>PLASTICOS CENTURION S.A.C.I.E.I.</t>
  </si>
  <si>
    <t>Simón Bolívar</t>
  </si>
  <si>
    <t>FABRICACION DE ARTICULODDE CUCHILLERIA Y UTENSILLOS DE MESA Y COCINA</t>
  </si>
  <si>
    <t>moldes y bandejas</t>
  </si>
  <si>
    <t xml:space="preserve">Andrea Cooper </t>
  </si>
  <si>
    <t>11 3679-9805</t>
  </si>
  <si>
    <t>Alejandra Estrada</t>
  </si>
  <si>
    <t>4088-8441</t>
  </si>
  <si>
    <t>https://www.cooperreposteria.com.ar/</t>
  </si>
  <si>
    <t>administracion@plasticoscenturion.com.ar</t>
  </si>
  <si>
    <t>PLASTICOS EL BAGUAL S.R.L.</t>
  </si>
  <si>
    <t>MANFREDI HNOS S.R.L.</t>
  </si>
  <si>
    <t>info@plasticoselbagual.com.ar</t>
  </si>
  <si>
    <t>PLASTICOS LAMY S.A.</t>
  </si>
  <si>
    <t>4734-1278</t>
  </si>
  <si>
    <t>11 4543-2466</t>
  </si>
  <si>
    <t>4750-1268</t>
  </si>
  <si>
    <t>info@pettorossi.com</t>
  </si>
  <si>
    <t>PLASTICOS SARRATEA S.R.L. (INDUSTRIAS PLATICAS PS)</t>
  </si>
  <si>
    <t>Fabricacion de mangueras</t>
  </si>
  <si>
    <t>Jose Bosch</t>
  </si>
  <si>
    <t>Alberto Mapatesta | Sergio Bosch</t>
  </si>
  <si>
    <t>4759-2355/8669</t>
  </si>
  <si>
    <t>http://www.manguerasconcord.com.ar/</t>
  </si>
  <si>
    <t>MANISOL S.R.L.</t>
  </si>
  <si>
    <t>info@plasticossarratea.com.ar</t>
  </si>
  <si>
    <t>info@plasticostextil.com.ar</t>
  </si>
  <si>
    <t>4716-6468 | 4759-4516</t>
  </si>
  <si>
    <t>6940-1595</t>
  </si>
  <si>
    <t>info@plasticosvg.com.ar</t>
  </si>
  <si>
    <t>MAP S.A.</t>
  </si>
  <si>
    <t>Berlin</t>
  </si>
  <si>
    <t>Servicio de transporte automotor de cargas N.C.P. (Incluye servicios de transporte de carga refrigerada y transporte pesado)</t>
  </si>
  <si>
    <t>info@plenario.com.ar</t>
  </si>
  <si>
    <t>(3718) 42-5999</t>
  </si>
  <si>
    <t>Herramientas odontólogicas</t>
  </si>
  <si>
    <t>Podestaconstrucciones@yahoo.com.ar</t>
  </si>
  <si>
    <t>11 4139-4696</t>
  </si>
  <si>
    <t>4734-8279</t>
  </si>
  <si>
    <t>4139-4698</t>
  </si>
  <si>
    <t>https://maptecnologia.com.ar/</t>
  </si>
  <si>
    <t>poli-flex@poli-flex.com.ar</t>
  </si>
  <si>
    <t>POLIESGOM S.R.L.</t>
  </si>
  <si>
    <t>Gustavo Bécquer</t>
  </si>
  <si>
    <t>Maquinas dobladoras de caños, aboquilladoras y matricerias</t>
  </si>
  <si>
    <t>Leonardo A. Gomez | Natalia Panozzo</t>
  </si>
  <si>
    <t>15 6558-5992 | 11 5636-4794</t>
  </si>
  <si>
    <t>info@poliesgom.com.ar</t>
  </si>
  <si>
    <t>Martin Sebastián Gómez | Norma Gomez</t>
  </si>
  <si>
    <t>11 6558-6026</t>
  </si>
  <si>
    <t>4842-4477</t>
  </si>
  <si>
    <t>POLIMEROS INDEPLAST S.R.L.</t>
  </si>
  <si>
    <t>4840-0671</t>
  </si>
  <si>
    <t>http://www.maquinariaszeziola.com/</t>
  </si>
  <si>
    <t>MAR FER S.R.L.</t>
  </si>
  <si>
    <t>indeplastsrl@gmail.com</t>
  </si>
  <si>
    <t>POLIMETAL PROCESOS S.A.</t>
  </si>
  <si>
    <t>4116-4315</t>
  </si>
  <si>
    <t>4734-4001</t>
  </si>
  <si>
    <t>polimetal@polimetal.com.ar</t>
  </si>
  <si>
    <t>Soluciones en climatización</t>
  </si>
  <si>
    <t>PORTA HNOS S.H.</t>
  </si>
  <si>
    <t>11 3369-3266</t>
  </si>
  <si>
    <t>4647-1285</t>
  </si>
  <si>
    <t>https://marclima.com.ar/</t>
  </si>
  <si>
    <t>jenicacri@hotmail.com</t>
  </si>
  <si>
    <t>Fabricación de aberturas</t>
  </si>
  <si>
    <t>Fernando Petrucci</t>
  </si>
  <si>
    <t>info@pousadagroup.com</t>
  </si>
  <si>
    <t>4750-1900</t>
  </si>
  <si>
    <t>4750-0993</t>
  </si>
  <si>
    <t>PREKING S.R.L.</t>
  </si>
  <si>
    <t>4750-0089</t>
  </si>
  <si>
    <t>marcometsa.com.ar</t>
  </si>
  <si>
    <t>recapadospreking@hotmail.com</t>
  </si>
  <si>
    <t>Mariana Monarriz</t>
  </si>
  <si>
    <t>PRESTIA CESAR DOMINGO</t>
  </si>
  <si>
    <t>11 6189-0000 | 11 3639-1818</t>
  </si>
  <si>
    <t>Diego Martinez</t>
  </si>
  <si>
    <t>4716-5874</t>
  </si>
  <si>
    <t>11 6189-1818</t>
  </si>
  <si>
    <t>11 3639-1919</t>
  </si>
  <si>
    <t>https://www.instagram.com/blancoinfantil/</t>
  </si>
  <si>
    <t>MARIANI BENEDICTO Y SALVADOR</t>
  </si>
  <si>
    <t>jabonsol@hotmail.com</t>
  </si>
  <si>
    <t>PRET SANTE S.A.</t>
  </si>
  <si>
    <t>4769-6548</t>
  </si>
  <si>
    <t>administracion@pretsante.com.ar</t>
  </si>
  <si>
    <t>PRINTERS S DE HECHO DE MARIANO JUAN CARLOS Y MARIANO JORGE DANIEL</t>
  </si>
  <si>
    <t>MARIO CARMELO VACCA Y VICENTE VACCA</t>
  </si>
  <si>
    <t>Fabricación de Tanques, Depósitos y Recipientes de Metal</t>
  </si>
  <si>
    <t>info@printersserigrafia.com.ar</t>
  </si>
  <si>
    <t>4653-4719</t>
  </si>
  <si>
    <t>PROCARTON S.A.</t>
  </si>
  <si>
    <t>MARIO E VIVALDI E HIJOS S.R.L.</t>
  </si>
  <si>
    <t>procarton@live.com</t>
  </si>
  <si>
    <t>4769-2399</t>
  </si>
  <si>
    <t>4769-5207</t>
  </si>
  <si>
    <t>www.mariovivaldiehijos.com.ar</t>
  </si>
  <si>
    <t>MARQUEZ GONDA Y CIA</t>
  </si>
  <si>
    <t>Servicios de Esparcimiento Relacionados con Juegos de Azar y Apuestas</t>
  </si>
  <si>
    <t>ventas2@eyelit.com.ar</t>
  </si>
  <si>
    <t>PROGRAMAS ASISTIR S.A.</t>
  </si>
  <si>
    <t>4488-0010</t>
  </si>
  <si>
    <t>MARRAPODI JUNTAS S.AI.Y.C.</t>
  </si>
  <si>
    <t>rodrigo_luque@hotmail.com</t>
  </si>
  <si>
    <t>PROLEK S.A.</t>
  </si>
  <si>
    <t>4551-4459</t>
  </si>
  <si>
    <t>4647-0901</t>
  </si>
  <si>
    <t>proleksa@gmail.com</t>
  </si>
  <si>
    <t>PROPLAST S.R.L.</t>
  </si>
  <si>
    <t>San José</t>
  </si>
  <si>
    <t>proplastargentinasrl@yahoo.com.ar</t>
  </si>
  <si>
    <t>PROTECHNICA S.R.L.</t>
  </si>
  <si>
    <t>Luciano Marsicovetere</t>
  </si>
  <si>
    <t>11 6600-0546</t>
  </si>
  <si>
    <t>Carolina</t>
  </si>
  <si>
    <t>11 5727-6389</t>
  </si>
  <si>
    <t>4712-1218</t>
  </si>
  <si>
    <t>https://www.oxgrips.com/</t>
  </si>
  <si>
    <t>info@protechnica-holec.com.ar</t>
  </si>
  <si>
    <t>PROYECTO AÑO 1932 S.R.L.</t>
  </si>
  <si>
    <t>4734-5308</t>
  </si>
  <si>
    <t>info@proyecto1932.com.ar</t>
  </si>
  <si>
    <t>PRUGNA S.R.L</t>
  </si>
  <si>
    <t>Fabricación de componentes electrónicos</t>
  </si>
  <si>
    <t>7726-5509</t>
  </si>
  <si>
    <t>11 6690-5194</t>
  </si>
  <si>
    <t>domihec@hotmail.com</t>
  </si>
  <si>
    <t>https://masluz.com.ar/#!/-bienvenido/?ancla=Dimension%C3%A1+tu+sistema</t>
  </si>
  <si>
    <t>PULL METAL S.A.</t>
  </si>
  <si>
    <t>info@pullmetal.com</t>
  </si>
  <si>
    <t>PUNCH QUIMICA S.A.</t>
  </si>
  <si>
    <t>15 4537-1759</t>
  </si>
  <si>
    <t>4848-2826</t>
  </si>
  <si>
    <t>punchquimica@punchquimica.com.ar</t>
  </si>
  <si>
    <t>PUPPI ENRIQUE GUSTAVO (MRK DIFUSA)</t>
  </si>
  <si>
    <t>4769-7077</t>
  </si>
  <si>
    <t>enriquepuppi@hotmail.com</t>
  </si>
  <si>
    <t>venden barbijos. Fabrican bosas</t>
  </si>
  <si>
    <t>15-5752-2954</t>
  </si>
  <si>
    <t>15 5751-8423</t>
  </si>
  <si>
    <t>4848 2826</t>
  </si>
  <si>
    <t>4848-2842</t>
  </si>
  <si>
    <t>15 5752-2954 (Nora)</t>
  </si>
  <si>
    <t>http://www.masterpolbolsas.com/</t>
  </si>
  <si>
    <t>comex@pvctecnocom.com.ar</t>
  </si>
  <si>
    <t>QUAIS S.A.</t>
  </si>
  <si>
    <t>MATERIALES PARA LA INDUSTRIA METALCOM S.R.L.</t>
  </si>
  <si>
    <t>4750 2662 | 4759 6697</t>
  </si>
  <si>
    <t>egomez@quais.com.ar</t>
  </si>
  <si>
    <t>4759-6697</t>
  </si>
  <si>
    <t>http://www.metalcom.com.ar/</t>
  </si>
  <si>
    <t>QUIDELCO S.R.L.</t>
  </si>
  <si>
    <t>MATICES CENTRO EDUCATIVO TERAPEUTICO S.A.</t>
  </si>
  <si>
    <t>Servicios de tratamiento (Incluye hemodiálisis, cobaltoterapia, etc.)</t>
  </si>
  <si>
    <t>info@quidelco.com</t>
  </si>
  <si>
    <t>QUIMICA CASEROS S.R.L.</t>
  </si>
  <si>
    <t>4716-5282</t>
  </si>
  <si>
    <t>quimicacaseros@hotmail.com</t>
  </si>
  <si>
    <t>QUÍMICA CIUDADELA S.R.L.</t>
  </si>
  <si>
    <t>4759-0732</t>
  </si>
  <si>
    <t>info@unitsa.com.ar</t>
  </si>
  <si>
    <t>Limitador de velocidad y accesorios de seguridad para ascensores</t>
  </si>
  <si>
    <t>Hernan Iannello</t>
  </si>
  <si>
    <t>R CANTON CIA S.A.</t>
  </si>
  <si>
    <t>4657-7170</t>
  </si>
  <si>
    <t>http://matriceriaha.com.ar/</t>
  </si>
  <si>
    <t>Mateo Etchegaray</t>
  </si>
  <si>
    <t>fabricación de partes, piezas y accesorios para vehículos</t>
  </si>
  <si>
    <t>bisagrascanton@gmail.com</t>
  </si>
  <si>
    <t>Daniel</t>
  </si>
  <si>
    <t>R K S BEARING ARGENTINA S.A.</t>
  </si>
  <si>
    <t>Alejandro</t>
  </si>
  <si>
    <t>4658-1704</t>
  </si>
  <si>
    <t>4656-3195</t>
  </si>
  <si>
    <t>https://www.mbautopiezas.com/</t>
  </si>
  <si>
    <t>MATRIESTAMP S.R.L.</t>
  </si>
  <si>
    <t>info@bearing.com.ar</t>
  </si>
  <si>
    <t>R.F. GOMA S.R.L.</t>
  </si>
  <si>
    <t>4758-8718</t>
  </si>
  <si>
    <t>MAX HERRAJES S.R.L.</t>
  </si>
  <si>
    <t>info@evegomargentina.com.ar</t>
  </si>
  <si>
    <t>RAFAEL OSVALDO Y RICARDO OSCAR CAFARELLI</t>
  </si>
  <si>
    <t>Bianca</t>
  </si>
  <si>
    <t>4716-1871</t>
  </si>
  <si>
    <t>4716-4229</t>
  </si>
  <si>
    <t>rocafarelli@hotmail.com.ar</t>
  </si>
  <si>
    <t>http://www.maxherrajes.com/</t>
  </si>
  <si>
    <t>MAXCYL ENSAYOS NO DESTRUCTIVOS S.A.</t>
  </si>
  <si>
    <t>Bernardo Metzig</t>
  </si>
  <si>
    <t>Ensayos y análisis técnicos</t>
  </si>
  <si>
    <t>RAMOS PACK S.R.L.</t>
  </si>
  <si>
    <t>4731-2279</t>
  </si>
  <si>
    <t>4731-0728</t>
  </si>
  <si>
    <t>MAXICOLOR S.R.L.</t>
  </si>
  <si>
    <t>consultas@ramospack.com.ar</t>
  </si>
  <si>
    <t>RAMOS RUIZ JOSE ANTONIO (SMART &amp; GREEN ENERGY S.R.L.)</t>
  </si>
  <si>
    <t>862-4483</t>
  </si>
  <si>
    <t>jaramos70@hotmail.com</t>
  </si>
  <si>
    <t>RAULI AMOBLAMIENTOS S.R.L.</t>
  </si>
  <si>
    <t>Guillermo Gomez</t>
  </si>
  <si>
    <t>11 5652-7708</t>
  </si>
  <si>
    <t>4734-2588</t>
  </si>
  <si>
    <t>4750-9987</t>
  </si>
  <si>
    <t>info@rauli-srl.com.ar</t>
  </si>
  <si>
    <t>http://www.mayratexsrl.com</t>
  </si>
  <si>
    <t>Servicios de arquitectura e ingenieria y servicios conexos de asesoramiento técnico N.C.P.</t>
  </si>
  <si>
    <t>Diego (Admin.)</t>
  </si>
  <si>
    <t>resaind@gmail.com</t>
  </si>
  <si>
    <t>11 6399-2902</t>
  </si>
  <si>
    <t>RECIPET S.R.L.</t>
  </si>
  <si>
    <t>4750-2836</t>
  </si>
  <si>
    <t>https://servi-maz.com.ar/</t>
  </si>
  <si>
    <t>recipet@recipet.com.ar</t>
  </si>
  <si>
    <t>Galletitas naturales</t>
  </si>
  <si>
    <t>7711-5326</t>
  </si>
  <si>
    <t>info@redcomsa.com.ar</t>
  </si>
  <si>
    <t>RELLENOS ELECTRONICOS VIALES S.R.L.</t>
  </si>
  <si>
    <t>gallybell.com.ar</t>
  </si>
  <si>
    <t>ventas@rellenoselectronicos.com</t>
  </si>
  <si>
    <t>REMATEX S.R.L.</t>
  </si>
  <si>
    <t>11 6636-9813</t>
  </si>
  <si>
    <t>https://www.instagram.com/mcmtermoformado/</t>
  </si>
  <si>
    <t>rematexsrl@yahoo.com.ar</t>
  </si>
  <si>
    <t>Fabricación de Maquinaria para la Industria del Papel y las Artes Graficas</t>
  </si>
  <si>
    <t>4653-2190</t>
  </si>
  <si>
    <t>ventas@remparksrl.com.ar</t>
  </si>
  <si>
    <t>4653-1750</t>
  </si>
  <si>
    <t>http://mdc-impresiones.com.ar/index.html</t>
  </si>
  <si>
    <t>REMSSI S.R.L.</t>
  </si>
  <si>
    <t>MECANISMOS KARMA</t>
  </si>
  <si>
    <t>Claudio | Jimena Maña</t>
  </si>
  <si>
    <t>hremedi@remssi.com.ar</t>
  </si>
  <si>
    <t>4759-4536</t>
  </si>
  <si>
    <t>RENES WALTER NESTOR (METAL SHOT)</t>
  </si>
  <si>
    <t>Fabricación de maquinaria para la explotación de minas y canteras y para obras de construcción (Incluye la fabricación de máquinas y equipos viales, equipos para la extracción de p</t>
  </si>
  <si>
    <t>hormigoneras, carretillas y andamios</t>
  </si>
  <si>
    <t>metalshot@hotmail.com</t>
  </si>
  <si>
    <t>REPOSSI ARTURO CARLOS (FLITROS VOKES)</t>
  </si>
  <si>
    <t>4759-8389</t>
  </si>
  <si>
    <t>4734-4833</t>
  </si>
  <si>
    <t>Fax: 4759-8389</t>
  </si>
  <si>
    <t>http://www.mecanobrasrl.com.ar/ofertas.php3</t>
  </si>
  <si>
    <t>info@filtrosvokes.com.ar</t>
  </si>
  <si>
    <t>4750-5488</t>
  </si>
  <si>
    <t>medamil.com.ar</t>
  </si>
  <si>
    <t>buenavida750@hotmail.com</t>
  </si>
  <si>
    <t>RESORTES CASTAÑO S.R.L.</t>
  </si>
  <si>
    <t>Cerveza boutique</t>
  </si>
  <si>
    <t>15 5012-2383</t>
  </si>
  <si>
    <t>Maricel Otero</t>
  </si>
  <si>
    <t>11 5012-2383</t>
  </si>
  <si>
    <t>http://www.nasterea.com.ar/#!/-bienvenidos/</t>
  </si>
  <si>
    <t>ventas@resortescastano.com.ar</t>
  </si>
  <si>
    <t>Emiliano Ricco</t>
  </si>
  <si>
    <t>11 4587-5196 / 97</t>
  </si>
  <si>
    <t>https://megamec.com.ar/</t>
  </si>
  <si>
    <t>fsalmeron@riasa.com.ar</t>
  </si>
  <si>
    <t>RICAMBI AUTO SPORT S.R.L.</t>
  </si>
  <si>
    <t>4769-0201</t>
  </si>
  <si>
    <t>http://melesiasrl.com.ar/</t>
  </si>
  <si>
    <t>info@gespannt.com.ar</t>
  </si>
  <si>
    <t>RILIEVI LUIS CESAR (CASA VICTOR)</t>
  </si>
  <si>
    <t>Jesica Calabró</t>
  </si>
  <si>
    <t>11 3196-6428</t>
  </si>
  <si>
    <t>4769-2157</t>
  </si>
  <si>
    <t>4848-4442</t>
  </si>
  <si>
    <t>luisrilievi@hotmail.com</t>
  </si>
  <si>
    <t>www.menaje-elsiglo.com</t>
  </si>
  <si>
    <t>RINALDI CONFEZIONE S.R.L.</t>
  </si>
  <si>
    <t>Fabricacion de reuestos para maquinas</t>
  </si>
  <si>
    <t>Daniel Alberto Mendez</t>
  </si>
  <si>
    <t>rinaldi.confezione@gmail.com</t>
  </si>
  <si>
    <t>4653-3944</t>
  </si>
  <si>
    <t>RIOM S.A.I.C.E.I.</t>
  </si>
  <si>
    <t>4657-2259</t>
  </si>
  <si>
    <t>MENYAZ S.R.L.</t>
  </si>
  <si>
    <t>impulsora@impulsora.com.ar</t>
  </si>
  <si>
    <t>Yonatan.ferreri@rivasa.com</t>
  </si>
  <si>
    <t>RO EXPRESS S.R.L.</t>
  </si>
  <si>
    <t>Herrajes plásticos</t>
  </si>
  <si>
    <t>Andres Capriati</t>
  </si>
  <si>
    <t>4488-6689</t>
  </si>
  <si>
    <t xml:space="preserve"> 4657-7312</t>
  </si>
  <si>
    <t>http://mercomac.com.ar/</t>
  </si>
  <si>
    <t>Info@roexpress.com.ar</t>
  </si>
  <si>
    <t>4568-2970</t>
  </si>
  <si>
    <t>4567-3717</t>
  </si>
  <si>
    <t>4734-5100</t>
  </si>
  <si>
    <t>mercoplast.com.ar</t>
  </si>
  <si>
    <t>MERCOREF S.R.L.</t>
  </si>
  <si>
    <t>info@rocagriferia.com.ar</t>
  </si>
  <si>
    <t>4657-1014</t>
  </si>
  <si>
    <t>Ascasubi</t>
  </si>
  <si>
    <t>info@mtnico.com.ar</t>
  </si>
  <si>
    <t>RODRIGUEZ MARCELO JULIAN (BARRAS OLIMPICAS JR)</t>
  </si>
  <si>
    <t>Embotelladora, cintas</t>
  </si>
  <si>
    <t>4841-3555 | 4840-0545</t>
  </si>
  <si>
    <t>4841-4887</t>
  </si>
  <si>
    <t>4841-1034</t>
  </si>
  <si>
    <t>http://www.mercuriehijos.com.ar/</t>
  </si>
  <si>
    <t>consultas@barrasolimpicasjr.com.ar</t>
  </si>
  <si>
    <t>4653-7997</t>
  </si>
  <si>
    <t>4653-7676</t>
  </si>
  <si>
    <t>comercioexterior@rerar.com.ar</t>
  </si>
  <si>
    <t>4488-9518</t>
  </si>
  <si>
    <t>http://mpapaianni.com.ar/espanol.htm</t>
  </si>
  <si>
    <t>ROTH MARIO LEONARDO (TERMOMECANICA MR)</t>
  </si>
  <si>
    <t>ventastermomecanicamr@hotmail.com</t>
  </si>
  <si>
    <t>ROTOMPLAST S.A.</t>
  </si>
  <si>
    <t>administracion@rotomplastsa.com.ar</t>
  </si>
  <si>
    <t>RUBBER SERVICE S.R.L.</t>
  </si>
  <si>
    <t>Venta al por mayor de equipo profesional y científico e instrumentos de medida de control N.C.P.</t>
  </si>
  <si>
    <t>4334-8592</t>
  </si>
  <si>
    <t>4342-8592</t>
  </si>
  <si>
    <t>https://messmedicion.com.ar/</t>
  </si>
  <si>
    <t>eovejero@rubberservice.com.ar</t>
  </si>
  <si>
    <t>RUCAMET S.R.L.</t>
  </si>
  <si>
    <t>gavetas@rucametsrl.com.ar</t>
  </si>
  <si>
    <t>Venta al por mayor de bebidas alcohólicas N.C.P.</t>
  </si>
  <si>
    <t>S3 HERRAMIENTAS S.R.L.</t>
  </si>
  <si>
    <t>Cerveza artesanal</t>
  </si>
  <si>
    <t>Gaston Chauchard</t>
  </si>
  <si>
    <t>11 3484-4333</t>
  </si>
  <si>
    <t>11 5416-8325</t>
  </si>
  <si>
    <t>https://mestanostra.com/</t>
  </si>
  <si>
    <t>mauro@s3herramientas.com.ar</t>
  </si>
  <si>
    <t>nhr@nhr-bienesraices.com</t>
  </si>
  <si>
    <t>SAENZ BRIONES Y CIA S.A.I.C.</t>
  </si>
  <si>
    <t>http://www.mestapen.com/</t>
  </si>
  <si>
    <t>MET INTEGRAL S.R.L.</t>
  </si>
  <si>
    <t>atencionalconsumidor@ccu.com.ar</t>
  </si>
  <si>
    <t>SAESFI S.R.L.</t>
  </si>
  <si>
    <t>4734-1174</t>
  </si>
  <si>
    <t>info@saesfi.com.ar</t>
  </si>
  <si>
    <t>SAMATEX S.R.L.</t>
  </si>
  <si>
    <t>Alberto Tassila</t>
  </si>
  <si>
    <t>4750-5890</t>
  </si>
  <si>
    <t>4716-0203</t>
  </si>
  <si>
    <t>https://metacsa.com/</t>
  </si>
  <si>
    <t>samatex@gmail.com</t>
  </si>
  <si>
    <t>SAN CAYETANO 07 S.R.L.</t>
  </si>
  <si>
    <t>Industria manufacturera</t>
  </si>
  <si>
    <t>san-cayetano_07_@hotmail.com</t>
  </si>
  <si>
    <t>Damian Crispino</t>
  </si>
  <si>
    <t>11 4067-8489</t>
  </si>
  <si>
    <t>SAN TELMO EQUIPAMIENTOS S.A. (STESA)</t>
  </si>
  <si>
    <t>11 4750-9143</t>
  </si>
  <si>
    <t>http://www.metalcrispino.com/</t>
  </si>
  <si>
    <t>santelmoequipamientos@yahoo.com.ar</t>
  </si>
  <si>
    <t>SANCHEZ OLIVARES LUIS ALBERTO</t>
  </si>
  <si>
    <t>Nestor Hugo Fabian Joffe</t>
  </si>
  <si>
    <t>luis_kaybar@hotmail.com</t>
  </si>
  <si>
    <t>4750-2316</t>
  </si>
  <si>
    <t>4750-2940</t>
  </si>
  <si>
    <t>4750-9143</t>
  </si>
  <si>
    <t>SANSONE JUAN CARLOS Y SANSONE DIEGO</t>
  </si>
  <si>
    <t>http://www.mironycrispino.com.ar/</t>
  </si>
  <si>
    <t>METAL DEEP S.R.L.</t>
  </si>
  <si>
    <t>administracion@jcsansone.com.ar</t>
  </si>
  <si>
    <t>SANTOS PAPELERA Y ENVASES S.A.</t>
  </si>
  <si>
    <t>4488-8332</t>
  </si>
  <si>
    <t>https://metaldeep.com/</t>
  </si>
  <si>
    <t>METAL DESPLEGADO FENIX S.R.L.</t>
  </si>
  <si>
    <t>ventas@pelpak.com.ar</t>
  </si>
  <si>
    <t>SARTI ORLANDO MARIO (OSPACK)</t>
  </si>
  <si>
    <t>11 7148-0876</t>
  </si>
  <si>
    <t>ospack@ospack.com.ar</t>
  </si>
  <si>
    <t>SAUCE TROQUELADOS S.A.</t>
  </si>
  <si>
    <t>METAL HARD S.R.L.</t>
  </si>
  <si>
    <t>saucetroquelados@hotmail.com</t>
  </si>
  <si>
    <t>11 4750-5607</t>
  </si>
  <si>
    <t>SBRANCIA Y COSTA S.R.L.</t>
  </si>
  <si>
    <t>METAL RUGG S.R.L.</t>
  </si>
  <si>
    <t>juanpablosbrancia@live.com.ar</t>
  </si>
  <si>
    <t>11 6080-8693</t>
  </si>
  <si>
    <t>SCARLI RICARDO MARIO</t>
  </si>
  <si>
    <t>Venta al por mayor de productos intermedios N.C.P., desperdicios y desechos metálicos (incluye chatarra, viruta de metales diversos, etc.)</t>
  </si>
  <si>
    <t>scali@scali.com.ar</t>
  </si>
  <si>
    <t>SCARSI HERNAN JAVIER (LA ALDEA)</t>
  </si>
  <si>
    <t>Victor Correa (Titular)</t>
  </si>
  <si>
    <t>11 5698-7073</t>
  </si>
  <si>
    <t>11-4194-6355</t>
  </si>
  <si>
    <t>METALCOLOR S.A.</t>
  </si>
  <si>
    <t>consultas@alfajoreslaaldea.com</t>
  </si>
  <si>
    <t>SCHMIDT OSCAR FEDERICO</t>
  </si>
  <si>
    <t xml:space="preserve"> 4769-0174</t>
  </si>
  <si>
    <t>METALCYCLES S.R.L.</t>
  </si>
  <si>
    <t>faimet@faimet.com.ar</t>
  </si>
  <si>
    <t>Hilario Ascasubi</t>
  </si>
  <si>
    <t>SCOLLO S.R.L.</t>
  </si>
  <si>
    <t>Fabricación de Bicicletas y de Sillones de Ruedas para Inválidos</t>
  </si>
  <si>
    <t>4842-4471</t>
  </si>
  <si>
    <t>4842-4464</t>
  </si>
  <si>
    <t>scollosrl@hotmail.com</t>
  </si>
  <si>
    <t>SEGOVIA MARIA DEL ROSARIO</t>
  </si>
  <si>
    <t>METALPAR ARGENTINA S.A.</t>
  </si>
  <si>
    <t>maria_rsegovia@yahoo.com.ar</t>
  </si>
  <si>
    <t>4841-8900</t>
  </si>
  <si>
    <t>SEMAT ARGENTINA S.R.L.</t>
  </si>
  <si>
    <t>www.metalpar.com.ar</t>
  </si>
  <si>
    <t>METALPLEG S.R.L.</t>
  </si>
  <si>
    <t>Corte y plegado de chapas</t>
  </si>
  <si>
    <t>dgurevich@semat.com.ar</t>
  </si>
  <si>
    <t>SEÑOR DE SIPAN S.R.L.</t>
  </si>
  <si>
    <t>4842-2920</t>
  </si>
  <si>
    <t>4842-7169</t>
  </si>
  <si>
    <t>sipan@sipansingluten.com.ar</t>
  </si>
  <si>
    <t>SERCONTEX S.R.L.</t>
  </si>
  <si>
    <t>11 4859-3980</t>
  </si>
  <si>
    <t>4790-6135</t>
  </si>
  <si>
    <t>11 6873-7059</t>
  </si>
  <si>
    <t>https://metalurgicabarbera.com.ar/index.php/contacto/</t>
  </si>
  <si>
    <t>sertbling87@hotmail.com</t>
  </si>
  <si>
    <t>SERI JORGE SALVADOR (FRIGORIFICO ATUEL)</t>
  </si>
  <si>
    <t>4255 / 57</t>
  </si>
  <si>
    <t>frigorificoatuel@gmail.com</t>
  </si>
  <si>
    <t>Fabricación e instalación de productos contra incendios</t>
  </si>
  <si>
    <t>11 4653-1863</t>
  </si>
  <si>
    <t>https://atk.com.ar/</t>
  </si>
  <si>
    <t>fabian.fernandez@serviciosff.com.ar</t>
  </si>
  <si>
    <t>SERVICIOS QUIMICOS S.A.</t>
  </si>
  <si>
    <t>METALURGICA ALIANZA S.R.L.</t>
  </si>
  <si>
    <t>Ultraleadchemical@sion.com</t>
  </si>
  <si>
    <t>4750-1722</t>
  </si>
  <si>
    <t>SESEKAP S.R.L.</t>
  </si>
  <si>
    <t>METALURGICA BALBUENA HNOS S.R.L.</t>
  </si>
  <si>
    <t>Einstein</t>
  </si>
  <si>
    <t>sergiokaplan@hotmail.com</t>
  </si>
  <si>
    <t>https://www.facebook.com/p/Metalurgica-Balbuena-Hnos-100080618641783/?locale=ru_RU</t>
  </si>
  <si>
    <t>industria@sherwin.com.ar</t>
  </si>
  <si>
    <t>METALURGICA BELCER S.A.</t>
  </si>
  <si>
    <t>info@shiai.com.ar</t>
  </si>
  <si>
    <t>4712-0219</t>
  </si>
  <si>
    <t>SIAV</t>
  </si>
  <si>
    <t>METALURGICA BELEN S.R.L.</t>
  </si>
  <si>
    <t>siav@hotmail.com.ar</t>
  </si>
  <si>
    <t>fabrican camas de caño</t>
  </si>
  <si>
    <t>Pablo Ballerini</t>
  </si>
  <si>
    <t>SIGN FACTORY S.A.</t>
  </si>
  <si>
    <t>11 6488-0828</t>
  </si>
  <si>
    <t>abarreira@creavis.com.ar</t>
  </si>
  <si>
    <t>4759-1257 | 47506617</t>
  </si>
  <si>
    <t>4750-5178</t>
  </si>
  <si>
    <t>4750-0196</t>
  </si>
  <si>
    <t>http://www.bulcar.com.ar/new/</t>
  </si>
  <si>
    <t>METALURGICA CAPUA S.R.L.</t>
  </si>
  <si>
    <t>blanco.ines@ar.sika.com</t>
  </si>
  <si>
    <t>7513-3199</t>
  </si>
  <si>
    <t>METALURGICA CAUDAL S.R.L.</t>
  </si>
  <si>
    <t>comercial@calefactorescalden.com.ar</t>
  </si>
  <si>
    <t>SINIS S.R.L. (SINIS S.A.)</t>
  </si>
  <si>
    <t>4750-2824</t>
  </si>
  <si>
    <t>METALURGICA CB S.R.L.</t>
  </si>
  <si>
    <t>info@leiten.com.ar</t>
  </si>
  <si>
    <t>SIP PUBLICIDAD S.R.L.</t>
  </si>
  <si>
    <t>11 6365-3788</t>
  </si>
  <si>
    <t>METALURGICA CIUDADELA DE BONANNO OMAR NESTOR Y GUARDIOLA NES</t>
  </si>
  <si>
    <t>info@sippublicidad.com.ar</t>
  </si>
  <si>
    <t>Embragues</t>
  </si>
  <si>
    <t>Bonanno</t>
  </si>
  <si>
    <t>4653-2006</t>
  </si>
  <si>
    <t>4653-7617</t>
  </si>
  <si>
    <t>653-7617</t>
  </si>
  <si>
    <t>METALURGICA CLEMENTE E HIJOS S.R.L.</t>
  </si>
  <si>
    <t>ventas@sippublicidad.com.ar</t>
  </si>
  <si>
    <t>4841-5283</t>
  </si>
  <si>
    <t>info@sistemasenergeticos.com.ar</t>
  </si>
  <si>
    <t>SISTEPLAST S.R.L.</t>
  </si>
  <si>
    <t>Silos</t>
  </si>
  <si>
    <t>Roberto A Colla (Director)</t>
  </si>
  <si>
    <t>Pablo s. Blason (Director)</t>
  </si>
  <si>
    <t>4805-3968</t>
  </si>
  <si>
    <t>4757-6119 /7974/8115/8018</t>
  </si>
  <si>
    <t>http://www.metalurgicacolla.com.ar/</t>
  </si>
  <si>
    <t>sisteplast@yahoo.com.ar</t>
  </si>
  <si>
    <t>METALURGICA CORDERO S.R.L.</t>
  </si>
  <si>
    <t>info@skylift.com.ar</t>
  </si>
  <si>
    <t>SKYNF ELEVADORES S.R.L (NFECOMPANY S.R.L.)</t>
  </si>
  <si>
    <t>ogueta.n@gmail.com</t>
  </si>
  <si>
    <t>Alberto Trigal (Presidente)</t>
  </si>
  <si>
    <t>11 4569-0270</t>
  </si>
  <si>
    <t>Cristian A. Saporito</t>
  </si>
  <si>
    <t>11 6469-6193</t>
  </si>
  <si>
    <t xml:space="preserve"> 4739-4336</t>
  </si>
  <si>
    <t>www.dakot.com.ar</t>
  </si>
  <si>
    <t>comercial@pastasorali.com</t>
  </si>
  <si>
    <t>SODPINT COLOR S.R.L.</t>
  </si>
  <si>
    <t>productos metálicos orientados al rubro textil, calzado y marroquinería.</t>
  </si>
  <si>
    <t>Lorena Grichuk</t>
  </si>
  <si>
    <t>4848-4443</t>
  </si>
  <si>
    <t>damec.com.ar</t>
  </si>
  <si>
    <t>sodpintcolorsrl@hotmail.com</t>
  </si>
  <si>
    <t>SOFIA BS AS S.R.L.</t>
  </si>
  <si>
    <t>11-6546-3870</t>
  </si>
  <si>
    <t>4654-8088</t>
  </si>
  <si>
    <t>4656-6419</t>
  </si>
  <si>
    <t>calzados-sofia@hotmail.com</t>
  </si>
  <si>
    <t>SOLYON ARGENTINA S.A.</t>
  </si>
  <si>
    <t>METALURGICA DIS HER S.R.L.</t>
  </si>
  <si>
    <t>solyon@solyon.com.ar</t>
  </si>
  <si>
    <t>SORICE DANIEL Y DAUD OSCAR S.H.</t>
  </si>
  <si>
    <t>769-2338</t>
  </si>
  <si>
    <t>Gral. Araoz de Lamadrid</t>
  </si>
  <si>
    <t>dana2083_74@hotmail.com</t>
  </si>
  <si>
    <t>11 6096-9883</t>
  </si>
  <si>
    <t>https://www.metalurgicaecas.com.ar/</t>
  </si>
  <si>
    <t>juanpablomorello@gmail.com</t>
  </si>
  <si>
    <t>SOVIC S.A. (ACYTRA)</t>
  </si>
  <si>
    <t>METALURGICA EKAR S.A.I.C.F.I.A.</t>
  </si>
  <si>
    <t>seguridad@acytra.com</t>
  </si>
  <si>
    <t>SPINA HNOS S.R.L.</t>
  </si>
  <si>
    <t>4750-3131</t>
  </si>
  <si>
    <t>https://twitter.com/metalurgicaekar</t>
  </si>
  <si>
    <t>spinahnos@hotmail.com</t>
  </si>
  <si>
    <t>ST TRATAMIENTOS SRL S.R.L.</t>
  </si>
  <si>
    <t>METALURGICA FLORIDA S.R.L.</t>
  </si>
  <si>
    <t>sttratamientos@gmail.com</t>
  </si>
  <si>
    <t>4769-2152</t>
  </si>
  <si>
    <t>STANFOR S.R.L.</t>
  </si>
  <si>
    <t>info@stanforsrl.com.ar</t>
  </si>
  <si>
    <t>STARLIGHT ELECTRONICA S.R.L.</t>
  </si>
  <si>
    <t>4841-1611</t>
  </si>
  <si>
    <t>4506-1437</t>
  </si>
  <si>
    <t>www.gama2.com.ar</t>
  </si>
  <si>
    <t>METALURGICA GIAMPETRUZZI HNOS</t>
  </si>
  <si>
    <t>M. Petkovic</t>
  </si>
  <si>
    <t>claudio@starlight.com.ar</t>
  </si>
  <si>
    <t>4023-0652</t>
  </si>
  <si>
    <t>METALURGICA GIAMPETRUZZI HNOS (GIAMPETRUZZI MARTIN)</t>
  </si>
  <si>
    <t>ventas@starpack.com.ar</t>
  </si>
  <si>
    <t>Aristobulo del valle</t>
  </si>
  <si>
    <t>Fabricacion de productos metalicos de torneria y/o matriceria</t>
  </si>
  <si>
    <t>11 4023-0652</t>
  </si>
  <si>
    <t>4750-7873</t>
  </si>
  <si>
    <t>startec@startec.com.ar</t>
  </si>
  <si>
    <t>STAWILA S.A.</t>
  </si>
  <si>
    <t>Aristobulo del Valle</t>
  </si>
  <si>
    <t>Domingo o Martin Giampetruzzi</t>
  </si>
  <si>
    <t>5435-3150</t>
  </si>
  <si>
    <t>stawilasa@gmail.com</t>
  </si>
  <si>
    <t>STIC S.A.</t>
  </si>
  <si>
    <t>La Matanza</t>
  </si>
  <si>
    <t>Fabricación de herramientas manueles y sus accesorios</t>
  </si>
  <si>
    <t>Fabricacion de cuchillas</t>
  </si>
  <si>
    <t>carlosasabas@yahoo.com.ar</t>
  </si>
  <si>
    <t>Jose Díaz</t>
  </si>
  <si>
    <t>11 6133-4150</t>
  </si>
  <si>
    <t>STOLMAR S.A.</t>
  </si>
  <si>
    <t>4655-1043</t>
  </si>
  <si>
    <t>METALURGICA LEO S.R.L.</t>
  </si>
  <si>
    <t>info@stolmar.com.ar</t>
  </si>
  <si>
    <t>STRAPING S.R.L.</t>
  </si>
  <si>
    <t>11 4709-0774</t>
  </si>
  <si>
    <t>http://www.autopartesleo.com.ar/</t>
  </si>
  <si>
    <t>strapingsrl@gmail.com</t>
  </si>
  <si>
    <t>Elvira Biscay</t>
  </si>
  <si>
    <t xml:space="preserve">4750 7656 </t>
  </si>
  <si>
    <t>florenciacali@outlook.com</t>
  </si>
  <si>
    <t>SUCESION DE MARTONE GUIDO HERALDO (INDUSTRIAS PLÁSTICAS GUIMAR)</t>
  </si>
  <si>
    <t>METALURGICA M Y S S.R.L.</t>
  </si>
  <si>
    <t>4757-2301</t>
  </si>
  <si>
    <t>industriaplasticaguimar@gmail.com</t>
  </si>
  <si>
    <t>SUCESION DE ROUCO JOSE LUIS</t>
  </si>
  <si>
    <t>METALURGICA MACO DE BIONDINI OSCAR Y BIONDINI CARLOS</t>
  </si>
  <si>
    <t>San Eduardo</t>
  </si>
  <si>
    <t>tomawatstoel@gmail.com</t>
  </si>
  <si>
    <t>SUDAMERICANA EQUIPAMIENTOS S.A.</t>
  </si>
  <si>
    <t>11 4657-0035</t>
  </si>
  <si>
    <t>ventas@sudequipamientos.com.ar</t>
  </si>
  <si>
    <t>Herrería de obra y a domicilio, dobladodecaños y planchuelas, portones automaticos</t>
  </si>
  <si>
    <t>SULAHIAN HNOS S.R.L.</t>
  </si>
  <si>
    <t>15 4447-7167</t>
  </si>
  <si>
    <t>11 4447-6976</t>
  </si>
  <si>
    <t>5435-5324</t>
  </si>
  <si>
    <t>https://www.instagram.com/metalurgica_magarelli_e_hijos/</t>
  </si>
  <si>
    <t>METALURGICA MALDONADO</t>
  </si>
  <si>
    <t>dani_n12@hotmail.com</t>
  </si>
  <si>
    <t>Alfonsina Storni</t>
  </si>
  <si>
    <t>4659-0498</t>
  </si>
  <si>
    <t>m.polito@sulfoquimica.com.ar</t>
  </si>
  <si>
    <t>SUMAR CONSTRUCCIONES S.R.L.</t>
  </si>
  <si>
    <t>Miguel Miele (Director)</t>
  </si>
  <si>
    <t>15 5175-1344</t>
  </si>
  <si>
    <t>4769-5216</t>
  </si>
  <si>
    <t>4769-7254</t>
  </si>
  <si>
    <t>http://www.metalurgicamiele.com.ar/</t>
  </si>
  <si>
    <t>4654-1382</t>
  </si>
  <si>
    <t>emsu_h@yahoo.com.ar</t>
  </si>
  <si>
    <t>https://www.metalurgicamora.com.ar/</t>
  </si>
  <si>
    <t>SUMINISTROS ELECTRICOS ESPECIALES S.R.L.</t>
  </si>
  <si>
    <t>METALURGICA NAMUNCURA S.R.L.</t>
  </si>
  <si>
    <t>ventas@sumelec.com.ar</t>
  </si>
  <si>
    <t>6714-0297</t>
  </si>
  <si>
    <t>SUPER ESTANT S.R.L.</t>
  </si>
  <si>
    <t>4759-9187</t>
  </si>
  <si>
    <t>info@superestant.com.ar</t>
  </si>
  <si>
    <t>Francisco Nicoletta (Socio Gerente)</t>
  </si>
  <si>
    <t>4759-4233</t>
  </si>
  <si>
    <t>info@surgicalsupply.com.ar</t>
  </si>
  <si>
    <t>4759-9620</t>
  </si>
  <si>
    <t>www.metalurgicanicoletta.com</t>
  </si>
  <si>
    <t>SUROSAL S.R.L.</t>
  </si>
  <si>
    <t>METALURGICA ORO DE RICCO HECTOR Y RICCO ROBERTO</t>
  </si>
  <si>
    <t>surosal_srl@yahoo.com.ar</t>
  </si>
  <si>
    <t>SWEARTERS ROMANO S.R.L.</t>
  </si>
  <si>
    <t>4750-8559</t>
  </si>
  <si>
    <t>4734-5525</t>
  </si>
  <si>
    <t>4750-6544</t>
  </si>
  <si>
    <t>METALURGICA PADIDA S.A.</t>
  </si>
  <si>
    <t>sweatersromano@gmail.com</t>
  </si>
  <si>
    <t>SYNCRO S.R.L.</t>
  </si>
  <si>
    <t>4848-4048</t>
  </si>
  <si>
    <t>4739-1614</t>
  </si>
  <si>
    <t>METALURGICA PAMA S.R.L.</t>
  </si>
  <si>
    <t>syncrosrl.sye@gmail.com</t>
  </si>
  <si>
    <t>SYSSEL SOCIEDAD DE RESPONSABILIDAD LIMITADA</t>
  </si>
  <si>
    <t>4716-4800</t>
  </si>
  <si>
    <t>rodrigojose@hotmail.com.ar</t>
  </si>
  <si>
    <t>TABOADA CECILIA ANA</t>
  </si>
  <si>
    <t>Trabajos con materiales inoxidables con estándares de terminación, planchas de aluminio</t>
  </si>
  <si>
    <t>11 5023-3948</t>
  </si>
  <si>
    <t>11 4653-7727</t>
  </si>
  <si>
    <t>https://metalurgicapellegrini.com/index.html</t>
  </si>
  <si>
    <t>jorgetaboadaterrajas@yahoo.com.ar</t>
  </si>
  <si>
    <t>TABOADA CELSO VELARMINO -  GALVANOPLASTÍA ZÁRATE</t>
  </si>
  <si>
    <t>Ignacio Peskins</t>
  </si>
  <si>
    <t>4488-3520</t>
  </si>
  <si>
    <t>galvanoplastia_zarate@hotmail.com</t>
  </si>
  <si>
    <t>http://www.herrajesbis.com.ar/</t>
  </si>
  <si>
    <t>TACOS FRIENDS S.R.L.</t>
  </si>
  <si>
    <t>tacosdym@gmail.com</t>
  </si>
  <si>
    <t>11 4488-3520</t>
  </si>
  <si>
    <t>http://www.herrajesbis.com.ar/contacto.php</t>
  </si>
  <si>
    <t>ventas@baigorriaindustrial.com</t>
  </si>
  <si>
    <t>TALLERES ALVEAR S.R.L.</t>
  </si>
  <si>
    <t>Carpintería Metálica y Aberturas de aluminio, hierro y acero inoxidable</t>
  </si>
  <si>
    <t>Marcelo Petrecca</t>
  </si>
  <si>
    <t>11 4420-0803</t>
  </si>
  <si>
    <t>4653-4110</t>
  </si>
  <si>
    <t>4653-3574</t>
  </si>
  <si>
    <t>talleresalvear@talleresalvear.com.ar</t>
  </si>
  <si>
    <t>4653-8403</t>
  </si>
  <si>
    <t>http://www.petrecca.com.ar/</t>
  </si>
  <si>
    <t>TALLERES CAR S.R.L.</t>
  </si>
  <si>
    <t>METALURGICA PETRY S.R.L.</t>
  </si>
  <si>
    <t>11 4482-6438</t>
  </si>
  <si>
    <t>tallerescarsrl@hotmail.com</t>
  </si>
  <si>
    <t>METALURGICA PREGO S.A.</t>
  </si>
  <si>
    <t>4750-2729</t>
  </si>
  <si>
    <t>info@talleresfumaca.com.ar</t>
  </si>
  <si>
    <t>Fabricación de productos elaborados de metal N.C.P. (botones, confecciones, articulos, ojalillos metalicos)</t>
  </si>
  <si>
    <t>11 4488-5859</t>
  </si>
  <si>
    <t>Centenario</t>
  </si>
  <si>
    <t>admin@tapperadhesivos.com.ar</t>
  </si>
  <si>
    <t>TAURO TEXTIL S.R.L.</t>
  </si>
  <si>
    <t>11 4657-6241</t>
  </si>
  <si>
    <t>taurotextil@hotmail.com</t>
  </si>
  <si>
    <t>Tender, exhibidor, canastos</t>
  </si>
  <si>
    <t>Alejandro Rosenberg</t>
  </si>
  <si>
    <t>11 5226-8660</t>
  </si>
  <si>
    <t>Marcelo Stemberg | Alejandro Cragnolino</t>
  </si>
  <si>
    <t>info@technicdelfinosa.com.ar</t>
  </si>
  <si>
    <t>4739-5511</t>
  </si>
  <si>
    <t>4739-5995</t>
  </si>
  <si>
    <t>www.metalurgicaruedamas.com.ar</t>
  </si>
  <si>
    <t>METALURGICA SAN ROQUE S.R.L.</t>
  </si>
  <si>
    <t>Fabricación de artículos de cuchillería y utensilios de mesa y de cocina</t>
  </si>
  <si>
    <t>11 4653-9643</t>
  </si>
  <si>
    <t>info@tecmade.com</t>
  </si>
  <si>
    <t>METALURGICA SIPER S.R.L.</t>
  </si>
  <si>
    <t>4758-7773</t>
  </si>
  <si>
    <t>info@tecniark.com.ar</t>
  </si>
  <si>
    <t>4739-8670</t>
  </si>
  <si>
    <t>METALURGICA TINO S.R.L.</t>
  </si>
  <si>
    <t>info@tecnoamerica.com.ar</t>
  </si>
  <si>
    <t>653-1754</t>
  </si>
  <si>
    <t>METALURGICA TOFER DE ANTONIO COLL MORELL Y OSVALDO RAMON CORTE</t>
  </si>
  <si>
    <t>info@tecnoboxsrl.com.ar</t>
  </si>
  <si>
    <t>4750-4386</t>
  </si>
  <si>
    <t>4716-6112</t>
  </si>
  <si>
    <t>Fabricación de equipos y productos informáticos</t>
  </si>
  <si>
    <t>Productos para el hogar, Autopartes</t>
  </si>
  <si>
    <t>4734-1834</t>
  </si>
  <si>
    <t>http://www.metalurgicatuyu.com.ar/</t>
  </si>
  <si>
    <t>Repuestos, piezas cortadoras de cesped, ventiladores</t>
  </si>
  <si>
    <t>Federico Velazquez</t>
  </si>
  <si>
    <t>11 2624-2003</t>
  </si>
  <si>
    <t>Agustin</t>
  </si>
  <si>
    <t>11 3464-1802</t>
  </si>
  <si>
    <t>4758-0434</t>
  </si>
  <si>
    <t>http://metvelazquez.com.ar/</t>
  </si>
  <si>
    <t>4656-1836</t>
  </si>
  <si>
    <t>METALURGICA VOSCH S.R.L.</t>
  </si>
  <si>
    <t>ventas@plugtechcable.com</t>
  </si>
  <si>
    <t xml:space="preserve">Ituzaingo </t>
  </si>
  <si>
    <t>Prospero Latorre</t>
  </si>
  <si>
    <t>4769-2087</t>
  </si>
  <si>
    <t>4769-9125</t>
  </si>
  <si>
    <t>https://famaq-s.com.ar/prensas.htm</t>
  </si>
  <si>
    <t>tecnotinta@tecnotinta.com.ar</t>
  </si>
  <si>
    <t>TECNOFORM &amp; HAUTEVILLE S.R.L.</t>
  </si>
  <si>
    <t>METALURGICA YONATHAN S.R.L.</t>
  </si>
  <si>
    <t>4488-7151</t>
  </si>
  <si>
    <t>tecnoform@tecnoform.com.ar</t>
  </si>
  <si>
    <t>TECNOFRIGO ARGENTINA S.A.</t>
  </si>
  <si>
    <t>MEU BEN S.R.L.</t>
  </si>
  <si>
    <t>Confección de Ropa Interior, Prendas para Dormir y para la Playa</t>
  </si>
  <si>
    <t>4572-8366</t>
  </si>
  <si>
    <t>ventas@tecnofrigo.com.ar</t>
  </si>
  <si>
    <t>Eduardo Machado</t>
  </si>
  <si>
    <t>11 3681-2025</t>
  </si>
  <si>
    <t>Victor Guajardo</t>
  </si>
  <si>
    <t>15 3681-4693</t>
  </si>
  <si>
    <t xml:space="preserve">(261) 424-3128 | 4848-8400
</t>
  </si>
  <si>
    <t>(261) 424-3105</t>
  </si>
  <si>
    <t>4326-3491</t>
  </si>
  <si>
    <t>www.mexichem.com</t>
  </si>
  <si>
    <t>perfiles@tecnoperfiles.com.ar</t>
  </si>
  <si>
    <t>TECNOPRINT S.A. (EIA)</t>
  </si>
  <si>
    <t>MI PA MET S.R.L.</t>
  </si>
  <si>
    <t>4848-0142</t>
  </si>
  <si>
    <t>4769-0863</t>
  </si>
  <si>
    <t>tecnoprint@tecnoprintsa.com.ar</t>
  </si>
  <si>
    <t>www.mipamet.com</t>
  </si>
  <si>
    <t>TECNOROLL S.A.</t>
  </si>
  <si>
    <t>Elasticos de embutir para ropa</t>
  </si>
  <si>
    <t>tecnoroll@tecnoroll.com.ar</t>
  </si>
  <si>
    <t>Carlos Michelini</t>
  </si>
  <si>
    <t>11 6680-5202</t>
  </si>
  <si>
    <t>MICRICO S.R.L.</t>
  </si>
  <si>
    <t>ventas@tecnosam.com.ar</t>
  </si>
  <si>
    <t>TECNOSOPLADO S.R.L.</t>
  </si>
  <si>
    <t>5274-0700</t>
  </si>
  <si>
    <t>tecnosoplado@hotmail.com</t>
  </si>
  <si>
    <t>TEJEDURIA DE TOMASO S.A.</t>
  </si>
  <si>
    <t>marca50@fibertel.com.ar</t>
  </si>
  <si>
    <t>TEJIDO DE PUNTO A FASON S.R.L.</t>
  </si>
  <si>
    <t>4653-1134</t>
  </si>
  <si>
    <t>http://miguelangelpastas.com.ar/</t>
  </si>
  <si>
    <t>chachotaboada@gmail.com</t>
  </si>
  <si>
    <t>TEL PLAST S.R.L. (CERCONET)</t>
  </si>
  <si>
    <t>Vinci Mario</t>
  </si>
  <si>
    <t>4657-5068</t>
  </si>
  <si>
    <t>http://www.microzoc.com.ar/contactos/</t>
  </si>
  <si>
    <t>MIL BORDADOS S.R.L.</t>
  </si>
  <si>
    <t>info@telplastsrl.com.ar</t>
  </si>
  <si>
    <t>TELAS METALICAS CASILDA S.R.L.</t>
  </si>
  <si>
    <t>4647-2497</t>
  </si>
  <si>
    <t>info@telasmetalicas.ar</t>
  </si>
  <si>
    <t>MILANO BOSCH S.R.L.</t>
  </si>
  <si>
    <t>TELLARINI MARIA ANGELICA</t>
  </si>
  <si>
    <t>Fabricación de Productos de Madera N.C.P.</t>
  </si>
  <si>
    <t>4841-1619</t>
  </si>
  <si>
    <t>aranguez.laura@gmail.com</t>
  </si>
  <si>
    <t>TELMES S.R.L.</t>
  </si>
  <si>
    <t>MILAZZO CONO Y TERMINI ANGEL</t>
  </si>
  <si>
    <t>administracion@mueblestelmessrl.com.ar</t>
  </si>
  <si>
    <t>(237) 487-1511</t>
  </si>
  <si>
    <t>TEMIC S.R.L.</t>
  </si>
  <si>
    <t>Elaboración de productos lácteos N.C.P. (Incluye la producción de caseínas, manteca, postres, etc., cuando no son obtenidos de forma integrada con la producción de leche)</t>
  </si>
  <si>
    <t>info@temicsrl.com.ar</t>
  </si>
  <si>
    <t>manteca, queso</t>
  </si>
  <si>
    <t>Christian</t>
  </si>
  <si>
    <t>Alexandra | Celeste</t>
  </si>
  <si>
    <t>4488-8284</t>
  </si>
  <si>
    <t>6089-2772</t>
  </si>
  <si>
    <t>4653-2786</t>
  </si>
  <si>
    <t>http://lacteoslamansa.com.ar/index.html</t>
  </si>
  <si>
    <t>MINARELLI S.A.</t>
  </si>
  <si>
    <t>info@terlizzisa.com</t>
  </si>
  <si>
    <t>TERMIA S.R.L.</t>
  </si>
  <si>
    <t>4716-9241</t>
  </si>
  <si>
    <t>4605-9615</t>
  </si>
  <si>
    <t>termia@termia.com.ar</t>
  </si>
  <si>
    <t>TEXTIL FRANCIOSA S.R.L.</t>
  </si>
  <si>
    <t>Pablo Bof</t>
  </si>
  <si>
    <t>11 5429-7125</t>
  </si>
  <si>
    <t>4759-0784</t>
  </si>
  <si>
    <t>4750-5673</t>
  </si>
  <si>
    <t>4759-0786</t>
  </si>
  <si>
    <t>minerafame.com</t>
  </si>
  <si>
    <t>MINPORT INFORMATICA S.A.</t>
  </si>
  <si>
    <t>textilfranciosa@hotmail.com</t>
  </si>
  <si>
    <t>TEXTIL GORLA S.A.</t>
  </si>
  <si>
    <t>Fabricación de Maquinaria de Oficina, Contabilidad e Informática</t>
  </si>
  <si>
    <t>374-9671</t>
  </si>
  <si>
    <t>adm.textilgorla@gmail.com</t>
  </si>
  <si>
    <t>Dante</t>
  </si>
  <si>
    <t>Diseñador Industrial Universidad de Palermo Buenos Aires</t>
  </si>
  <si>
    <t>administracion@guaira.com.ar</t>
  </si>
  <si>
    <t>http://gabrielminutella.blogspot.com/</t>
  </si>
  <si>
    <t>martakisiel@hotmail.com</t>
  </si>
  <si>
    <t>4657-5358</t>
  </si>
  <si>
    <t>TEXTIL NOGOYA S.R.L.</t>
  </si>
  <si>
    <t>MIRACLES S.R.L.</t>
  </si>
  <si>
    <t>Luchter</t>
  </si>
  <si>
    <t>tnogoya@gmail.com</t>
  </si>
  <si>
    <t>TEXTIL SER S.A.</t>
  </si>
  <si>
    <t>4454-6333</t>
  </si>
  <si>
    <t>4454-5559</t>
  </si>
  <si>
    <t>info@textilser.com.ar</t>
  </si>
  <si>
    <t>TEXTIL SIGLO XXI S.A.</t>
  </si>
  <si>
    <t>Jesica Romina Leonetti</t>
  </si>
  <si>
    <t>11 5012-8047</t>
  </si>
  <si>
    <t>4734-7716</t>
  </si>
  <si>
    <t>4734-0327</t>
  </si>
  <si>
    <t>http://aglusintacc.com.ar/site/</t>
  </si>
  <si>
    <t>MITRAL INGENIERIA SOCIEDAD DE RESPONSABILIDAD LIMITADA</t>
  </si>
  <si>
    <t>alfinyalkabo@hotmail.com</t>
  </si>
  <si>
    <t>tgtexsrl@gmail.com</t>
  </si>
  <si>
    <t>TIANI ADRIAN MARCELO</t>
  </si>
  <si>
    <t>Nelida Beatriz Lescano</t>
  </si>
  <si>
    <t>15 5147-2494</t>
  </si>
  <si>
    <t>adriantiani@gmail.com</t>
  </si>
  <si>
    <t>TINPET S.R.L.</t>
  </si>
  <si>
    <t>Fabricación de cocinas, calefones, estufas y calefactores de uso doméstico no eléctricos</t>
  </si>
  <si>
    <t>Jorge Dartiguelongue, Tel: 11 5195-3549 | Gustavo Celi, Tel: 11 5053-2222/ Marcos  Dartiguelongue 1133218637 marcos@productosnuke.com.ar/</t>
  </si>
  <si>
    <t>11 5195-3549</t>
  </si>
  <si>
    <t>Pereyra Romina</t>
  </si>
  <si>
    <t>11 7169-2424</t>
  </si>
  <si>
    <t>5195-3549 | 5195-3550</t>
  </si>
  <si>
    <t>5195-3551</t>
  </si>
  <si>
    <t>silviatinpet@hotmail.com</t>
  </si>
  <si>
    <t>15 5005-8894 (Ernesto Peper)</t>
  </si>
  <si>
    <t>productosnuke.com.ar</t>
  </si>
  <si>
    <t>TIPA S.A.I.C.</t>
  </si>
  <si>
    <t>Avellaneda</t>
  </si>
  <si>
    <t>Equipamientos personalizados para oficinas</t>
  </si>
  <si>
    <t>Pedro Reyna (Director)</t>
  </si>
  <si>
    <t>info@tipasaic.com</t>
  </si>
  <si>
    <t>15 5771-4932</t>
  </si>
  <si>
    <t>4312-6824</t>
  </si>
  <si>
    <t>4712-5355</t>
  </si>
  <si>
    <t>http://www.mobelart.com.ar/</t>
  </si>
  <si>
    <t>4757-4306</t>
  </si>
  <si>
    <t>https://www.mobilegno.it/</t>
  </si>
  <si>
    <t>tissueventas@gmail.com</t>
  </si>
  <si>
    <t>TOLE S.A. DE PUBLICIDAD</t>
  </si>
  <si>
    <t>info@tolepublicidad.com.ar</t>
  </si>
  <si>
    <t>TOR MEC S.R.L.</t>
  </si>
  <si>
    <t>Industria de muebles Farmaceuticos</t>
  </si>
  <si>
    <t>Fabio Gaute</t>
  </si>
  <si>
    <t>Elizabeth Comesaña</t>
  </si>
  <si>
    <t>4647-2070</t>
  </si>
  <si>
    <t>4647-2090</t>
  </si>
  <si>
    <t>mobilifarma.com.ar</t>
  </si>
  <si>
    <t>MOBISIL S.R.L.</t>
  </si>
  <si>
    <t>administracion@tormec.com.ar</t>
  </si>
  <si>
    <t>TORNERIA JOSE BUCCI S.A.</t>
  </si>
  <si>
    <t>4759-7644</t>
  </si>
  <si>
    <t>4750-8650</t>
  </si>
  <si>
    <t>MODIA PABLO Y RIVAROLA MARCELO S.H.</t>
  </si>
  <si>
    <t>tjbsa@argenpart.com.ar</t>
  </si>
  <si>
    <t>TRAECO S.A.</t>
  </si>
  <si>
    <t>4734-8483</t>
  </si>
  <si>
    <t>Info@traeco.com.ar</t>
  </si>
  <si>
    <t>TRANSFORMADORA AMERICANA DE PLASTICOS INDUSTRIALES SOCIEDAD DE RESPONSABILIDAD LIMITADA (TAPI S.R.L.)</t>
  </si>
  <si>
    <t>MODUPES S.R.L.</t>
  </si>
  <si>
    <t>info@tapisrl.com.ar</t>
  </si>
  <si>
    <t>4750-3326</t>
  </si>
  <si>
    <t>cadenastramec@hotmail.com</t>
  </si>
  <si>
    <t>TRANSPORTES GARBI E HIJO S.R.L.</t>
  </si>
  <si>
    <t>Fabricación de máquinas cortadoras de césped blindadas</t>
  </si>
  <si>
    <t>Gabriel H. Moguilevsky (Dir. Comercial)</t>
  </si>
  <si>
    <t>15 5025-8709</t>
  </si>
  <si>
    <t>11 4488-4747</t>
  </si>
  <si>
    <t>https://www.mocar.com.ar/</t>
  </si>
  <si>
    <t>trafico@garbi.com.ar</t>
  </si>
  <si>
    <t>TRANSPORTES LEVON S.R.L.</t>
  </si>
  <si>
    <t>administracion@levonsrl.com.ar</t>
  </si>
  <si>
    <t>4587-5311</t>
  </si>
  <si>
    <t xml:space="preserve"> 4659-7345</t>
  </si>
  <si>
    <t>5291-3007</t>
  </si>
  <si>
    <t>MOLDIFER S.R.L.</t>
  </si>
  <si>
    <t>info@transportesmolinasrl.com</t>
  </si>
  <si>
    <t>TRATAMIENTO FERRANTE S.R.L.</t>
  </si>
  <si>
    <t>4653-3830</t>
  </si>
  <si>
    <t>tratamientoferrante_srl@hotmail.com</t>
  </si>
  <si>
    <t>TREINTAUNO S.R.L.</t>
  </si>
  <si>
    <t>Molienda de trigo</t>
  </si>
  <si>
    <t>Carlos Boyadjian</t>
  </si>
  <si>
    <t>11-7139-4767</t>
  </si>
  <si>
    <t>4712-6463</t>
  </si>
  <si>
    <t>sergiolonegro@yahoo.com.ar</t>
  </si>
  <si>
    <t>https://molinosararat.com.ar/</t>
  </si>
  <si>
    <t>TREXAL S.R.L.</t>
  </si>
  <si>
    <t>MONACO JUAN ANTONIO Y ORSI LUIS</t>
  </si>
  <si>
    <t>info@trexal.com.ar</t>
  </si>
  <si>
    <t>Blas Parera</t>
  </si>
  <si>
    <t>4844-2156</t>
  </si>
  <si>
    <t>trimet@trimet.com.ar</t>
  </si>
  <si>
    <t>TRYMO S.R.L.</t>
  </si>
  <si>
    <t>MONTELEONE JOSE ZARATE ALBERTO S.H.</t>
  </si>
  <si>
    <t>Elaboración Industrial de Helados</t>
  </si>
  <si>
    <t>info@trymo.com</t>
  </si>
  <si>
    <t>4844-7764</t>
  </si>
  <si>
    <t>Salvador Poerio</t>
  </si>
  <si>
    <t>ventas@tssopletes.com.ar</t>
  </si>
  <si>
    <t>TSD S.R.L.</t>
  </si>
  <si>
    <t>15-4550-0355 | 15-6491-0103</t>
  </si>
  <si>
    <t>MOREYRA CLAUDIO ERNESTO</t>
  </si>
  <si>
    <t>Venta al por mayor de máquinas, equipos e implementos de uso de imprentas, artes gráficas y actividades conexas (incluye venta de máquinas fotocopiadoras - excepto las de uso personal-, copiadoras de planos, máquinas para imprimir, guillotinar, troquelar, encuadernar, etc.)</t>
  </si>
  <si>
    <t>tsd@filtrostsd.com.ar</t>
  </si>
  <si>
    <t>UNTUS S.A.</t>
  </si>
  <si>
    <t>4709-5339</t>
  </si>
  <si>
    <t>MORI SUSANA GRACIELA Y STAFFOLANI IRENE GRACIELA S.H.</t>
  </si>
  <si>
    <t>info@untus.com.ar</t>
  </si>
  <si>
    <t>UPED S.R.L.</t>
  </si>
  <si>
    <t>4653-5082/83 | 4654-7450</t>
  </si>
  <si>
    <t>4682-0490</t>
  </si>
  <si>
    <t>4658-5088</t>
  </si>
  <si>
    <t>melgarejo_carla@hotmail.com</t>
  </si>
  <si>
    <t>UPM RAFLATAC S.R.L.</t>
  </si>
  <si>
    <t>Fabricación de Tejidos y artículos de Punto N.C.P.</t>
  </si>
  <si>
    <t>4734-4139</t>
  </si>
  <si>
    <t>4750-6852</t>
  </si>
  <si>
    <t>info@upmraflatac.com</t>
  </si>
  <si>
    <t>Stephanie Cuaranta</t>
  </si>
  <si>
    <t>Juan Maldonado</t>
  </si>
  <si>
    <t>11 3306-8500</t>
  </si>
  <si>
    <t>4769-0044</t>
  </si>
  <si>
    <t xml:space="preserve">4739-9223 </t>
  </si>
  <si>
    <t>www.motomecanica.com</t>
  </si>
  <si>
    <t>luis_bozza@uttercom.com</t>
  </si>
  <si>
    <t>VACFORM S.R.L.</t>
  </si>
  <si>
    <t>Fabricación de compresores; grifos y válvulas</t>
  </si>
  <si>
    <t>Compresores</t>
  </si>
  <si>
    <t>4734-7700</t>
  </si>
  <si>
    <t>vacform@vacformsrl.com.ar</t>
  </si>
  <si>
    <t>4759-7936</t>
  </si>
  <si>
    <t>http://mottocompresores.com.ar/</t>
  </si>
  <si>
    <t>VADEMA SACI</t>
  </si>
  <si>
    <t>Autoelevadores y Grúas</t>
  </si>
  <si>
    <t>Roberto Hugo Garbi</t>
  </si>
  <si>
    <t>Vadema@hotmail.com</t>
  </si>
  <si>
    <t>4769-8219</t>
  </si>
  <si>
    <t>VALFI S.A.C.E.I.</t>
  </si>
  <si>
    <t>4739-6791</t>
  </si>
  <si>
    <t>www.movitecservice.com.ar</t>
  </si>
  <si>
    <t>MOZINA HNOS S.R.L.</t>
  </si>
  <si>
    <t>ventas@valfi.com.ar</t>
  </si>
  <si>
    <t>4739-1685</t>
  </si>
  <si>
    <t>VANTRONIC SACIFI (VANTRONIC S.A.)</t>
  </si>
  <si>
    <t>Construcción, reforma y reparación de edificios no residenciales (Incluye construcción, reforma y r</t>
  </si>
  <si>
    <t>Jose Maria Carrizo</t>
  </si>
  <si>
    <t>info@vantronic-sa.com.ar</t>
  </si>
  <si>
    <t>11 4992-0366</t>
  </si>
  <si>
    <t>VARIENZO S.R.L.</t>
  </si>
  <si>
    <t>4734-6052</t>
  </si>
  <si>
    <t>4759-7858</t>
  </si>
  <si>
    <t>http://www.mscconstrucciones.com.ar/</t>
  </si>
  <si>
    <t>MULTIFILTER S.R.L.</t>
  </si>
  <si>
    <t>administracion@varienzo.com</t>
  </si>
  <si>
    <t>VARITRAN S S.A.</t>
  </si>
  <si>
    <t>Gerardo Elgarrista</t>
  </si>
  <si>
    <t>4488-8640</t>
  </si>
  <si>
    <t>4657-7024</t>
  </si>
  <si>
    <t>4488-2061</t>
  </si>
  <si>
    <t>http://www.multifilter.com.ar</t>
  </si>
  <si>
    <t>MUNECAS DULCITAS S.R.L.</t>
  </si>
  <si>
    <t>Guillermo Brown</t>
  </si>
  <si>
    <t>Varitrans@varitrans.com.ar</t>
  </si>
  <si>
    <t>VASALU S.A.</t>
  </si>
  <si>
    <t xml:space="preserve"> 4657-9091</t>
  </si>
  <si>
    <t>ventas@vasalu.com.ar</t>
  </si>
  <si>
    <t>Bicicletas</t>
  </si>
  <si>
    <t>Antonio Giuliani</t>
  </si>
  <si>
    <t>Gabriela Giuliani</t>
  </si>
  <si>
    <t>11 5566-8418</t>
  </si>
  <si>
    <t>4842-6286</t>
  </si>
  <si>
    <t>info@vautomatmoldes.com</t>
  </si>
  <si>
    <t>https://www.musetta.com.ar/</t>
  </si>
  <si>
    <t>5433/5418</t>
  </si>
  <si>
    <t>Fabricación de muebles, principalmente de madera</t>
  </si>
  <si>
    <t xml:space="preserve">Muebles del hogar </t>
  </si>
  <si>
    <t>comercial@vdm.com.ar</t>
  </si>
  <si>
    <t>Nicolas Cantale</t>
  </si>
  <si>
    <t>11 4612-1251</t>
  </si>
  <si>
    <t>Silvia Clerici</t>
  </si>
  <si>
    <t>https://www.instagram.com/myka.mobili/?hl=es-la</t>
  </si>
  <si>
    <t>info@vemarsa.com.ar</t>
  </si>
  <si>
    <t>VENTILAIRE S.R.L.</t>
  </si>
  <si>
    <t>Envases, acc. baño, juegos, plástico inflado.</t>
  </si>
  <si>
    <t>Veronica Lato</t>
  </si>
  <si>
    <t>11 6042-2348</t>
  </si>
  <si>
    <t>Gabriela Lato</t>
  </si>
  <si>
    <t>11 6562-5588</t>
  </si>
  <si>
    <t>4716-0828</t>
  </si>
  <si>
    <t>4759-2440</t>
  </si>
  <si>
    <t>11 5759-7468</t>
  </si>
  <si>
    <t>ventilaire@ventilaire.com.ar</t>
  </si>
  <si>
    <t>www.nafeplast.com.ar</t>
  </si>
  <si>
    <t>VESPOLI S.R.L.</t>
  </si>
  <si>
    <t>NAMEC S.R.L.</t>
  </si>
  <si>
    <t>Fabricación de productos Metálicos N.C.P. (Incluye clavos, productos de bulonería, vajilla de mesa y de cocina, etc.)</t>
  </si>
  <si>
    <t>info@vespoli.com.ar</t>
  </si>
  <si>
    <t>VETRODEC S.A. (Veralux?)</t>
  </si>
  <si>
    <t>4844-1410</t>
  </si>
  <si>
    <t>veralux@yahoo.com.ar</t>
  </si>
  <si>
    <t>VEXCO S.A.</t>
  </si>
  <si>
    <t>Silvio Gerarduzzi (Gte)</t>
  </si>
  <si>
    <t>11 4147-6318</t>
  </si>
  <si>
    <t>4734-4863</t>
  </si>
  <si>
    <t>4750-3942</t>
  </si>
  <si>
    <t>4506-1163</t>
  </si>
  <si>
    <t>http://www.naonis.com.ar/</t>
  </si>
  <si>
    <t>info@vexco.com.ar</t>
  </si>
  <si>
    <t>VF OBRAS Y EQUIPAMIENTOS S.R.L.</t>
  </si>
  <si>
    <t>Industrias manufactureras N.C.P. (Incluye fabricación de muebles y partes de muebles, excepto los que son principalmente de madera (metal, plástico, etc.))</t>
  </si>
  <si>
    <t>4657-7921</t>
  </si>
  <si>
    <t>vila.forte@gmail.com</t>
  </si>
  <si>
    <t>VIA CALLI S.R.L.</t>
  </si>
  <si>
    <t>drhfalcone@hotmail.com</t>
  </si>
  <si>
    <t>Mariana Bello</t>
  </si>
  <si>
    <t>VIANHE S.A.</t>
  </si>
  <si>
    <t>11 3144-4418</t>
  </si>
  <si>
    <t>Celso Mendez</t>
  </si>
  <si>
    <t>4657-9019</t>
  </si>
  <si>
    <t>4488-6407</t>
  </si>
  <si>
    <t>cintasnatex.com.ar</t>
  </si>
  <si>
    <t>NATOO S.R.L.</t>
  </si>
  <si>
    <t>Aviador Pluschow</t>
  </si>
  <si>
    <t>info@vianhe.com</t>
  </si>
  <si>
    <t>VICENS Y MARTINCHUK S.C.</t>
  </si>
  <si>
    <t>4687-0660</t>
  </si>
  <si>
    <t>(223) 491-8066</t>
  </si>
  <si>
    <t>NAVIDAD SIGLO XXI S.R.L.</t>
  </si>
  <si>
    <t>fadeg.argentina@hotmail.com</t>
  </si>
  <si>
    <t>4841-3158</t>
  </si>
  <si>
    <t>info@quimicasimo.com.ar</t>
  </si>
  <si>
    <t>Fabricación de bolsas</t>
  </si>
  <si>
    <t>Rodolfo Filipuzzi</t>
  </si>
  <si>
    <t>11 6219-9004 | 15 5009-2090</t>
  </si>
  <si>
    <t>Nemesio Filipuzzi</t>
  </si>
  <si>
    <t>4769-3200</t>
  </si>
  <si>
    <t>administracion@implantesvillalba.com.ar</t>
  </si>
  <si>
    <t>4769-2120</t>
  </si>
  <si>
    <t>11 3302-8976 (Martin Aphalo)</t>
  </si>
  <si>
    <t>www.nechosa.com</t>
  </si>
  <si>
    <t>VILLAR Y ZAURDO S.R.L.</t>
  </si>
  <si>
    <t>NELI CRIS S.R.L.</t>
  </si>
  <si>
    <t>info@autoclavesvz.com.ar</t>
  </si>
  <si>
    <t>VILLAVEDRA JOSE ANGEL Y VILLAVEDRA RICARDO TITO S.H.</t>
  </si>
  <si>
    <t>4751-5986</t>
  </si>
  <si>
    <t>4843-0239</t>
  </si>
  <si>
    <t>4758-8670</t>
  </si>
  <si>
    <t>gvillavedra@yahoo.com.ar</t>
  </si>
  <si>
    <t>Sillas. Maderero (consorcio maderero)</t>
  </si>
  <si>
    <t>VILLAVERDE LEONEL DIEGO / ZUCCO AMALIA MARIA ROSARIO (VGROUP COMPUTER)</t>
  </si>
  <si>
    <t>Sergio Victor Baltrukiewicz</t>
  </si>
  <si>
    <t>15 5020-6685</t>
  </si>
  <si>
    <t>Estela Pinelli, Gladys Pinelli</t>
  </si>
  <si>
    <t>15 3776-0953 | 15 5020-4664</t>
  </si>
  <si>
    <t>4758-1395/2160</t>
  </si>
  <si>
    <t>4758-3342</t>
  </si>
  <si>
    <t>15-3776-0953 (Carlos Sanchez)</t>
  </si>
  <si>
    <t>http://www.nelo.com.ar/</t>
  </si>
  <si>
    <t>Cruz Alta</t>
  </si>
  <si>
    <t>ventas@vgroupcomputers.com.ar </t>
  </si>
  <si>
    <t>VILTES OCTAVIA SERRA HECTOR S.H.</t>
  </si>
  <si>
    <t>Insumos para radiología</t>
  </si>
  <si>
    <t>Nelson A Maurizi</t>
  </si>
  <si>
    <t>11 4422-7331</t>
  </si>
  <si>
    <t>4422-7331</t>
  </si>
  <si>
    <t>11 5435-8824</t>
  </si>
  <si>
    <t>https://maurizi.com.ar/</t>
  </si>
  <si>
    <t>canellimueblesalgarrobo@gmail.com</t>
  </si>
  <si>
    <t>infoweb@vip-label.com</t>
  </si>
  <si>
    <t>Ariel Nuñez</t>
  </si>
  <si>
    <t>VITOLA ANTONIO DOMINGO (VITOLA MECANIZADOS)</t>
  </si>
  <si>
    <t>mecanizadosvitola@gmail.com</t>
  </si>
  <si>
    <t>VOLPOR S.A.</t>
  </si>
  <si>
    <t>Mariela Tesconi</t>
  </si>
  <si>
    <t>15 5471-1515</t>
  </si>
  <si>
    <t>Gabriel Collini</t>
  </si>
  <si>
    <t>4769-4342</t>
  </si>
  <si>
    <t>www.neocolor.com.ar</t>
  </si>
  <si>
    <t>oficinavolpor@yahoo.com.ar</t>
  </si>
  <si>
    <t>VPR ROBERTO PAZ S.R.L.</t>
  </si>
  <si>
    <t>4739-3427</t>
  </si>
  <si>
    <t>produccion@vpr.com.ar</t>
  </si>
  <si>
    <t>NESTRADUNOL AMOBLAMIENTOS S.A.</t>
  </si>
  <si>
    <t>VRC S.R.L.</t>
  </si>
  <si>
    <t>info@vrarquitectura.com.ar</t>
  </si>
  <si>
    <t>4757-1756</t>
  </si>
  <si>
    <t>4757-6233</t>
  </si>
  <si>
    <t>VRINDA IMPORT S.R.L. (SAGRADA MADRE INCIENCE)</t>
  </si>
  <si>
    <t>http://www.nestradunol.com.ar/</t>
  </si>
  <si>
    <t>info@sagradamadre.com</t>
  </si>
  <si>
    <t>WARPLAST S.R.L.</t>
  </si>
  <si>
    <t>https://www.newirons.com.ar/</t>
  </si>
  <si>
    <t>info@warplast.com.ar</t>
  </si>
  <si>
    <t>WASLEY S.A.</t>
  </si>
  <si>
    <t>NEW KITCHEN S.A.</t>
  </si>
  <si>
    <t>Coronel Perin</t>
  </si>
  <si>
    <t>info@wasley.com.ar</t>
  </si>
  <si>
    <t>Fabricación de cuchillería vajilla y baterías de cocina de acero inoxidable</t>
  </si>
  <si>
    <t>WASSINGTON S.A.C.I.F.E.I. (INDUSTRIAS QUIMICAS WASSINGTON S.R.L.)</t>
  </si>
  <si>
    <t>503-1022</t>
  </si>
  <si>
    <t>diegofrisch@wassington.com.ar</t>
  </si>
  <si>
    <t>Tratamiento y revestimiento de  metales y trabajos de  metales en gral</t>
  </si>
  <si>
    <t>WINDPLAST S.R.L.</t>
  </si>
  <si>
    <t>Sandra Odasso</t>
  </si>
  <si>
    <t>11 6857-0743</t>
  </si>
  <si>
    <t>Paola Grenon</t>
  </si>
  <si>
    <t>11 5951-0197</t>
  </si>
  <si>
    <t>11 3232-3076</t>
  </si>
  <si>
    <t>https://www.newmetal.com.ar/</t>
  </si>
  <si>
    <t>paolocabeza@hotmail.com</t>
  </si>
  <si>
    <t>X-URBAN S.A.</t>
  </si>
  <si>
    <t>NEW WINCHESTER S.R.L.</t>
  </si>
  <si>
    <t>info@x-urban.com.ar</t>
  </si>
  <si>
    <t>11 4757-5726</t>
  </si>
  <si>
    <t>NEWTINT S.R.L.</t>
  </si>
  <si>
    <t>administracion@zapassrl.com.ar</t>
  </si>
  <si>
    <t>ZAPPONI ALEJANDRO JOSE DELLA SAVIA LAURA SUSANA S.H.</t>
  </si>
  <si>
    <t>alenplast@hotmail.com</t>
  </si>
  <si>
    <t>fábrica de equipos para la calefacción, secado y climatización industrial, único fabricante de turbo 
generadores homologado por el I.G.A.</t>
  </si>
  <si>
    <t>ZELARAYAN JUAN CARLOS (METALURGICA RZ / STARK)</t>
  </si>
  <si>
    <t>4750-0190</t>
  </si>
  <si>
    <t>http://nibre.com.ar/</t>
  </si>
  <si>
    <t>Elaboración de cacao y chocolate</t>
  </si>
  <si>
    <t>info@starkweb.com.ar</t>
  </si>
  <si>
    <t>Guillermo Nicosia</t>
  </si>
  <si>
    <t>11 5513-1337</t>
  </si>
  <si>
    <t>Ana</t>
  </si>
  <si>
    <t>ZYLBER PAL S.A.</t>
  </si>
  <si>
    <t>11 6124-0694</t>
  </si>
  <si>
    <t>www.lagouluechocolatier.com</t>
  </si>
  <si>
    <t>info@zylberpal.com</t>
  </si>
  <si>
    <t>Grupo L - Teylem S. A.</t>
  </si>
  <si>
    <t>4656-3971</t>
  </si>
  <si>
    <t>comercial@teylem.com</t>
  </si>
  <si>
    <t>VITROWALL</t>
  </si>
  <si>
    <t>4769-5409</t>
  </si>
  <si>
    <t>11 46579950/</t>
  </si>
  <si>
    <t>11 46576421</t>
  </si>
  <si>
    <t>https://www.wasley.com.ar/contacto</t>
  </si>
  <si>
    <t>info@vitrowall.com.ar</t>
  </si>
  <si>
    <t>DEPER S.R.L.</t>
  </si>
  <si>
    <t>cpernarcic@deper.com.ar</t>
  </si>
  <si>
    <t>ARFOS SRL</t>
  </si>
  <si>
    <t>Diafragmas, Empaquetaduras, Componentes de valvulas, Juntas, O'Rings, Sellos, Cuerdas, Planchas, Perfiles, Fuelles, Guarniciones, Retenes, Productos de grandes dimensiones, Desarrollos especiales</t>
  </si>
  <si>
    <t>Claudio Piantanida</t>
  </si>
  <si>
    <t>4750-3052</t>
  </si>
  <si>
    <t>4759-0954</t>
  </si>
  <si>
    <t>www.nitrophyl.com.ar</t>
  </si>
  <si>
    <t>arfossrl@gmail.com</t>
  </si>
  <si>
    <t>TORRES RICARDO HORACIO (RT METALURGICA)</t>
  </si>
  <si>
    <t>NIVEL 3 ARGENTINA S.A.</t>
  </si>
  <si>
    <t>4488-5091</t>
  </si>
  <si>
    <t>info@rtmetalurgica.com.ar</t>
  </si>
  <si>
    <t>Carlos Zacardelli</t>
  </si>
  <si>
    <t>11 4948-4061</t>
  </si>
  <si>
    <t>4657-6770</t>
  </si>
  <si>
    <t>4657-1443</t>
  </si>
  <si>
    <t>4657-0647</t>
  </si>
  <si>
    <t>legumbresramoneda@hotmail.com</t>
  </si>
  <si>
    <t>Ariel Lucarelli (Socio Gerente)</t>
  </si>
  <si>
    <t>11 4949-5414</t>
  </si>
  <si>
    <t>4750 0291</t>
  </si>
  <si>
    <t>gestiam@yahoo.com.ar</t>
  </si>
  <si>
    <t>http://noberargentina.com.ar/</t>
  </si>
  <si>
    <t>NODECMA S.R.L.</t>
  </si>
  <si>
    <t>nparissi@burkool.com.ar/pfernandez@burkool.com.ar</t>
  </si>
  <si>
    <t>4716-0362</t>
  </si>
  <si>
    <t>contacto@estudioapop.com.ar</t>
  </si>
  <si>
    <t>4750-2245</t>
  </si>
  <si>
    <t>http://www.nodulo.com/</t>
  </si>
  <si>
    <t>NOEL MISTROT S.R.L.</t>
  </si>
  <si>
    <t>cggabrielrossi@hotmail.com</t>
  </si>
  <si>
    <t>Diego</t>
  </si>
  <si>
    <t>4750-7381</t>
  </si>
  <si>
    <t>4502-5677</t>
  </si>
  <si>
    <t>info@amasd.com.ar</t>
  </si>
  <si>
    <t>NORTEX TRADE S.R.L.</t>
  </si>
  <si>
    <t>11 5057-7919 (Abel)</t>
  </si>
  <si>
    <t>4862-0669</t>
  </si>
  <si>
    <t>info@accecuer.com.ar</t>
  </si>
  <si>
    <t>ventas1@aceroscofer.com.ar</t>
  </si>
  <si>
    <t>4759-1451</t>
  </si>
  <si>
    <t>www.novatechsa.com.ar</t>
  </si>
  <si>
    <t>NOVAFRIGO S.R.L.</t>
  </si>
  <si>
    <t>ventas@inoxicaseros.com.ar</t>
  </si>
  <si>
    <t>4848-4472</t>
  </si>
  <si>
    <t>NUEVOS EMPRENDIMIENTOS</t>
  </si>
  <si>
    <t>gerencia@acerosmb.com.ar</t>
  </si>
  <si>
    <t>5197-0700</t>
  </si>
  <si>
    <t>deposito@aditivosplasticos.com</t>
  </si>
  <si>
    <t>NUEVOS EMPRENDIMIENTOS GRAFICOS S.R.L.</t>
  </si>
  <si>
    <t>info@adriplast.com.ar</t>
  </si>
  <si>
    <t>4483-6076</t>
  </si>
  <si>
    <t>ventas@agmetalurgica.com.ar</t>
  </si>
  <si>
    <t>Reparación y mantenimiento de equipos informáticos</t>
  </si>
  <si>
    <t>ventas@agencaissa.com.ar</t>
  </si>
  <si>
    <t>4488-2681</t>
  </si>
  <si>
    <t>4653-8171</t>
  </si>
  <si>
    <t>http://www.nunivak.com.ar/</t>
  </si>
  <si>
    <t>admin@aiman-sa.com</t>
  </si>
  <si>
    <t>Ing. Marcelo Nuñez</t>
  </si>
  <si>
    <t>11 4975-7391</t>
  </si>
  <si>
    <t>4734-9087</t>
  </si>
  <si>
    <t>https://nunezhnos.com.ar/web/</t>
  </si>
  <si>
    <t>contacto@aitec-ingenieria.com.ar | ventas@aitec-ingenieria.com.ar</t>
  </si>
  <si>
    <t>NUÑEZ JORGE ALBERTO Y PETRIGH WALTER</t>
  </si>
  <si>
    <t>Reparación de Automotores Motocicletas y sus Componentes</t>
  </si>
  <si>
    <t>ericam@acerosbosch.com.ar</t>
  </si>
  <si>
    <t>4739-2823</t>
  </si>
  <si>
    <t>4769-7325</t>
  </si>
  <si>
    <t>https://www.metalurgicamiele.com.ar/</t>
  </si>
  <si>
    <t>sissi.albalonga@gmail.com</t>
  </si>
  <si>
    <t>Servicios de Atención Domiciliaria Programada a Cabo en Establecimientos que Ofrecen Atención por Módulos a Domicilio y Actividades de Agentes Sani</t>
  </si>
  <si>
    <t>alcidestessa@alcidestessa.com.ar</t>
  </si>
  <si>
    <t>22 1400-9850</t>
  </si>
  <si>
    <t>https://www.campoinformatico.com.ar/</t>
  </si>
  <si>
    <t>info@sabbatini.com.ar</t>
  </si>
  <si>
    <t>Mariela Bersani</t>
  </si>
  <si>
    <t>laboratorio@bacigalupo.com.ar</t>
  </si>
  <si>
    <t>Osvaldo Bersani</t>
  </si>
  <si>
    <t>4716-0614</t>
  </si>
  <si>
    <t>http://www.microsoldadura.com.ar/home.html</t>
  </si>
  <si>
    <t>Corte, plegado y soldado</t>
  </si>
  <si>
    <t>flauria@kapac.com.ar</t>
  </si>
  <si>
    <t>Martín Coarasa</t>
  </si>
  <si>
    <t>15 5886-1750</t>
  </si>
  <si>
    <t>Javier Gonzalez/Norberto Corbelleri 11 5886-1779</t>
  </si>
  <si>
    <t>4739-9228</t>
  </si>
  <si>
    <t>11 3696-6286 (Oscar Lavaque)</t>
  </si>
  <si>
    <t>4769-1715</t>
  </si>
  <si>
    <t>4583-4376</t>
  </si>
  <si>
    <t>www.obin.com.ar</t>
  </si>
  <si>
    <t>OCHO CATORCE</t>
  </si>
  <si>
    <t xml:space="preserve">Tupungato </t>
  </si>
  <si>
    <t>cmariani@noly.com.ar</t>
  </si>
  <si>
    <t>Fabrica Baterias Luthier</t>
  </si>
  <si>
    <t>Baterias</t>
  </si>
  <si>
    <t>Luis Zunino</t>
  </si>
  <si>
    <t>11 3365-2396</t>
  </si>
  <si>
    <t>OLEOUNO S.A.</t>
  </si>
  <si>
    <t>mari@distribuciongloball.com</t>
  </si>
  <si>
    <t>‎02227-556081</t>
  </si>
  <si>
    <t>rew@allcleanmayorista.com.ar</t>
  </si>
  <si>
    <t>Tendederos, tender, escaleras</t>
  </si>
  <si>
    <t>Alejandro Oliva</t>
  </si>
  <si>
    <t>15 6113-5893</t>
  </si>
  <si>
    <t>safarimetalurgica.com.ar</t>
  </si>
  <si>
    <t>ventas@almartt.com</t>
  </si>
  <si>
    <t>Maquinaria para la elavoracion de empanadas</t>
  </si>
  <si>
    <t xml:space="preserve">Norberto Pagano </t>
  </si>
  <si>
    <t>Rosana Silvestro</t>
  </si>
  <si>
    <t>11 5152-5037</t>
  </si>
  <si>
    <t>15-2540-3370</t>
  </si>
  <si>
    <t>ventas@alumetal.com.ar</t>
  </si>
  <si>
    <t>4647-0667</t>
  </si>
  <si>
    <t>https://openmaquinas.com.ar/</t>
  </si>
  <si>
    <t>ORDENA TU ESPACIO S.A.</t>
  </si>
  <si>
    <t>Sgto. Palma</t>
  </si>
  <si>
    <t>ventas@aluminioreal.com.ar</t>
  </si>
  <si>
    <t>4751-7222</t>
  </si>
  <si>
    <t>info@aluoest.com.ar</t>
  </si>
  <si>
    <t>Jose Romero</t>
  </si>
  <si>
    <t>Jose María Romero</t>
  </si>
  <si>
    <t>11 4488-5413</t>
  </si>
  <si>
    <t>4647-0133</t>
  </si>
  <si>
    <t>margaritatrivi@yahoo.com.ar</t>
  </si>
  <si>
    <t>ORIEL CONST S.R.L.</t>
  </si>
  <si>
    <t>Diag. Miguel Angel</t>
  </si>
  <si>
    <t>Miguel Angel Mattos</t>
  </si>
  <si>
    <t xml:space="preserve">Christian W. Mattos Cruz
</t>
  </si>
  <si>
    <t>info@flexitub.com.ar</t>
  </si>
  <si>
    <t>Yerba</t>
  </si>
  <si>
    <t>Yerba mate</t>
  </si>
  <si>
    <t>Lucas Daniel Torres</t>
  </si>
  <si>
    <t>11 3464-0207</t>
  </si>
  <si>
    <t>4712-1998</t>
  </si>
  <si>
    <t>http://yerbamateorigen.com.ar</t>
  </si>
  <si>
    <t>dassoluciones@gmail.com</t>
  </si>
  <si>
    <t>ORION´S ARGENTINA S.A.</t>
  </si>
  <si>
    <t>Gabriel Linares</t>
  </si>
  <si>
    <t>pm.grillo@hotmail.com</t>
  </si>
  <si>
    <t>Envases plasticos</t>
  </si>
  <si>
    <t>Julio Bagaz</t>
  </si>
  <si>
    <t>4759-9496</t>
  </si>
  <si>
    <t>4601-0226</t>
  </si>
  <si>
    <t>http://www.orions.com.ar/</t>
  </si>
  <si>
    <t>info@uniformesfabrega.com.ar</t>
  </si>
  <si>
    <t>D'Onofrio</t>
  </si>
  <si>
    <t>Fabricación de pan y demás productos de panadería excepto los secos</t>
  </si>
  <si>
    <t>abrazaderasapret@gmail.com</t>
  </si>
  <si>
    <t>4653-4386</t>
  </si>
  <si>
    <t>ORTELLI CHRISTIAN NOBERTO Y ORTELLI PABLO DANIEL S.H. (Martin Fierro)</t>
  </si>
  <si>
    <t>ventasaptitud@gmail.com</t>
  </si>
  <si>
    <t>Elaboración de productos de panadería N.C.P. (incluye la elaboración de pan, facturas, churros, pre-pizzas, masas de hojaldre, masas fritas, tortas, tartas, etc) (no incluye la fabricación de sándwich 561040)</t>
  </si>
  <si>
    <t>panaderia</t>
  </si>
  <si>
    <t>15 5349-2343</t>
  </si>
  <si>
    <t>http://www.panaderiamfierro.com.ar/index.html</t>
  </si>
  <si>
    <t>apussrl2004@gmail.com</t>
  </si>
  <si>
    <t>4657-0986</t>
  </si>
  <si>
    <t>4658-5619</t>
  </si>
  <si>
    <t>4658-1426</t>
  </si>
  <si>
    <t>http://www.inn-pro.com.ar/</t>
  </si>
  <si>
    <t>administracion@araujosrl.com.ar</t>
  </si>
  <si>
    <t>OSCAR R CAAMAÑO S.A.</t>
  </si>
  <si>
    <t>compras@arcolor-sa.com.ar</t>
  </si>
  <si>
    <t>4657-5985</t>
  </si>
  <si>
    <t>4657-5987</t>
  </si>
  <si>
    <t>Enrique Manzoni</t>
  </si>
  <si>
    <t>comercial.aaarquitectura@gmail.com</t>
  </si>
  <si>
    <t>4712-3203</t>
  </si>
  <si>
    <t>info@argenchemical.com.ar</t>
  </si>
  <si>
    <t>Lionel A. Russo</t>
  </si>
  <si>
    <t>11 5528-2526</t>
  </si>
  <si>
    <t>4464-2778</t>
  </si>
  <si>
    <t>http://www.ossurplasticos.com.ar/</t>
  </si>
  <si>
    <t>recepcion@dravidal.com.ar</t>
  </si>
  <si>
    <t>Venta al por mayor de artículos para la construcción N.C.P.; Aislamiento térmico, acústico, hídrico y antivibratorio</t>
  </si>
  <si>
    <t>Osvaldo Martin | Graciela (hablar con ella)</t>
  </si>
  <si>
    <t>4750-7442</t>
  </si>
  <si>
    <t>info@arkino.com.ar</t>
  </si>
  <si>
    <t>Fabricación de componentes electrónicos. Servicios relacionados con la electrónica y las comunicaciones</t>
  </si>
  <si>
    <t>Fabricación de productos electrónicos para terceros</t>
  </si>
  <si>
    <t>Pablo Vicente</t>
  </si>
  <si>
    <t>11 6847-1164</t>
  </si>
  <si>
    <t>4653-7699</t>
  </si>
  <si>
    <t>ventas@armaferro.com.ar</t>
  </si>
  <si>
    <t>https://outsourcesrl.com/</t>
  </si>
  <si>
    <t>mcostantino@heladosaloha.com.ar</t>
  </si>
  <si>
    <t>4734-2289</t>
  </si>
  <si>
    <t>http://www.outdelplata.com.ar/#firstPage</t>
  </si>
  <si>
    <t>camila@artecniamarmoles.com.ar</t>
  </si>
  <si>
    <t>piramide@attachepiramide.com.ar</t>
  </si>
  <si>
    <t>4488-4721</t>
  </si>
  <si>
    <t>proveedores@artestamp.com.ar</t>
  </si>
  <si>
    <t>4769-4987</t>
  </si>
  <si>
    <t>P L E S.R.L. (PLE PLE)</t>
  </si>
  <si>
    <t>oftecnica@asanno.com</t>
  </si>
  <si>
    <t>4844-4579</t>
  </si>
  <si>
    <t>aldumi@hotmail.com</t>
  </si>
  <si>
    <t>P S M S.R.L.</t>
  </si>
  <si>
    <t>Servicios Relacionados con la Electrónica y las Comunicaciones</t>
  </si>
  <si>
    <t>maxi@australtech.com.ar</t>
  </si>
  <si>
    <t>4342-7619</t>
  </si>
  <si>
    <t>434-2761</t>
  </si>
  <si>
    <t>4738-4764</t>
  </si>
  <si>
    <t>https://www.psmsrl.com.ar/</t>
  </si>
  <si>
    <t>ventas@drgsa.com.ar</t>
  </si>
  <si>
    <t>P Y P EMPRENDIMIENTOS GASTRONOMICOS S.A.</t>
  </si>
  <si>
    <t>Sr. Jorge Plotno</t>
  </si>
  <si>
    <t>pablo@aviber.com.ar</t>
  </si>
  <si>
    <t>4713-9111/9118</t>
  </si>
  <si>
    <t>http://www.lacocinadelvino.com.ar/</t>
  </si>
  <si>
    <t>lauracali@correasbts.com.ar</t>
  </si>
  <si>
    <t>4844-2527</t>
  </si>
  <si>
    <t xml:space="preserve">4844-1406 </t>
  </si>
  <si>
    <t>http://paset.com.ar/</t>
  </si>
  <si>
    <t>PABLO CWIK (GICOVATE)</t>
  </si>
  <si>
    <t>info@byh.com.ar</t>
  </si>
  <si>
    <t xml:space="preserve">Pablo </t>
  </si>
  <si>
    <t>Nicolas Gicovate</t>
  </si>
  <si>
    <t>11 5052-0552</t>
  </si>
  <si>
    <t>comex@bacumsa.com.ar</t>
  </si>
  <si>
    <t>PABLO VUONO Y CIA S.A. EMPRESA METALURGICA</t>
  </si>
  <si>
    <t xml:space="preserve">Tetis Pablo Vuono de Rodolfo López </t>
  </si>
  <si>
    <t>Maria del Carmen</t>
  </si>
  <si>
    <t>consulting@comercialbadi.com</t>
  </si>
  <si>
    <t>4757-6632</t>
  </si>
  <si>
    <t>https://tetis.com.ar/</t>
  </si>
  <si>
    <t>corrugadosmpc@gmail.com</t>
  </si>
  <si>
    <t>Para la industria química, pinturas</t>
  </si>
  <si>
    <t>Abelardo</t>
  </si>
  <si>
    <t>4716-5095/9497</t>
  </si>
  <si>
    <t>postmaster@bavosi.com.ar</t>
  </si>
  <si>
    <t>Hilos plásticos para agro</t>
  </si>
  <si>
    <t>Carlos A. Guastello</t>
  </si>
  <si>
    <t>Karina</t>
  </si>
  <si>
    <t>4752-5999</t>
  </si>
  <si>
    <t>4716-0042</t>
  </si>
  <si>
    <r>
      <rPr>
        <color rgb="FF1155CC"/>
        <u/>
      </rPr>
      <t>011 15-3370-4652</t>
    </r>
  </si>
  <si>
    <t>info@e-intrasrl.com</t>
  </si>
  <si>
    <t>http://packingworld.com.ar/</t>
  </si>
  <si>
    <t>PACU EMBALAJES DE FRITZ SUSANA BEATRIZ CUERVO GERMAN NORBERTO Y CUERVO LEANDRO S</t>
  </si>
  <si>
    <t>ventas@tensoresbtp.com</t>
  </si>
  <si>
    <t>Susana Cuervo</t>
  </si>
  <si>
    <t>11 4067-3428</t>
  </si>
  <si>
    <t>comercial@belzonihnos.com</t>
  </si>
  <si>
    <t>Juan Gomez Ansa</t>
  </si>
  <si>
    <t>Inyección de diésel, rectificador de motores</t>
  </si>
  <si>
    <t>Juan Jose Padovani</t>
  </si>
  <si>
    <t>11 2515-7345</t>
  </si>
  <si>
    <t>julieta Padovani</t>
  </si>
  <si>
    <t>11 4837-0000</t>
  </si>
  <si>
    <t>11 3687-8476</t>
  </si>
  <si>
    <t>11 6599-5129</t>
  </si>
  <si>
    <t>https://dieselpadovani.com.ar/</t>
  </si>
  <si>
    <t>fundicionlgb@hotmail.com</t>
  </si>
  <si>
    <t>PALACIOS DE BASIGLIO MARIA ESTEHER Y OTROS SOC. H.</t>
  </si>
  <si>
    <t>info@bercomar.com</t>
  </si>
  <si>
    <t>4657-1096/6263</t>
  </si>
  <si>
    <t>4653-1300</t>
  </si>
  <si>
    <t>recepcion@bical.com.ar</t>
  </si>
  <si>
    <t xml:space="preserve">fabricación, equipo de medicion y control. </t>
  </si>
  <si>
    <t xml:space="preserve">Pedro Alberto Pallotta </t>
  </si>
  <si>
    <t>4734-0278</t>
  </si>
  <si>
    <t>www.cpelectronica.com.ar</t>
  </si>
  <si>
    <t>biobellus@gmail.com</t>
  </si>
  <si>
    <t>jorgemunoz.nortex@hotmail.com</t>
  </si>
  <si>
    <t>4750-4251</t>
  </si>
  <si>
    <t>PALOMBI MIGUEL PALOMBI HECTOR DANIEL PALOMBI GRACIELA VERONICA Y PALOMBI RO</t>
  </si>
  <si>
    <t>info@botterosa.com.ar</t>
  </si>
  <si>
    <t>4750-3543</t>
  </si>
  <si>
    <t>snovarino@bruit.com.ar</t>
  </si>
  <si>
    <t>4734-2850</t>
  </si>
  <si>
    <t>PAMPA EQUIPAMIENTOS S.A.</t>
  </si>
  <si>
    <t>bsc@bscargentina.com</t>
  </si>
  <si>
    <t>4734-8801</t>
  </si>
  <si>
    <t>gustavo.chgroup@gmail.com</t>
  </si>
  <si>
    <t>Jorge Catsigyanis</t>
  </si>
  <si>
    <t>15 4409-0060</t>
  </si>
  <si>
    <t>Carmelo Messina</t>
  </si>
  <si>
    <t>ventas@caltec.com.ar</t>
  </si>
  <si>
    <t>11 2274-3535</t>
  </si>
  <si>
    <t>4716-0600 (Int 105)</t>
  </si>
  <si>
    <t>4716-0600 | 4420-5519</t>
  </si>
  <si>
    <t>http://www.panfresh.com.ar/</t>
  </si>
  <si>
    <t>Elaboración industrial de productos de panadería, excepto galletitas y bizcochos</t>
  </si>
  <si>
    <t>claudia@candex.com.ar</t>
  </si>
  <si>
    <t>Ing. Esteban Mastrocola</t>
  </si>
  <si>
    <t>11 5757-7976</t>
  </si>
  <si>
    <t>4488-9432</t>
  </si>
  <si>
    <t>11 4033-9400</t>
  </si>
  <si>
    <t>https://www.panbrown.com/</t>
  </si>
  <si>
    <t>facturacion@canopol.com</t>
  </si>
  <si>
    <t>Silvia</t>
  </si>
  <si>
    <t>4769-7138</t>
  </si>
  <si>
    <t>ventascanton@gmail.com</t>
  </si>
  <si>
    <t>http://tioguis.com/</t>
  </si>
  <si>
    <t>PANORAMICA PUBLICIDAD S.A.</t>
  </si>
  <si>
    <t>Falucho</t>
  </si>
  <si>
    <t>info@braganza.com.ar</t>
  </si>
  <si>
    <t>4647-2111</t>
  </si>
  <si>
    <t>info@carboneaut.com.ar</t>
  </si>
  <si>
    <t>Mariano G. Mendez</t>
  </si>
  <si>
    <t>15 5749-4613</t>
  </si>
  <si>
    <t>Octavio</t>
  </si>
  <si>
    <t>11 5751-4983</t>
  </si>
  <si>
    <t>4750-4293</t>
  </si>
  <si>
    <t>www.pantoquimica.com.ar</t>
  </si>
  <si>
    <t>Industrias manufactureras N.C.P. Venta al por mayor de artículos de librería y papelería y fabricación de cartón ondulado y envases de cartón</t>
  </si>
  <si>
    <t>infocarflex@gmail.com</t>
  </si>
  <si>
    <t>4488-0099</t>
  </si>
  <si>
    <t>PAPELERA HASENAUER S.R.L.</t>
  </si>
  <si>
    <t>casaargasrl@gmail.com</t>
  </si>
  <si>
    <t>Mexico</t>
  </si>
  <si>
    <t>Esteban Hasenauer (Socio Gte.)</t>
  </si>
  <si>
    <t>11 3181-5338</t>
  </si>
  <si>
    <t>11 3904-9896</t>
  </si>
  <si>
    <t>4759-1518</t>
  </si>
  <si>
    <t>4759-9009</t>
  </si>
  <si>
    <t>https://www.instagram.com/ph_hasenauer/?hl=es-la</t>
  </si>
  <si>
    <t> comercial@casiba.com.ar</t>
  </si>
  <si>
    <t>Recuperación y fabricacíon de productos de papel (toallas, ph, servilletas) Marca Nitidess</t>
  </si>
  <si>
    <t>Rafael Alberto Joao (Socio Gte.)</t>
  </si>
  <si>
    <t>11 5832-1000</t>
  </si>
  <si>
    <t>ariellotauro@castell.com.ar</t>
  </si>
  <si>
    <t>4734-9216</t>
  </si>
  <si>
    <t>papeleralamilagrosa.com.ar https://es-la.facebook.com/nitidess/</t>
  </si>
  <si>
    <t>PARADA, JORGE, PARADA, MARCELO Y HIEMADI, SILVIO</t>
  </si>
  <si>
    <t>info@uniformesangelo.com.ar</t>
  </si>
  <si>
    <t>4657-2982</t>
  </si>
  <si>
    <t>rrhh@celulosabaraderosa.com.ar</t>
  </si>
  <si>
    <t>Cocina, anafe, parrilla, tambor</t>
  </si>
  <si>
    <t>4653-8785</t>
  </si>
  <si>
    <t>11 6986-6296</t>
  </si>
  <si>
    <t>http://kaliorexi.com.ar/</t>
  </si>
  <si>
    <t>marciakalisz83@hotmail.com</t>
  </si>
  <si>
    <t>Oscar Compagnucci o Roberto Espinosa</t>
  </si>
  <si>
    <t>4758-7600 | 4488-2818</t>
  </si>
  <si>
    <t>4657-0480</t>
  </si>
  <si>
    <t>4393-1970</t>
  </si>
  <si>
    <t>http://www.partssa.com.ar/</t>
  </si>
  <si>
    <t>proveedores@bimet.net</t>
  </si>
  <si>
    <t>Alejandro Oneddú</t>
  </si>
  <si>
    <t>15 4564-5306</t>
  </si>
  <si>
    <t>Noelia Dapremont</t>
  </si>
  <si>
    <t>info@corwin.com.ar</t>
  </si>
  <si>
    <t>15 6255-6306</t>
  </si>
  <si>
    <t>4750-6658</t>
  </si>
  <si>
    <t>4750-6983</t>
  </si>
  <si>
    <t>www.morsellacajas.com.ar</t>
  </si>
  <si>
    <t>PASSANITI E HIJO SOC. H.</t>
  </si>
  <si>
    <t>villarosaosvaldo@gmail.com</t>
  </si>
  <si>
    <t>15 6482-7367</t>
  </si>
  <si>
    <t>4653-9076</t>
  </si>
  <si>
    <t xml:space="preserve"> 4139-9072</t>
  </si>
  <si>
    <t>4139-9073</t>
  </si>
  <si>
    <t>San Javier</t>
  </si>
  <si>
    <t>consultas@chilleout.com.ar</t>
  </si>
  <si>
    <t>Bateria de aluminio</t>
  </si>
  <si>
    <t>4739-7175</t>
  </si>
  <si>
    <t>11 2398-1429</t>
  </si>
  <si>
    <t>recepcion@chillersystem.com</t>
  </si>
  <si>
    <t>Roberto J. D'Angelo | Jorge D. D'Angelo</t>
  </si>
  <si>
    <t>4758-1567</t>
  </si>
  <si>
    <t>4758-0368</t>
  </si>
  <si>
    <t>personal@chisap.com</t>
  </si>
  <si>
    <t>4769-1065</t>
  </si>
  <si>
    <t>4739-9191</t>
  </si>
  <si>
    <t>info@chousa.com.ar</t>
  </si>
  <si>
    <t>www.pelissetti.com</t>
  </si>
  <si>
    <t>Nicolas Zárate</t>
  </si>
  <si>
    <t>(11) 15-6306-0222</t>
  </si>
  <si>
    <t>ventas@cinens.com.ar</t>
  </si>
  <si>
    <t>Ing. Horacio A. Magraht</t>
  </si>
  <si>
    <t>11 6306-0222</t>
  </si>
  <si>
    <t>4488-6242</t>
  </si>
  <si>
    <t xml:space="preserve">4488-8686 (fax) </t>
  </si>
  <si>
    <t>4956-1168 | 4653-4021</t>
  </si>
  <si>
    <t>www.pelmag.com.ar/</t>
  </si>
  <si>
    <t>cintasthames@gmail.com</t>
  </si>
  <si>
    <t>Venta al por mayor de materiales y productos de limpieza</t>
  </si>
  <si>
    <t>Bolsas de Polietileno y productos de Limpieza</t>
  </si>
  <si>
    <t>4757-4270</t>
  </si>
  <si>
    <t>4757-0310</t>
  </si>
  <si>
    <t>http://topsi.com.ar</t>
  </si>
  <si>
    <t>comercial@cividino.com.ar</t>
  </si>
  <si>
    <t>PEQUENOS PASOS</t>
  </si>
  <si>
    <t>Solis</t>
  </si>
  <si>
    <t>info@coalix.com</t>
  </si>
  <si>
    <t>4589-8817</t>
  </si>
  <si>
    <t>PEQUEÑOS ILUSTRES S.R.L.</t>
  </si>
  <si>
    <t>compras@codacsrl.com.ar</t>
  </si>
  <si>
    <t>4840-2722</t>
  </si>
  <si>
    <t>PERBAL S.R.L. (CONFECCIONES PERBAL S.R.L.)</t>
  </si>
  <si>
    <t>l.budon@codesil.com.ar</t>
  </si>
  <si>
    <t>Confección de Prendas de Vestir N.C.P., excepto las de Piel, Cuero y Sucedáneos, Pilotos e Impermeables</t>
  </si>
  <si>
    <t>4657-2739</t>
  </si>
  <si>
    <t>PEREYRA ELIO EBER RAMON Y PEREYRA MACARIO OMAR</t>
  </si>
  <si>
    <t>Iguazu</t>
  </si>
  <si>
    <t>obraventas@coinpo.com.ar</t>
  </si>
  <si>
    <t>Fabricación y Armado de Letreros y Anuncios Publicitarios</t>
  </si>
  <si>
    <t>4769-4855</t>
  </si>
  <si>
    <t>PERFUMO CARLOS FRANCISCO Y REY ROJO ANGEL HIPOLITO</t>
  </si>
  <si>
    <t>contacto@industriasrueda.com.ar</t>
  </si>
  <si>
    <t>4739-5874</t>
  </si>
  <si>
    <t>info@plasticosflorida.com.ar</t>
  </si>
  <si>
    <t>4842-9563/0630</t>
  </si>
  <si>
    <t>6156-4640</t>
  </si>
  <si>
    <t>PERNA MARIA JIMENA</t>
  </si>
  <si>
    <t>ventas@cae.com.ar</t>
  </si>
  <si>
    <t>minera@cosermin.com.ar</t>
  </si>
  <si>
    <t>Destilación, rectificación y mezcla de bebidas espiritosas</t>
  </si>
  <si>
    <t>ALIMENTICIA, DESTIL. RECTIF. Y MEZCLA DE BEBIDAS ALCOHOLICAS</t>
  </si>
  <si>
    <t>Eduardo Marquez</t>
  </si>
  <si>
    <t>11 5483-1507</t>
  </si>
  <si>
    <t>Pato Ortiz</t>
  </si>
  <si>
    <t>11 4084-0057</t>
  </si>
  <si>
    <t>4811-9302</t>
  </si>
  <si>
    <t>4750-3393</t>
  </si>
  <si>
    <t>4716-1293/4</t>
  </si>
  <si>
    <t>http://www.peters.com.ar/</t>
  </si>
  <si>
    <t>info@bujiashescher.com.ar</t>
  </si>
  <si>
    <t>PETIT MUEBLES GAMA S.A.</t>
  </si>
  <si>
    <t>4759-1333</t>
  </si>
  <si>
    <t>tecnica@micocinaweb.com</t>
  </si>
  <si>
    <t>PETRECCA PERFORACIONES S.A.</t>
  </si>
  <si>
    <t>Perforación de pozos de agua</t>
  </si>
  <si>
    <t>11 5585-3696</t>
  </si>
  <si>
    <t>juanmanuel@cvingenieria.com.ar</t>
  </si>
  <si>
    <t>compribandsrl@gmail.com</t>
  </si>
  <si>
    <t>Ing, Juan Carlos Petriniuk</t>
  </si>
  <si>
    <t>11 6471-4121</t>
  </si>
  <si>
    <t>4757-3108</t>
  </si>
  <si>
    <t>https://www.gripautomacion.com/</t>
  </si>
  <si>
    <t>comaco@comaco.coop</t>
  </si>
  <si>
    <t>Servicios de informática N.C.P.</t>
  </si>
  <si>
    <t>Hector Rodriguez (Director)</t>
  </si>
  <si>
    <t>11 4972-0409</t>
  </si>
  <si>
    <t>Federico Ponce</t>
  </si>
  <si>
    <t>11 3021-5697</t>
  </si>
  <si>
    <t>4769-5108 / 4739 – 2732/34</t>
  </si>
  <si>
    <t>https://prfvprfv.com/contacto/</t>
  </si>
  <si>
    <t>informacion.burua@gmail.com</t>
  </si>
  <si>
    <t>administracion@corupel.com</t>
  </si>
  <si>
    <t>4654-1901</t>
  </si>
  <si>
    <t>http://www.revistapetroquimica.com/petroquimica-tinarca-s-r-l/</t>
  </si>
  <si>
    <t>administracionkarina@cosmetecnica.com</t>
  </si>
  <si>
    <t>PEUGEOT CITROEN ARGENTINA S.A. (PSA)</t>
  </si>
  <si>
    <t xml:space="preserve">Fabricación de vehículos automotores (incluye la fabricación de motores para automotores) </t>
  </si>
  <si>
    <t>Rodrigo Perez Graziano | Luis Daniel Pereyra</t>
  </si>
  <si>
    <t>15-3686-4582</t>
  </si>
  <si>
    <t>Paula Plantamura</t>
  </si>
  <si>
    <t>info@toche.com.ar</t>
  </si>
  <si>
    <t>4734-3000 (int. 433056)</t>
  </si>
  <si>
    <t>4957-6913</t>
  </si>
  <si>
    <t>4734-3102 | 4734-3206</t>
  </si>
  <si>
    <t>http://www.peugeot.com.ar/</t>
  </si>
  <si>
    <t>14 de Julio</t>
  </si>
  <si>
    <t>info@cremonesi.com.ar</t>
  </si>
  <si>
    <t>Muebles y placards varios</t>
  </si>
  <si>
    <t>Agostina Giardini</t>
  </si>
  <si>
    <t>11 5561-4498</t>
  </si>
  <si>
    <t>11 4031-5284</t>
  </si>
  <si>
    <t>11 5788-8787</t>
  </si>
  <si>
    <t>4734-0707</t>
  </si>
  <si>
    <t>https://phyl.com.ar/</t>
  </si>
  <si>
    <t>administracion@cristalbang.com.ar</t>
  </si>
  <si>
    <t>PICCIRILLI JUAN CARLOS Y PICCIRILLI LUIS ALFONSO</t>
  </si>
  <si>
    <t>4488-6485</t>
  </si>
  <si>
    <t>taller@zeziola.com</t>
  </si>
  <si>
    <t>PICHIMA S.A.</t>
  </si>
  <si>
    <t>nora.cuter@cuterrobots.com.ar</t>
  </si>
  <si>
    <t>4848-1534</t>
  </si>
  <si>
    <t>4739-6655</t>
  </si>
  <si>
    <t>ventas@axal.com.ar</t>
  </si>
  <si>
    <t>Fiambre</t>
  </si>
  <si>
    <t>11 2464-7212</t>
  </si>
  <si>
    <t>Bruno</t>
  </si>
  <si>
    <t>dydtrefilados@gmail.com</t>
  </si>
  <si>
    <t>11 5696-2849</t>
  </si>
  <si>
    <t>5696-2849</t>
  </si>
  <si>
    <t>www.ilmolise.com.ar/index.php</t>
  </si>
  <si>
    <t>recepcion@idoler.com.ar</t>
  </si>
  <si>
    <t>info@e-diemer.com.ar</t>
  </si>
  <si>
    <t>proveedores@diferenttex.com.ar</t>
  </si>
  <si>
    <t>Fabricación de vanitorys</t>
  </si>
  <si>
    <t>fabrica de botiquines</t>
  </si>
  <si>
    <t>Pili Cipriano</t>
  </si>
  <si>
    <t>4759-8501</t>
  </si>
  <si>
    <t>gv_dimaq@yahoo.com.ar</t>
  </si>
  <si>
    <t>5648-8430</t>
  </si>
  <si>
    <t>5648-8531</t>
  </si>
  <si>
    <t>http://www.ale-myr.com.ar/</t>
  </si>
  <si>
    <t>PILI ENRIQUE FRANCISCO Y PILI OSCAR DOMINGO</t>
  </si>
  <si>
    <t>ventas1@dineu.com.ar</t>
  </si>
  <si>
    <t>4759-0608</t>
  </si>
  <si>
    <t>PILLVER S.R.L.</t>
  </si>
  <si>
    <t xml:space="preserve">Diag. Nº 154 </t>
  </si>
  <si>
    <t>veterinaria@diquime.com.ar</t>
  </si>
  <si>
    <t>Fabricación de hilados textiles N.C.P., excepto de lana y de algodón</t>
  </si>
  <si>
    <t>4769-1300</t>
  </si>
  <si>
    <t>http://pillver.com.ar/</t>
  </si>
  <si>
    <t>yamil.santos@diversey.com</t>
  </si>
  <si>
    <t>PILOMAR S.R.L.</t>
  </si>
  <si>
    <t>patricia.schiaffo@idolz.com.ar</t>
  </si>
  <si>
    <t>contaduria@donjorge.com.ar</t>
  </si>
  <si>
    <t>4750-5271 | 4759-1398</t>
  </si>
  <si>
    <t>4734-9093</t>
  </si>
  <si>
    <t>4750-5271</t>
  </si>
  <si>
    <t>http://envasespineral.com.ar/</t>
  </si>
  <si>
    <t>infodubasa@gmail.com</t>
  </si>
  <si>
    <t>PINI ELECTROMECANICA S.R.L.</t>
  </si>
  <si>
    <t>laboratorio1@emeth.com.ar</t>
  </si>
  <si>
    <t>4759-0388</t>
  </si>
  <si>
    <t>info@ecobaires.com.ar</t>
  </si>
  <si>
    <t>15 3634-7825</t>
  </si>
  <si>
    <t>4750-3205</t>
  </si>
  <si>
    <t>https://pinturasgillmore.com.ar/</t>
  </si>
  <si>
    <t>arqmnbolli@hotmail.com</t>
  </si>
  <si>
    <t>administracion@edos.com.ar</t>
  </si>
  <si>
    <t>PISANI SERGIO DAMIAN</t>
  </si>
  <si>
    <t>maximocompagni@yahoo.com.ar</t>
  </si>
  <si>
    <t>Servicios industriales para la industria confeccionista (incluye procesos de planchado y acondicionamiento de prendas: teñido, gastado a la piedra (stone wash), impermeabilizado, lavaderos y secaderos industriales, etc.)</t>
  </si>
  <si>
    <t>administracion.elacin@gmail.com</t>
  </si>
  <si>
    <t xml:space="preserve"> 4759-9536</t>
  </si>
  <si>
    <t>elastomec@hotmail.com</t>
  </si>
  <si>
    <t>https://www.instagram.com/pitproducciones/</t>
  </si>
  <si>
    <t>PITER TOURS S.R.L.</t>
  </si>
  <si>
    <t>ventas@cattozzosrl.com.ar</t>
  </si>
  <si>
    <t>Servicios Conexos con los de Transporte</t>
  </si>
  <si>
    <t>4844-1520</t>
  </si>
  <si>
    <t>emiliopedronisa@gmail.com</t>
  </si>
  <si>
    <t>PLANCHADOS CIUDADELA S.R.L. (CIUDADELA)</t>
  </si>
  <si>
    <t>Medias y Ropa Interior - minorista y mayorista</t>
  </si>
  <si>
    <t>11 4757-1998</t>
  </si>
  <si>
    <t>https://ciudadela.com.ar/</t>
  </si>
  <si>
    <t>recursoshumanos@envasesjohn.com.ar</t>
  </si>
  <si>
    <t>Bolsas Plasticas</t>
  </si>
  <si>
    <t>2754-8207</t>
  </si>
  <si>
    <t>alanepha@hotmail.com</t>
  </si>
  <si>
    <t>Fabricacion de productos plasticos en formas basicas y art. De plastico N.C.P.,excepto muebles</t>
  </si>
  <si>
    <t>Prov de galileo, muebles de cocina, cabinas ferrocarril, auto de carrera</t>
  </si>
  <si>
    <t>Fabian Duarte</t>
  </si>
  <si>
    <t>martin.dadamo@equiposdelchef.com.ar</t>
  </si>
  <si>
    <t>4488-5823</t>
  </si>
  <si>
    <t>PLASTICOS ATLA S.R.L.</t>
  </si>
  <si>
    <t>famaplastsh@fibertel.com.ar</t>
  </si>
  <si>
    <t>4750-8389</t>
  </si>
  <si>
    <t>pedidos@abrochadorasgrap.com</t>
  </si>
  <si>
    <t>4757-0689</t>
  </si>
  <si>
    <t>legadogomecosrl@gmail.com</t>
  </si>
  <si>
    <t>PLASTICOS CERRI S.R.L.</t>
  </si>
  <si>
    <t>info@japonesassrl.com.ar</t>
  </si>
  <si>
    <t>proveedores@estrulam.com.ar</t>
  </si>
  <si>
    <t>Matriceria Propia y Desarrollo de Piezas a Medida</t>
  </si>
  <si>
    <t>4641-6915</t>
  </si>
  <si>
    <t>4653-5773/2004</t>
  </si>
  <si>
    <t>11 4874-0711</t>
  </si>
  <si>
    <t>www.plasticoselbagual.com.ar/</t>
  </si>
  <si>
    <t>admin@eurotecno.com</t>
  </si>
  <si>
    <t>PLASTICOS IPV SRL (I.P.V. INDUSTRIAS PLÁSTICAS VALLADOLID)</t>
  </si>
  <si>
    <t>info@exilplast.com.ar</t>
  </si>
  <si>
    <t>4750-9434</t>
  </si>
  <si>
    <t>PLASTICOS L Y M LAVINGER LUIS Y MONTI OSCAR</t>
  </si>
  <si>
    <t>Gualeguaychu</t>
  </si>
  <si>
    <t>extracryl@hotmail.com</t>
  </si>
  <si>
    <t>4657-4659</t>
  </si>
  <si>
    <t>ana.onoda@gmail.com</t>
  </si>
  <si>
    <t>Av. 101 Dr. Ricardo Balbin</t>
  </si>
  <si>
    <t>4848-3130 | 4739-3000</t>
  </si>
  <si>
    <t>4769-1578</t>
  </si>
  <si>
    <t>4769-1458</t>
  </si>
  <si>
    <t>faicasrl@hotmail.com</t>
  </si>
  <si>
    <t>PLASTICOS MGM S.R.L.</t>
  </si>
  <si>
    <t>11 4716-0047</t>
  </si>
  <si>
    <t>info@faipsa.com</t>
  </si>
  <si>
    <t xml:space="preserve">Bolivia </t>
  </si>
  <si>
    <t>pedidos@damsa.com.ar</t>
  </si>
  <si>
    <t>Oscar V. La Rocca</t>
  </si>
  <si>
    <t>15 4193-2159</t>
  </si>
  <si>
    <t>Franco Napoli</t>
  </si>
  <si>
    <t>4716-6117</t>
  </si>
  <si>
    <t>4750-7600</t>
  </si>
  <si>
    <t>4867-4650</t>
  </si>
  <si>
    <t>PLASTICOS REFORZADOS OESTE S.A.</t>
  </si>
  <si>
    <t>metal_plast@yahoo.com.ar</t>
  </si>
  <si>
    <t xml:space="preserve">FABRICACION DE PRODUCTOS PLASTICOS EN FORMAS BASICAS Y ARTICULOS DE PLASTICO N.C.P., EXCEPTO MUEBLES chequear direccion Ramallo 5226, 1708 Caseros, Buenos Aires / 4488 - 5823
</t>
  </si>
  <si>
    <t>Marcelo O Dechert</t>
  </si>
  <si>
    <t>4654-2700 | 4656-2027</t>
  </si>
  <si>
    <t>4488-5823 (OLAVARRIA 4255)</t>
  </si>
  <si>
    <t>http://www.plasticorefoeste.com.ar/</t>
  </si>
  <si>
    <t>ventas@fcisa.com.ar</t>
  </si>
  <si>
    <t>Christian Gabriel Lopez</t>
  </si>
  <si>
    <t>4716-2198</t>
  </si>
  <si>
    <t>ventas@fdm-srl.com.ar</t>
  </si>
  <si>
    <t>Fabricación de tejidos (telas) planos de fibras textiles N.C.P., incluye hilanderías y tejedurías integradas (telas) planos de fibras textiles N.C.P., incluye hilanderías y tejedurías integradas</t>
  </si>
  <si>
    <t xml:space="preserve">Fabrica de tejidos </t>
  </si>
  <si>
    <t>Guillermo Palazzo</t>
  </si>
  <si>
    <t>11 3237-8768</t>
  </si>
  <si>
    <t>Zonia Garay</t>
  </si>
  <si>
    <t>11 5410-8753</t>
  </si>
  <si>
    <t>grafica@fepublicidad.com.ar</t>
  </si>
  <si>
    <t>11 4769-1192</t>
  </si>
  <si>
    <t>11 4769-1879</t>
  </si>
  <si>
    <t>Aconcagua</t>
  </si>
  <si>
    <t>fercor@fercor.com.ar</t>
  </si>
  <si>
    <t>15 6562-5588</t>
  </si>
  <si>
    <t>3532-0556</t>
  </si>
  <si>
    <t>4051-4135</t>
  </si>
  <si>
    <t>plasticosvg.com.ar</t>
  </si>
  <si>
    <t>PLASTISOLO S.R.L.</t>
  </si>
  <si>
    <t>grossom@fibraltex.com.ar</t>
  </si>
  <si>
    <t>4653-4917</t>
  </si>
  <si>
    <t>4657-1721</t>
  </si>
  <si>
    <t>plastisolo.com</t>
  </si>
  <si>
    <t>PLAZA MARIANO HECTOR</t>
  </si>
  <si>
    <t>mgtorres@filtros-metalicos.com.ar</t>
  </si>
  <si>
    <t>4759-0889</t>
  </si>
  <si>
    <t>filtrosserrano@yahoo.com</t>
  </si>
  <si>
    <t>Alimenticia - Golosinas</t>
  </si>
  <si>
    <t>Juan Carlos Siri</t>
  </si>
  <si>
    <t>Pablo Siri</t>
  </si>
  <si>
    <t>11 5226-9973</t>
  </si>
  <si>
    <t>4757-2022/0200</t>
  </si>
  <si>
    <t>4757-2429</t>
  </si>
  <si>
    <t>4757-0010</t>
  </si>
  <si>
    <t>http://www.plenario-sa.com.ar/</t>
  </si>
  <si>
    <t>pedidos@flejie.com.ar</t>
  </si>
  <si>
    <t>PLUS PACK S.A.</t>
  </si>
  <si>
    <t>4750-7067</t>
  </si>
  <si>
    <t>4759-0322</t>
  </si>
  <si>
    <t>zulemagiordano@hotmail.com</t>
  </si>
  <si>
    <t>POCAR S.R.L.</t>
  </si>
  <si>
    <t>marcelalema71@yahoo.com.ar</t>
  </si>
  <si>
    <t>4734-0250</t>
  </si>
  <si>
    <t>ventas@pinturasfrall.com.ar</t>
  </si>
  <si>
    <t>Servicios Empresariales N.C.P.</t>
  </si>
  <si>
    <t>4719-6164</t>
  </si>
  <si>
    <t>4312-0433</t>
  </si>
  <si>
    <t>4750-9174</t>
  </si>
  <si>
    <t>ventas@frare.com.ar</t>
  </si>
  <si>
    <t>Impresiones Flexograficas y bolsas de polietileno y polipropileno</t>
  </si>
  <si>
    <t>Ricardo Hector Mittelmann</t>
  </si>
  <si>
    <t>11 5452-2457</t>
  </si>
  <si>
    <t>4759-4567</t>
  </si>
  <si>
    <t>4759-8818</t>
  </si>
  <si>
    <t>www.poli-flex.com.ar/</t>
  </si>
  <si>
    <t>ventas@fpocker.com</t>
  </si>
  <si>
    <t>Mezclado y moldeado de goma y fundición de metales no ferrosos</t>
  </si>
  <si>
    <t>Paula Lario (responsable/dueña)</t>
  </si>
  <si>
    <t>4750-2499</t>
  </si>
  <si>
    <t>4941-4317</t>
  </si>
  <si>
    <t>http://www.poliesgom.com.ar/</t>
  </si>
  <si>
    <t>POLIJEANS S.R.L.</t>
  </si>
  <si>
    <t>diana.frione@gmail.com</t>
  </si>
  <si>
    <t>info@fundiciondelta.com.ar</t>
  </si>
  <si>
    <t xml:space="preserve"> 4834-6178</t>
  </si>
  <si>
    <t>venta@costaluminio.com.ar</t>
  </si>
  <si>
    <t>Udine (Ex Los Poetas)</t>
  </si>
  <si>
    <t>egagliardi@galileoar.com</t>
  </si>
  <si>
    <t>5291-5109</t>
  </si>
  <si>
    <t>4841-3333</t>
  </si>
  <si>
    <t>info@galvylam.com</t>
  </si>
  <si>
    <t>4841-3335</t>
  </si>
  <si>
    <t>www.indeplast.com.ar</t>
  </si>
  <si>
    <t>info@gigantografica.com</t>
  </si>
  <si>
    <t>Fundicion de Partes y Piezas en Aleaciones de Aluminio</t>
  </si>
  <si>
    <t>Nicolas Perucci</t>
  </si>
  <si>
    <t>15 3557-0496</t>
  </si>
  <si>
    <t>4842-0022</t>
  </si>
  <si>
    <t>4842-4320</t>
  </si>
  <si>
    <t>lsalo@golocan.com.ar</t>
  </si>
  <si>
    <t>polimetal.com.ar</t>
  </si>
  <si>
    <t>POLIQUIM S.A.</t>
  </si>
  <si>
    <t>indupint@indupint.com.ar</t>
  </si>
  <si>
    <t>Fabricación de Productos Químicos N.C.P.</t>
  </si>
  <si>
    <t>4653-3483</t>
  </si>
  <si>
    <t>4657-5073</t>
  </si>
  <si>
    <t>4657-5070</t>
  </si>
  <si>
    <t>elizabeth@uniongood.com.ar</t>
  </si>
  <si>
    <t>info@graficaargentinasrl.com.ar</t>
  </si>
  <si>
    <t>4488-5740</t>
  </si>
  <si>
    <t>4653-1954</t>
  </si>
  <si>
    <t>granmarc@gran-marc.com.ar</t>
  </si>
  <si>
    <t>sil.mancino@live.com.ar</t>
  </si>
  <si>
    <t>Muebles de jardin y playa de acero y aluminio, sillas promocionales, tender</t>
  </si>
  <si>
    <t xml:space="preserve">Fabián Graziano </t>
  </si>
  <si>
    <t>15 4537-7023</t>
  </si>
  <si>
    <t>argentina@hidrotecnica.com.ar</t>
  </si>
  <si>
    <t>Viviana Carbone</t>
  </si>
  <si>
    <t>4751-3429</t>
  </si>
  <si>
    <t>4758-1388</t>
  </si>
  <si>
    <t>http://postasrl.com.ar/</t>
  </si>
  <si>
    <t>federicob6@yahoo.com.ar</t>
  </si>
  <si>
    <t>Fabricación de carpintería metálica, naves industriales, galpones y herrerias especiales</t>
  </si>
  <si>
    <t>Estructuras metálicas</t>
  </si>
  <si>
    <t>Fernando Pousada Ferro</t>
  </si>
  <si>
    <t>11 5411-0500</t>
  </si>
  <si>
    <t>4716-4947/0835</t>
  </si>
  <si>
    <t>11 3271-0267</t>
  </si>
  <si>
    <t>www.pousadagroup.com</t>
  </si>
  <si>
    <t>info@panlaperla.com.ar</t>
  </si>
  <si>
    <t>POWER RENTAL S.A.</t>
  </si>
  <si>
    <t>hola@rigazio.com.ar</t>
  </si>
  <si>
    <t>Alquiler de Maquinaria y Equipo N.C.P., sin personal</t>
  </si>
  <si>
    <t>4757-0074</t>
  </si>
  <si>
    <t>marcos@idg.com.ar</t>
  </si>
  <si>
    <t>POWERTRON S.R.L.</t>
  </si>
  <si>
    <t>Fabricación de Equipo Eléctrico N.C.P.</t>
  </si>
  <si>
    <t>ignapcnc@gmail.com</t>
  </si>
  <si>
    <t>4739-6977</t>
  </si>
  <si>
    <t>PRANZO EDUARDO</t>
  </si>
  <si>
    <t>info@iluminarte.com.ar</t>
  </si>
  <si>
    <t>Productos metálicos para uso estructural, tanques, depósitos y generadores de vapor</t>
  </si>
  <si>
    <t>4734-0916</t>
  </si>
  <si>
    <t>PRECINTTAR S.R.L.</t>
  </si>
  <si>
    <t>Precintos</t>
  </si>
  <si>
    <t>Guillermo J. Iannuzi</t>
  </si>
  <si>
    <t>4488-5868</t>
  </si>
  <si>
    <t>PREGELJ DANIEL EDGARDO</t>
  </si>
  <si>
    <t>laura@indrasrl.com.ar</t>
  </si>
  <si>
    <t>4757-6178</t>
  </si>
  <si>
    <t>comercial@indusetglobal.com</t>
  </si>
  <si>
    <t xml:space="preserve">Dobro creaciones en metal multirubro </t>
  </si>
  <si>
    <t>Julieta Prejelj</t>
  </si>
  <si>
    <t>15 5840-3872</t>
  </si>
  <si>
    <t>Daniel Pregelj</t>
  </si>
  <si>
    <t>11 4540-3951</t>
  </si>
  <si>
    <t xml:space="preserve">4647-1384 | 4488-8308 </t>
  </si>
  <si>
    <t>11 6868-6744 (Nicolas Pregelj)</t>
  </si>
  <si>
    <t>www.dobro.com.ar</t>
  </si>
  <si>
    <t>ventas@indusgraf.com.ar</t>
  </si>
  <si>
    <t>Recauchutado y renovación de cubiertas</t>
  </si>
  <si>
    <t>4840-5200</t>
  </si>
  <si>
    <t>4897-9766</t>
  </si>
  <si>
    <t>https://www.instagram.com/preking.srl/</t>
  </si>
  <si>
    <t>adm@industriasedigma.com.ar</t>
  </si>
  <si>
    <t>PREMIERS AUTOS S.R.L.</t>
  </si>
  <si>
    <t>adve@epta.com.ar</t>
  </si>
  <si>
    <t>4759-3693</t>
  </si>
  <si>
    <t>contacto@ifssa.com.ar</t>
  </si>
  <si>
    <t>Fabricacion de articulos de papel y carton N.C.P.</t>
  </si>
  <si>
    <t>Envases</t>
  </si>
  <si>
    <t>Romina Ferrari (Contadora)</t>
  </si>
  <si>
    <t>11 6002-9913</t>
  </si>
  <si>
    <t>Marisa Benitez</t>
  </si>
  <si>
    <t>11-4938-9555</t>
  </si>
  <si>
    <r>
      <rPr>
        <color rgb="FF000000"/>
        <sz val="11.0"/>
      </rPr>
      <t>011 4657-3994</t>
    </r>
  </si>
  <si>
    <t>ventas@varillasigh.com.ar</t>
  </si>
  <si>
    <t>La están haciendo con Kaser</t>
  </si>
  <si>
    <t>PRENSAS SCHMIDT S.A.</t>
  </si>
  <si>
    <t>repuestos@industriaskras.com</t>
  </si>
  <si>
    <t>4566-9540</t>
  </si>
  <si>
    <t>4769-2554 | 4739-4677</t>
  </si>
  <si>
    <t>www.shimeq.com.ar</t>
  </si>
  <si>
    <t>industriasmendezsa@gmail.com</t>
  </si>
  <si>
    <t>Productos químicos.Hace lavandina marca Sol</t>
  </si>
  <si>
    <t>rlopez@ipesa.com.ar</t>
  </si>
  <si>
    <t>11 5015-2591</t>
  </si>
  <si>
    <t>Servicios de emergencias y traslados</t>
  </si>
  <si>
    <t>bwalesberg@tomadoni.com</t>
  </si>
  <si>
    <t>4759-7421</t>
  </si>
  <si>
    <t>PRFV S.A.</t>
  </si>
  <si>
    <t>ventas@ventanasita.com.ar</t>
  </si>
  <si>
    <t>Desarrollo, producción y comercialización de elementos fabricados en plástico reforzado con fibra de vidrio</t>
  </si>
  <si>
    <t>4769-5108</t>
  </si>
  <si>
    <t>4739-2732</t>
  </si>
  <si>
    <t>11 2875-7177</t>
  </si>
  <si>
    <t>https://prfvprfv.com/</t>
  </si>
  <si>
    <t>recepcion@inprocil.com</t>
  </si>
  <si>
    <t>ventas@inter-ruedas.com.ar</t>
  </si>
  <si>
    <t>4657-2841</t>
  </si>
  <si>
    <t>15-6973-9529</t>
  </si>
  <si>
    <t>5434-6022</t>
  </si>
  <si>
    <t>http://www.printersserigrafia.com.ar/</t>
  </si>
  <si>
    <t>PRO DE MA S.A. (MOLDURAS PRO.DE.MA. S.A.)</t>
  </si>
  <si>
    <t>ingenieria@inumet.com.ar</t>
  </si>
  <si>
    <t>4841-2176</t>
  </si>
  <si>
    <t>ventas@iraolasrl.com.ar</t>
  </si>
  <si>
    <t>4759-1077</t>
  </si>
  <si>
    <t>tamarasapir@ispisa.com.ar</t>
  </si>
  <si>
    <t>PROCESOS ANTICORROSIVOS S.A.</t>
  </si>
  <si>
    <t>Terminación de edificios N.C.P. (Incluye trabajos de ornamentación, limpieza exterior de edificios recién construidos, etc.)</t>
  </si>
  <si>
    <t>4713-7427</t>
  </si>
  <si>
    <t>info.cvitae.isaga@gmail.com</t>
  </si>
  <si>
    <t>PRODALUM S.R.L.</t>
  </si>
  <si>
    <t>4759-3273</t>
  </si>
  <si>
    <t>info@itzasa.com.ar</t>
  </si>
  <si>
    <t>PRODU S.A.</t>
  </si>
  <si>
    <t xml:space="preserve">Industrias manufactureras N.C.P. </t>
  </si>
  <si>
    <t>info@selffix.com.ar</t>
  </si>
  <si>
    <t>4842-6937</t>
  </si>
  <si>
    <t>4751-3479</t>
  </si>
  <si>
    <t>PRODUCTORA DE CILINDROS LIVIANOS TEXCON S.A.</t>
  </si>
  <si>
    <t>j.sayal@sueiroehijos.com.ar</t>
  </si>
  <si>
    <t>4635-8821</t>
  </si>
  <si>
    <t>4635-8209</t>
  </si>
  <si>
    <t>4635-8535</t>
  </si>
  <si>
    <t xml:space="preserve">Villa Bosch </t>
  </si>
  <si>
    <t>Elaboración de aceite de oliva</t>
  </si>
  <si>
    <t>Aceite</t>
  </si>
  <si>
    <t>Julieta Gonzalez</t>
  </si>
  <si>
    <t>carlos carbonell</t>
  </si>
  <si>
    <t>4842-2003</t>
  </si>
  <si>
    <t>https://www.olivaresdelarioja.com.ar/</t>
  </si>
  <si>
    <t>info@monvisobikes.com.ar</t>
  </si>
  <si>
    <t>clausgonza@gmail.com</t>
  </si>
  <si>
    <t>Ropa interior masculina</t>
  </si>
  <si>
    <t>Gerardo Mociulsky</t>
  </si>
  <si>
    <t>11 5120-9320</t>
  </si>
  <si>
    <t xml:space="preserve">Mónica Verdinelli </t>
  </si>
  <si>
    <t>4734 8818</t>
  </si>
  <si>
    <t>4734-6664/8818/8222</t>
  </si>
  <si>
    <t>fquesada@kelcot.com.ar</t>
  </si>
  <si>
    <t>http://www.eyelit.com.ar/contacts/</t>
  </si>
  <si>
    <t>PROFORMAS GROUP S.A.</t>
  </si>
  <si>
    <t>info@kingmaticsa.com.ar</t>
  </si>
  <si>
    <t>11 4799-2703</t>
  </si>
  <si>
    <t xml:space="preserve"> http://www.sanignacio.edu.ar</t>
  </si>
  <si>
    <t>ventas@kioto.com.ar</t>
  </si>
  <si>
    <t>info@korpersa.com.ar</t>
  </si>
  <si>
    <t>Fabricación de equipo médico y quirúrgico y de aparatos ortopédicos principalmente electrónicos y/o eléctricos</t>
  </si>
  <si>
    <t>Instrumental médico y odontológico y artículos ortopédicos</t>
  </si>
  <si>
    <t>4734-0889</t>
  </si>
  <si>
    <t>4734-7610</t>
  </si>
  <si>
    <t>4759-4594</t>
  </si>
  <si>
    <t>https://programasasistir.com.ar/</t>
  </si>
  <si>
    <t>ventas@korzin.com.ar</t>
  </si>
  <si>
    <t xml:space="preserve">reparac motores eléctricos </t>
  </si>
  <si>
    <t>admcarloscarrocera@gmail.com</t>
  </si>
  <si>
    <t>4759-1253</t>
  </si>
  <si>
    <t>http://prolek.com.ar/</t>
  </si>
  <si>
    <t>PRONTO STAR S.R.L.</t>
  </si>
  <si>
    <t>compras@laboratoriobarcat.com.ar</t>
  </si>
  <si>
    <t>4842-7716</t>
  </si>
  <si>
    <t>administracion@circe.com.ar</t>
  </si>
  <si>
    <t>Alimentos balanceados a productores del sector avícola, porcino y bovino</t>
  </si>
  <si>
    <t>contaduria@dicofar.com</t>
  </si>
  <si>
    <t>Facundo Gentile</t>
  </si>
  <si>
    <t>11 6705-8101</t>
  </si>
  <si>
    <t>4657-9484</t>
  </si>
  <si>
    <t>4657-9944</t>
  </si>
  <si>
    <t>11 4641-2443</t>
  </si>
  <si>
    <t>https://pronut.com.ar/</t>
  </si>
  <si>
    <t>ricardo.pellegrini@labdeterplus.com.ar</t>
  </si>
  <si>
    <t>PROPICO S.R.L.</t>
  </si>
  <si>
    <t>San Jorge</t>
  </si>
  <si>
    <t>Fabricación de Cocinas, Calefones, Estufas y Calefactores de uso Domestico no Eléctricos</t>
  </si>
  <si>
    <t>751-1904</t>
  </si>
  <si>
    <t>administracion@leader-art.com.ar</t>
  </si>
  <si>
    <t>Envases y tapas</t>
  </si>
  <si>
    <t>Lavorano Martin</t>
  </si>
  <si>
    <t>4759-2144</t>
  </si>
  <si>
    <t>info@coworking.com.ar</t>
  </si>
  <si>
    <t>Instalación, ejecución y mantenimiento de instalaciones eléctricas, electromecánicas y electrónicas N.C.P. (incluye la instalación de antenas, pararrayos, sistemas de alarmas contra incendios y robos, sistemas de telecomunicación, etc.)</t>
  </si>
  <si>
    <t>Productos y sistemas de baja y media tensión</t>
  </si>
  <si>
    <t>Juan Carlos Erriquez (Socio gerente)</t>
  </si>
  <si>
    <t>15 4445-5560</t>
  </si>
  <si>
    <t>4844-0871</t>
  </si>
  <si>
    <t>ventas@locatellihnos.com.ar</t>
  </si>
  <si>
    <t>4844-2532</t>
  </si>
  <si>
    <t>http://www.protechnica-holec.com.ar/</t>
  </si>
  <si>
    <t>Mantenimiento industrial y Seguridad e Higiniene</t>
  </si>
  <si>
    <t>facturacion@lumaproductos.com.ar</t>
  </si>
  <si>
    <t>11 4165-1007</t>
  </si>
  <si>
    <t>https://proyecto1932.com.ar/</t>
  </si>
  <si>
    <t>ventas@macavi.com.ar</t>
  </si>
  <si>
    <t>administracion@mamparal.com</t>
  </si>
  <si>
    <t>PUBLIMAT S.A.</t>
  </si>
  <si>
    <t>4373-7762</t>
  </si>
  <si>
    <t>tesoreria@manguerasconcord.com.ar</t>
  </si>
  <si>
    <t>informes@dmz.com.ar</t>
  </si>
  <si>
    <t>4758-1138</t>
  </si>
  <si>
    <t>http://www.pullmetal.com/index.html</t>
  </si>
  <si>
    <t>info@marcometsa.com.ar</t>
  </si>
  <si>
    <t>Agroquimicas, Pesticidas y Productos Químicos para Agricultura</t>
  </si>
  <si>
    <t>Gustavo H Schneider ( Director)</t>
  </si>
  <si>
    <t>4657-9914</t>
  </si>
  <si>
    <t>4657-1973</t>
  </si>
  <si>
    <t>4653-3106</t>
  </si>
  <si>
    <t>http://www.glacoxan.com/</t>
  </si>
  <si>
    <t>PUNTA PACIFICA COSTERA S.A.</t>
  </si>
  <si>
    <t>bco.infantil@gmail.com</t>
  </si>
  <si>
    <t>waltermasterpol@hotmail.com</t>
  </si>
  <si>
    <t>Enrique Puppi</t>
  </si>
  <si>
    <t>11 6335-6300</t>
  </si>
  <si>
    <t>4750-5920</t>
  </si>
  <si>
    <t>mrkdifusa.com.ar</t>
  </si>
  <si>
    <t>PUREPA S.A.</t>
  </si>
  <si>
    <t>751-1165</t>
  </si>
  <si>
    <t>matriceriaha@live.com</t>
  </si>
  <si>
    <t>administracion@menaje-elsiglo.com</t>
  </si>
  <si>
    <t>Fabricación de productos plásticos en forma básica y artículos de plásticos N.C.P., excepto muebles</t>
  </si>
  <si>
    <t xml:space="preserve">Maximiliano J.  Anastasio </t>
  </si>
  <si>
    <t>15 6255-1879</t>
  </si>
  <si>
    <t>Fernando Rado | Natalia Bisio</t>
  </si>
  <si>
    <t>4848-8000 int 216</t>
  </si>
  <si>
    <t>11 6613-6098</t>
  </si>
  <si>
    <t xml:space="preserve"> 4755-9948</t>
  </si>
  <si>
    <t>https://www.pvctecnocom.com/</t>
  </si>
  <si>
    <t>mercomac@uolsinectis.com.ar</t>
  </si>
  <si>
    <t>mercoplast@hotmail.com</t>
  </si>
  <si>
    <t>Roxana Freynkel</t>
  </si>
  <si>
    <t>11 5750-9536</t>
  </si>
  <si>
    <t>Andres Gomez Piñeira</t>
  </si>
  <si>
    <t>4716-4868</t>
  </si>
  <si>
    <t>http://www.quais.com.ar/</t>
  </si>
  <si>
    <t>info@mercuriehijos.com.ar</t>
  </si>
  <si>
    <t>Jose Luis Escanieti</t>
  </si>
  <si>
    <t>4751-3677 | 4758-1343 | 4758-1499</t>
  </si>
  <si>
    <t>compras@meroar.com.ar</t>
  </si>
  <si>
    <t>QUILLAGUA S.A.</t>
  </si>
  <si>
    <t>angel@metacsa.com</t>
  </si>
  <si>
    <t>4769 5122</t>
  </si>
  <si>
    <t>metalurgicabarbera@gmail.com</t>
  </si>
  <si>
    <t>Guillermo Garcia | Mario Pastore</t>
  </si>
  <si>
    <t>4759-4541</t>
  </si>
  <si>
    <t>4750-2381</t>
  </si>
  <si>
    <t>QUIMICA CASTELAR S.R.L.</t>
  </si>
  <si>
    <t>servicioalcliente@atk.com.ar</t>
  </si>
  <si>
    <t>Fabricación de Colas, Adhesivos, Aprestos y Cementos excepto los Odontológicos obtenidos de Sustancias Minerales y Vegetales</t>
  </si>
  <si>
    <t>4750-5837</t>
  </si>
  <si>
    <t>4734-1494</t>
  </si>
  <si>
    <t>ventas@damec.com.ar</t>
  </si>
  <si>
    <t>Aldo Vezzaro</t>
  </si>
  <si>
    <t>11 4403-5253</t>
  </si>
  <si>
    <t>Jorge Torrisi</t>
  </si>
  <si>
    <t>15 4403-5153</t>
  </si>
  <si>
    <t>4488-2619</t>
  </si>
  <si>
    <t>11 2116-9686</t>
  </si>
  <si>
    <t>ventas@autopartesleo.com.ar</t>
  </si>
  <si>
    <t>www.unitsa.com.ar/</t>
  </si>
  <si>
    <t>QUIMICA EPSILON DE CARREIRA HORACIO EMILIO Y SATRIANI JORGE</t>
  </si>
  <si>
    <t>metalurgicaml@hotmail.com</t>
  </si>
  <si>
    <t>4759-0635</t>
  </si>
  <si>
    <t>4734-2497</t>
  </si>
  <si>
    <t>QUIMICA SCRIFER S.R.L.</t>
  </si>
  <si>
    <t>Fabricación de Productos Químicos N.C.P. (Incluye la producción de aceites esenciales, etc.)</t>
  </si>
  <si>
    <t>info@metalurgicapellegrini.com</t>
  </si>
  <si>
    <t>4657-6459</t>
  </si>
  <si>
    <t>QUIROGA HECTOR OMAR</t>
  </si>
  <si>
    <t>metpet@petrecca.com.ar</t>
  </si>
  <si>
    <t>4842-0491</t>
  </si>
  <si>
    <t>adpolverelli@yahoo.com.ar</t>
  </si>
  <si>
    <t>Angel Perullo   </t>
  </si>
  <si>
    <t>Juan Carlos Bagnoli</t>
  </si>
  <si>
    <t>4571-5610</t>
  </si>
  <si>
    <t>4759-0879</t>
  </si>
  <si>
    <t>rcamanco@mexichem.com</t>
  </si>
  <si>
    <t>microzoc_calefaccion@hotmail.com</t>
  </si>
  <si>
    <t>R Y C S.R.L.</t>
  </si>
  <si>
    <t>759-9735</t>
  </si>
  <si>
    <t>4571-3504</t>
  </si>
  <si>
    <t xml:space="preserve">4759-6492 </t>
  </si>
  <si>
    <t>administracion@mimago.com.ar</t>
  </si>
  <si>
    <t>evegomargentina.com.ar</t>
  </si>
  <si>
    <t>R.R. MARTIN S.R.L.</t>
  </si>
  <si>
    <t>Pompas fúnebres y servicios conexos</t>
  </si>
  <si>
    <t>ernesto@productosnuke.com.ar</t>
  </si>
  <si>
    <t>RACO COMERCIAL E INDUSTRIAL S.R.L.</t>
  </si>
  <si>
    <t>4842-3401 | 4840-1205?</t>
  </si>
  <si>
    <t>modupes1@gmail.com</t>
  </si>
  <si>
    <t>639-6754</t>
  </si>
  <si>
    <t>4653-0365</t>
  </si>
  <si>
    <t>4653-3931</t>
  </si>
  <si>
    <t>moher.repuestos@gmail.com</t>
  </si>
  <si>
    <t>Servicio de correo postal y servicio de transporte aéreo de cargas</t>
  </si>
  <si>
    <t>Servicio Postal</t>
  </si>
  <si>
    <t xml:space="preserve">Ernesto Nogués </t>
  </si>
  <si>
    <t>11 6203-4089</t>
  </si>
  <si>
    <t>Alberto Puyol</t>
  </si>
  <si>
    <t>810 122-7771</t>
  </si>
  <si>
    <t>https://www.raiconet.com/</t>
  </si>
  <si>
    <t>molinosararat2019@hotmail.com</t>
  </si>
  <si>
    <t>nadia@naonis.com.ar</t>
  </si>
  <si>
    <t>Carteleria Publicidad</t>
  </si>
  <si>
    <t>Monica perez</t>
  </si>
  <si>
    <t>11 6399-0527</t>
  </si>
  <si>
    <t>4657-6011</t>
  </si>
  <si>
    <t>4653-1661</t>
  </si>
  <si>
    <t>http://raiper.com.ar/</t>
  </si>
  <si>
    <t>recepcion@nechosa.com</t>
  </si>
  <si>
    <t>4739-3287</t>
  </si>
  <si>
    <t>4854-2442 | 15 4171-8727</t>
  </si>
  <si>
    <t>http://www.ramospack.com.ar/</t>
  </si>
  <si>
    <t>Produccion y desarrollo de energias renobvables , en cualquiera de sus formas, para generacion de Energias</t>
  </si>
  <si>
    <t>ventas@newirons.com.ar</t>
  </si>
  <si>
    <t>3464-1970</t>
  </si>
  <si>
    <t>11 3464-1979</t>
  </si>
  <si>
    <t>RAPORTEX S.R.L.</t>
  </si>
  <si>
    <t>facturacion@newmetal.com.ar</t>
  </si>
  <si>
    <t>4750-2656</t>
  </si>
  <si>
    <t>11 6847-7826</t>
  </si>
  <si>
    <t>info@niplo.com.ar</t>
  </si>
  <si>
    <t>759-3362</t>
  </si>
  <si>
    <t>4759-7527</t>
  </si>
  <si>
    <t>contacto@nitrophyl.com.ar</t>
  </si>
  <si>
    <t>RAYOS X OLIVOS SACI</t>
  </si>
  <si>
    <t>4383-0983</t>
  </si>
  <si>
    <t>4750-2247</t>
  </si>
  <si>
    <t>info@nivelelectronica.com</t>
  </si>
  <si>
    <t>http://www.rayosxolivos.com.ar/index.php</t>
  </si>
  <si>
    <t>Alianza/OMBU</t>
  </si>
  <si>
    <t>1026/</t>
  </si>
  <si>
    <t>Productos aromatizantes</t>
  </si>
  <si>
    <t>Silvina Real Essense</t>
  </si>
  <si>
    <t>info@nodulo.com</t>
  </si>
  <si>
    <t>11 6466-8234</t>
  </si>
  <si>
    <t>4647-3440</t>
  </si>
  <si>
    <t>https://realessenze.com.ar/</t>
  </si>
  <si>
    <t>victoria@nunivak.com.ar</t>
  </si>
  <si>
    <t>REAL S.R.L.</t>
  </si>
  <si>
    <t>Elaboración de Cacao, Chocolate y productos a base de Cacao</t>
  </si>
  <si>
    <t>4750-6390</t>
  </si>
  <si>
    <t>ventas@obin.com.ar</t>
  </si>
  <si>
    <t>Ciudadela se estan mudando a San Martin</t>
  </si>
  <si>
    <t>Elaboración de comida preparadas para reventas</t>
  </si>
  <si>
    <t>ventas@yerbamateorigen.com.ar</t>
  </si>
  <si>
    <t>CL Juan Carlos</t>
  </si>
  <si>
    <t>54 9 221 640 8339 (tel fijo)</t>
  </si>
  <si>
    <t>11 5611-7251</t>
  </si>
  <si>
    <t>http://keilagf.com.ar</t>
  </si>
  <si>
    <t>http://vegidea.com.ar/</t>
  </si>
  <si>
    <t>lionel@ossurplasticos.com.ar</t>
  </si>
  <si>
    <t>Pallets</t>
  </si>
  <si>
    <t>Santiago Chiara</t>
  </si>
  <si>
    <t>15 5247-7121</t>
  </si>
  <si>
    <t>Franco</t>
  </si>
  <si>
    <t>15 4998-1177</t>
  </si>
  <si>
    <t>4739-8080</t>
  </si>
  <si>
    <t>4759-4316</t>
  </si>
  <si>
    <t>http://recimad.com/</t>
  </si>
  <si>
    <t>packagingforce@yahoo.com.ar</t>
  </si>
  <si>
    <t xml:space="preserve">Fabricación de productos plásticos en formas básicas y artículos de plástico N.C.P., excepto muebles </t>
  </si>
  <si>
    <t>Gustavo Damián Shufeld</t>
  </si>
  <si>
    <t>Gustavo Damian Schufeld</t>
  </si>
  <si>
    <t xml:space="preserve">4657-0256 </t>
  </si>
  <si>
    <t>4657-8300</t>
  </si>
  <si>
    <t>ventas@cpelectronica.com.ar</t>
  </si>
  <si>
    <t>4657-8889</t>
  </si>
  <si>
    <t>www.recipet.com.ar</t>
  </si>
  <si>
    <t>RECTIFICACIONES SAN JORGE S.R.L.</t>
  </si>
  <si>
    <t>pablo.blanco@panfresh.com.ar</t>
  </si>
  <si>
    <t>4656-4988</t>
  </si>
  <si>
    <t>pedidos@papeleralamilagrosa.com.ar</t>
  </si>
  <si>
    <t>Impresión de etiquetas autoadhesivas</t>
  </si>
  <si>
    <t>Lionel Paz</t>
  </si>
  <si>
    <t>11 5525-4073</t>
  </si>
  <si>
    <t>Victoria Paz</t>
  </si>
  <si>
    <t>11 5569-0813</t>
  </si>
  <si>
    <t>11 2098-1633</t>
  </si>
  <si>
    <t>11 4488-1927</t>
  </si>
  <si>
    <t>www.redcomsa.com.ar</t>
  </si>
  <si>
    <t>industriatablem@hotmail.com</t>
  </si>
  <si>
    <t>REFRIGERACION AUDISIO S.R.L.</t>
  </si>
  <si>
    <t>11 4713-3499</t>
  </si>
  <si>
    <t>https://frio-audisio.com.ar/</t>
  </si>
  <si>
    <t>administracion@femalux.com</t>
  </si>
  <si>
    <t>miriam@pelissettisa.com.ar</t>
  </si>
  <si>
    <t>Ruben Retegan</t>
  </si>
  <si>
    <t>4653-7020</t>
  </si>
  <si>
    <t>4657-5185</t>
  </si>
  <si>
    <t>4653-6669 | 4563-7198</t>
  </si>
  <si>
    <t>administracion@pelmag.com.ar</t>
  </si>
  <si>
    <t>Tuercas y repuestos de bicicleta</t>
  </si>
  <si>
    <t>administracion@pillver.com.ar</t>
  </si>
  <si>
    <t>Micaela Soto</t>
  </si>
  <si>
    <t>11 4449-3361</t>
  </si>
  <si>
    <t>11 4653-7020</t>
  </si>
  <si>
    <t>4653-1900</t>
  </si>
  <si>
    <t>4653-6669</t>
  </si>
  <si>
    <t>https://regan.com.ar/</t>
  </si>
  <si>
    <t>ventas@plasticoscenturion.com.ar</t>
  </si>
  <si>
    <t>REGENCY S.R.L.</t>
  </si>
  <si>
    <t>plasticoselbagual@speedy.com.ar</t>
  </si>
  <si>
    <t>4759-8159</t>
  </si>
  <si>
    <t>REINCO S.R.L.</t>
  </si>
  <si>
    <t>melisa@plenario.com.ar</t>
  </si>
  <si>
    <t>4842-7466</t>
  </si>
  <si>
    <t>REITANO HNOS S.R.L.</t>
  </si>
  <si>
    <t>ventas@polimetal.com.ar</t>
  </si>
  <si>
    <t>Fabricación de calzado de cuero</t>
  </si>
  <si>
    <t>4653-0420</t>
  </si>
  <si>
    <t>653-0420</t>
  </si>
  <si>
    <t>info@posta-srl.com.ar</t>
  </si>
  <si>
    <t>4701-4561</t>
  </si>
  <si>
    <t>4734-1215</t>
  </si>
  <si>
    <t>5720-6985</t>
  </si>
  <si>
    <t>http://www.rellenoselectronicos.com/</t>
  </si>
  <si>
    <t>info@dobro.com.ar</t>
  </si>
  <si>
    <t xml:space="preserve"> 11 4750-0254</t>
  </si>
  <si>
    <t>11 4750-9999</t>
  </si>
  <si>
    <t>https://metalurgica-rematex.jimdosite.com/</t>
  </si>
  <si>
    <t>info@mrkdifusa.com.ar</t>
  </si>
  <si>
    <t>info@pvctecnocom.com.ar</t>
  </si>
  <si>
    <t>Andrea Venditto</t>
  </si>
  <si>
    <t>11 6256-1690</t>
  </si>
  <si>
    <t>Antonio Venditto | Matias Venditto</t>
  </si>
  <si>
    <t>4654-5077</t>
  </si>
  <si>
    <t>www.remparksrl.com.ar</t>
  </si>
  <si>
    <t>info@quais.com.ar</t>
  </si>
  <si>
    <t>Vicente Luis Bressi</t>
  </si>
  <si>
    <t>4653-0466 | 4488-4211 | 4488-6545</t>
  </si>
  <si>
    <t>4488-4211</t>
  </si>
  <si>
    <t>https://www.remssi.com.ar/</t>
  </si>
  <si>
    <t>ventas@evegomargentina.com.ar</t>
  </si>
  <si>
    <t>Granallados, fundición, zapatas de freno, discos de embrague, matafuegos</t>
  </si>
  <si>
    <t>emiliano.rodriguez@hotmail.com.ar</t>
  </si>
  <si>
    <t>4739-7423</t>
  </si>
  <si>
    <t>metalshot.com.ar</t>
  </si>
  <si>
    <t>jramos@smartandgreenenergy.com</t>
  </si>
  <si>
    <t>4758-1800</t>
  </si>
  <si>
    <t>5291-3637</t>
  </si>
  <si>
    <t>http://www.filtrosvokes.com.ar</t>
  </si>
  <si>
    <t>ventas@recimad.com</t>
  </si>
  <si>
    <t>Moldes para repostería</t>
  </si>
  <si>
    <t>Edgardo Hector Suarez</t>
  </si>
  <si>
    <t>7508029 - 15566198033</t>
  </si>
  <si>
    <t>11 4413-2664</t>
  </si>
  <si>
    <t>11 6619-8033</t>
  </si>
  <si>
    <t>4750-8029</t>
  </si>
  <si>
    <t>https://www.reposteracaseros.com.ar/</t>
  </si>
  <si>
    <t>mretegan@regan.com.ar</t>
  </si>
  <si>
    <t>17 De Agosto</t>
  </si>
  <si>
    <t>administracion@rellenoselectronicos.com</t>
  </si>
  <si>
    <t>4842-2195</t>
  </si>
  <si>
    <t>11 4842-4137</t>
  </si>
  <si>
    <t>11 5040-0743</t>
  </si>
  <si>
    <t>https://resortescastano.com.ar/</t>
  </si>
  <si>
    <t>compras@remparksrl.com.ar</t>
  </si>
  <si>
    <t>info@remssi.com.ar</t>
  </si>
  <si>
    <t>Guantes, ropa deportiva</t>
  </si>
  <si>
    <t>Natalia Babenco | Elisabet Piacentini</t>
  </si>
  <si>
    <t>15 5960-7512 | 15 4471-0609</t>
  </si>
  <si>
    <t>Patri Ignacio | Jorge Monastirsky</t>
  </si>
  <si>
    <t>11 5636-5826 | 11 4498-6723</t>
  </si>
  <si>
    <t>4712-6484</t>
  </si>
  <si>
    <t>5960-7512</t>
  </si>
  <si>
    <t>Marina Bove - Comex</t>
  </si>
  <si>
    <t>https://reuschargentina.com.ar/</t>
  </si>
  <si>
    <t>marcelo_maiorano@hotmail.com</t>
  </si>
  <si>
    <t>Fabricación de maquinaria y equipos de uso especial N.C.P.</t>
  </si>
  <si>
    <t>Camas solares, comederos de perros, depiladoras láser</t>
  </si>
  <si>
    <t>ventas@filtrosvokes.com.ar</t>
  </si>
  <si>
    <t>Ruben</t>
  </si>
  <si>
    <t>11 6093-2289</t>
  </si>
  <si>
    <t>4716-9627</t>
  </si>
  <si>
    <t>Pasteur</t>
  </si>
  <si>
    <t>resortescastano@gmail.com</t>
  </si>
  <si>
    <t>Germán Di Paolo</t>
  </si>
  <si>
    <t>15 5112-2184</t>
  </si>
  <si>
    <t>Gustavo Salvador (Socio Gte.)-(cecilia 1158320084)</t>
  </si>
  <si>
    <t>4488-0011 (int. 110)</t>
  </si>
  <si>
    <t>4716-6700</t>
  </si>
  <si>
    <t>4488-9072</t>
  </si>
  <si>
    <t>www.hipoalergic.com.ar/</t>
  </si>
  <si>
    <t>comex@reuschargentina.com.ar</t>
  </si>
  <si>
    <t>4656-1818/8008</t>
  </si>
  <si>
    <t>http://www.gespannt.com.ar/</t>
  </si>
  <si>
    <t>criscino@riasa.com.ar</t>
  </si>
  <si>
    <t>RICARDO NASUR Y JUAN SZYBKO</t>
  </si>
  <si>
    <t>proveedores@gespannt.com.ar</t>
  </si>
  <si>
    <t>11 4653-1680</t>
  </si>
  <si>
    <t>11 4488-6155</t>
  </si>
  <si>
    <t>consulta@rocagriferia.com.ar</t>
  </si>
  <si>
    <t>Paris</t>
  </si>
  <si>
    <t>info.metalurgicanico@gmail.com</t>
  </si>
  <si>
    <t>ROSOFLEX S.A.</t>
  </si>
  <si>
    <t>2556-7115</t>
  </si>
  <si>
    <t>4841-0981</t>
  </si>
  <si>
    <t>RIESGOFAX S.A.</t>
  </si>
  <si>
    <t>rosoflex@hotmail.com</t>
  </si>
  <si>
    <t>4469-7400</t>
  </si>
  <si>
    <t>ventas@rotomplastsa.com.ar</t>
  </si>
  <si>
    <t>Luis Rilievi</t>
  </si>
  <si>
    <t>11 4716-9676</t>
  </si>
  <si>
    <t>11 5473-1599</t>
  </si>
  <si>
    <t>http://transformadores-casa-victor.negocio.site/</t>
  </si>
  <si>
    <t>alberto@rucametsrl.com.ar</t>
  </si>
  <si>
    <t>4653-0435/38</t>
  </si>
  <si>
    <t>4671-2965</t>
  </si>
  <si>
    <t>ventas@s3herramientas.com.ar</t>
  </si>
  <si>
    <t>SALATTA GABRIEL ALDO</t>
  </si>
  <si>
    <t>Mariano Klas</t>
  </si>
  <si>
    <t>salatta_met@hotmail.com</t>
  </si>
  <si>
    <t>15 6296-5325</t>
  </si>
  <si>
    <t>0800 222-7456</t>
  </si>
  <si>
    <t>infosamatexsrl@gmail.com</t>
  </si>
  <si>
    <t>4750-2310/4291/4292</t>
  </si>
  <si>
    <t>arieljosegarrido@hotmail.com</t>
  </si>
  <si>
    <t>RISC S.A.</t>
  </si>
  <si>
    <t>4653-9362</t>
  </si>
  <si>
    <t>info@stockmedico.com</t>
  </si>
  <si>
    <t>Victora RIva</t>
  </si>
  <si>
    <t>chechesaba@yahoo.com.ar</t>
  </si>
  <si>
    <t>4653-2000</t>
  </si>
  <si>
    <t>4488-2918</t>
  </si>
  <si>
    <t>4488-1414</t>
  </si>
  <si>
    <t>RIVAROLA MARCELO MODIA PABLO MARTINEZ FELIX SOC DE HECHO</t>
  </si>
  <si>
    <t>info@semat.com.ar</t>
  </si>
  <si>
    <t>RIZZUTO CESAR Y RIZZUTO DOMINGO</t>
  </si>
  <si>
    <t>batagliottis@sherwin.com.ar</t>
  </si>
  <si>
    <t>Veronica</t>
  </si>
  <si>
    <t>11 5575-9150</t>
  </si>
  <si>
    <t>https://www.rivasa.com/</t>
  </si>
  <si>
    <t>postventa@sistemasenergeticos.com.ar</t>
  </si>
  <si>
    <t>Servicio de Transporte Urbano de Carga N.C.P.</t>
  </si>
  <si>
    <t>ogueta@skylift.com.ar</t>
  </si>
  <si>
    <t>http://roexpress.com.ar/</t>
  </si>
  <si>
    <t>ROA DE AMOEDO Y LANZA</t>
  </si>
  <si>
    <t>administracion@nf.com.ar</t>
  </si>
  <si>
    <t>Reparaciones Eléctricas, del Tablero e Instrumental, Reparación y Recarga de Baterías</t>
  </si>
  <si>
    <t>4734-6831</t>
  </si>
  <si>
    <t>atencionalcliente@pastasorali.com</t>
  </si>
  <si>
    <t>ROBERTO FIORI</t>
  </si>
  <si>
    <t>Fabricación de productos plásticos en formas básicas y articulos plásticos N.C.P. excepto muebles</t>
  </si>
  <si>
    <t>Roberto Fiori</t>
  </si>
  <si>
    <t>11 3296-2078</t>
  </si>
  <si>
    <t>4750-0591</t>
  </si>
  <si>
    <t>luciagonzalezscioli@gmail.com</t>
  </si>
  <si>
    <t>ROBI HECTOR RUBEN</t>
  </si>
  <si>
    <t>5134-2706</t>
  </si>
  <si>
    <t>pablo@stanforsrl.com.ar</t>
  </si>
  <si>
    <t>ROCA BRONCERIA S.R.L.</t>
  </si>
  <si>
    <t>gerencia@pulpastapler.com.ar</t>
  </si>
  <si>
    <t>4769-0849</t>
  </si>
  <si>
    <t>https://rocagriferia.com.ar/</t>
  </si>
  <si>
    <t>contaduria@starlight.com.ar</t>
  </si>
  <si>
    <t>Fabricación de grifería para baños y cocinas</t>
  </si>
  <si>
    <t>Christian Roca</t>
  </si>
  <si>
    <t>15 5247-6683</t>
  </si>
  <si>
    <t>11 5920-6821</t>
  </si>
  <si>
    <t>4769-3442</t>
  </si>
  <si>
    <t>4841-3885</t>
  </si>
  <si>
    <t>starpack80@gmail.com</t>
  </si>
  <si>
    <t>ROCCO JOSE ROCCO ANTONIO ROCCO ANGEL Y ROCCO LIBERO</t>
  </si>
  <si>
    <t>11 4840-2572</t>
  </si>
  <si>
    <t>fernando.alderete@startec.com.ar</t>
  </si>
  <si>
    <t>RODRIFLOR S.A.</t>
  </si>
  <si>
    <t xml:space="preserve">Gral. Arenales </t>
  </si>
  <si>
    <t>Marca blanca de productos cosméticos</t>
  </si>
  <si>
    <t>administracion@sudequipamientos.com.ar</t>
  </si>
  <si>
    <t>Alberto Madia</t>
  </si>
  <si>
    <t>11 5008-5584</t>
  </si>
  <si>
    <t>https://www.linkedin.com/company/rodriflor-sa/?originalSubdomain=ar</t>
  </si>
  <si>
    <t>damiana.sulahian@gmail.com</t>
  </si>
  <si>
    <t>Tanques de acero, fermentadores</t>
  </si>
  <si>
    <t>Daniel Rodriguez</t>
  </si>
  <si>
    <t>4716-4191</t>
  </si>
  <si>
    <t>4734-4898</t>
  </si>
  <si>
    <t>4713-8652</t>
  </si>
  <si>
    <t>https://mtnico.com.ar/</t>
  </si>
  <si>
    <t>RODRIGUEZ JUAN JOSE Y RODRIGUEZ HECTOR</t>
  </si>
  <si>
    <t>rperkut@arnet.com.ar</t>
  </si>
  <si>
    <t>Tte. Ibañez</t>
  </si>
  <si>
    <t>4657-0913</t>
  </si>
  <si>
    <t>lais.mili@gmail.com</t>
  </si>
  <si>
    <t>Fabricación de artículos de deporte</t>
  </si>
  <si>
    <t>Barras olimpicas, cinturones etc</t>
  </si>
  <si>
    <t>Marcelo J Rodriguez (Gerente General)</t>
  </si>
  <si>
    <t>11 6682-1010</t>
  </si>
  <si>
    <t>11 3301-8917</t>
  </si>
  <si>
    <t>martin.seijo@gmail.com</t>
  </si>
  <si>
    <t>https://barrasolimpicasjr.com.ar/product-category/cinturones/</t>
  </si>
  <si>
    <t>ROFANE S.A.</t>
  </si>
  <si>
    <t>info@tapperadhesivos.com.ar</t>
  </si>
  <si>
    <t>4657-5121</t>
  </si>
  <si>
    <t>info@tejeduriatauro.com.ar</t>
  </si>
  <si>
    <t>Remaches y tornillos</t>
  </si>
  <si>
    <t>Julia Amanda Puppo Bryant</t>
  </si>
  <si>
    <t>administracion@technicdelfinosa.com.ar</t>
  </si>
  <si>
    <t>11 5311-2353</t>
  </si>
  <si>
    <t>Virginia Bryant</t>
  </si>
  <si>
    <t>11 5806-7820</t>
  </si>
  <si>
    <t>https://rerar.com.ar/mujer-e-industria/</t>
  </si>
  <si>
    <t>ROMANO ENZO JOSE</t>
  </si>
  <si>
    <t>fabfitt@hotmail.com</t>
  </si>
  <si>
    <t>Fabricación de bijouterie</t>
  </si>
  <si>
    <t>6504-7523</t>
  </si>
  <si>
    <t>ROSARIO DATO S.A.</t>
  </si>
  <si>
    <t>mpas@tecniark.com.ar</t>
  </si>
  <si>
    <t>4656-3375</t>
  </si>
  <si>
    <t>4656-3731</t>
  </si>
  <si>
    <t>comprastecnoamerica@hotmail.com</t>
  </si>
  <si>
    <t>Impresión de hasta 6 colores en BOPP, polipropileno, polietileno, perlado, OPP metalizado y mate</t>
  </si>
  <si>
    <t>11 5827-6949</t>
  </si>
  <si>
    <t>11 4488-9661</t>
  </si>
  <si>
    <t>4657-2576</t>
  </si>
  <si>
    <t>https://rochitar.wixsite.com/rosoflex</t>
  </si>
  <si>
    <t>administracion@tecnoboxsrl.com.ar</t>
  </si>
  <si>
    <t>Servicios integrales y fabricacion de calderas y termotanques</t>
  </si>
  <si>
    <t>Calderas de agua y de vapor</t>
  </si>
  <si>
    <t>4750-6084</t>
  </si>
  <si>
    <t>Termomecanicamr.com.ar</t>
  </si>
  <si>
    <t>tecnocaseros@gmail.com</t>
  </si>
  <si>
    <t>Contenedores, recipientes, ductos de escape, Ductos de ventilación y muchos más.</t>
  </si>
  <si>
    <t xml:space="preserve">Ruben Lagos </t>
  </si>
  <si>
    <t>11 5799-4526</t>
  </si>
  <si>
    <t>11 2779-0375</t>
  </si>
  <si>
    <t xml:space="preserve">11 4759-4511 </t>
  </si>
  <si>
    <t>11 4750-6287</t>
  </si>
  <si>
    <t>https://rotomplastsa.com.ar/</t>
  </si>
  <si>
    <t>consultas@compresorestcg.com.ar</t>
  </si>
  <si>
    <t>ROTONDA VIAL S.A.</t>
  </si>
  <si>
    <t>Extracción de productos forestales de bosques cultivados (Incluye tala de árboles, desbaste de troncos y producción de madera en bruto, leña, postes)</t>
  </si>
  <si>
    <t>4769-1512</t>
  </si>
  <si>
    <t>administracion@tecnoform.com.ar</t>
  </si>
  <si>
    <t>RUA METALURGICA S.R.L.</t>
  </si>
  <si>
    <t>gflores@tecnoperfiles.com.ar</t>
  </si>
  <si>
    <t>2194-5929</t>
  </si>
  <si>
    <t>telplastsrl@gmail.com</t>
  </si>
  <si>
    <t>4657-5040</t>
  </si>
  <si>
    <t>https://www.rubberservice.com.ar/</t>
  </si>
  <si>
    <t>telmes@arnetbiz.com.ar da error</t>
  </si>
  <si>
    <t>4758-8941</t>
  </si>
  <si>
    <t>4751-4940</t>
  </si>
  <si>
    <t>11 3045-7675</t>
  </si>
  <si>
    <t>rucametsrl.com.ar</t>
  </si>
  <si>
    <t>RUEDA HECTOR ANIBAL TROMBETTA JUAN CARLOS S.H.</t>
  </si>
  <si>
    <t>mfernandez@temicsrl.com.ar </t>
  </si>
  <si>
    <t>4750-7746</t>
  </si>
  <si>
    <t>RUEDAS SPINA HNOS S.R.L.</t>
  </si>
  <si>
    <t>terlizzisa@gmail.com</t>
  </si>
  <si>
    <t>4568-2081</t>
  </si>
  <si>
    <t>RUIZ Y KLOSTER S.H.</t>
  </si>
  <si>
    <t>saint_trinity@hotmail.com</t>
  </si>
  <si>
    <t>TEYLEM S.A.</t>
  </si>
  <si>
    <t>4653-2966</t>
  </si>
  <si>
    <t>Góndolas</t>
  </si>
  <si>
    <t>Pablo Iribarren</t>
  </si>
  <si>
    <t>11 3024-7677</t>
  </si>
  <si>
    <t>fernando.garcia@grupolargentina.com</t>
  </si>
  <si>
    <t>http://www.rukametal.com.ar/</t>
  </si>
  <si>
    <t>RUTA PLAST S.R.L.</t>
  </si>
  <si>
    <t>tinpet_srl@yahoo.com.ar</t>
  </si>
  <si>
    <t>S &amp; M CONSTRUCTORA S.R.L.</t>
  </si>
  <si>
    <t>4757-9515</t>
  </si>
  <si>
    <t>tapisrl@hotmail.com</t>
  </si>
  <si>
    <t>S.I.C.A. (SISTEMAS INTEGRALES DE CLIMATIZACION AMBIENTAL) S.R.L.</t>
  </si>
  <si>
    <t>San Guillermo</t>
  </si>
  <si>
    <t>trafico@transportesmolinasrl.com</t>
  </si>
  <si>
    <t>4758-2005/2442 | 4751-9977</t>
  </si>
  <si>
    <t>4986-3575</t>
  </si>
  <si>
    <t>http://www.s3herramientas.com.ar/</t>
  </si>
  <si>
    <t>15 3809-4099</t>
  </si>
  <si>
    <t>Martin Rodriguez</t>
  </si>
  <si>
    <t>4647-1241</t>
  </si>
  <si>
    <t>4647-1203</t>
  </si>
  <si>
    <t>treintauno@fibertel.com.ar</t>
  </si>
  <si>
    <t>Javier Urquiza</t>
  </si>
  <si>
    <t>11 6363-5246</t>
  </si>
  <si>
    <t>Francisco  Salmerón</t>
  </si>
  <si>
    <t>15 6363-5246</t>
  </si>
  <si>
    <t>administracion@truppi.com.ar</t>
  </si>
  <si>
    <t>Elaboración de sidra y otras bebidas alcohólicas fermentadas</t>
  </si>
  <si>
    <t>Dario Mollo</t>
  </si>
  <si>
    <t>15 6106-7593</t>
  </si>
  <si>
    <t>Javier Trucco</t>
  </si>
  <si>
    <t>4488-0864</t>
  </si>
  <si>
    <t>http://www.ccu.com.ar/negocios</t>
  </si>
  <si>
    <t>matias.strucelj@upmraflatac.com</t>
  </si>
  <si>
    <t>4656-7966</t>
  </si>
  <si>
    <t>SAINT LOURDES SADDLERY S.A.</t>
  </si>
  <si>
    <t>ventas@uttercom.com</t>
  </si>
  <si>
    <t>VALENA S.R.L.</t>
  </si>
  <si>
    <t>4739-6666</t>
  </si>
  <si>
    <t>SAJISOL S.A.</t>
  </si>
  <si>
    <t>4750-3442</t>
  </si>
  <si>
    <t>valenasrl@prisma.com.ar</t>
  </si>
  <si>
    <t xml:space="preserve">4115-7032 </t>
  </si>
  <si>
    <t>4115-7037</t>
  </si>
  <si>
    <t>6446-9805</t>
  </si>
  <si>
    <t>http://www.salattamet.com/</t>
  </si>
  <si>
    <t>ventas@vantronic-sa.com.ar</t>
  </si>
  <si>
    <t>VARGAS LUIS JUSTO (IMPRESORES BOSCH)</t>
  </si>
  <si>
    <t>SALUD OCUPACIONAL OESTE S.A.</t>
  </si>
  <si>
    <t>Servicios Relacionados con la Salud Humana N.C.P.</t>
  </si>
  <si>
    <t>4657-4982</t>
  </si>
  <si>
    <t>4657-4889</t>
  </si>
  <si>
    <t>4657-4387</t>
  </si>
  <si>
    <t>luisvargas20@gmail.com</t>
  </si>
  <si>
    <t>Norma</t>
  </si>
  <si>
    <t>4716-1479</t>
  </si>
  <si>
    <t>varitrans.sa@gmail.com</t>
  </si>
  <si>
    <t>SAMET S.R.L.</t>
  </si>
  <si>
    <t>cecilia.e@vasalu.com.ar</t>
  </si>
  <si>
    <t>4657-6205</t>
  </si>
  <si>
    <t>4653-8294</t>
  </si>
  <si>
    <t>SAMOKEC CLAUDIO EDUARDO Y DEL SAVIO ARIEL SILVIO S.H.</t>
  </si>
  <si>
    <t>betty@vautomatmoldes.com</t>
  </si>
  <si>
    <t>Fabricación de Artefactos Eléctricos para Iluminación</t>
  </si>
  <si>
    <t>4488-2800</t>
  </si>
  <si>
    <t>4488-6000</t>
  </si>
  <si>
    <t>compras@quimicasimo.com.ar</t>
  </si>
  <si>
    <t>Badaraco</t>
  </si>
  <si>
    <t>15 4470-7346</t>
  </si>
  <si>
    <t>sergiodayala@gmail.com</t>
  </si>
  <si>
    <t>Cámaras frigoríficas, cámaras para morgues, cámaras exhibidoradas, obradores y minicámaras</t>
  </si>
  <si>
    <t>11 4769-1917</t>
  </si>
  <si>
    <t>11 4769-5619</t>
  </si>
  <si>
    <t>https://stesa-camaras.com.ar/</t>
  </si>
  <si>
    <t>oficinatecnica@implantesvillalba.com.ar</t>
  </si>
  <si>
    <t>SANACO S.R.L.</t>
  </si>
  <si>
    <t>ventas@autoclavesvz.com.ar</t>
  </si>
  <si>
    <t>Fabricación de Tejidos (telas) Planos de Algodón y sus Mezclas</t>
  </si>
  <si>
    <t>4757-6913</t>
  </si>
  <si>
    <t>SANCHEZ LAUREANO Y ALONSO NORMAN ADELINO</t>
  </si>
  <si>
    <t>administracion@vip-label.com</t>
  </si>
  <si>
    <t>4716-0950</t>
  </si>
  <si>
    <t>volpor@volpor.com.ar</t>
  </si>
  <si>
    <t>9434 Piso:PB</t>
  </si>
  <si>
    <t>Norberto Jesús Bertoneri</t>
  </si>
  <si>
    <t>administracion@vpr.com.ar</t>
  </si>
  <si>
    <t>4488-1391</t>
  </si>
  <si>
    <t>SANTANGELO CANDELORO</t>
  </si>
  <si>
    <t>logistica@warplast.com.ar</t>
  </si>
  <si>
    <t>4653-3080</t>
  </si>
  <si>
    <t>info@wassington.com.ar</t>
  </si>
  <si>
    <t>4758-2829</t>
  </si>
  <si>
    <t>4758-7968</t>
  </si>
  <si>
    <t>pelpak.com.ar</t>
  </si>
  <si>
    <t>SARAYOTTIS GERARDO HUGO (KALI OREXI)</t>
  </si>
  <si>
    <t>atencion@windplastsrl.com.ar</t>
  </si>
  <si>
    <t>Parrillas a gas y a carbón</t>
  </si>
  <si>
    <t>ZANELLA HNOS Y CIA S.A.</t>
  </si>
  <si>
    <t>2083-7854</t>
  </si>
  <si>
    <t>http://www.kaliorexi.com.ar/</t>
  </si>
  <si>
    <t>silvana.dibella@zanella.com.ar</t>
  </si>
  <si>
    <t>SARTI LORENZO CLAUDIO PASCUAL (BAITEX)</t>
  </si>
  <si>
    <t>Alpatacal</t>
  </si>
  <si>
    <t>Estampado, bordado, serigrafia</t>
  </si>
  <si>
    <t>ventas@starkweb.com.ar</t>
  </si>
  <si>
    <t>ZYSKINDOWICZ DAMIAN ARIEL (DAZ CONDUCTORES)</t>
  </si>
  <si>
    <t>11 4716-1174</t>
  </si>
  <si>
    <t>dazconductores@hotmail.com</t>
  </si>
  <si>
    <t>5291-1085</t>
  </si>
  <si>
    <t>5291-1086</t>
  </si>
  <si>
    <t>http://www.ospack.com.ar</t>
  </si>
  <si>
    <t>gracianojl@yahoo.com.ar</t>
  </si>
  <si>
    <t>SARTORI JUAN PEDRO</t>
  </si>
  <si>
    <t>Monteagudo</t>
  </si>
  <si>
    <t>gmartinez@burkool.com.ar</t>
  </si>
  <si>
    <t>4750-0628</t>
  </si>
  <si>
    <t>SASSARI S.A.</t>
  </si>
  <si>
    <t>4654-3735</t>
  </si>
  <si>
    <t>SASSONE Y ABRAMO S.H.</t>
  </si>
  <si>
    <t>Carlos Echagüe</t>
  </si>
  <si>
    <t>4844-1573</t>
  </si>
  <si>
    <t>SATZ Y ALVAREZ S.A.I.C.</t>
  </si>
  <si>
    <t>4759-4682</t>
  </si>
  <si>
    <t>4759-4672</t>
  </si>
  <si>
    <t>Fabricación de hojas de madera para enchapado, fabricación de tableros contrachapados, tableros laminados, tableros de partículas y tableros y paneles N.C.P.</t>
  </si>
  <si>
    <t>4842-0966</t>
  </si>
  <si>
    <t>SAVIGLIA S.R.L.</t>
  </si>
  <si>
    <t>miel</t>
  </si>
  <si>
    <t>Ruben Maritano</t>
  </si>
  <si>
    <t>15 3743-4503</t>
  </si>
  <si>
    <t>4769 9738</t>
  </si>
  <si>
    <t>WA: 6451-1787</t>
  </si>
  <si>
    <t xml:space="preserve">4751 2922 </t>
  </si>
  <si>
    <t>4758-1768</t>
  </si>
  <si>
    <t>4750-3989</t>
  </si>
  <si>
    <t>SCARINCI S.A. (CIMES)</t>
  </si>
  <si>
    <t>joaquinc@casiba.com.ar</t>
  </si>
  <si>
    <t>Fabian M. Bragagnolo</t>
  </si>
  <si>
    <t>Adrian Goncalves</t>
  </si>
  <si>
    <t>4750-2960</t>
  </si>
  <si>
    <t>4716-2809</t>
  </si>
  <si>
    <t>4759-6702</t>
  </si>
  <si>
    <t>https://cimescentral.com/</t>
  </si>
  <si>
    <t>laura@chilleout.com.ar</t>
  </si>
  <si>
    <t xml:space="preserve">SCARLI RICARDO MARIO </t>
  </si>
  <si>
    <t>robertodelmonaco@cinens.com.ar</t>
  </si>
  <si>
    <t>Conductos de aire acondicionado</t>
  </si>
  <si>
    <t>4657-4885</t>
  </si>
  <si>
    <t>4657-6280</t>
  </si>
  <si>
    <t>adriana@depimiel.com</t>
  </si>
  <si>
    <t>Alfajores y dulces</t>
  </si>
  <si>
    <t>11 7898-4150</t>
  </si>
  <si>
    <t>11 6126-2166</t>
  </si>
  <si>
    <t>http://alfajoreslaaldea.com/</t>
  </si>
  <si>
    <t>jrgkuzniecki@gmail.com</t>
  </si>
  <si>
    <t>prensas hidraulicas</t>
  </si>
  <si>
    <t>4769-4346 | 4841-3809</t>
  </si>
  <si>
    <t>https://www.faimet.com.ar</t>
  </si>
  <si>
    <t>SCHORI ARGENTINA S.A.</t>
  </si>
  <si>
    <t>4739-9393</t>
  </si>
  <si>
    <t>4739-9399</t>
  </si>
  <si>
    <t>4769-0922</t>
  </si>
  <si>
    <t>SCIPIONI JOSE EMILIANO</t>
  </si>
  <si>
    <t>Servicio de transporte automotor urbano de carga N.C.P. (incluye el transporte realizado por fleteros y distribuidores dentro de égido urbano)</t>
  </si>
  <si>
    <t>4713-3798</t>
  </si>
  <si>
    <t>matriceria inyeccion de plastico</t>
  </si>
  <si>
    <t>Ricardo | Rogelio (Dueño)</t>
  </si>
  <si>
    <t>4750-8963</t>
  </si>
  <si>
    <t>http://www.matriceriascollo.com/</t>
  </si>
  <si>
    <t>Rodillos, agujas espinas y ejes para micromotores</t>
  </si>
  <si>
    <t>Mario B Scorrano</t>
  </si>
  <si>
    <t>15 6528-6423</t>
  </si>
  <si>
    <t>4769-4723</t>
  </si>
  <si>
    <t>SCOTT JEAN S.R.L.</t>
  </si>
  <si>
    <t>4653-6789</t>
  </si>
  <si>
    <t>Cosmeticos</t>
  </si>
  <si>
    <t>Andrea Lopez</t>
  </si>
  <si>
    <t>11 5006-6854</t>
  </si>
  <si>
    <t>4750-0763</t>
  </si>
  <si>
    <t>15 5006-6854</t>
  </si>
  <si>
    <t>http://laboratorioseance.com.ar/productos.php</t>
  </si>
  <si>
    <t>SECURITY SYSTEM S.A.</t>
  </si>
  <si>
    <t>4759-2332</t>
  </si>
  <si>
    <t>SEDRUOL S.R.L.</t>
  </si>
  <si>
    <t>Servicios Técnicos y Profesionales no clasificados en otra parte</t>
  </si>
  <si>
    <t>4750 9068</t>
  </si>
  <si>
    <t>Sebastian Marinsek</t>
  </si>
  <si>
    <t>4488-6380</t>
  </si>
  <si>
    <t>www.seegerrenosa.com.ar</t>
  </si>
  <si>
    <t>Servicios de preparación de comidas para empresas y eventos</t>
  </si>
  <si>
    <t>Viandas para obras</t>
  </si>
  <si>
    <t>11 5058-2617</t>
  </si>
  <si>
    <t>https://www.instagram.com/mariadelrosario.segovia.1/</t>
  </si>
  <si>
    <t>SEGURA HECTOR EDUARDO Y SUTIL DOMINGO S.H.</t>
  </si>
  <si>
    <t>Fabricación de cojinetes; engranajes; trenes de engranaje y piezas de transmisión</t>
  </si>
  <si>
    <t>4739-0136</t>
  </si>
  <si>
    <t>SEI TU S.A.</t>
  </si>
  <si>
    <t>Patricios</t>
  </si>
  <si>
    <t xml:space="preserve">Hector Eugenio Candia 
</t>
  </si>
  <si>
    <t>11 3053-2637</t>
  </si>
  <si>
    <t>Federico S. Montero</t>
  </si>
  <si>
    <t>11 6974-0150</t>
  </si>
  <si>
    <t>4759-2491</t>
  </si>
  <si>
    <t>4759-2492</t>
  </si>
  <si>
    <t>4759-2493</t>
  </si>
  <si>
    <t>http://www.seituhelados.com.ar/</t>
  </si>
  <si>
    <t>SELVA INDUSTRIAL Y COMERCIAL S.C.</t>
  </si>
  <si>
    <t>4750-4060</t>
  </si>
  <si>
    <t>Analisis ambientales y de aceites usados, ensayos fisicos, quimicos y para automotores</t>
  </si>
  <si>
    <t>11 4716-0667</t>
  </si>
  <si>
    <t>11 4716-1211</t>
  </si>
  <si>
    <t>11 4716-5920 | 11 5197-0882 | 11 5197-0358</t>
  </si>
  <si>
    <t>https://semat.com.ar/</t>
  </si>
  <si>
    <t>miguelina.r@hotmail.com</t>
  </si>
  <si>
    <t>SEMINCO S.A.</t>
  </si>
  <si>
    <t>4751-2594</t>
  </si>
  <si>
    <t>SENNIC S.A.</t>
  </si>
  <si>
    <t>Capitán Joaquin Madariaga</t>
  </si>
  <si>
    <t>lucas@ecovita.com.ar</t>
  </si>
  <si>
    <t>4751-3335</t>
  </si>
  <si>
    <t>4751-3373/83</t>
  </si>
  <si>
    <t>Bosio Hector Lujan</t>
  </si>
  <si>
    <t>11 4500-0380</t>
  </si>
  <si>
    <t>4734-0460</t>
  </si>
  <si>
    <t>4734-0562</t>
  </si>
  <si>
    <t>www.sipansingluten.com.ar</t>
  </si>
  <si>
    <t>emarquez@peters.com.ar</t>
  </si>
  <si>
    <t>Confección de prendas de vestir N.C.P., Excepto prendas de piel, cuero, y de punto.</t>
  </si>
  <si>
    <t>Gabriel Taffarello</t>
  </si>
  <si>
    <t>4750-1596</t>
  </si>
  <si>
    <t>4842-5532</t>
  </si>
  <si>
    <t>15 4446-3033</t>
  </si>
  <si>
    <t>eduardo@terlizzisa.com</t>
  </si>
  <si>
    <t>www.sercontexblindajes.com.ar</t>
  </si>
  <si>
    <t>Jamon, embutidos</t>
  </si>
  <si>
    <t>Jorge Seri</t>
  </si>
  <si>
    <t>15 5308-4643</t>
  </si>
  <si>
    <t>contacto@amasd.com.ar</t>
  </si>
  <si>
    <t>4840-2000</t>
  </si>
  <si>
    <t>4842-3003</t>
  </si>
  <si>
    <t>SERVICIOS ELECTROLITICOS ASEGURADOS S.A.</t>
  </si>
  <si>
    <t>dana@accecuer.com.ar</t>
  </si>
  <si>
    <t>4734-1829</t>
  </si>
  <si>
    <t>Alicia Moreau de Justo</t>
  </si>
  <si>
    <t>daniloegdiaz@yahoo.com.ar</t>
  </si>
  <si>
    <t>Fabian Fernandez</t>
  </si>
  <si>
    <t>15 6053-1122</t>
  </si>
  <si>
    <t>4658-1300/9131/9039/9113</t>
  </si>
  <si>
    <t>11 6053-1122</t>
  </si>
  <si>
    <t>http://www.serviciosff.com.ar/</t>
  </si>
  <si>
    <t>myriam@acytra.com</t>
  </si>
  <si>
    <t>SERVICIOS INDUSTRIALES RASIM S.R.L.</t>
  </si>
  <si>
    <t>4840-5542</t>
  </si>
  <si>
    <t>info@agencaissa.com.ar</t>
  </si>
  <si>
    <t>4656-7220</t>
  </si>
  <si>
    <t>4656-4655</t>
  </si>
  <si>
    <t>http://www.mercotour.com/ceciliapolicastro/chemical/</t>
  </si>
  <si>
    <t>administracion@aitec-ingenieria.com.ar</t>
  </si>
  <si>
    <t>Erika</t>
  </si>
  <si>
    <t>SEVERO E HIJOS S.R.L.</t>
  </si>
  <si>
    <t>ventas@acerosbosch.com.ar</t>
  </si>
  <si>
    <t>Calle Nº 908</t>
  </si>
  <si>
    <t>4739-1018</t>
  </si>
  <si>
    <t>SEWING S.R.L.</t>
  </si>
  <si>
    <t>4759-1394</t>
  </si>
  <si>
    <t>alimentos@bacigalupo.com.ar</t>
  </si>
  <si>
    <t>SFOGGIA JORGE OSCAR Y JACQUEZ OSCAR ALBERTO</t>
  </si>
  <si>
    <t>ventas@quimicaallclean.com.ar</t>
  </si>
  <si>
    <t>Servicios de Diagnósticos</t>
  </si>
  <si>
    <t>4734-8342</t>
  </si>
  <si>
    <t>Ignacio</t>
  </si>
  <si>
    <t>11 6622-3222</t>
  </si>
  <si>
    <t>Bruno Testa</t>
  </si>
  <si>
    <t>15 3649-8694</t>
  </si>
  <si>
    <t>4814-2300</t>
  </si>
  <si>
    <t>4816-2561 | 4469-9759</t>
  </si>
  <si>
    <t>11 3693-0532 (Johan Gonzalez)</t>
  </si>
  <si>
    <t>http://www.sherwin.com.ar/</t>
  </si>
  <si>
    <t>comex@arcolor-sa.com.ar</t>
  </si>
  <si>
    <t>Confección de prendas de vestir N.C.P., excepto las de piel, cuero y sucedáneos, pilotos e impermeables</t>
  </si>
  <si>
    <t>Carlos Prina</t>
  </si>
  <si>
    <t>11 5529-5101</t>
  </si>
  <si>
    <t>750-6424</t>
  </si>
  <si>
    <t>ventas@arizonacalzados.com.ar</t>
  </si>
  <si>
    <t>https://www.shiai.com.ar/</t>
  </si>
  <si>
    <t>tcreus@armaferro.com.ar</t>
  </si>
  <si>
    <t xml:space="preserve">Dr. Ceraso </t>
  </si>
  <si>
    <t>4757-9287</t>
  </si>
  <si>
    <t>15-6505-3343</t>
  </si>
  <si>
    <t>siavservicios.com.ar</t>
  </si>
  <si>
    <t>fernando@aviber.com.ar</t>
  </si>
  <si>
    <t>Bolsas de polipropileno, Bolsas ecológicas</t>
  </si>
  <si>
    <t>Cristian Roca (Gerente General)</t>
  </si>
  <si>
    <t>15 2436-9955 | 11 3484-1586</t>
  </si>
  <si>
    <t>Guillermo Roca (Socio Gerente)</t>
  </si>
  <si>
    <t>15 6991-9175</t>
  </si>
  <si>
    <t>administracion@correasbts.com.ar</t>
  </si>
  <si>
    <t>5235-1993</t>
  </si>
  <si>
    <t>4750-4654</t>
  </si>
  <si>
    <t>http://www.greenie.com.ar/</t>
  </si>
  <si>
    <t>daniela.acosta@e-intrasrl.com</t>
  </si>
  <si>
    <t>4488-4466</t>
  </si>
  <si>
    <t>creavis.com.ar</t>
  </si>
  <si>
    <t>Fabricación de productos químicos N.C.P., (Incluye la producción de aceites esenciales, tintas excepto para imprenta, etc.)</t>
  </si>
  <si>
    <t>Javier Tripicchio | Alejandra Rízoli</t>
  </si>
  <si>
    <t>gestion@bical.com.ar</t>
  </si>
  <si>
    <t>11 5566-1158</t>
  </si>
  <si>
    <t>Sergio Toranzo</t>
  </si>
  <si>
    <t>}4734-3500/3555 | 4759-0043 | (223) 495-3444 | (223) 4813-0550</t>
  </si>
  <si>
    <t>(223) 494-1834</t>
  </si>
  <si>
    <t>4759-0043</t>
  </si>
  <si>
    <t>http://arg.sika.com/</t>
  </si>
  <si>
    <t>SIKA S S.R.L.</t>
  </si>
  <si>
    <t>4734-3500</t>
  </si>
  <si>
    <t>https://arg.sika.com/</t>
  </si>
  <si>
    <t>clientes@bondeadosnortex.com.ar</t>
  </si>
  <si>
    <t>4304/06</t>
  </si>
  <si>
    <t>Sanitarios | Calefactores</t>
  </si>
  <si>
    <t>Pablo Barbero</t>
  </si>
  <si>
    <t>15 3502-7053</t>
  </si>
  <si>
    <t xml:space="preserve">Emiliano Barbero </t>
  </si>
  <si>
    <t>caltec@caltec.com.ar</t>
  </si>
  <si>
    <t>11 3502-7053</t>
  </si>
  <si>
    <t>4647-1950/1667</t>
  </si>
  <si>
    <t>5252-6630</t>
  </si>
  <si>
    <t>15 5728-0063</t>
  </si>
  <si>
    <t>https://calefactorescalden.com.ar/ | https://ibsanitarios.com.ar/</t>
  </si>
  <si>
    <t>SIN NIC S.R.L.</t>
  </si>
  <si>
    <t>none@candex.com.ar</t>
  </si>
  <si>
    <t>4488-1110</t>
  </si>
  <si>
    <t>SINCOVICH MARCELO EMILIO</t>
  </si>
  <si>
    <t>P. del Piero</t>
  </si>
  <si>
    <t>bibi@braganza.com.ar</t>
  </si>
  <si>
    <t>4842-4940</t>
  </si>
  <si>
    <t>carmen@carboneaut.com.ar</t>
  </si>
  <si>
    <t>Tres de Febrero</t>
  </si>
  <si>
    <t>Venta al por mayor de máquinas, equipo y materiales conexos N.C.P.</t>
  </si>
  <si>
    <t>4824-4095</t>
  </si>
  <si>
    <t>4662-4389</t>
  </si>
  <si>
    <t>4759-0129</t>
  </si>
  <si>
    <t>https://www.sinis.com.ar/</t>
  </si>
  <si>
    <t>aylenm@casiba.ar</t>
  </si>
  <si>
    <t>Exhibidores, gráficas, sobres, etc.</t>
  </si>
  <si>
    <t>asistentegerencia@castell.com.ar</t>
  </si>
  <si>
    <t>11 2405 2157</t>
  </si>
  <si>
    <t>https://sippublicidad.com.ar/</t>
  </si>
  <si>
    <t>pedrofranc41@gmail.com</t>
  </si>
  <si>
    <t>11 2405-2157</t>
  </si>
  <si>
    <t>compras@celulosabaraderosa.com.ar</t>
  </si>
  <si>
    <t>SIPEL S.R.L.</t>
  </si>
  <si>
    <t>Construcción, Reforma y Reparación de Obras de Infraestructura del Transporte N.C.P.</t>
  </si>
  <si>
    <t>4751-8997</t>
  </si>
  <si>
    <t>tecnico@chisap.com</t>
  </si>
  <si>
    <t>Aerogeneradores, paneles, grupos electrógenos</t>
  </si>
  <si>
    <t>Virginia Solima</t>
  </si>
  <si>
    <t>11 5658-4004</t>
  </si>
  <si>
    <t>Oscar Cesar Solima</t>
  </si>
  <si>
    <t>11 5817-5962</t>
  </si>
  <si>
    <t>11 3517-3689</t>
  </si>
  <si>
    <t>4488-4489</t>
  </si>
  <si>
    <t>4644-2874/84</t>
  </si>
  <si>
    <t>https://www.sistemasenergeticos.com.ar/</t>
  </si>
  <si>
    <t>embalajes@cae.com.ar</t>
  </si>
  <si>
    <t>SISTEMPRO S.A.</t>
  </si>
  <si>
    <t>Servicios de Emergencias y Traslados</t>
  </si>
  <si>
    <t>info@hescher.com.ar</t>
  </si>
  <si>
    <t>Tapas plásticas</t>
  </si>
  <si>
    <t>Daniel Catania</t>
  </si>
  <si>
    <t>4734-2100 | 4750-1868</t>
  </si>
  <si>
    <t>3128-5106</t>
  </si>
  <si>
    <t>4750-1868</t>
  </si>
  <si>
    <t>https://sisteplast.com.ar/</t>
  </si>
  <si>
    <t>cersosimoangel@gmail.com</t>
  </si>
  <si>
    <t>Fabricación y venta de piezas y partes para ascensores</t>
  </si>
  <si>
    <t>Ariel Escobar</t>
  </si>
  <si>
    <t>11 4083-3717</t>
  </si>
  <si>
    <t>3220-2878</t>
  </si>
  <si>
    <t>4488-1948</t>
  </si>
  <si>
    <t>skylift.com.ar</t>
  </si>
  <si>
    <t xml:space="preserve">Fabricación de maquinaria y equipo de elevación y manipulación </t>
  </si>
  <si>
    <t>ventas@corradiniremaches.com.ar</t>
  </si>
  <si>
    <t xml:space="preserve"> 6238-0960</t>
  </si>
  <si>
    <t>nf.com.ar</t>
  </si>
  <si>
    <t>SLUG S.R.L.</t>
  </si>
  <si>
    <t>982/86</t>
  </si>
  <si>
    <t>corupel@gmail.com</t>
  </si>
  <si>
    <t>Fabricación de Armas y Municiones</t>
  </si>
  <si>
    <t>4488-3600</t>
  </si>
  <si>
    <t>SNABER S.A.</t>
  </si>
  <si>
    <t>carlosmadoglio@depimiel.com</t>
  </si>
  <si>
    <t>Cultivo de trigo</t>
  </si>
  <si>
    <t>Trigo, soja, maiz</t>
  </si>
  <si>
    <t>Silvia 12 hs</t>
  </si>
  <si>
    <t>(2352) 45-1615 | (2352) 45-2241</t>
  </si>
  <si>
    <t>(2352) 42-7199</t>
  </si>
  <si>
    <t>pedidos@donjorge.com.ar</t>
  </si>
  <si>
    <t>Elaboración de pastas alimentarias frescas</t>
  </si>
  <si>
    <t>Pastas</t>
  </si>
  <si>
    <t>Julio Gonzalez (Dueño)</t>
  </si>
  <si>
    <t>15 6440-2233</t>
  </si>
  <si>
    <t>Fabio Francesconi</t>
  </si>
  <si>
    <t>fernando_lopez@emeth.com.ar</t>
  </si>
  <si>
    <t>11 3466-4571</t>
  </si>
  <si>
    <t>4653-2689 | 11 3384-3718</t>
  </si>
  <si>
    <t>4653-2695</t>
  </si>
  <si>
    <t>11 6555-3145</t>
  </si>
  <si>
    <t>http://www.pastasorali.com/</t>
  </si>
  <si>
    <t>rrhhax.elacin@gmail.com</t>
  </si>
  <si>
    <t>4750-1633</t>
  </si>
  <si>
    <t>4716 - 2012</t>
  </si>
  <si>
    <t>https://www.sodpint.com/</t>
  </si>
  <si>
    <t>cobranza@envadecsrl.com</t>
  </si>
  <si>
    <t>4488-6008</t>
  </si>
  <si>
    <t>lauravivas@envasesjohn.com</t>
  </si>
  <si>
    <t>SOLUCIONES IMPRESAS S.R.L.</t>
  </si>
  <si>
    <t>4878-9814</t>
  </si>
  <si>
    <t>administracion@abrochadorasgrap.com</t>
  </si>
  <si>
    <t>https://solucionimpresa.com.ar/</t>
  </si>
  <si>
    <t>cibron2412@gmail.com</t>
  </si>
  <si>
    <t>4739-9134</t>
  </si>
  <si>
    <t>www.solyon.com.ar</t>
  </si>
  <si>
    <t>SORIA E HIJO S.R.L.</t>
  </si>
  <si>
    <t>rperez@galvylam.com</t>
  </si>
  <si>
    <t>4848-1876</t>
  </si>
  <si>
    <t>contacto@golocan.com.ar</t>
  </si>
  <si>
    <t>analia@uniongood.com.ar</t>
  </si>
  <si>
    <t>zapatos, mocasines, accesorios</t>
  </si>
  <si>
    <t>4647-2046</t>
  </si>
  <si>
    <t>4488-7864</t>
  </si>
  <si>
    <t>http://www.sergiosorrentino.com.ar/</t>
  </si>
  <si>
    <t>SORRENTINO MAXIMILIANO DANIEL</t>
  </si>
  <si>
    <t>fernando@gtcribbon.com</t>
  </si>
  <si>
    <t xml:space="preserve"> 4769-3418</t>
  </si>
  <si>
    <t>ventas@industriasedigma.com.ar</t>
  </si>
  <si>
    <t>SOTO CASTRO Y CIA S.A.</t>
  </si>
  <si>
    <t>4712-9632</t>
  </si>
  <si>
    <t>isagaproduccion@hotmail.com.ar</t>
  </si>
  <si>
    <t>Servicios de diseño especializado (Incluye diseño de indumentaria, diseño gráfico, actividades de decoradores, etc.)</t>
  </si>
  <si>
    <t>Diseño, comunicación y publicidad (RGB)</t>
  </si>
  <si>
    <t>Romina Morello</t>
  </si>
  <si>
    <t>11 5418-2707</t>
  </si>
  <si>
    <t>Natalia Albarellos</t>
  </si>
  <si>
    <t>11 5696-4443</t>
  </si>
  <si>
    <t>4751-6330</t>
  </si>
  <si>
    <t>4843-9644</t>
  </si>
  <si>
    <t>11 5710-7143</t>
  </si>
  <si>
    <t>www.kaser.com.ar</t>
  </si>
  <si>
    <t>carlacastellani@hotmail.com</t>
  </si>
  <si>
    <t>4757-3928</t>
  </si>
  <si>
    <t>http://acytra.com/</t>
  </si>
  <si>
    <t>carlos@mercoplast.com.ar</t>
  </si>
  <si>
    <t>Alejandro Allario</t>
  </si>
  <si>
    <t>15 5747-1392</t>
  </si>
  <si>
    <t>15-3469-5818</t>
  </si>
  <si>
    <t>aftermarket@mpapaianni.com.ar</t>
  </si>
  <si>
    <t>4844-4814</t>
  </si>
  <si>
    <t>SPINA MIGUEL ARCANGEL Y VALLONE DOMENICO ANTONIO S.H.</t>
  </si>
  <si>
    <t>recepcion@panfresh.com.ar</t>
  </si>
  <si>
    <t>4750-7327</t>
  </si>
  <si>
    <t>SPUNKI S.A.</t>
  </si>
  <si>
    <t>Elaboración de Quesos (Incluye la producción de suero)</t>
  </si>
  <si>
    <t>ventas@aitec-ingenieria.com.ar</t>
  </si>
  <si>
    <t>4750-9055</t>
  </si>
  <si>
    <t>4750-6050 | 4716-0950</t>
  </si>
  <si>
    <t>info@papeleralamilagrosa.com.ar</t>
  </si>
  <si>
    <t>STAL GRIFF S.R.L.</t>
  </si>
  <si>
    <t>4769-9050 | 11 2749-0306</t>
  </si>
  <si>
    <t>4769-7188</t>
  </si>
  <si>
    <t>4769-3321</t>
  </si>
  <si>
    <t>marcelo@ramospack.com.ar</t>
  </si>
  <si>
    <t>Equipamiento para oficinas e industrias</t>
  </si>
  <si>
    <t>Marcela Fornazari</t>
  </si>
  <si>
    <t>11 5339-0067</t>
  </si>
  <si>
    <t>Karin Miño (Ventas)</t>
  </si>
  <si>
    <t>11 6561-0836</t>
  </si>
  <si>
    <t>4757-5777</t>
  </si>
  <si>
    <t>http://www.stanfor.com.ar/</t>
  </si>
  <si>
    <t>contadora@estudiopiacentini.com.ar</t>
  </si>
  <si>
    <t>Martin Bezus. Liliana</t>
  </si>
  <si>
    <t>11 5011-7552</t>
  </si>
  <si>
    <t>4716-2455</t>
  </si>
  <si>
    <t>4716-4003</t>
  </si>
  <si>
    <t>www.stapler.com.ar</t>
  </si>
  <si>
    <t>export@gespannt.com.ar</t>
  </si>
  <si>
    <t>STAR NEW AGUAS S.A.</t>
  </si>
  <si>
    <t>Fabricación de sodas. Embotellado de aguas naturales y minerales</t>
  </si>
  <si>
    <t>rodrigo@s3herramientas.com.ar</t>
  </si>
  <si>
    <t>https://www.instagram.com/starnewaguas/?hl=es-la</t>
  </si>
  <si>
    <t>starlight@starlight.com.ar</t>
  </si>
  <si>
    <t>Servicios de sistemas de seguridad</t>
  </si>
  <si>
    <t>tesoreria@baigorriaindustrial.com</t>
  </si>
  <si>
    <t>4488-2000</t>
  </si>
  <si>
    <t>http://starlight.com.ar/</t>
  </si>
  <si>
    <t>juan.sanchez@tecniark.com.ar</t>
  </si>
  <si>
    <t>Bolsas ecológicas</t>
  </si>
  <si>
    <t>11 6500-4968</t>
  </si>
  <si>
    <t>Javier Perruccio</t>
  </si>
  <si>
    <t>15 6255-0044</t>
  </si>
  <si>
    <t>11 5831-9285</t>
  </si>
  <si>
    <t>https://www.starpack.com.ar/</t>
  </si>
  <si>
    <t>terlizzi@terlizzisa.com</t>
  </si>
  <si>
    <t>ventas@quimicasimo.com.ar</t>
  </si>
  <si>
    <t>Cesar Pochettino</t>
  </si>
  <si>
    <t>11 3446-5117</t>
  </si>
  <si>
    <t>11 6255-0046</t>
  </si>
  <si>
    <t>www.startec.com.ar</t>
  </si>
  <si>
    <t>STATELLO DEBORA ELIZABETH Y STATELLO SILVINA EDITH SOC. DE HECHO</t>
  </si>
  <si>
    <t>4647-2889</t>
  </si>
  <si>
    <t>ventas@warplast.com.ar</t>
  </si>
  <si>
    <t>Mario Lautgang</t>
  </si>
  <si>
    <t>4716-0686</t>
  </si>
  <si>
    <t>4750-1749</t>
  </si>
  <si>
    <t>STEN RAI S.R.L.</t>
  </si>
  <si>
    <t>4769-1152</t>
  </si>
  <si>
    <t>ventas5@aceroscofer.com.ar</t>
  </si>
  <si>
    <t>Fabricación y reparación de aeronaves</t>
  </si>
  <si>
    <t>ventas@aditivosplasticos.com</t>
  </si>
  <si>
    <t>Lisandro Medina</t>
  </si>
  <si>
    <t>Venta al por mayor de mercancias</t>
  </si>
  <si>
    <t>11 2604-2020</t>
  </si>
  <si>
    <t>4750-2826</t>
  </si>
  <si>
    <t>4734-7443</t>
  </si>
  <si>
    <t>https://sites.google.com/view/stolmar/</t>
  </si>
  <si>
    <t>info@agmetalurgica.com.ar</t>
  </si>
  <si>
    <t>Fabricación de productor plásticos en formas gráficas y articulos de plástico N.C.P. excepto muebles</t>
  </si>
  <si>
    <t>Victoria (hija de los dueños)</t>
  </si>
  <si>
    <t>11 3402-6037</t>
  </si>
  <si>
    <t>ventas@sabbatini.com.ar</t>
  </si>
  <si>
    <t>STRONG MAC S.R.L.</t>
  </si>
  <si>
    <t>4739-6005</t>
  </si>
  <si>
    <t>florenciabelen_sosa@hotmail.com</t>
  </si>
  <si>
    <t>SUAREZ EDGARDO Y SUAREZ EXEQUIEL S.H.</t>
  </si>
  <si>
    <t>recepcion@noly.com.ar</t>
  </si>
  <si>
    <t>Elaboración de quesos</t>
  </si>
  <si>
    <t>Marcelo Cali</t>
  </si>
  <si>
    <t>15 6367-7514</t>
  </si>
  <si>
    <t>Lilian Cali</t>
  </si>
  <si>
    <t>15 2165-0678</t>
  </si>
  <si>
    <t>4750-1257</t>
  </si>
  <si>
    <t>coberturas@aluoest.com.ar</t>
  </si>
  <si>
    <t>Accesorios industria de la construcción</t>
  </si>
  <si>
    <t>Reynaldo Martone</t>
  </si>
  <si>
    <t>4750-3238</t>
  </si>
  <si>
    <t>info@dassoluciones.com.ar</t>
  </si>
  <si>
    <t>Venta al por mayor de artículos de plástico. Fabricación de lámparas eléctricas y equipo de iluminación</t>
  </si>
  <si>
    <t>Perillas torpedo, fichas plásticas</t>
  </si>
  <si>
    <t>Jose Luis Rouco</t>
  </si>
  <si>
    <t>11 5863-0832</t>
  </si>
  <si>
    <t>me_grillo@hotmail.com.ar</t>
  </si>
  <si>
    <t>4750-5122</t>
  </si>
  <si>
    <t>Juana de Azurduy</t>
  </si>
  <si>
    <t>ml@aptitud.com.ar</t>
  </si>
  <si>
    <t>4629-0140 | 4629-0133</t>
  </si>
  <si>
    <t>SUISSE COLOR CENTER S.A.</t>
  </si>
  <si>
    <t>Servicios de Fotografía</t>
  </si>
  <si>
    <t>ggomez@armaferro.com.ar</t>
  </si>
  <si>
    <t>4656-9228</t>
  </si>
  <si>
    <t>4488-1954</t>
  </si>
  <si>
    <t>analia@asanno.com</t>
  </si>
  <si>
    <t>4750-1196</t>
  </si>
  <si>
    <t>aldana.sabrina@gmail.com</t>
  </si>
  <si>
    <t>Ana Paula Jover</t>
  </si>
  <si>
    <t>11 6557-7025</t>
  </si>
  <si>
    <t>4842-0975 / 4317 / 4316 / 0871 / 6494 / 2550</t>
  </si>
  <si>
    <t>http://www.sulfoquimica.com.ar/</t>
  </si>
  <si>
    <t>agustintalamo@correasbts.com.ar</t>
  </si>
  <si>
    <t>busqueda@caltec.com.ar</t>
  </si>
  <si>
    <t>4734-9061 | 4759-0419</t>
  </si>
  <si>
    <t>lmarana@castell.com.ar</t>
  </si>
  <si>
    <t>SUN IMAG S.R.L.</t>
  </si>
  <si>
    <t>Servicios de prácticas de diagnóstico por imágenes (Incluye radiología, ecografía, resonancia magnética, etc.)</t>
  </si>
  <si>
    <t>4716-3200 (ext. 7)</t>
  </si>
  <si>
    <t>pedidos@celulosabaraderosa.com.ar</t>
  </si>
  <si>
    <t>http://cir-imagenes.com.ar/web/</t>
  </si>
  <si>
    <t>ventas@bimet.net</t>
  </si>
  <si>
    <t>estanterias</t>
  </si>
  <si>
    <t>4750-5432</t>
  </si>
  <si>
    <t>4750-8654</t>
  </si>
  <si>
    <t>15 3043-3469 (María, gestora?)</t>
  </si>
  <si>
    <t>http://www.superestant.com.ar/</t>
  </si>
  <si>
    <t>compras@chisap.com</t>
  </si>
  <si>
    <t>Prooductos que ayuden a los profesionales de la salud a mejorar la calidad del cuidado de los pacientes.</t>
  </si>
  <si>
    <t>Enzo Lasevoli (Dir.)</t>
  </si>
  <si>
    <t>11 4094-7924</t>
  </si>
  <si>
    <t>Catalina Lasevoli/ Nela Iasevoli 1161993207 nela.iasevoli@surgicalsupply.com.ar</t>
  </si>
  <si>
    <t>11 3210-9797</t>
  </si>
  <si>
    <t>11 4653-1112</t>
  </si>
  <si>
    <t>11 2488-5785</t>
  </si>
  <si>
    <t>laboratorio@chousa.com.ar</t>
  </si>
  <si>
    <t>https://surgicalsupply.com.ar/#!/-home/</t>
  </si>
  <si>
    <t>administracion@codacsrl.com.ar</t>
  </si>
  <si>
    <t>4653-8047</t>
  </si>
  <si>
    <t>ventasweb@codesil.com.ar</t>
  </si>
  <si>
    <t>Tejidos a fason. Confeccion de uniformes</t>
  </si>
  <si>
    <t>Silvio Romano</t>
  </si>
  <si>
    <t>4657-4127</t>
  </si>
  <si>
    <t>4657-6284</t>
  </si>
  <si>
    <t>www.sweatersromano.com.ar</t>
  </si>
  <si>
    <t>matosrub2@gmail.com</t>
  </si>
  <si>
    <t>Cajeros, terminales, kioskos</t>
  </si>
  <si>
    <t>Gabriel Troncoso</t>
  </si>
  <si>
    <t>11 6404-2104</t>
  </si>
  <si>
    <t xml:space="preserve"> Natalia Santaniello </t>
  </si>
  <si>
    <t>11 2502-1996 | 11 5877-5043</t>
  </si>
  <si>
    <t>ventaspallets@cae.com.ar</t>
  </si>
  <si>
    <t>5263-3232</t>
  </si>
  <si>
    <t>4073-5658 (Jorge Mendez)</t>
  </si>
  <si>
    <t>http://symtron.com.ar/</t>
  </si>
  <si>
    <t>comercial@hescher.com.ar</t>
  </si>
  <si>
    <t>engranajes de cajas de velocidad</t>
  </si>
  <si>
    <t>Jorgelina Dellie Coste</t>
  </si>
  <si>
    <t>4750-7799</t>
  </si>
  <si>
    <t>fundacion@comaco.coop</t>
  </si>
  <si>
    <t>TABERNISE GRACIANA RAQUEL VALLETTA DARIO ALEJANDRO</t>
  </si>
  <si>
    <t>Reparación de artículos Eléctricos de uso Domestico</t>
  </si>
  <si>
    <t>lilianacabral@corupel.com</t>
  </si>
  <si>
    <t>11 4840-4484</t>
  </si>
  <si>
    <t>henri@emeth.com.ar</t>
  </si>
  <si>
    <t>4657-8818</t>
  </si>
  <si>
    <t>shermida@cachafaz.com</t>
  </si>
  <si>
    <t>Raul Taboada</t>
  </si>
  <si>
    <t>4656-8085</t>
  </si>
  <si>
    <t xml:space="preserve"> 4656-1117</t>
  </si>
  <si>
    <t>oficinarrhh@envasesjohn.com</t>
  </si>
  <si>
    <t>4757-1318</t>
  </si>
  <si>
    <t>TACTICAL GROUP S.R.L.</t>
  </si>
  <si>
    <t>compras@pinturasfrall.com.ar</t>
  </si>
  <si>
    <t>4759-0063</t>
  </si>
  <si>
    <t>TADOC S.R.L.</t>
  </si>
  <si>
    <t>pdc@galileoar.com</t>
  </si>
  <si>
    <t>Muebles de roble y de estilo</t>
  </si>
  <si>
    <t>4769-8764</t>
  </si>
  <si>
    <t>ivanadelrio@gtcribbon.com</t>
  </si>
  <si>
    <t>Bulones, tornillos</t>
  </si>
  <si>
    <t>Rita Consentino (Pta)</t>
  </si>
  <si>
    <t>11 5118-4774</t>
  </si>
  <si>
    <t>Aldo</t>
  </si>
  <si>
    <t>4750-7556</t>
  </si>
  <si>
    <t>4757-8059</t>
  </si>
  <si>
    <t>https://baigorriaindustrial.com/</t>
  </si>
  <si>
    <t>TALLER NAHUEL S.A.</t>
  </si>
  <si>
    <t>4653-7491</t>
  </si>
  <si>
    <t>automotores, elásticos</t>
  </si>
  <si>
    <t>aparedes@tomadoni.com</t>
  </si>
  <si>
    <t>4750-6859</t>
  </si>
  <si>
    <t>http://www.talleresalvear.com.ar/</t>
  </si>
  <si>
    <t>TALLERES BESARES S.R.L.</t>
  </si>
  <si>
    <t>cnc_edm@yahoo.com.ar</t>
  </si>
  <si>
    <t>(011) 4653-9414</t>
  </si>
  <si>
    <t>4653-2964</t>
  </si>
  <si>
    <t>4647-1216</t>
  </si>
  <si>
    <t>newmetalsrl1@gmail.com</t>
  </si>
  <si>
    <t>TALLERES CIUDADELA S.A.</t>
  </si>
  <si>
    <t>11 4488-1598</t>
  </si>
  <si>
    <t>consultas@jmramosmejia.com.ar</t>
  </si>
  <si>
    <t>11 4653-6397</t>
  </si>
  <si>
    <t>11 5131-5430</t>
  </si>
  <si>
    <t>TALLERES FABI FABRICA ARGENTINA DE VISAGRAS S.A.I.C.</t>
  </si>
  <si>
    <t>recursoshumanos@reuschargentina.com.ar</t>
  </si>
  <si>
    <t>4653-9021</t>
  </si>
  <si>
    <t>4653-8506</t>
  </si>
  <si>
    <t>4657-9362</t>
  </si>
  <si>
    <t>https://www.fabricadebisagras.com/about-5</t>
  </si>
  <si>
    <t>gisela.ramos@sherwin.com.ar</t>
  </si>
  <si>
    <t>Guillermo Cardillo</t>
  </si>
  <si>
    <t>15 5052-5911</t>
  </si>
  <si>
    <t>4769-2002</t>
  </si>
  <si>
    <t>4769-2008</t>
  </si>
  <si>
    <t>4769-2111</t>
  </si>
  <si>
    <t>www.talleresfumaca.com.ar</t>
  </si>
  <si>
    <t>ventas@sistemasenergeticos.com.ar</t>
  </si>
  <si>
    <t>TALLERES METALURGICOS S P Z S.R.L.</t>
  </si>
  <si>
    <t>4653-9288</t>
  </si>
  <si>
    <t>TALLERES PLASTICOS PECARI S.R.L.</t>
  </si>
  <si>
    <t>operaciones@starlight.com.ar</t>
  </si>
  <si>
    <t>Hugo Zeyen</t>
  </si>
  <si>
    <t>4769-4772</t>
  </si>
  <si>
    <t>TAPIRAP S.R.L.</t>
  </si>
  <si>
    <t>aconti@startec.com.ar</t>
  </si>
  <si>
    <t>4653-8534</t>
  </si>
  <si>
    <t>4653-1564</t>
  </si>
  <si>
    <t>https://tapirap-srl.negocio.site/</t>
  </si>
  <si>
    <t>Liliana Gonzalez</t>
  </si>
  <si>
    <t>4759-4670</t>
  </si>
  <si>
    <t>dcaballero@tecnoperfiles.com.ar</t>
  </si>
  <si>
    <t>https://tapperadhesivos.com.ar/</t>
  </si>
  <si>
    <t>diegomariani@terlizzisa.com</t>
  </si>
  <si>
    <t>Fabricación de Frazadas, Mantas, Ponchos, Colchas, Cobertores, Etc.</t>
  </si>
  <si>
    <t>15 5331-7273</t>
  </si>
  <si>
    <t>4769-6464</t>
  </si>
  <si>
    <t>https://www.tejeduriatauro.com.ar/</t>
  </si>
  <si>
    <t>laboratorio@quimicasimo.com.ar</t>
  </si>
  <si>
    <t>TEC - IN LASER S.R.L.</t>
  </si>
  <si>
    <t>Andrés Ferreyra</t>
  </si>
  <si>
    <t>calidad@warplast.com.ar</t>
  </si>
  <si>
    <t>4734-7825</t>
  </si>
  <si>
    <t>Fabricación de artefactos de iluminacion</t>
  </si>
  <si>
    <t>Diego Angel Delfino</t>
  </si>
  <si>
    <t>11 4991-2224</t>
  </si>
  <si>
    <t>4647-2005</t>
  </si>
  <si>
    <t>www.technicdelfinosa.com.ar</t>
  </si>
  <si>
    <t>TECHNOREP S.A.</t>
  </si>
  <si>
    <t>4504-5870</t>
  </si>
  <si>
    <t>4759 - 8047</t>
  </si>
  <si>
    <t>4759-1197</t>
  </si>
  <si>
    <t>11 6960-4157</t>
  </si>
  <si>
    <t>15 6960-4157</t>
  </si>
  <si>
    <t>11 7138-7300</t>
  </si>
  <si>
    <t>administracion2@chilleout.com.ar</t>
  </si>
  <si>
    <t>https://sanjusto.tecknicam3d.com.ar/</t>
  </si>
  <si>
    <t>Fabricación en industrias básicas de productos de hierro y acero N.C.P.</t>
  </si>
  <si>
    <t>Realizan caños para mineria</t>
  </si>
  <si>
    <t>Agustin Dulcinelli</t>
  </si>
  <si>
    <t>11 3190-2866</t>
  </si>
  <si>
    <t>11 2120-4260</t>
  </si>
  <si>
    <t>11-5150-1194</t>
  </si>
  <si>
    <t>https://www.tecmade.com/</t>
  </si>
  <si>
    <t>Anamontiel@terlizzisa.com</t>
  </si>
  <si>
    <t>Fabricación de tableros eléctricos y producción de gabinetes metálicos</t>
  </si>
  <si>
    <t>Luis Arko (Pte.)</t>
  </si>
  <si>
    <t>ventas@acytra.com</t>
  </si>
  <si>
    <t>11 5872-5160</t>
  </si>
  <si>
    <t>Leonardo Luciano Arko</t>
  </si>
  <si>
    <t>11 5900-6163</t>
  </si>
  <si>
    <t>11 4739-1100</t>
  </si>
  <si>
    <t>https://tecniark.com.ar/</t>
  </si>
  <si>
    <t>fmonti@autospecial.com.ar</t>
  </si>
  <si>
    <t>ventas@carboneaut.com.ar</t>
  </si>
  <si>
    <t>Arq Briguouri  Martin</t>
  </si>
  <si>
    <t>11 3691-3229</t>
  </si>
  <si>
    <t>Briguori Jose</t>
  </si>
  <si>
    <t>4751-2434</t>
  </si>
  <si>
    <t>www.tecnoamericasrl.com.ar</t>
  </si>
  <si>
    <t xml:space="preserve">Santa Rita </t>
  </si>
  <si>
    <t>planeamiento@castell.com.ar</t>
  </si>
  <si>
    <t>gabinetes metálicos</t>
  </si>
  <si>
    <t>11-3903-5663</t>
  </si>
  <si>
    <t>Leonardo Fabian Alvarez</t>
  </si>
  <si>
    <t>11 6145-2952</t>
  </si>
  <si>
    <t>11-7709-3131</t>
  </si>
  <si>
    <t>https://tecnoboxsrl.com.ar/</t>
  </si>
  <si>
    <t>ventas@chisap.com</t>
  </si>
  <si>
    <t>Gestion y diseño de piezas especiales, corte C.N.C. De piezas únicas o seriadas de pequeña o grandes cantidades. Diseño, fabricación, montaje y ajuste de piezas especiales.</t>
  </si>
  <si>
    <t>proveedores@donjorge.com.ar</t>
  </si>
  <si>
    <t>Walter Sianmana</t>
  </si>
  <si>
    <t>11 6365-5008</t>
  </si>
  <si>
    <t>11 4750-8221</t>
  </si>
  <si>
    <t>4587-5795</t>
  </si>
  <si>
    <t>https://www.tecnocaseros.com.ar/</t>
  </si>
  <si>
    <t>bolsas.argentinas@hotmail.com</t>
  </si>
  <si>
    <t>General Villegas</t>
  </si>
  <si>
    <t>Soluciones en la generación, tratamiento, almacenamiento y transporte del aire comprimido</t>
  </si>
  <si>
    <t>Compresores de aire</t>
  </si>
  <si>
    <t>Nahuel Matias Carrá</t>
  </si>
  <si>
    <t>11 3341-3198</t>
  </si>
  <si>
    <t>Eduardo Carrá</t>
  </si>
  <si>
    <t>11 4416-6054</t>
  </si>
  <si>
    <t>11 4750-3477</t>
  </si>
  <si>
    <t>victoria@tomadoni.com</t>
  </si>
  <si>
    <t>4734-2611</t>
  </si>
  <si>
    <t>http://www.compresorestcg.com.ar/#!/-inicio/</t>
  </si>
  <si>
    <t>maribelnovo@manguerasconcord.com.ar</t>
  </si>
  <si>
    <t>Eduardo Carra</t>
  </si>
  <si>
    <t>4750-3476</t>
  </si>
  <si>
    <t>4734 2610</t>
  </si>
  <si>
    <t>15 5437-5402</t>
  </si>
  <si>
    <t>administracion@starlight.com.ar</t>
  </si>
  <si>
    <t>11 6606-9153</t>
  </si>
  <si>
    <t>4757-4771</t>
  </si>
  <si>
    <t>https://www.plugtechcable.com/</t>
  </si>
  <si>
    <t>recursoshumanos@correasbts.com.ar</t>
  </si>
  <si>
    <t>Castelar</t>
  </si>
  <si>
    <t>ingenieria@caltec.com.ar</t>
  </si>
  <si>
    <t>Tintas de imprenta</t>
  </si>
  <si>
    <t>4769-1032</t>
  </si>
  <si>
    <t>http://www.tecnotinta.com.ar/</t>
  </si>
  <si>
    <t>TECNODEPURACIONES S.R.L.</t>
  </si>
  <si>
    <t>calidad@carboneaut.com.ar</t>
  </si>
  <si>
    <t xml:space="preserve">4734-8020
</t>
  </si>
  <si>
    <t>4734-8541</t>
  </si>
  <si>
    <t>4716-0227</t>
  </si>
  <si>
    <t>TECNOFILT S.R.L.</t>
  </si>
  <si>
    <t>11 4653-3315</t>
  </si>
  <si>
    <t>comercial@coinpo.com.ar</t>
  </si>
  <si>
    <t>11 5365-5700</t>
  </si>
  <si>
    <t>4769-4003</t>
  </si>
  <si>
    <t>4840-2003/1100 | 4842-9609/1004</t>
  </si>
  <si>
    <t>info@galileoar.com</t>
  </si>
  <si>
    <t>tecnoform.com.ar</t>
  </si>
  <si>
    <t>jaime@ikonsolutions.com</t>
  </si>
  <si>
    <t>4769-2600</t>
  </si>
  <si>
    <t>Pablo Longhi</t>
  </si>
  <si>
    <t>15 6598-4041</t>
  </si>
  <si>
    <t xml:space="preserve">Guillermo Damian Flores | Diego Caballero </t>
  </si>
  <si>
    <t xml:space="preserve">                                                                                                                                                                                                                                                                                                                                                                                                                                                                          </t>
  </si>
  <si>
    <t>ventas@tomadoni.com</t>
  </si>
  <si>
    <t>4506-1874</t>
  </si>
  <si>
    <t>4506-2612</t>
  </si>
  <si>
    <t>www.tecnocomperfiles.com.ar</t>
  </si>
  <si>
    <t>Alberto</t>
  </si>
  <si>
    <t>4840-0501 | 4840-0500</t>
  </si>
  <si>
    <t>4840-0500</t>
  </si>
  <si>
    <t>tecnoprintsa.com.ar</t>
  </si>
  <si>
    <t>jeannette.e.heinze@sherwin.com.ar</t>
  </si>
  <si>
    <t>TECNOQUIMICA S.A.I.C.</t>
  </si>
  <si>
    <t>4657-9150</t>
  </si>
  <si>
    <t>ventas@starlight.com.ar</t>
  </si>
  <si>
    <t>rrhh@quimicasimo.com.ar</t>
  </si>
  <si>
    <t>Jose Luis Irabedra</t>
  </si>
  <si>
    <t>4734-6824 | 5197-0881</t>
  </si>
  <si>
    <t>https://www.tecnoroll.com.ar/</t>
  </si>
  <si>
    <t>ingenieria@warplast.com.ar</t>
  </si>
  <si>
    <t>Iluminación profesional, decorativa. Lamparas y equipos.</t>
  </si>
  <si>
    <t>Ing. Claudio Samokec (Dueño)</t>
  </si>
  <si>
    <t>11 4161-7757</t>
  </si>
  <si>
    <t>mmusolino@chisap.com</t>
  </si>
  <si>
    <t>4488 6000</t>
  </si>
  <si>
    <t>4488-1925</t>
  </si>
  <si>
    <t>www.tecnosam.com.ar</t>
  </si>
  <si>
    <t>xowdfgsoaudgakjkkllkkkkkkkkkkkkkkkkkkkkkkkkkkkkkkkkudba@gmail.com</t>
  </si>
  <si>
    <t>4488-3151</t>
  </si>
  <si>
    <t>4653-9557</t>
  </si>
  <si>
    <t>style4794@gmail.com</t>
  </si>
  <si>
    <t>https://www.tejeduriadetomaso.com/</t>
  </si>
  <si>
    <t>Sólo servicio a fasón</t>
  </si>
  <si>
    <t>claseiatecno@gmail.com</t>
  </si>
  <si>
    <t>Gerardo Taboada</t>
  </si>
  <si>
    <t>4750-2432</t>
  </si>
  <si>
    <t>TEJIDOS KETTEN S.R.L.</t>
  </si>
  <si>
    <t>cliente1@test.com</t>
  </si>
  <si>
    <t>(291) 456-2669</t>
  </si>
  <si>
    <t>4650-3062</t>
  </si>
  <si>
    <t>4838-0652</t>
  </si>
  <si>
    <t>Enduidos, pegamentos</t>
  </si>
  <si>
    <t>5648-4601</t>
  </si>
  <si>
    <t>4716-2525</t>
  </si>
  <si>
    <t>5648-4600</t>
  </si>
  <si>
    <t>4464-3101</t>
  </si>
  <si>
    <t>http://www.telplastsrl.com.ar</t>
  </si>
  <si>
    <t>cliente2@test.com</t>
  </si>
  <si>
    <t>Telas metálicas en diversos materiales</t>
  </si>
  <si>
    <t>11 4769-5101</t>
  </si>
  <si>
    <t>11 6710-3124</t>
  </si>
  <si>
    <t>https://telasmetalicas.ar/</t>
  </si>
  <si>
    <t>cliente3@test.com</t>
  </si>
  <si>
    <t>Ntra. Sra del Carmen</t>
  </si>
  <si>
    <t>Fabricación de cosméticos, perfumes y  productos de higiene y tocador</t>
  </si>
  <si>
    <t>Cosmetica capilar</t>
  </si>
  <si>
    <t>4712-5625</t>
  </si>
  <si>
    <t>cliente4@test.com</t>
  </si>
  <si>
    <t>Felipe Maugeri</t>
  </si>
  <si>
    <t>Monica</t>
  </si>
  <si>
    <t>5294-1561</t>
  </si>
  <si>
    <t>http://mueblestelmessrl.com.ar/</t>
  </si>
  <si>
    <t>cliente5@test.com</t>
  </si>
  <si>
    <t>Carpintería, paneles solares</t>
  </si>
  <si>
    <t>María Silvina Felicioni</t>
  </si>
  <si>
    <t>4750-4097</t>
  </si>
  <si>
    <t>1537836087 (Marina) 4750-4172/4067</t>
  </si>
  <si>
    <t>http://www.temicsrl.com.ar/</t>
  </si>
  <si>
    <t>TERAX S.A.</t>
  </si>
  <si>
    <t>cliente6@test.com</t>
  </si>
  <si>
    <t>4647-1030</t>
  </si>
  <si>
    <t>4657-0596</t>
  </si>
  <si>
    <t>4647-1031</t>
  </si>
  <si>
    <t>cliente7@test.com</t>
  </si>
  <si>
    <t>Lic. Diego H Lespiaucq (Presidente), Tel: 11 5009-1019 | Jose Pablo Brazzola, Tel: 11 3814-0346</t>
  </si>
  <si>
    <t>11 5009-1019</t>
  </si>
  <si>
    <t>Ing. Luis Montiel, Tel: 11 5008-8113 | Analia Montiel, Tel: 11 5009-4086</t>
  </si>
  <si>
    <t>11 5008-8113</t>
  </si>
  <si>
    <t>4657-8188</t>
  </si>
  <si>
    <t>4653-3300</t>
  </si>
  <si>
    <t>4488-9040</t>
  </si>
  <si>
    <t>www.terlizzisa.com</t>
  </si>
  <si>
    <t>cliente8@test.com</t>
  </si>
  <si>
    <t>4653-2232</t>
  </si>
  <si>
    <t>4115-0532/33</t>
  </si>
  <si>
    <t>11 3501-6670</t>
  </si>
  <si>
    <t>https://termia.com.ar/</t>
  </si>
  <si>
    <t>TERMOMECANICA ARGENTINA S.R.L.</t>
  </si>
  <si>
    <t>Fabricación de maquinaria de uso general</t>
  </si>
  <si>
    <t>leonardo.murano@estudiantes.unahur.edu.ar</t>
  </si>
  <si>
    <t>4842-3277</t>
  </si>
  <si>
    <t>4840-0457</t>
  </si>
  <si>
    <t>4842-9459</t>
  </si>
  <si>
    <t>TEXTIL ASTURIAS S.A.</t>
  </si>
  <si>
    <t>xxxxxxxxxxxxxxxxxxx@gmail.com</t>
  </si>
  <si>
    <t>rebotado_bandeja_llena</t>
  </si>
  <si>
    <t>4653-8550</t>
  </si>
  <si>
    <t>4653-0076</t>
  </si>
  <si>
    <t>4653-0564</t>
  </si>
  <si>
    <t>www.textildonosti.com.ar</t>
  </si>
  <si>
    <t>Juan Pablo II</t>
  </si>
  <si>
    <t>4840-2455</t>
  </si>
  <si>
    <t>Confección de Prendas de Vestir excepto las de Piel Cuero y sucedáneos Pilotos e Impermeables</t>
  </si>
  <si>
    <t xml:space="preserve"> 4739-6229</t>
  </si>
  <si>
    <t>4769-1575</t>
  </si>
  <si>
    <t>guaira.com.ar</t>
  </si>
  <si>
    <t>Sandra Viviana Mariel Titolo</t>
  </si>
  <si>
    <t>15 5379-1748</t>
  </si>
  <si>
    <t>Mariano Alberto De Souza Quiterio</t>
  </si>
  <si>
    <t>11 3268-9308</t>
  </si>
  <si>
    <t>4653-0403</t>
  </si>
  <si>
    <t>4488-8398</t>
  </si>
  <si>
    <t>4488-1763</t>
  </si>
  <si>
    <t>https://independenciatextil.com.ar/</t>
  </si>
  <si>
    <t>Trajes de baño</t>
  </si>
  <si>
    <t>Gustavo Fols (ventas)</t>
  </si>
  <si>
    <t>11 5793-9731</t>
  </si>
  <si>
    <t>4750-5588</t>
  </si>
  <si>
    <t>https://ibikus.mitiendanube.com/bikinis/</t>
  </si>
  <si>
    <t>4653-4388</t>
  </si>
  <si>
    <t>4605-9271</t>
  </si>
  <si>
    <t>TEXTIL REYES S.R.L.</t>
  </si>
  <si>
    <t>4716-2297</t>
  </si>
  <si>
    <t>Alfredo Palacios</t>
  </si>
  <si>
    <t>Eliana Borda</t>
  </si>
  <si>
    <t>11 2854-0551</t>
  </si>
  <si>
    <t>Fabricación de bolsas de materiales textiles para productos a granel</t>
  </si>
  <si>
    <t>4751-6952</t>
  </si>
  <si>
    <t>4750-3386</t>
  </si>
  <si>
    <t>https://www.textilser.com.ar/</t>
  </si>
  <si>
    <t>4750-2603</t>
  </si>
  <si>
    <t>TEXTILES DIFERENCIADOS S.A.</t>
  </si>
  <si>
    <t>Venta al por mayor de productos alimenticios N.C.P. (incluye la venta de miel y derivados, productos congelados, etc. (Fabricación de productos alimenticios, excepto bebidas)</t>
  </si>
  <si>
    <t>Clara Torresagasti</t>
  </si>
  <si>
    <t>11 4159-9882</t>
  </si>
  <si>
    <t>Gonzalo Eden Kresis</t>
  </si>
  <si>
    <t>11 6277-1682</t>
  </si>
  <si>
    <t>4657-0388</t>
  </si>
  <si>
    <t>http://www.grupol-enlaweb.com/secciones/7aniversario.html</t>
  </si>
  <si>
    <t>Diego Torterolo</t>
  </si>
  <si>
    <t>11 2178-1948</t>
  </si>
  <si>
    <t>Oscar Gandini</t>
  </si>
  <si>
    <t>11 5036-4315</t>
  </si>
  <si>
    <t>5245-9413</t>
  </si>
  <si>
    <t>THE GRAFICPRINT</t>
  </si>
  <si>
    <t>Gerardo Tripoli (Gerente)</t>
  </si>
  <si>
    <t xml:space="preserve"> 15 3638-6121</t>
  </si>
  <si>
    <t>4859-6948</t>
  </si>
  <si>
    <t>4897-8528</t>
  </si>
  <si>
    <t>THE SHOES S.R.L.</t>
  </si>
  <si>
    <t>6088-5161</t>
  </si>
  <si>
    <t>4488-6644</t>
  </si>
  <si>
    <t>José R. Tiani</t>
  </si>
  <si>
    <t>15 4470-9321</t>
  </si>
  <si>
    <t>Ezequiel A. Tiani</t>
  </si>
  <si>
    <t>15 3838-2657</t>
  </si>
  <si>
    <t>11 4751-9734</t>
  </si>
  <si>
    <t>www.tiani.com.ar</t>
  </si>
  <si>
    <t>Muebles, bicicletas</t>
  </si>
  <si>
    <t>Adrian Tiani</t>
  </si>
  <si>
    <t>15 5455-0692</t>
  </si>
  <si>
    <t>TINAX S.R.L.</t>
  </si>
  <si>
    <t>Alonso</t>
  </si>
  <si>
    <t>TINCOR S.R.L.</t>
  </si>
  <si>
    <t>4488-5448</t>
  </si>
  <si>
    <t>4716-0029</t>
  </si>
  <si>
    <t>4716-0047</t>
  </si>
  <si>
    <t>TINTORERIA TRICOLOR S.A.C.I.</t>
  </si>
  <si>
    <t>Servicios de limpieza de prendas prestado por tintorerías rápidas</t>
  </si>
  <si>
    <t>11 4653-3050</t>
  </si>
  <si>
    <t>4757-2815</t>
  </si>
  <si>
    <t>4757-0955</t>
  </si>
  <si>
    <t>http://www.tipasaic.com/web/</t>
  </si>
  <si>
    <t>11 3843-4924</t>
  </si>
  <si>
    <t>4488-7529 /6364 /7024</t>
  </si>
  <si>
    <t>https://tissuebaires.com.ar/</t>
  </si>
  <si>
    <t>TODO EN ENVASES SRL (MEDAMIL S.R.L.)</t>
  </si>
  <si>
    <t>cajas para ravioles</t>
  </si>
  <si>
    <t>011 4750-5488</t>
  </si>
  <si>
    <t>http://www.medamil.com.ar/</t>
  </si>
  <si>
    <t>Laura Izaguirre</t>
  </si>
  <si>
    <t>Claudia</t>
  </si>
  <si>
    <t>654-1097</t>
  </si>
  <si>
    <t>4750-2105 | 4759 - 9578</t>
  </si>
  <si>
    <t>4759-9993 | 4759-9992 (Int. 101)</t>
  </si>
  <si>
    <t>https://tolepublicidad.com.ar/site/</t>
  </si>
  <si>
    <t>4657-7353</t>
  </si>
  <si>
    <t>TORGAR PLAST S.R.L.</t>
  </si>
  <si>
    <t>Soplado, envases hasta 2 l</t>
  </si>
  <si>
    <t>Javier Garcia Torralba</t>
  </si>
  <si>
    <t>11 4409-8163</t>
  </si>
  <si>
    <t>4716-4517</t>
  </si>
  <si>
    <t>4750-4932</t>
  </si>
  <si>
    <t>Juan Norato</t>
  </si>
  <si>
    <t>Jose Bucci</t>
  </si>
  <si>
    <t>4750-9509</t>
  </si>
  <si>
    <t>4759-7480</t>
  </si>
  <si>
    <t>http://argenpart.com.ar/</t>
  </si>
  <si>
    <t>TORRE ALBERTO AGUSTIN</t>
  </si>
  <si>
    <t>4657-3873</t>
  </si>
  <si>
    <t>TORTORELLA ESTEBAN J Y TORTORELLA ANTONIO</t>
  </si>
  <si>
    <t>Reparación de amortiguadores, alineación de dirección y balanceo de ruedas</t>
  </si>
  <si>
    <t>4769-4845</t>
  </si>
  <si>
    <t>TORTORELLA HERMANOS</t>
  </si>
  <si>
    <t>Reparación de Amortiguadores, Alineación de Dirección y Balanceo de Ruedas</t>
  </si>
  <si>
    <t>TOSO Y REIG S.A.I.C.</t>
  </si>
  <si>
    <t>4759-0135</t>
  </si>
  <si>
    <t>750-1518</t>
  </si>
  <si>
    <t>TOSTO JUAN CARLOS Y TOSTO HORACIO ANTONIO SOC. H.</t>
  </si>
  <si>
    <t>Servicio de expendio de helados y elaboración industrial de helados</t>
  </si>
  <si>
    <t>4682-8587</t>
  </si>
  <si>
    <t>4635-8430</t>
  </si>
  <si>
    <t>4635-3583</t>
  </si>
  <si>
    <t>4653-0200</t>
  </si>
  <si>
    <t xml:space="preserve"> 4115-2400</t>
  </si>
  <si>
    <t>https://traecosa.com.ar/</t>
  </si>
  <si>
    <t>11 2518-8259</t>
  </si>
  <si>
    <t>11 2467-4261</t>
  </si>
  <si>
    <t>11 7568-1759</t>
  </si>
  <si>
    <t>4739-5581</t>
  </si>
  <si>
    <t>https://tapisrl.com.ar/</t>
  </si>
  <si>
    <t xml:space="preserve">Guillermo Aquino </t>
  </si>
  <si>
    <t>11 3494-4538</t>
  </si>
  <si>
    <t>Aldo Avalle</t>
  </si>
  <si>
    <t>4769-4809</t>
  </si>
  <si>
    <t>https://www.cadenastramec.com/</t>
  </si>
  <si>
    <t>TRANSPORTE GUSTRANS CASEROS S.R.L.</t>
  </si>
  <si>
    <t xml:space="preserve"> 5415-6856</t>
  </si>
  <si>
    <t>TRANSPORTE MARANATA S.H.</t>
  </si>
  <si>
    <t>Recolección, transporte, tratamiento y disposición final de residuos no peligrosos</t>
  </si>
  <si>
    <t>4848-1000</t>
  </si>
  <si>
    <t>TRANSPORTE ZAR S.A.</t>
  </si>
  <si>
    <t>TRANSPORTES ANTARES S.R.L.</t>
  </si>
  <si>
    <t>Servicio de transporte automotor de mercaderías y sustancias peligrosas</t>
  </si>
  <si>
    <t>4769-3009</t>
  </si>
  <si>
    <t>4769-9806</t>
  </si>
  <si>
    <t>4739-4151</t>
  </si>
  <si>
    <t>Servicio de transporte automotor urbano de carga N.C.P. (Incluye el transporte realizado por fleteros y distribuidores dentro del ejido urbano)</t>
  </si>
  <si>
    <t>Cristian Garbi</t>
  </si>
  <si>
    <t xml:space="preserve"> 11 6160-8108</t>
  </si>
  <si>
    <t>4750-2706</t>
  </si>
  <si>
    <t>http://www.garbi.com.ar/</t>
  </si>
  <si>
    <t>4775 P 8</t>
  </si>
  <si>
    <t>4911-4146</t>
  </si>
  <si>
    <t>11 6206-6799</t>
  </si>
  <si>
    <t>https://levonsrl.com.ar/</t>
  </si>
  <si>
    <t>TRANSPORTES MEDALLA MILAGROSA S.R.L.</t>
  </si>
  <si>
    <t>Servicio de transporte automotor de pasajeros N.C.P.</t>
  </si>
  <si>
    <t>4757-5494</t>
  </si>
  <si>
    <t>Servicios logisticos</t>
  </si>
  <si>
    <t>Transporte / Logística</t>
  </si>
  <si>
    <t>Raúl Molina 11 6889-7459 Diego Molina 1141856557</t>
  </si>
  <si>
    <t>Graciela Guimaranz</t>
  </si>
  <si>
    <t>11 4420-6636</t>
  </si>
  <si>
    <t>11 4716-6636</t>
  </si>
  <si>
    <t>2097-2740</t>
  </si>
  <si>
    <t>11 6889-7459</t>
  </si>
  <si>
    <t>https://www.transportesmolinasrl.com/</t>
  </si>
  <si>
    <t>TRANSPORTES RUTA DEL NORTE S.R.L.</t>
  </si>
  <si>
    <t>Servicio de transporte automotor de mercaderías a granel N.C.P.</t>
  </si>
  <si>
    <t>4739-9581</t>
  </si>
  <si>
    <t>TRANSPORTES VILLA BOSCH SOCIEDAD ANONIMA COMERCIAL E INDUSTRIAL (TVB)</t>
  </si>
  <si>
    <t>Servicio de transporte automotor urbano y suburbano regular de pasajeros</t>
  </si>
  <si>
    <t xml:space="preserve">TRANSPORTE VILLA BOSCH LINEA 328 </t>
  </si>
  <si>
    <t>Eduardo Debiase</t>
  </si>
  <si>
    <t>4739-2289</t>
  </si>
  <si>
    <t>4769-1841</t>
  </si>
  <si>
    <t>TRANSPRINT S.R.L.</t>
  </si>
  <si>
    <t>11 4759-1074</t>
  </si>
  <si>
    <t>11 6142-6863</t>
  </si>
  <si>
    <t>https://tratamientoferrante.com/index.php</t>
  </si>
  <si>
    <t>Año 1852</t>
  </si>
  <si>
    <t>4758-2877</t>
  </si>
  <si>
    <t>TRES LOMAS TEXTIL S.R.L. (TODOTEX HILOS)</t>
  </si>
  <si>
    <t>Tres Lomas</t>
  </si>
  <si>
    <t>11 5055-6681</t>
  </si>
  <si>
    <t>TREVINOX S.A.</t>
  </si>
  <si>
    <t>4750-7202</t>
  </si>
  <si>
    <t>4716-6856</t>
  </si>
  <si>
    <t>trevinox.com.ar</t>
  </si>
  <si>
    <t>Alambres trefilados de aluminio, cobre y hierro galvanizado.</t>
  </si>
  <si>
    <t>11 5944-7599</t>
  </si>
  <si>
    <t>5434-5407</t>
  </si>
  <si>
    <t>http://trexal.com.ar/</t>
  </si>
  <si>
    <t>TRI PLAS HERRAMENTAL S.R.L.</t>
  </si>
  <si>
    <t>Av. Pedriel</t>
  </si>
  <si>
    <t xml:space="preserve">Gabriel Scarnato (Director) </t>
  </si>
  <si>
    <t>11 3397-4659</t>
  </si>
  <si>
    <t>Joan Scarnato</t>
  </si>
  <si>
    <t>4716-1069</t>
  </si>
  <si>
    <t>4750-4804</t>
  </si>
  <si>
    <t>https://www.trimet.com.ar/</t>
  </si>
  <si>
    <t>TRINDALL CABRERA S.H.</t>
  </si>
  <si>
    <t>11 4750-6475</t>
  </si>
  <si>
    <t>TRUNZO CARLOS ADRIAN</t>
  </si>
  <si>
    <t>4147-1195</t>
  </si>
  <si>
    <t>TRUNZO JOSE</t>
  </si>
  <si>
    <t>5294-2893</t>
  </si>
  <si>
    <t>Elaboración de productos de Confitería N.C.P.</t>
  </si>
  <si>
    <t>Gomitas, barras de cereal</t>
  </si>
  <si>
    <t>Claudio Minca</t>
  </si>
  <si>
    <t>15 5906-9535</t>
  </si>
  <si>
    <t>4712-7798</t>
  </si>
  <si>
    <t>4712-3113</t>
  </si>
  <si>
    <t>truppi.com.ar</t>
  </si>
  <si>
    <t>3651 Dpto:B</t>
  </si>
  <si>
    <t>Frabricación de envases de plásticos</t>
  </si>
  <si>
    <t>4653-4348</t>
  </si>
  <si>
    <t>https://www.trymo.com/</t>
  </si>
  <si>
    <t>Fabian Tamburro</t>
  </si>
  <si>
    <t>11 3676-3282</t>
  </si>
  <si>
    <t>11 4716-9300 | 11 4716-1500</t>
  </si>
  <si>
    <t>11 4716-1500</t>
  </si>
  <si>
    <t>11 3100-1969</t>
  </si>
  <si>
    <t>http://www.filtrostsd.com.ar/</t>
  </si>
  <si>
    <t>TTM S.R.L.</t>
  </si>
  <si>
    <t>Mantenimiento y Reparación del Motor N.C.P., Mecánica Integral</t>
  </si>
  <si>
    <t>4844-9026</t>
  </si>
  <si>
    <t>TUFLEX S.A.</t>
  </si>
  <si>
    <t>4750-8983</t>
  </si>
  <si>
    <t>4716-0464</t>
  </si>
  <si>
    <t>4716-0424</t>
  </si>
  <si>
    <t>ULTRA CORD S.A.</t>
  </si>
  <si>
    <t>657-5760</t>
  </si>
  <si>
    <t>UNIVERPLAST S.R.L.</t>
  </si>
  <si>
    <t>4750-5493</t>
  </si>
  <si>
    <t>5433-2860</t>
  </si>
  <si>
    <t>https://untus.com.ar/</t>
  </si>
  <si>
    <t>Carla Melgarejo</t>
  </si>
  <si>
    <t>11 5023-1860</t>
  </si>
  <si>
    <t>http://www.uped.com.ar</t>
  </si>
  <si>
    <t>Venta al por mayor de papel y productos de papel y cartón excepto envases</t>
  </si>
  <si>
    <t>Fabricante de tejidos de pelo ern argentina</t>
  </si>
  <si>
    <t>5661-3429</t>
  </si>
  <si>
    <t>54-11-4722-1324</t>
  </si>
  <si>
    <t>https://www.upmraflatac.com/es/</t>
  </si>
  <si>
    <t>Flavio Bozza</t>
  </si>
  <si>
    <t>15 6468-4620</t>
  </si>
  <si>
    <t>Flavio Bozza | Anabella (recep) | Marina Mangano (RRHH)</t>
  </si>
  <si>
    <t>15 6472-0985</t>
  </si>
  <si>
    <t>4759-4343</t>
  </si>
  <si>
    <t>4759-8386</t>
  </si>
  <si>
    <t>www.uttercom.com.ar</t>
  </si>
  <si>
    <t>V F ELECTRONICA</t>
  </si>
  <si>
    <t>4116-4435</t>
  </si>
  <si>
    <t>4116-9938</t>
  </si>
  <si>
    <t>VACCARO HNOS DE VACCARO VICTOR Y AMERICOVACCARO</t>
  </si>
  <si>
    <t xml:space="preserve"> 4757-0823</t>
  </si>
  <si>
    <t>11 3021-3206</t>
  </si>
  <si>
    <t>VACCARO PATRICIA Y VACCARO AMADEO V SOC DE HECHO</t>
  </si>
  <si>
    <t>11 3021 3206</t>
  </si>
  <si>
    <t>Fabricación de productos de cerámica refractaria</t>
  </si>
  <si>
    <t>4750-9239</t>
  </si>
  <si>
    <t>http://www.vacformsrl.com/</t>
  </si>
  <si>
    <t>4750-6833/1510</t>
  </si>
  <si>
    <t>VALDORA S.R.L.</t>
  </si>
  <si>
    <t>4750-4050</t>
  </si>
  <si>
    <t>4758-1799</t>
  </si>
  <si>
    <t>VALENROB S.R.L.</t>
  </si>
  <si>
    <t>https://www.facebook.com/valenrob.calzados/</t>
  </si>
  <si>
    <t>VALENTIN LATELLA MIGUEL LUIS LATELLA Y ROQUE VALENTIN LATE</t>
  </si>
  <si>
    <t>4657-4553</t>
  </si>
  <si>
    <t>10215 Piso:PB</t>
  </si>
  <si>
    <t>4769-0507</t>
  </si>
  <si>
    <t>www.valfi.com.ar</t>
  </si>
  <si>
    <t>VALLADARES CARLOS VALLADARES GERARDO Y VALLADARES JORGE</t>
  </si>
  <si>
    <t>4751-5878</t>
  </si>
  <si>
    <t>VALLADARES GERARDO</t>
  </si>
  <si>
    <t xml:space="preserve"> 4751-5878</t>
  </si>
  <si>
    <t>VALLEJOS VARELA S.H.</t>
  </si>
  <si>
    <t>(237) 487-2627</t>
  </si>
  <si>
    <t>4654-7745</t>
  </si>
  <si>
    <t>VAN DOS S.R.L.</t>
  </si>
  <si>
    <t>566-7261</t>
  </si>
  <si>
    <t>4750-0702</t>
  </si>
  <si>
    <t>https://www.vantronic-sa.com.ar/</t>
  </si>
  <si>
    <t>4844-6500</t>
  </si>
  <si>
    <t>4844-0434</t>
  </si>
  <si>
    <t>Regalos empresariales</t>
  </si>
  <si>
    <t>Romina Andrea Vargas</t>
  </si>
  <si>
    <t>11 5185-8133</t>
  </si>
  <si>
    <t>5435-0379</t>
  </si>
  <si>
    <t>vargasr.com.ar</t>
  </si>
  <si>
    <t>11 3050-9379</t>
  </si>
  <si>
    <t xml:space="preserve"> 11 2119-4300</t>
  </si>
  <si>
    <t>http://www.varienzo.com/contacto.html</t>
  </si>
  <si>
    <t>4750-7355</t>
  </si>
  <si>
    <t>http://www.varitrans.com.ar/Varitran's%20S.A.html</t>
  </si>
  <si>
    <r>
      <rPr>
        <rFont val="Calibri"/>
        <color rgb="FF000000"/>
        <sz val="11.0"/>
      </rPr>
      <t xml:space="preserve">Cecilia Esteve </t>
    </r>
    <r>
      <rPr>
        <rFont val="Calibri"/>
        <color rgb="FF000000"/>
        <sz val="11.0"/>
      </rPr>
      <t>Mariano Hernandez</t>
    </r>
  </si>
  <si>
    <t>11 3686-3423 | 11 3609-9862</t>
  </si>
  <si>
    <t>4841-1224</t>
  </si>
  <si>
    <t>4769-5438</t>
  </si>
  <si>
    <t>4769-3601</t>
  </si>
  <si>
    <t>http://www.vasalu.com.ar/</t>
  </si>
  <si>
    <t>Juan Chapochnikoff</t>
  </si>
  <si>
    <t>4345-5900</t>
  </si>
  <si>
    <t>4757-6063</t>
  </si>
  <si>
    <t>5291-3770/1/2/3</t>
  </si>
  <si>
    <t>https://vautomatmoldes.com/</t>
  </si>
  <si>
    <t>VAYMETAL S.A.</t>
  </si>
  <si>
    <t>Calle Nº 808</t>
  </si>
  <si>
    <t>Fabricación de bicicletas y de sillones de ruedas para inválidos</t>
  </si>
  <si>
    <t>4542-1561</t>
  </si>
  <si>
    <t>Servicios de gestión y logística para el transporte de mercaderías</t>
  </si>
  <si>
    <t>Veronica de Marco</t>
  </si>
  <si>
    <t>11 2381-3009</t>
  </si>
  <si>
    <t>11 5468-6750</t>
  </si>
  <si>
    <t>https://vdm.com.ar/</t>
  </si>
  <si>
    <t>VEITMAN DAVID FERNANDO</t>
  </si>
  <si>
    <t>4739-5282</t>
  </si>
  <si>
    <t>Diseno y fabricacion de piezas metalicas y plasticas especialmente para el rubro de artuculos para el hogar y afines</t>
  </si>
  <si>
    <t>Martin Vertone</t>
  </si>
  <si>
    <t>15 4189-4048</t>
  </si>
  <si>
    <t>Braian Costarelli</t>
  </si>
  <si>
    <t>11 2335-1140</t>
  </si>
  <si>
    <t>4464-3131</t>
  </si>
  <si>
    <t>vemarsa.com.ar</t>
  </si>
  <si>
    <t>4657-6350</t>
  </si>
  <si>
    <t>4657-3433</t>
  </si>
  <si>
    <t>4653-1170</t>
  </si>
  <si>
    <t>Fabricación de productos de madera N.C.P., fabricación de artículos de paja y materiales trenzables (incluye enmarcado de cuadros, carpintería cuando no explícita especialidad)</t>
  </si>
  <si>
    <t>Brochas de afeitar y termoformados para blister</t>
  </si>
  <si>
    <t>Veronica Analía Perri</t>
  </si>
  <si>
    <t>11 6172-4646</t>
  </si>
  <si>
    <t>https://www.brochasperri.com.ar/</t>
  </si>
  <si>
    <t>11 4208-6837</t>
  </si>
  <si>
    <t>http://www.vespoli.com.ar/contacto.html</t>
  </si>
  <si>
    <t>VESS S.A.</t>
  </si>
  <si>
    <t>Sr. Sergio Rubin</t>
  </si>
  <si>
    <t>15-4993-7609</t>
  </si>
  <si>
    <t>4756-7774</t>
  </si>
  <si>
    <t>4756-4445</t>
  </si>
  <si>
    <t>4762-0075</t>
  </si>
  <si>
    <t>4647-1777</t>
  </si>
  <si>
    <t>4647-2004</t>
  </si>
  <si>
    <t>https://www.veralux.com.ar/</t>
  </si>
  <si>
    <t>11 7078-0871</t>
  </si>
  <si>
    <t>https://www.vexco.com.ar/contacto.php</t>
  </si>
  <si>
    <t>Terminación de edificios y obras de ingeniería civil N.C.P.</t>
  </si>
  <si>
    <t xml:space="preserve">4759-0350 </t>
  </si>
  <si>
    <t>4654-8794</t>
  </si>
  <si>
    <t>VIANHE.COM</t>
  </si>
  <si>
    <t>4750-8042</t>
  </si>
  <si>
    <t>4750-6813</t>
  </si>
  <si>
    <t>Productos químicos para la industria</t>
  </si>
  <si>
    <t>Martin Simo</t>
  </si>
  <si>
    <t>4567-0183</t>
  </si>
  <si>
    <t>4750-8865</t>
  </si>
  <si>
    <t>4750-6644 | 4734-6096</t>
  </si>
  <si>
    <t>http://www.quimicasimo.com.ar/</t>
  </si>
  <si>
    <t>Ing. Pablo Ruzzier</t>
  </si>
  <si>
    <t>4759-9997</t>
  </si>
  <si>
    <t>Alejandro Bigatti</t>
  </si>
  <si>
    <t>http://victorylimpieza.com.ar/index.html</t>
  </si>
  <si>
    <t>4548/54</t>
  </si>
  <si>
    <t>100 y 50 en fabrica</t>
  </si>
  <si>
    <t>Teresa Ana Di Scala</t>
  </si>
  <si>
    <t>11 5429-8108</t>
  </si>
  <si>
    <t>Pascual Di Scala</t>
  </si>
  <si>
    <t>11 4180-8395</t>
  </si>
  <si>
    <t>4750-5409</t>
  </si>
  <si>
    <t>implantesvillalba.com.ar</t>
  </si>
  <si>
    <t>Equipos de esterilización por vapor para industrias alimenticias, laboratorios y centros medicinales</t>
  </si>
  <si>
    <t>Darío</t>
  </si>
  <si>
    <t>11 5163-1279</t>
  </si>
  <si>
    <t>4657-2826</t>
  </si>
  <si>
    <t>4653-4518</t>
  </si>
  <si>
    <t>https://www.autoclavesvz.com.ar/</t>
  </si>
  <si>
    <t>4759-3565</t>
  </si>
  <si>
    <t>4734-2104</t>
  </si>
  <si>
    <t>20317501626 / 27113169007</t>
  </si>
  <si>
    <t>Servicios informáticos profesionales a empresas</t>
  </si>
  <si>
    <t>https://www.vgroupcomputers.com.ar/</t>
  </si>
  <si>
    <t>4488-2028</t>
  </si>
  <si>
    <t>4750-3471</t>
  </si>
  <si>
    <t>4750-1013</t>
  </si>
  <si>
    <t>Etiquetas</t>
  </si>
  <si>
    <t>Leandro Serrano</t>
  </si>
  <si>
    <t>11 5031-7646</t>
  </si>
  <si>
    <t>4648-1260</t>
  </si>
  <si>
    <t>4648-1952</t>
  </si>
  <si>
    <t>www.vip-label.com</t>
  </si>
  <si>
    <t>VITARELLI E HIJOS S.R.L.</t>
  </si>
  <si>
    <t>Fabricacion de partes, piezas y accesorios para vehiculos automotores y sus motores</t>
  </si>
  <si>
    <t>4750-2596</t>
  </si>
  <si>
    <t>Mecanizados de precisión con maquinas CNC</t>
  </si>
  <si>
    <t>Antonio Vitola</t>
  </si>
  <si>
    <t>11 6945-7648</t>
  </si>
  <si>
    <t>4844-2119</t>
  </si>
  <si>
    <t>VITRI S.R.L.</t>
  </si>
  <si>
    <t>4716-1459</t>
  </si>
  <si>
    <t>VIVALDI HNOS S.R.L. / ABERMATIC S.R.L. (MARCA VIVALDI)</t>
  </si>
  <si>
    <t>15 5389-3233</t>
  </si>
  <si>
    <t>11 3514-8501</t>
  </si>
  <si>
    <t>https://abermatic.com/</t>
  </si>
  <si>
    <t>VIVALDI MARINA VIVALDI MONICA Y VIVALDI VALENTINA S.H.</t>
  </si>
  <si>
    <t>Elaboración de productos de Panadería N.C.P.</t>
  </si>
  <si>
    <t>4759-2083</t>
  </si>
  <si>
    <t>VIVES CLAUDIO ARIEL</t>
  </si>
  <si>
    <t>4750-4206</t>
  </si>
  <si>
    <t>VOLPINI FABIAN Y VOLPINI GERMAN M</t>
  </si>
  <si>
    <t>11 4758-4828</t>
  </si>
  <si>
    <t>Gustavo Dreyssing</t>
  </si>
  <si>
    <t>11 3408-2252</t>
  </si>
  <si>
    <t>4769-4344</t>
  </si>
  <si>
    <t>4866-2279</t>
  </si>
  <si>
    <t>volpor.com.ar</t>
  </si>
  <si>
    <t>Luis Kener</t>
  </si>
  <si>
    <t>11 6867-2011</t>
  </si>
  <si>
    <t>Pablo Kener</t>
  </si>
  <si>
    <t>11 6353-0913</t>
  </si>
  <si>
    <t>4653-0049</t>
  </si>
  <si>
    <t>4757-2908</t>
  </si>
  <si>
    <t>www.vrarquitectura.com.ar</t>
  </si>
  <si>
    <t>Estero Bellaco</t>
  </si>
  <si>
    <t>Fabricación de inciensos ecologicos naturles y artesanales</t>
  </si>
  <si>
    <t>Inciensos</t>
  </si>
  <si>
    <t>Krishna Cichetti</t>
  </si>
  <si>
    <t>11 6487-7361</t>
  </si>
  <si>
    <t>Marcelo Juarez</t>
  </si>
  <si>
    <t>11 3402-5942</t>
  </si>
  <si>
    <t>11 3126-4455</t>
  </si>
  <si>
    <t>https://sagradamadre.com/</t>
  </si>
  <si>
    <t>WADEH S.A.</t>
  </si>
  <si>
    <t>4658-1736</t>
  </si>
  <si>
    <t>WALDMANN MARIA VICTORIA</t>
  </si>
  <si>
    <t>Fabricación de juegos y juguetes</t>
  </si>
  <si>
    <t>4750-8499</t>
  </si>
  <si>
    <t>www.didacticaintegral.com.ar</t>
  </si>
  <si>
    <t>Fabricación de envaces plásticos</t>
  </si>
  <si>
    <t>Flavio Adrián Bozza</t>
  </si>
  <si>
    <t>11 4536-1816</t>
  </si>
  <si>
    <t>Eduardo Arizcuren</t>
  </si>
  <si>
    <t>4734-0464</t>
  </si>
  <si>
    <t>4734-0480</t>
  </si>
  <si>
    <t>4734-0494</t>
  </si>
  <si>
    <t>https://www.warplast.com.ar/</t>
  </si>
  <si>
    <t>Ibarrola</t>
  </si>
  <si>
    <t>4657-6421</t>
  </si>
  <si>
    <t>11 4657-9950</t>
  </si>
  <si>
    <t>11 4657-6421</t>
  </si>
  <si>
    <t>https://www.wasley.com.ar/</t>
  </si>
  <si>
    <t>Nancy lascurain (RRHH)</t>
  </si>
  <si>
    <t>11 5568-6898</t>
  </si>
  <si>
    <t>11 7078-0004</t>
  </si>
  <si>
    <t>4488-4108</t>
  </si>
  <si>
    <t>4647-0225</t>
  </si>
  <si>
    <t>https://wassington.com.ar/</t>
  </si>
  <si>
    <t>WHEAT LIFE S.A.</t>
  </si>
  <si>
    <t>4751-5986 (Ver Neli Cris)</t>
  </si>
  <si>
    <t>15 5307-6202</t>
  </si>
  <si>
    <t>11 4568-0844</t>
  </si>
  <si>
    <t>4750-3712</t>
  </si>
  <si>
    <t>https://www.windplastsrl.com.ar/</t>
  </si>
  <si>
    <t>WJS GAS S.R.L.</t>
  </si>
  <si>
    <t>4716-2001</t>
  </si>
  <si>
    <t>Ropa de hombre y niños</t>
  </si>
  <si>
    <t>Eduardo Regueira</t>
  </si>
  <si>
    <t>11 3157-2132</t>
  </si>
  <si>
    <t>4840-4208/2866</t>
  </si>
  <si>
    <t>4842-6822</t>
  </si>
  <si>
    <t>www.worrentextil.com.ar</t>
  </si>
  <si>
    <t>11 2265-6290</t>
  </si>
  <si>
    <t>11 5046-0000</t>
  </si>
  <si>
    <t>https://www.x-urban.com.ar/</t>
  </si>
  <si>
    <t>Diego Peralta</t>
  </si>
  <si>
    <t>11 5019-3806</t>
  </si>
  <si>
    <t>https://xipap.com.ar/</t>
  </si>
  <si>
    <t>YANVIER S.R.L.</t>
  </si>
  <si>
    <t>5197-0022</t>
  </si>
  <si>
    <t>5437-6600
(Al pedir, informe al administrador que la información la supo en Allbiz. ¡Le agradecemos que compra con Allbiz!)</t>
  </si>
  <si>
    <t>http://www.soldadorasenka.com.ar/contacto.php</t>
  </si>
  <si>
    <t>YARYURA FERNANDO MANUEL</t>
  </si>
  <si>
    <t>Servicios Jurídicos</t>
  </si>
  <si>
    <t>11 4750-0901| 11 4750-0902</t>
  </si>
  <si>
    <t>11 4757-2400 | 11 4712-1029</t>
  </si>
  <si>
    <t>YCC S.R.L.</t>
  </si>
  <si>
    <t>4647-1166</t>
  </si>
  <si>
    <t>YEMASTEMI SEGURIDAD S.A.</t>
  </si>
  <si>
    <t>1892 Piso:1 Dpto: B</t>
  </si>
  <si>
    <t>4683-9826</t>
  </si>
  <si>
    <t xml:space="preserve">Alianza </t>
  </si>
  <si>
    <t>Alfredo Zurlo</t>
  </si>
  <si>
    <t>11 4429-1684</t>
  </si>
  <si>
    <t>4657-9560</t>
  </si>
  <si>
    <t>https://coronadabahia.com/</t>
  </si>
  <si>
    <t>ZAMPIERO CAROLINA (Tortas y Pastelería by Caro Zampiero)</t>
  </si>
  <si>
    <t>Servicios de preparación de comidas para empresas y eventos (incluye el servicio de catering, el suministro de comidas para banquetes, bodas, fiestas y otras celebraciones, comidas para hospital, etc.)</t>
  </si>
  <si>
    <t>4712-6568</t>
  </si>
  <si>
    <t xml:space="preserve">ZANELLA HNOS Y CIA S.A. </t>
  </si>
  <si>
    <t>Juan Iammaroone</t>
  </si>
  <si>
    <t>15 6017-0974</t>
  </si>
  <si>
    <t>Esteban Lird</t>
  </si>
  <si>
    <t>11 6656-1785</t>
  </si>
  <si>
    <t>4716-8200 (int. 234)</t>
  </si>
  <si>
    <t>4716-8252</t>
  </si>
  <si>
    <t>11 6017-0967 (Cecilia Freire)</t>
  </si>
  <si>
    <t>www.zanella.com.ar/</t>
  </si>
  <si>
    <t>Rodolfo Bessi</t>
  </si>
  <si>
    <t>11 5731-9685</t>
  </si>
  <si>
    <t>Mariano Bessi | Guido Alberto Bessi</t>
  </si>
  <si>
    <t>4716-5397</t>
  </si>
  <si>
    <t>4734-7405</t>
  </si>
  <si>
    <t>zapassrl.com.ar</t>
  </si>
  <si>
    <t>4764-4514</t>
  </si>
  <si>
    <t>4848-1979</t>
  </si>
  <si>
    <t>ZARLENGA RICARDO ANTONIO</t>
  </si>
  <si>
    <t>ZC HERRAMENTAL S.A.</t>
  </si>
  <si>
    <t>Venta al por mayor de máquinas - herramienta de uso general</t>
  </si>
  <si>
    <t>herramientas</t>
  </si>
  <si>
    <t>4750-0517</t>
  </si>
  <si>
    <t>https://zcherramental.com.ar/</t>
  </si>
  <si>
    <t>Fabricación de bicicletas y de rollers</t>
  </si>
  <si>
    <t>Juan Carlos Zelarayan</t>
  </si>
  <si>
    <t>15 3166-2301</t>
  </si>
  <si>
    <t>Diego Zelarayan</t>
  </si>
  <si>
    <t>15 3166-2302</t>
  </si>
  <si>
    <t>4842-2928</t>
  </si>
  <si>
    <t>http://www.starkweb.com.ar/</t>
  </si>
  <si>
    <t>Ing. Gustavo M. Dumerauf (Socio Gerente)</t>
  </si>
  <si>
    <t>11 6715-8774</t>
  </si>
  <si>
    <t>5217-4242</t>
  </si>
  <si>
    <t>http://zeningenieria.com/</t>
  </si>
  <si>
    <t>ZORROZUA KARINA ALEJANDRA</t>
  </si>
  <si>
    <t>4716-2902</t>
  </si>
  <si>
    <t>Carlos Zylberminc</t>
  </si>
  <si>
    <t>4769-9606</t>
  </si>
  <si>
    <t>https://zylberpal.com/home.php</t>
  </si>
  <si>
    <t>4657-8888 | 4653-6903</t>
  </si>
  <si>
    <t>15 5958-0555</t>
  </si>
  <si>
    <t>4488-1972</t>
  </si>
  <si>
    <t>http://www.dazconductores.com.ar/</t>
  </si>
  <si>
    <t>Fabricación de productos alimenticios, excepto bebidas</t>
  </si>
  <si>
    <t>4984 - C</t>
  </si>
  <si>
    <t>Mariana Strano</t>
  </si>
  <si>
    <t>FABRICACION DE PISOS GRANITICOS Y CALCAREOS PARA EXTERIOR E INTERIOR</t>
  </si>
  <si>
    <t>Baldosas</t>
  </si>
  <si>
    <t>Dueño</t>
  </si>
  <si>
    <t>SPAZIOS</t>
  </si>
  <si>
    <t xml:space="preserve">Persona Juridica </t>
  </si>
  <si>
    <t>VENTA AL POR MENOR DE MATERIALES DE CONSTRUCCION</t>
  </si>
  <si>
    <t xml:space="preserve">Agustin Erbin spazios </t>
  </si>
  <si>
    <t>INDUSTRIAS QUIMICAS WASSINGTON SRL</t>
  </si>
  <si>
    <t>Fabricación de Productos Químicos NCP</t>
  </si>
  <si>
    <t>Leo Wassignton</t>
  </si>
  <si>
    <t>Esteban merlo</t>
  </si>
  <si>
    <t xml:space="preserve">FABRICACION DE CERPINTERIA METALICA </t>
  </si>
  <si>
    <t>aberturas, tabiques divisores y cerramientos de aluminio.</t>
  </si>
  <si>
    <t xml:space="preserve">Gaston Urquiza </t>
  </si>
  <si>
    <t>Wenselao Paunero</t>
  </si>
  <si>
    <t>B1678DSE</t>
  </si>
  <si>
    <t xml:space="preserve">FABRICACIÓN DE MAQUINARIA PARA LA EXPLOTACIÓN DE MINAS Y CANTERAS Y PARA OBRAS DE CONSTRUCCIÓN </t>
  </si>
  <si>
    <t>Carretillas, hormigoneras, andamios</t>
  </si>
  <si>
    <t>WALTER PERNARCIC</t>
  </si>
  <si>
    <t>Carolina pernarcic</t>
  </si>
  <si>
    <t>4750-1858</t>
  </si>
  <si>
    <t>Carlos Tejedor</t>
  </si>
  <si>
    <t>Alberto Sopra</t>
  </si>
  <si>
    <t>11 6651-9970</t>
  </si>
  <si>
    <t xml:space="preserve">Ricardo  Gutierrez </t>
  </si>
  <si>
    <t xml:space="preserve">FABRICACIÓN DE PRODUCTOS METÁLICOS DE TORNERÍA Y/O MATRICERÍA </t>
  </si>
  <si>
    <t xml:space="preserve">Torres Ricardo Horacio </t>
  </si>
  <si>
    <t>011 4751-6625</t>
  </si>
  <si>
    <t xml:space="preserve">AM PESCIO SCA </t>
  </si>
  <si>
    <t xml:space="preserve"> Wenceslao de Tata</t>
  </si>
  <si>
    <t>ELABORACION DE YESO</t>
  </si>
  <si>
    <t xml:space="preserve">Antonio </t>
  </si>
  <si>
    <t>FABRICACIÓN DE PIEZAS Y ACCESORIOS DE VEHICULOS AUTOMOTORES Y SUS MOTORES NCP</t>
  </si>
  <si>
    <t>VIRGINIA MONAYER</t>
  </si>
  <si>
    <t>ACCESORIOS ARGENTINOS S.A.</t>
  </si>
  <si>
    <t>FABRICACION DE EQUIPO ELECTRICO NCP</t>
  </si>
  <si>
    <t>Fabian Fojo</t>
  </si>
  <si>
    <t>FABRICACION DE TEJIDOS DE ALAMBRE</t>
  </si>
  <si>
    <t>Susana M. Jakiszczyk</t>
  </si>
  <si>
    <t>11 6600 8880</t>
  </si>
  <si>
    <t>FABRICACION DE PRODUCTOS TEXTILES</t>
  </si>
  <si>
    <t>Carlos Daniel Sorti</t>
  </si>
  <si>
    <t>1165649413 - 47161174</t>
  </si>
  <si>
    <t>ABERTURAS DE ALUMINIO</t>
  </si>
  <si>
    <t>Gastón Urquiza</t>
  </si>
  <si>
    <t>FABRICACION DE MUEBLES</t>
  </si>
  <si>
    <t>Edgardo Pacheco</t>
  </si>
  <si>
    <t>1151772768/1151772768</t>
  </si>
  <si>
    <t>Distribuidora</t>
  </si>
  <si>
    <t>Venta al por mayor de artículos para la construcción n.c.p. (No incluye artículos y materiales de demolición: 466990)</t>
  </si>
  <si>
    <t xml:space="preserve">Adrián Mastromarino </t>
  </si>
  <si>
    <t>Fabricación de artículos confeccionados de materiales textiles n.c.p., excepto prendas de vestir</t>
  </si>
  <si>
    <t>Vanesa Amore</t>
  </si>
  <si>
    <t>FABRICACION DE MOSAICOS</t>
  </si>
  <si>
    <t>Luis Alberto Elisio</t>
  </si>
  <si>
    <t>48424183/1562450598</t>
  </si>
  <si>
    <t>Avenida Presidente Juan Domingo Perón</t>
  </si>
  <si>
    <t>FABRICACION DE MUEBLES Y PARTES DE MUEBLES, EXCEPTO LOS QUE SON PRINCIPALMENTE DE MADERA (METAL PLASTICO, ETC )</t>
  </si>
  <si>
    <t>Andrea Vega</t>
  </si>
  <si>
    <t>TRATAMIENTO Y REVESTIMIENTO DE METALES Y TRABAJOS DE METALES EN GENERAL</t>
  </si>
  <si>
    <t>jorge justo</t>
  </si>
  <si>
    <t>Bartolomé Hidalgo</t>
  </si>
  <si>
    <t>FABRICACION DE ENVASES PLASTICOS</t>
  </si>
  <si>
    <t>HILMER VERA DIAZ</t>
  </si>
  <si>
    <t>Sargento Juan Bautista Cabral</t>
  </si>
  <si>
    <t>FABRICACIÓN DE PARTES, PIEZAS Y ACCESORIOS PARA VEHÍCULOS AUTOMOTORES Y SUS MOTORES N.C.P</t>
  </si>
  <si>
    <t>Preparación de conservas de frutas, hortalizas y legumbres</t>
  </si>
  <si>
    <t>Sebastián Leguizamo Graña</t>
  </si>
  <si>
    <t>Coronel Pringles</t>
  </si>
  <si>
    <t>Hernán Gomez Perazzo</t>
  </si>
  <si>
    <t>ELABORACION DE ALIMENTOS A BASE DE CEREALES</t>
  </si>
  <si>
    <t>Lucio Elvira</t>
  </si>
  <si>
    <t>Ricardo Aftyca</t>
  </si>
  <si>
    <t>Guillermo Mortura</t>
  </si>
  <si>
    <t>INDUSTRIAS MANUFACTURERAS NPC</t>
  </si>
  <si>
    <t>Viruta</t>
  </si>
  <si>
    <t>Iannino Pablo</t>
  </si>
  <si>
    <t>FINBA SRL</t>
  </si>
  <si>
    <t>Carlos Echague</t>
  </si>
  <si>
    <t xml:space="preserve">FABRICACION DE MUEBLES Y PARTES DE MUEBLES, PRINCIPALMENTE DE MADERA </t>
  </si>
  <si>
    <t>Florencia Torres</t>
  </si>
  <si>
    <t>Guido Spano</t>
  </si>
  <si>
    <t xml:space="preserve">FABRICACION DE CARPINTERIA METALICA </t>
  </si>
  <si>
    <t>Moffa Mariana Paula</t>
  </si>
  <si>
    <t>Marcela Paula Iriarte</t>
  </si>
  <si>
    <t>Fundicion</t>
  </si>
  <si>
    <t>FUNDICION DE HIERRO Y ACERO</t>
  </si>
  <si>
    <t>FUNDICION DE METALES NO FERROSOS</t>
  </si>
  <si>
    <t>Roberto Nestor</t>
  </si>
  <si>
    <t>FOLGER MUEBLES SRL</t>
  </si>
  <si>
    <t xml:space="preserve">FABRICACION DE MUEBLES Y PARTES DE MUEBLES, PRINCIPALMENTE DE MEDERA </t>
  </si>
  <si>
    <t>011 4139-5963</t>
  </si>
  <si>
    <t>Juan De Garay</t>
  </si>
  <si>
    <t>Fabricación de tejidos (telas) planos de fibras textiles n.c.p., incluye hilanderías y tejedurías integradas</t>
  </si>
  <si>
    <t>Olivart Andrés</t>
  </si>
  <si>
    <t>Tomás Guido</t>
  </si>
  <si>
    <t>FABRICACION DE PRODUCTOS PLASTICOS</t>
  </si>
  <si>
    <t>Adalberto Oviedo</t>
  </si>
  <si>
    <t>Martín D'urbano</t>
  </si>
  <si>
    <t>Benito Machado</t>
  </si>
  <si>
    <t>ELABORACION DE HIELO</t>
  </si>
  <si>
    <t>Felix Alberto Sosa</t>
  </si>
  <si>
    <t>11 4447-3934</t>
  </si>
  <si>
    <t>FABRICACION DE PRODUCTOS ELABORADOS DE METAL NCP</t>
  </si>
  <si>
    <t>Grecia Maciel</t>
  </si>
  <si>
    <t>Avenida Bernabé Márquez</t>
  </si>
  <si>
    <t>FABRICA DE ACERO INOXIDABLE</t>
  </si>
  <si>
    <t>Agustin Tomas Fariñas</t>
  </si>
  <si>
    <t>Avenida San Martín</t>
  </si>
  <si>
    <t>Fabricación de maquinaria y equipo de uso especial n.c.p.</t>
  </si>
  <si>
    <t>Macias Cintia</t>
  </si>
  <si>
    <t>Damián de Rito</t>
  </si>
  <si>
    <t>Ponce Martin</t>
  </si>
  <si>
    <t>1136123174 - 1151828705</t>
  </si>
  <si>
    <t>FABRICACION DE PRODUCTOS PLASTICOS EN FORMAS BASICAS Y ARTICULOS DE PLASTICO NCP ECXEPTO MUEBLES</t>
  </si>
  <si>
    <t>Josefina Garbino</t>
  </si>
  <si>
    <t>11-4490-1702</t>
  </si>
  <si>
    <t>4734-0673</t>
  </si>
  <si>
    <t>Morganti</t>
  </si>
  <si>
    <t>FABRICACIÓN DE PRODUCTOS PLÁSTICOS EN FORMAS BÁSICAS Y ARTÍCULOS DE PLÁSTICO N.C.P., EXCEPTO MUEBLES</t>
  </si>
  <si>
    <t>1169545767/1123976156</t>
  </si>
  <si>
    <t>FABRICACION DE BICICLETAS Y DE SILLONES DE RUEDAS ORTOPEDICAS</t>
  </si>
  <si>
    <t>11-4448-0367</t>
  </si>
  <si>
    <t>Avenida Triunvirato</t>
  </si>
  <si>
    <t>FABRICACION DE ARTICULOS DE PAPEL Y DE CARTON</t>
  </si>
  <si>
    <t>Gisela Cofano</t>
  </si>
  <si>
    <t>Marmoleria</t>
  </si>
  <si>
    <t>CORTE TALLADO Y ACABADO DE LA PIEDRA</t>
  </si>
  <si>
    <t>Palopoli Jorge Leonardo</t>
  </si>
  <si>
    <t>RODOLFO FERREYRA</t>
  </si>
  <si>
    <t>Avenida Hugo del Carril</t>
  </si>
  <si>
    <t>FABRICACIÓN DE MUEBLES Y PARTES DE MUEBLES, PRINCIPALMENTE DE MADERA</t>
  </si>
  <si>
    <t>Ferreyra Rodolfo Oreste</t>
  </si>
  <si>
    <t>Gualdieri M y Di Niro D SH</t>
  </si>
  <si>
    <t>Esteban Echeverría</t>
  </si>
  <si>
    <t>Miguel Gualdieri / Daniel Di Niro</t>
  </si>
  <si>
    <t>1155748222 - 1159224088</t>
  </si>
  <si>
    <t xml:space="preserve">FABRICACION DE PRODUCTOS METALICOS PARA USO ESTRUCTURAL </t>
  </si>
  <si>
    <t xml:space="preserve">FABRICACION DE PRODUCTOS ELABORADOS DE METAL </t>
  </si>
  <si>
    <t>Daniel Di Niro y Miguel Gualdieri</t>
  </si>
  <si>
    <t>1559224088/1155748222</t>
  </si>
  <si>
    <t>FABRICACOPN DE EQUIPO MEDICO Y QUIRURGICO Y DE APARATOS ORTOPEDICOS NCP</t>
  </si>
  <si>
    <t>Carlos Mateu</t>
  </si>
  <si>
    <t>74138690 - 20975011</t>
  </si>
  <si>
    <t>DIVERSEY DE ARGENTINA SA</t>
  </si>
  <si>
    <t>Karina Russo RRHH</t>
  </si>
  <si>
    <t>4842-8200/  4842-8222 / 4842-8260 4842-13334842-22244842-10094842-09024842-0900</t>
  </si>
  <si>
    <t>HAUTEVILLE SRL (TECNOFORM)</t>
  </si>
  <si>
    <t>Fabricación de productos elaborados de metal n.c.p.</t>
  </si>
  <si>
    <t>Juntas de expansion para cañerias</t>
  </si>
  <si>
    <t>115365-5700</t>
  </si>
  <si>
    <t>4840-2003/ 1100/ 4842-9609/ 1004</t>
  </si>
  <si>
    <t>GARCITAS SA (URQUIZA)</t>
  </si>
  <si>
    <t xml:space="preserve">Rondeau </t>
  </si>
  <si>
    <t>San Martin</t>
  </si>
  <si>
    <t>ELABORACIÓN DE GALLETITAS Y BIZCOCHOS</t>
  </si>
  <si>
    <t xml:space="preserve">Juan Urquiza </t>
  </si>
  <si>
    <t>PLÁSTICOS IPV S R.L.</t>
  </si>
  <si>
    <t>Adrián S. Valladolid</t>
  </si>
  <si>
    <t>116902-8901</t>
  </si>
  <si>
    <t>Rcl de Multiplastika</t>
  </si>
  <si>
    <t>FABRICACIÓN DE HILADOS TEXTILES N.C.P., EXCEPTO DE LANA Y DE ALGODÓN</t>
  </si>
  <si>
    <t>Diego de Maria</t>
  </si>
  <si>
    <t>116105-0380</t>
  </si>
  <si>
    <t>Urquiza</t>
  </si>
  <si>
    <t>SOLUCIONES TECNICAS INTEGRALES PARA LA INDUSTRIA</t>
  </si>
  <si>
    <t xml:space="preserve">Marcelo burgos </t>
  </si>
  <si>
    <t>RAICONET (RAICO SA)</t>
  </si>
  <si>
    <t>SERVICIO DE CORREO POSTAL Y SERVICIO DE TRANSPORTE AÉREO DE CARGAS</t>
  </si>
  <si>
    <t>FABRICACIÓN Y FRACCIONAMIENTO DE PRODUCTOS DE PANADERÍAS, CONFITERÍA, REPOSTERÍA Y HELADERÍA</t>
  </si>
  <si>
    <t>BAUTA PABLO LEANDRO</t>
  </si>
  <si>
    <t>6200-9193</t>
  </si>
  <si>
    <t>Av Juan  Domingo Peron</t>
  </si>
  <si>
    <t>FABRICACIÓN DE PARTES PARA VEHÍCULOS AUTOMOTORES.</t>
  </si>
  <si>
    <t>SURAMERICANA DE PLÁSTICOS SOPLADOS</t>
  </si>
  <si>
    <t>11-7600-2275</t>
  </si>
  <si>
    <t>MASK 95 SAS</t>
  </si>
  <si>
    <t>Asuncion</t>
  </si>
  <si>
    <t>FABRICACIÓN DE EQUIPO MEDICO , QUIRÚRGICO Y ADAPTADORES ORTOPÉDICOS NCP Y ARTÍCULOS DE CUERO ECOLÓGICO</t>
  </si>
  <si>
    <t>VILAR LUIS NORBERTO</t>
  </si>
  <si>
    <t>Scalabrini Ortiz</t>
  </si>
  <si>
    <t>FABRICACIÓN DE PAPEL HIGIÉNICO, TOALLAS Y BOBINAS INDUSTRIALES DE PAPEL TISSUE - VENTA DE PRODUCTOS DE HIGIENE Y LIMPIEZA</t>
  </si>
  <si>
    <t>ABRAHAM FERNANDO</t>
  </si>
  <si>
    <t>4644-2025</t>
  </si>
  <si>
    <t>FABRICACIÓN DE PRODUCTOS METÁLICOS DE TORNERÍA Y/O MATRICERÍA</t>
  </si>
  <si>
    <t>CLAUDIO PATTINI</t>
  </si>
  <si>
    <t>Ruta 8 (EVA PERON)</t>
  </si>
  <si>
    <t>FABRICACIÓN DE COSMÉTICOS, PERFUMES Y PRODUCTOS DE HIGIENE Y TOCADOR</t>
  </si>
  <si>
    <t>MARIA LAURA DEL VALLE MARCOS</t>
  </si>
  <si>
    <t>11-6676-0016</t>
  </si>
  <si>
    <t>INSUMOS QUIRURGICOS S.R.L.</t>
  </si>
  <si>
    <t xml:space="preserve">Av. Bernabé Márquez </t>
  </si>
  <si>
    <t>FABRICACIÓN DE ARTÍCULOS CONFECCIONADOS DE MATERIALES TEXTILES, EXCEPTO PRENDAS DE VESTIR. SERVICIOS RELACIONADOS CON LA SALID HUMANA .</t>
  </si>
  <si>
    <t>WAKSTEIN RODOLFO</t>
  </si>
  <si>
    <t xml:space="preserve">Carlos Guido Spano </t>
  </si>
  <si>
    <t>FABRICACIÓN DE PRODUCTOS METÁLICOS ESTRUCTURALES</t>
  </si>
  <si>
    <t xml:space="preserve">Dardo Rocha </t>
  </si>
  <si>
    <t xml:space="preserve">Alimenticia </t>
  </si>
  <si>
    <t>FRACCIONAMIENTO Y ELABORACIÓN DE CONDIMENTOS Y ESPECIAS DESHIDRATADAS</t>
  </si>
  <si>
    <t>VALLE SEBASTIAN ROGELIO</t>
  </si>
  <si>
    <t>Matteo Echegaray</t>
  </si>
  <si>
    <t>FABRICACIÓN DE TRAJES ESTRUCTURALES PARA BOMBEROS, GUANTES Y ACCESORIOS PARA LA LUCHA CONTRA EL FUEGO Y OTROS PRODUCTOS TEXTILES</t>
  </si>
  <si>
    <t>GRIMALDI M,ARTIN ADRIAN</t>
  </si>
  <si>
    <t>SERVICIOS F.F. SRL</t>
  </si>
  <si>
    <t>MOREAU DE JUSTO ALICIA</t>
  </si>
  <si>
    <t>FABRICACIÓN, ARMADO Y VENTA DE ARTÍCULOS DE SEGURIDAD</t>
  </si>
  <si>
    <t>FERNANDEZ FABIAN ANDRES</t>
  </si>
  <si>
    <t>FABRICACIÓN DE PRODUCTOS QUÍMICOS DOMISANITARIOS, PRODUCTOS DE LIMPIEZA Y CONTROL DE PLAGAS</t>
  </si>
  <si>
    <t>CUTRARO AYELEN GISELA</t>
  </si>
  <si>
    <t>Manuel Sarratea</t>
  </si>
  <si>
    <t>ETIQUETAS PARA LA INDUSTRIA TEXTIL</t>
  </si>
  <si>
    <t>Manuel Dorrego</t>
  </si>
  <si>
    <t>FABRICA DE PRODUCTOS DE CAUCHO</t>
  </si>
  <si>
    <t>CASTRO DANIEL ROBERTO</t>
  </si>
  <si>
    <t>11-5062-3077</t>
  </si>
  <si>
    <t>11-6288-2316</t>
  </si>
  <si>
    <t>Andres Ferreyra</t>
  </si>
  <si>
    <t>ELABORACIÓN DE PASTAS ALIMENTARIAS FRESCAS</t>
  </si>
  <si>
    <t>Daniela Lema</t>
  </si>
  <si>
    <t>4767-8502</t>
  </si>
  <si>
    <t>FABRICACIÓN DE ARTÍCULOS DE PAPEL Y CARTÓN N.C.P.</t>
  </si>
  <si>
    <t>VAZQUEZ MONICA SANDRA</t>
  </si>
  <si>
    <t>FABRICACIÓN DE PIEZAS METÁLICAS</t>
  </si>
  <si>
    <t>FARIÑA MARIA DEL CARMEN</t>
  </si>
  <si>
    <t>11-4190-8744</t>
  </si>
  <si>
    <t>Imprenta</t>
  </si>
  <si>
    <t>IMPRESIÓN FLEXOGRÁFICA</t>
  </si>
  <si>
    <t>Juan Manuel  De Rosas</t>
  </si>
  <si>
    <t>FABRICACIÓN DE FILM EN BOVINAS Y BOLSAS DE POLIETILENO IMPRESAS Y/O NO IMPRESAS - INDUSTRIA PLÁSTICA</t>
  </si>
  <si>
    <t>DIAZ , Norberto Juan</t>
  </si>
  <si>
    <t>11-3595-3110</t>
  </si>
  <si>
    <t>FABRICACIÓN DE ENVASES PLÁSTICOS</t>
  </si>
  <si>
    <t>RIVERO ANIBAL DANIEL</t>
  </si>
  <si>
    <t>15-4095-5748 Rivero Daniel</t>
  </si>
  <si>
    <t>011-2202-1773 Jofre Ariel Osca</t>
  </si>
  <si>
    <t>FABRICACIÓN DE TANQUES, RECIPIENTES PORTA FILTROS, CAÑERÍAS Y EQUIPAMIENTOS AFINES DE ACERO AL CARBONO E INOXIDABLE</t>
  </si>
  <si>
    <t>MARTINEZ FERNANDO</t>
  </si>
  <si>
    <t>11-3657-5776</t>
  </si>
  <si>
    <t>Esc.Santiago Parodi</t>
  </si>
  <si>
    <t>TALLER DE AFILIACIÓN DE HERRAMIENTAS DE CORTE</t>
  </si>
  <si>
    <t>BRAGA, Alicia Beatriz</t>
  </si>
  <si>
    <t>11-5807-9933</t>
  </si>
  <si>
    <t>Hugo Del Carril</t>
  </si>
  <si>
    <t>FABRICACIÓN DE PRODUCTOS METÁLICOS</t>
  </si>
  <si>
    <t>Sonia Carla Escuder</t>
  </si>
  <si>
    <t>11-5817-1009</t>
  </si>
  <si>
    <t>Esc. Santiago Parodi</t>
  </si>
  <si>
    <t>FABRICACIÓN DE SABORIZANTES PARA LA INDUSTRIA ALIMENTICIA</t>
  </si>
  <si>
    <t>PANDIANI Walter Hugo</t>
  </si>
  <si>
    <t>11-3167-5577</t>
  </si>
  <si>
    <t>Galileo Galilei</t>
  </si>
  <si>
    <t>ELABORACIÓN DE TAPAS DE EMPANADAS, EMPANADAS, MASAS PRECOCIDAS CON SALSA DE TOMATE, PIZZAS Y PROD DE CATERING</t>
  </si>
  <si>
    <t>Piazer Dutra Natalia</t>
  </si>
  <si>
    <t>11-5667-9407</t>
  </si>
  <si>
    <t>Francisco Cocchiararo</t>
  </si>
  <si>
    <t>ELABORACIÓN INDUSTRIAL DE PANIFICADOS</t>
  </si>
  <si>
    <t>PATRUCCO ERNESTO ANTONIO</t>
  </si>
  <si>
    <t>11-4041-1109</t>
  </si>
  <si>
    <t>9 De Julio</t>
  </si>
  <si>
    <t>FABRICACIÓN DE DISTINTOS TIPOS DE VELAS</t>
  </si>
  <si>
    <t>IANNELLO, Gustavo Domingo</t>
  </si>
  <si>
    <t>11-6994-1131</t>
  </si>
  <si>
    <t xml:space="preserve">Padre Agustin Elizalde </t>
  </si>
  <si>
    <t>FABRICACIÓN DE MAZOS DE CABLES</t>
  </si>
  <si>
    <t>ALEMAN, Nora Mirta</t>
  </si>
  <si>
    <t>11-6763-7840</t>
  </si>
  <si>
    <t>2195-3590</t>
  </si>
  <si>
    <t>PTE. Juan D Peron (# 8100 / 11998)</t>
  </si>
  <si>
    <t>GIANNECCHINI, Víctor Matías</t>
  </si>
  <si>
    <t>11-4939-3507</t>
  </si>
  <si>
    <t>VIEYTES JUAN HIPOLITO</t>
  </si>
  <si>
    <t>Vicente Lopez y Planes</t>
  </si>
  <si>
    <t>FABRICACIÓN DE MUEBLES Y PARTES DE MUEBLES</t>
  </si>
  <si>
    <t>CARDOZO JOSE L., ESPLUGAS FRANCISCO</t>
  </si>
  <si>
    <t>11-3548-8905</t>
  </si>
  <si>
    <t>Kaiser</t>
  </si>
  <si>
    <t>FABRICACIÓN DE MUEBLES DE BAÑO</t>
  </si>
  <si>
    <t>DE NUNZIO, Juan Pablo</t>
  </si>
  <si>
    <t>15-5369-9610</t>
  </si>
  <si>
    <t>4842-0892</t>
  </si>
  <si>
    <t>ZANELLA SANTIAGO A.</t>
  </si>
  <si>
    <t>FABRICACIÓN DE PRODUCTOS DE CONFITERÍA N.C.P.</t>
  </si>
  <si>
    <t>DI MECOLA HERNAN SILVIO</t>
  </si>
  <si>
    <t>11-3418-6756</t>
  </si>
  <si>
    <t>FABRICACIÓN DE ABERTURAS DE PVC</t>
  </si>
  <si>
    <t>Ovalle Sergio José</t>
  </si>
  <si>
    <t>15-4089-4474</t>
  </si>
  <si>
    <t>CONFECCIÓN DE PRENDAS DE VESTIR</t>
  </si>
  <si>
    <t>15-4937-444</t>
  </si>
  <si>
    <t>DIEGO KANTZABEDIAN</t>
  </si>
  <si>
    <t>Soldado Hector Bordon</t>
  </si>
  <si>
    <t>FABRICA DE ABERTURAS</t>
  </si>
  <si>
    <t>PEREYRA SEBASTIAN</t>
  </si>
  <si>
    <t>4750-4569</t>
  </si>
  <si>
    <t>DE LA CUETARA Leonel Gaston</t>
  </si>
  <si>
    <t>4653-4136</t>
  </si>
  <si>
    <t>Aurelio Montanelli</t>
  </si>
  <si>
    <t>ELABORACIÓN DE MADEJAS DE HILO DE ALGODÓN Y LANA</t>
  </si>
  <si>
    <t>PLANCHADO Y COLOCACIÓN DE TACHAS TERMOTRANSFERIBLE EN PRENDA DE VESTIR</t>
  </si>
  <si>
    <t>SPALLETTI, Pablo Matias</t>
  </si>
  <si>
    <t>FABRICACIÓN DE CORTINAS, SABANAS Y MANTELES</t>
  </si>
  <si>
    <t>EL ASSIR, Elias Ruben</t>
  </si>
  <si>
    <t>11-4949-4792</t>
  </si>
  <si>
    <t>Gral. Cornelio Saavedra</t>
  </si>
  <si>
    <t>FABRICACIÓN DE COSMÉTICOS ACUARELABLES</t>
  </si>
  <si>
    <t>PAZ EZEQUIEL ALEJANDRO</t>
  </si>
  <si>
    <t>11-6997-0229</t>
  </si>
  <si>
    <t>FABRICACIÓN DE ARANDELAS</t>
  </si>
  <si>
    <t>Marcovecchio Noemí Cristina</t>
  </si>
  <si>
    <t>15-3109-4371</t>
  </si>
  <si>
    <t>FABRICACIÓN DE BASES DE MADERA PARA TROFEOS</t>
  </si>
  <si>
    <t>PASTEN, Martin Ezequiel</t>
  </si>
  <si>
    <t>15-6204-6856</t>
  </si>
  <si>
    <t xml:space="preserve">ELABORACION DE PRODUCTOS ALIMENTICIOS </t>
  </si>
  <si>
    <t>CAMPAGNA ARIEL</t>
  </si>
  <si>
    <t>11-4991-6008</t>
  </si>
  <si>
    <t>ACABADO DE PRODUCTOS TEXTILES</t>
  </si>
  <si>
    <t>IBARRA RAUL ALFREDO</t>
  </si>
  <si>
    <t>11-2303-3217</t>
  </si>
  <si>
    <t>Carhue</t>
  </si>
  <si>
    <t>FABRICACIÓN DE MUEBLES EN PARTES Y SU ARMADO</t>
  </si>
  <si>
    <t>Ameal Jorge Alberto</t>
  </si>
  <si>
    <t>11-5707-4404</t>
  </si>
  <si>
    <t>Carlos Biron</t>
  </si>
  <si>
    <t>FABRICACIÓN DE ROPA DE EGRESADOS - CONFECCIÓN DE PRENDAS DE VESTIR N.C.P EXCEPTO DE PIEL, CUERO Y DE PUNTO.</t>
  </si>
  <si>
    <t>GOGNI EMILIANO</t>
  </si>
  <si>
    <t>15-6104-2961</t>
  </si>
  <si>
    <t>FABRICACIÓN DE ALFAJORES</t>
  </si>
  <si>
    <t>MARCOS SECCHI</t>
  </si>
  <si>
    <t>11-3129-4912</t>
  </si>
  <si>
    <t>LIBARIAN, GABRIEL OHANNES</t>
  </si>
  <si>
    <t>15-3442-5091</t>
  </si>
  <si>
    <t>Wenseslao del Tata</t>
  </si>
  <si>
    <t>FABRICACIÓN DE CALZADO DE MATERIALES N.C.P., EXCEPTO CALZADO DEPORTIVO Y ORTOPÉDICO</t>
  </si>
  <si>
    <t>DE ANGELI ALEJANDRO</t>
  </si>
  <si>
    <t>15-5914-7819</t>
  </si>
  <si>
    <t>FABRICACIÓN DE DISCOS DE EMPANADAS Y PASCUALINAS</t>
  </si>
  <si>
    <t>SALINAS, Jose</t>
  </si>
  <si>
    <t>11-3188-1604</t>
  </si>
  <si>
    <t>Antonio Beruti</t>
  </si>
  <si>
    <t>ACABADO DE PIEZAS DE METAL PARA SILLAS</t>
  </si>
  <si>
    <t>LOBO NATALIA SOLEDAD Y LOBO ALEJAND</t>
  </si>
  <si>
    <t>15-6128-9140</t>
  </si>
  <si>
    <t>Cafferata</t>
  </si>
  <si>
    <t>FABRICA DE ZUELAS PARA CALZADO EN GENERAL</t>
  </si>
  <si>
    <t>Cordero Andrea</t>
  </si>
  <si>
    <t>11-3494-1866</t>
  </si>
  <si>
    <t>INDUSTRIA GRAFICA - IMPRESIÓN N.C.P, EXCEPTO DE DIARIOS Y REVISTAS</t>
  </si>
  <si>
    <t>CASTILLO RAIMUNDO</t>
  </si>
  <si>
    <t>7724-0811</t>
  </si>
  <si>
    <t>TTE. GRAL. RICCHIERI PABLO</t>
  </si>
  <si>
    <t>FABRICACIÓN DE COLAS, ADHESIVOS, APRESTOS Y CEMENTOS EXCEPTO LOS ODONTOLÓGICOS OBTENIDOS DE SUSTANCIAS MINERALES Y VEGETALES</t>
  </si>
  <si>
    <t>LOPEZ RICARDO JORGE</t>
  </si>
  <si>
    <t>15-5383-1727</t>
  </si>
  <si>
    <t>7712-0664</t>
  </si>
  <si>
    <t>ELABORACIÓN Y VENTA DE PRODUCTOS PANIFICADOS</t>
  </si>
  <si>
    <t>CALTABIANO Alejandro</t>
  </si>
  <si>
    <t>11-5812-6742</t>
  </si>
  <si>
    <t>ING. Felix Amoretti</t>
  </si>
  <si>
    <t>FABRICACIÓN DE CABLES</t>
  </si>
  <si>
    <t>INFANTINO DARIO</t>
  </si>
  <si>
    <t>11-6141-8159</t>
  </si>
  <si>
    <t>optinet@valgo.com.ar</t>
  </si>
  <si>
    <t>FABRICACIÓN DE PRODUCTOS DE CAUCHO</t>
  </si>
  <si>
    <t>GUALCO ROMAN</t>
  </si>
  <si>
    <t>15-6266-4983</t>
  </si>
  <si>
    <t xml:space="preserve">AQuilino Colombo </t>
  </si>
  <si>
    <t>ELABORACIÓN DE ACEITES Y GRASAS VEGETALES PRENSADOS EN FRIO</t>
  </si>
  <si>
    <t>BIERA DANIEL</t>
  </si>
  <si>
    <t>15-4076-1000</t>
  </si>
  <si>
    <t>AV.Bernardino Rivadavia</t>
  </si>
  <si>
    <t>FRACCIONAMIENTO, ENVASADO Y DISTRIBUCIÓN DE FRUTOS SECOS Y CEREALES</t>
  </si>
  <si>
    <t>KAMERMAN, Brian Alan</t>
  </si>
  <si>
    <t>11-5991-5041</t>
  </si>
  <si>
    <t>EMBOTELLADORA DE AGUA Y FABRICACIÓN DE SODA Y JUGOS</t>
  </si>
  <si>
    <t>BERTINI, Emiliano</t>
  </si>
  <si>
    <t>11-6716-9142</t>
  </si>
  <si>
    <t>AV. M. T. De Alvear (# 2400 / 4899)</t>
  </si>
  <si>
    <t>EMBOTELLADO DE AGUAS NATURALES Y MINERALES</t>
  </si>
  <si>
    <t>MARCOS VILLARES</t>
  </si>
  <si>
    <t>11-4061-8127</t>
  </si>
  <si>
    <t>FABRICACIÓN DE PRODUCTOS ELABORADOS DE METAL</t>
  </si>
  <si>
    <t>CRISTIAN ALVAREZ</t>
  </si>
  <si>
    <t>15 6265-9642</t>
  </si>
  <si>
    <t>Rio de la Plata</t>
  </si>
  <si>
    <t>FABRICACIÓN DE MASILLAS Y ADHESIVOS PARA LA CONSTRUCCIÓN, Y PIEDRAS DE MASCOTAS</t>
  </si>
  <si>
    <t>WALTER J MORANDI</t>
  </si>
  <si>
    <t>11 3298-5047</t>
  </si>
  <si>
    <t>11 32758607</t>
  </si>
  <si>
    <t>Aguero</t>
  </si>
  <si>
    <t>FABRICACIÓN DE PRODUCTOS ELABORADOS DE METAL N.C.P</t>
  </si>
  <si>
    <t>MARTIN JOSE ANGEL</t>
  </si>
  <si>
    <t>DE GARAY JUAN</t>
  </si>
  <si>
    <t>PTE. J D Peron (# 8100 / 11998)</t>
  </si>
  <si>
    <t>FABRICACIÓN DE MUEBLES Y DE ACCESORIOS DE METAL</t>
  </si>
  <si>
    <t>Miguel De Azcuenaga</t>
  </si>
  <si>
    <t>MIGUEL AURELIO LLIVARA</t>
  </si>
  <si>
    <t>011-6292-4517</t>
  </si>
  <si>
    <t>MIRIAM BUNAHORA</t>
  </si>
  <si>
    <t>TTE. CNEL. BESARES MANUEL</t>
  </si>
  <si>
    <t>GUSTAVO BELLAVITIS</t>
  </si>
  <si>
    <t>11-4051-1820</t>
  </si>
  <si>
    <t>FABRICACIÓN DE PRODUCTOS DE VIDRIO N.C.P.</t>
  </si>
  <si>
    <t>11-3056-5886</t>
  </si>
  <si>
    <t>FABRICACIÓN DE ARTÍCULOS DE PAPEL Y CARTÓN DE USO DOMÉSTICO E HIGIÉNICO SANITARIO</t>
  </si>
  <si>
    <t>D'andrea Silvio Gabriel</t>
  </si>
  <si>
    <t>11 40579168</t>
  </si>
  <si>
    <t>Felix Ballester</t>
  </si>
  <si>
    <t>MAURO E. PELIZA</t>
  </si>
  <si>
    <t>TTe. Gral Riccheri</t>
  </si>
  <si>
    <t>FABRICACIÓN DE HORNOS, HOGARES Y QUEMADORES</t>
  </si>
  <si>
    <t>LUCAS R, PONCE</t>
  </si>
  <si>
    <t>BURGIO PABLO ADRIAN</t>
  </si>
  <si>
    <t>Gra. Villegas</t>
  </si>
  <si>
    <t>ELABORACIÓN INDUSTRIAL DE PRODUCTOS DE PANADERÍA, EXCEPTO GALLETITAS Y BIZCOCHOS</t>
  </si>
  <si>
    <t>15-6029-5263</t>
  </si>
  <si>
    <t>FABRICACIÓN DE PRODUCTOS TEXTILES N.C.P.</t>
  </si>
  <si>
    <t>SERGIO ENRIQUE POMERANIEC</t>
  </si>
  <si>
    <t>15-4184-7290</t>
  </si>
  <si>
    <t>FABRICACIÓN DE MAQUINARIA Y EQUIPO DE USO ESPECIAL N.C.P.</t>
  </si>
  <si>
    <t>AMATO DAVID JESUS</t>
  </si>
  <si>
    <t>4488-8256</t>
  </si>
  <si>
    <t>ELABORACIÓN DE FIAMBRES Y EMBUTIDOS</t>
  </si>
  <si>
    <t>011-2197-9835</t>
  </si>
  <si>
    <t>011-3078-5981</t>
  </si>
  <si>
    <t>FERREYRA URQUIZA ADALVERTO JUAN</t>
  </si>
  <si>
    <t>15-6489-8523</t>
  </si>
  <si>
    <t>Esc. Sgo Parodi</t>
  </si>
  <si>
    <t>FABRICACIÓN DE HILOS Y CABLES AISLADOS</t>
  </si>
  <si>
    <t>MINARDI KARINA ROXANA</t>
  </si>
  <si>
    <t>11-6168-0376</t>
  </si>
  <si>
    <t>FABRICACIÓN DE ABERTURAS Y ESTRUCTURAS DE MADERA PARA LA CONSTRUCCIÓN</t>
  </si>
  <si>
    <t>11-6353-1359</t>
  </si>
  <si>
    <t>Av. Bartolome Mitre</t>
  </si>
  <si>
    <t>FABRICACIOON DE PRODUCTOS QUIMICOS NCP</t>
  </si>
  <si>
    <t>PAPGNO CHISTIAN PABLO</t>
  </si>
  <si>
    <t>11-3066-4309</t>
  </si>
  <si>
    <t>Ntra . Sra De La Merced</t>
  </si>
  <si>
    <t>CONFECCIÓN DE ROPA DE TRABAJO, UNIFORMES Y GUARDAPOLVOS</t>
  </si>
  <si>
    <t>Plastico</t>
  </si>
  <si>
    <t>DIEGO MARTIN CIPRIANO</t>
  </si>
  <si>
    <t>11-6048-2947</t>
  </si>
  <si>
    <t>Gral Lavalle</t>
  </si>
  <si>
    <t>PRODUCCIÓN DE ALIMENTOS A BASE DE CEREALES</t>
  </si>
  <si>
    <t>ROCIO MARIA PLANAS</t>
  </si>
  <si>
    <t>11-5035-0960</t>
  </si>
  <si>
    <t>Ing. Carlos Pereyra</t>
  </si>
  <si>
    <t>Carlos Gardel</t>
  </si>
  <si>
    <t>11-3161-5162</t>
  </si>
  <si>
    <t>ELABORACIÓN DE ACEITES Y GRASAS VEGETALES SIN REFINAR</t>
  </si>
  <si>
    <t>VACCARO PAOLA</t>
  </si>
  <si>
    <t>ELABORACIÓN DE PRODUCTOS LÁCTEOS N.C.P.</t>
  </si>
  <si>
    <t>LUCAS SERRANO</t>
  </si>
  <si>
    <t>FABRICACIÓN DE PREPARADOS PARA LIMPIEZA, PULIDO Y SANEAMIENTO</t>
  </si>
  <si>
    <t>BOAN MAXIMILIANO MARTIN</t>
  </si>
  <si>
    <t>11-6130-2000</t>
  </si>
  <si>
    <t>Rio Bermejo</t>
  </si>
  <si>
    <t>MARCELA BARCOS</t>
  </si>
  <si>
    <t>Av. M. T. De Alvear (# 2400 / 4899)</t>
  </si>
  <si>
    <t>COMPACTACIÓN DE CHAPAS - FORJADO, PRENSADO, ESTAMPADO Y LAMINADO DE METALES; PULVIMETALURGIA</t>
  </si>
  <si>
    <t>11-6108-8577</t>
  </si>
  <si>
    <t>11-3651-9156</t>
  </si>
  <si>
    <t>FABRICACION Y VENTA DE VARILLAS DE ACERO INOXIDABLE PARA LA INDUSTRIA GASTRONOMICA</t>
  </si>
  <si>
    <t>MARDARAS JORGE RAUL</t>
  </si>
  <si>
    <t>11-3853-0977</t>
  </si>
  <si>
    <t>ELABORACION DE FIAMBRES Y EMBUTIDOS - CARNES CONSERVADAS, EMBUTIDOS, FIAMBRES Y GRASAS NO PREPARADAS EN FRIGORIFICOS.</t>
  </si>
  <si>
    <t>MIZRAHI JOSE</t>
  </si>
  <si>
    <t>DP&amp;S S.R.L</t>
  </si>
  <si>
    <t>IMPRESION FLEXOGRAFICA</t>
  </si>
  <si>
    <t>STASTA VIRGINIA</t>
  </si>
  <si>
    <t>11-6522-3616</t>
  </si>
  <si>
    <t>FABRICACION DE COLAS, ADHESIVOS, APRESTOS Y CEMENTOS EXCEPTO LOS ODONTOLOGICOS OBTENIDOS DE SUSTANCIAS MINERALES Y VEGETALES.</t>
  </si>
  <si>
    <t>FABRICACION DE VIDRIOS DVH Y TVH</t>
  </si>
  <si>
    <t>SCALISE CRISTIAN</t>
  </si>
  <si>
    <t>FABRICACION DE PARABRISAS Y PARABRISAS BRINDADOS</t>
  </si>
  <si>
    <t xml:space="preserve">Barragan </t>
  </si>
  <si>
    <t>ELABORACION DE TORTILLAS DE TRIGO</t>
  </si>
  <si>
    <t>GUSTAVO DIEGO GONZALEZ</t>
  </si>
  <si>
    <t>Av Bartolome Mitre</t>
  </si>
  <si>
    <t>FABRICACION Y ELABORACION DE ALFAJORES</t>
  </si>
  <si>
    <t>MARIO CHIOVETTA</t>
  </si>
  <si>
    <t>11-6891-9794</t>
  </si>
  <si>
    <t>Garcia Abdon</t>
  </si>
  <si>
    <t>ACABADO DE PRENDAS DE VESTIR DE JEANS</t>
  </si>
  <si>
    <t>DANIEL MUOTRI</t>
  </si>
  <si>
    <t>Santiago DeLiniers</t>
  </si>
  <si>
    <t>FABRICACION DE JUGUETES PARA MASCOTAS</t>
  </si>
  <si>
    <t>JORGE BENITEZ BIONDI</t>
  </si>
  <si>
    <t>11-6290-1697</t>
  </si>
  <si>
    <t>FABRICACION DE TAPAS Y FICHAS PARA ELECTRICIDAD</t>
  </si>
  <si>
    <t>NORMA BARBALACE</t>
  </si>
  <si>
    <t>15-6276-7108</t>
  </si>
  <si>
    <t>VERGA FACUNDO</t>
  </si>
  <si>
    <t>Fernandez de Oliveira</t>
  </si>
  <si>
    <t>ELABORACION DE COMIDAS PREPARADAS PARA FREEZER</t>
  </si>
  <si>
    <t>15-6807-9496</t>
  </si>
  <si>
    <t>PABLO DI PALMA</t>
  </si>
  <si>
    <t>15-5317-8630</t>
  </si>
  <si>
    <t>Monotributo</t>
  </si>
  <si>
    <t>IMPRESION DE FORMULARIOS AUTORIZADOS POR AFIP, MEDIANTE MAQUINARIAS DIGITALES E INK JET. IMPRESION DE TARJETAS, ETIQUETAS AUTOADHESIVAS, VOLANTES CON MAQUINA DUPLICADORA DIGITAL, LASER E INK JET</t>
  </si>
  <si>
    <t>11-2611-8778</t>
  </si>
  <si>
    <t>ELABORACIÓN DE PRODUCTOS ALIMENTICIOS N.C.P.</t>
  </si>
  <si>
    <t>SEBASTIAN ANGEL BAIELI</t>
  </si>
  <si>
    <t>FABRICA DE AGUA GASIFICADA Y EMBOTELLADORA DE AGUA EN BIDONES</t>
  </si>
  <si>
    <t>11-5805-1192</t>
  </si>
  <si>
    <t>Ing. Felix Amoretti</t>
  </si>
  <si>
    <t>ELABORACION DE ALFAJORES</t>
  </si>
  <si>
    <t>MANUEL RODOLFO SUPPA</t>
  </si>
  <si>
    <t>11-5856-0539</t>
  </si>
  <si>
    <t>FABRICACION DE PROTEINAS Y SUPLEMENTOS DIETARIOS</t>
  </si>
  <si>
    <t>PERRI DIEGO RICARDO</t>
  </si>
  <si>
    <t>11-2659-4879</t>
  </si>
  <si>
    <t>Abraham Lincoln</t>
  </si>
  <si>
    <t>EDICION DE LIBROS, FOLLETOS Y OTRAS PUBLICACIONES</t>
  </si>
  <si>
    <t>JULIO CESAR GIMENEZ</t>
  </si>
  <si>
    <t>11-3115-8200</t>
  </si>
  <si>
    <t xml:space="preserve">Gral. Roca </t>
  </si>
  <si>
    <t>FABRICACION Y TAPIZADO DE ESQUELETOS PARA SOMMIER</t>
  </si>
  <si>
    <t>YAMIL SIMOES CARDOSO Y AVERO LAURA</t>
  </si>
  <si>
    <t>IMPRESIONES FLEXOGRAFICAS S.R.L. (GRAFIPEL)</t>
  </si>
  <si>
    <t>Papelera</t>
  </si>
  <si>
    <t>FABRICACIÓN DE BOLSAS DE PAPEL CON Y SIN MANIJA</t>
  </si>
  <si>
    <t>VAZQUEZ MONICA</t>
  </si>
  <si>
    <t>11-3392-0999</t>
  </si>
  <si>
    <t>FABRICACION DE PRODUCTOS ALIMENTICIOS Y DE CONFITERIA</t>
  </si>
  <si>
    <t>GANDOLA MAURO CLEMENTE</t>
  </si>
  <si>
    <t>AV. Diaz Velez</t>
  </si>
  <si>
    <t>ENVASADO Y VENTA DE LUBRICANTES</t>
  </si>
  <si>
    <t>VICENTE HECTOR RICARDO</t>
  </si>
  <si>
    <t>11-6397-7344</t>
  </si>
  <si>
    <t>CONFECCION DE PRENDAS DEPORTIVAS</t>
  </si>
  <si>
    <t>DI TOMASO, Pablo Martin</t>
  </si>
  <si>
    <t>11-6194-3237</t>
  </si>
  <si>
    <t>GAZZO, DANIEL JESUS</t>
  </si>
  <si>
    <t>FABRICACIÓN DE MUEBLES A MEDIDA</t>
  </si>
  <si>
    <t>GAZZO, Daniel Jesus</t>
  </si>
  <si>
    <t>11-5930-6502</t>
  </si>
  <si>
    <t>FABRICACIÓN, DEPOSITO Y DISTRIBUCIÓN DE PRENDAS DE VESTIR</t>
  </si>
  <si>
    <t>VILLARRUEL NICOLAS NORBERTO</t>
  </si>
  <si>
    <t>11-6422-5036</t>
  </si>
  <si>
    <t>4482-4339</t>
  </si>
  <si>
    <t>OCHOA CALLE JOAQUIN ERINEO</t>
  </si>
  <si>
    <t xml:space="preserve">Juan Martin De Pueyrredon </t>
  </si>
  <si>
    <t>CONFECCION DE PANTALONES, REMERAS Y CAMISAS</t>
  </si>
  <si>
    <t>11-3565-0307</t>
  </si>
  <si>
    <t>Ntra. Sra. De La Merced</t>
  </si>
  <si>
    <t>RECUPERACIÓN DE MATERIALES PLÁSTICOS</t>
  </si>
  <si>
    <t>RUNCA NICOLAS PEDRO ANDRES</t>
  </si>
  <si>
    <t>11-2307-0300</t>
  </si>
  <si>
    <t>Bartolome Churruca</t>
  </si>
  <si>
    <t>ELABORACION Y VENTA DE PANIFICADOS</t>
  </si>
  <si>
    <t>Ruta 8 (Eva Peron)</t>
  </si>
  <si>
    <t>FAENADO DE GANADO BOVINO - VENTA AL POR MAYOR DE CARNES ROJAS Y CHACINADOS FRESCOS</t>
  </si>
  <si>
    <t>LOZANO RUBEN ENRIQUE</t>
  </si>
  <si>
    <t>Insumos medicos</t>
  </si>
  <si>
    <t>FABRICACION DE PRODUCTOS ORTOPEDICOS</t>
  </si>
  <si>
    <t>ROMANO, Matias</t>
  </si>
  <si>
    <t>11-6131-4332</t>
  </si>
  <si>
    <t>Sargento Diaz</t>
  </si>
  <si>
    <t>FABRICACION DE PRODUCTOS PLASTICOS EN FORMAS BASICAS Y ART. DE PLASTICO</t>
  </si>
  <si>
    <t>PARERA MARTIN</t>
  </si>
  <si>
    <t>11-5263-8899</t>
  </si>
  <si>
    <t>AV. M. T. De Alvear(# 2400 / 4899)</t>
  </si>
  <si>
    <t>ELABORACION Y VENTA DE PRODUCTOS PANIFICADOS</t>
  </si>
  <si>
    <t>GUGLIELMO JORGE E.</t>
  </si>
  <si>
    <t>11-5472-6414</t>
  </si>
  <si>
    <t>25  de mayo</t>
  </si>
  <si>
    <t>FABRICACION DE MUEBLES Y PARTES DE MUBLES PRINCIPALMENTE DE MADERA</t>
  </si>
  <si>
    <t>BARABASH MARTIN</t>
  </si>
  <si>
    <t>11-4044-8880</t>
  </si>
  <si>
    <t>Federico Garcia Lorca</t>
  </si>
  <si>
    <t>ELABORACIÓN DE BOTELLAS DE AGUA Y SODA EN SIFONES</t>
  </si>
  <si>
    <t>GALOSSO MICAELA NATALIA</t>
  </si>
  <si>
    <t>11-5182-5920</t>
  </si>
  <si>
    <t>11-6883-3616</t>
  </si>
  <si>
    <t>LA RIOJA</t>
  </si>
  <si>
    <t>FABRICACIÓN DE ABERTURAS</t>
  </si>
  <si>
    <t>SANTELLI GABRIEL G.</t>
  </si>
  <si>
    <t>11-6332-7292</t>
  </si>
  <si>
    <t>4924-3137</t>
  </si>
  <si>
    <t>ELABORACIÓN DE PREMEXCLAS DE PANCAKES Y AVENA PROTEICA CON INGREDIENTES FUNCIONALES TALES COMO ALBÚMINA DE HUEVO</t>
  </si>
  <si>
    <t>PERNA Brenda Natalia</t>
  </si>
  <si>
    <t>11-6834-1095</t>
  </si>
  <si>
    <t>4844-2330</t>
  </si>
  <si>
    <t>AV. M. T. De Alvear (# 1700 / 2599)</t>
  </si>
  <si>
    <t>FABRICACIÓN Y FRACCIONAMIENTO DE FILM STRETCH Y DE ART DE EMBALAJE Y ART DE PLASTICOS - VENTA AL POR MAYOR Y MENOR DE ART. DE EMBALAJE</t>
  </si>
  <si>
    <t>RICCIUTI DARIO ANTONIO</t>
  </si>
  <si>
    <t>11-5565-5839</t>
  </si>
  <si>
    <t>ELABORACIÓN DE PASTA SECA ARTESANAL</t>
  </si>
  <si>
    <t>GALLANO MERCEDES</t>
  </si>
  <si>
    <t>11-4980-1692</t>
  </si>
  <si>
    <t>FRACCIONAMIENTO Y EMPAQUETADO DE APOSITOS Y GASA</t>
  </si>
  <si>
    <t>GRIJALBA LAUTARO</t>
  </si>
  <si>
    <t>11-6802-7522</t>
  </si>
  <si>
    <t>Diag M Fernandez De Oliveira</t>
  </si>
  <si>
    <t>Fabricación de productos plásticos en formas básicas y artículos de plástico n.c.p., excepto muebles</t>
  </si>
  <si>
    <t>fabricación de burletes y colisas</t>
  </si>
  <si>
    <t>Griselda Graviotto</t>
  </si>
  <si>
    <t>15-5758-1556</t>
  </si>
  <si>
    <t>Matias Graviotto</t>
  </si>
  <si>
    <t>4464-0828</t>
  </si>
  <si>
    <t>4464-0835</t>
  </si>
  <si>
    <t>11 5979-5876</t>
  </si>
  <si>
    <t>VENTA AL POR MAYOR DE ARTÍCULOS DE FERRETERÍA Y MATERIALES ELÉCTRICOS</t>
  </si>
  <si>
    <r>
      <rPr>
        <color rgb="FF000000"/>
        <u/>
      </rPr>
      <t>11-2570-6542</t>
    </r>
  </si>
  <si>
    <t>Av. Marquez Bernabe</t>
  </si>
  <si>
    <t>Fabricacion de productos textiles</t>
  </si>
  <si>
    <t>Ricardo Horak</t>
  </si>
  <si>
    <t>11-5976-3139</t>
  </si>
  <si>
    <t>4580-6590</t>
  </si>
  <si>
    <t>Cocchiararo Francisco</t>
  </si>
  <si>
    <t>Elaboracion, produccion y comercializacion de productos alimenticios sin tacc (libre de gluten)</t>
  </si>
  <si>
    <t>Carames Gonzalo Javier</t>
  </si>
  <si>
    <t>11-6130-9531</t>
  </si>
  <si>
    <t>Rio Jachal</t>
  </si>
  <si>
    <t>Fabricacion de pinturas, barnices y productos de revestimiento similares, tintas de imprenta y masillas</t>
  </si>
  <si>
    <t>BISIGNANO Romina Soledad</t>
  </si>
  <si>
    <t>Fabricacion de estufas,cocinas, artefactos de iluminacion y camping</t>
  </si>
  <si>
    <t>Dartiguelongue Marcos</t>
  </si>
  <si>
    <t>VALKE SA-</t>
  </si>
  <si>
    <t>Arnaldo Demian Martin</t>
  </si>
  <si>
    <t>11-3826-7368</t>
  </si>
  <si>
    <t>5195-3549</t>
  </si>
  <si>
    <t>Carpinteria de madera- fabricacion de muebles de madera</t>
  </si>
  <si>
    <t>CHIACCHIARI FABRIAN ANDRES</t>
  </si>
  <si>
    <t>11-2173-0455</t>
  </si>
  <si>
    <t>Ejercito de los Andes</t>
  </si>
  <si>
    <t>Fabricacion de productos plasticos en formas basicas y art. de plastico - ncp excepto muebles</t>
  </si>
  <si>
    <t>MOLINA, Alberto Salvador</t>
  </si>
  <si>
    <t>11-4948-4247</t>
  </si>
  <si>
    <t>Fabricacion de lentes bajo receta para anteojos y colocacion del lente en el marco</t>
  </si>
  <si>
    <t>BRUZZONE GONZALO</t>
  </si>
  <si>
    <t>11-5150-1494</t>
  </si>
  <si>
    <t xml:space="preserve">Elaboracion de productos alimenticios </t>
  </si>
  <si>
    <t>BARRACOSA MONICA</t>
  </si>
  <si>
    <t>11-6267-5609</t>
  </si>
  <si>
    <t>CECILIA MACIAS</t>
  </si>
  <si>
    <t>Peschel Martin</t>
  </si>
  <si>
    <t>Fabricacion de motores, generadores y transformadores electricos</t>
  </si>
  <si>
    <t>FRATI FERNANDO</t>
  </si>
  <si>
    <t>11-3513-3808</t>
  </si>
  <si>
    <t>4848-0754</t>
  </si>
  <si>
    <t>Lavadero industrial de prendas de ropa</t>
  </si>
  <si>
    <t>CLAUDIO SURRA</t>
  </si>
  <si>
    <t>11-4408-7967</t>
  </si>
  <si>
    <t>Rio Atuel</t>
  </si>
  <si>
    <t>Mecanizado en frio de piezas de acero</t>
  </si>
  <si>
    <t>TEJEDA ADRIANA AURELIA</t>
  </si>
  <si>
    <t>11-6483-9541</t>
  </si>
  <si>
    <t>4739-6111</t>
  </si>
</sst>
</file>

<file path=xl/styles.xml><?xml version="1.0" encoding="utf-8"?>
<styleSheet xmlns="http://schemas.openxmlformats.org/spreadsheetml/2006/main" xmlns:x14ac="http://schemas.microsoft.com/office/spreadsheetml/2009/9/ac" xmlns:mc="http://schemas.openxmlformats.org/markup-compatibility/2006">
  <fonts count="83">
    <font>
      <sz val="11.0"/>
      <color rgb="FF000000"/>
      <name val="Calibri"/>
      <scheme val="minor"/>
    </font>
    <font>
      <b/>
      <sz val="11.0"/>
      <color theme="1"/>
      <name val="Calibri"/>
    </font>
    <font>
      <sz val="11.0"/>
      <color rgb="FF000000"/>
      <name val="Calibri"/>
    </font>
    <font>
      <b/>
      <color theme="1"/>
      <name val="Calibri"/>
    </font>
    <font>
      <b/>
      <color theme="1"/>
      <name val="Calibri"/>
      <scheme val="minor"/>
    </font>
    <font>
      <color theme="1"/>
      <name val="Arial"/>
    </font>
    <font>
      <color theme="1"/>
      <name val="Calibri"/>
      <scheme val="minor"/>
    </font>
    <font>
      <sz val="11.0"/>
      <color theme="1"/>
      <name val="Calibri"/>
    </font>
    <font>
      <u/>
      <sz val="11.0"/>
      <color theme="1"/>
      <name val="Calibri"/>
    </font>
    <font>
      <sz val="14.0"/>
      <color rgb="FFEEF0FF"/>
      <name val="&quot;Google Sans&quot;"/>
    </font>
    <font>
      <b/>
      <sz val="11.0"/>
      <color rgb="FF000000"/>
      <name val="Calibri"/>
    </font>
    <font>
      <u/>
      <sz val="11.0"/>
      <color rgb="FF0000FF"/>
      <name val="Calibri"/>
    </font>
    <font>
      <b/>
      <sz val="14.0"/>
      <color theme="1"/>
      <name val="Calibri"/>
      <scheme val="minor"/>
    </font>
    <font>
      <u/>
      <sz val="11.0"/>
      <color rgb="FF1155CC"/>
      <name val="Calibri"/>
    </font>
    <font>
      <sz val="11.0"/>
      <color rgb="FF000000"/>
      <name val="Arial"/>
    </font>
    <font/>
    <font>
      <u/>
      <sz val="11.0"/>
      <color rgb="FF1155CC"/>
      <name val="Calibri"/>
    </font>
    <font>
      <sz val="11.0"/>
      <color rgb="FF1F1F1F"/>
      <name val="Calibri"/>
    </font>
    <font>
      <u/>
      <sz val="11.0"/>
      <color rgb="FF1155CC"/>
      <name val="Calibri"/>
    </font>
    <font>
      <sz val="11.0"/>
      <color theme="1"/>
      <name val="Calibri"/>
      <scheme val="minor"/>
    </font>
    <font>
      <u/>
      <sz val="11.0"/>
      <color rgb="FF1155CC"/>
      <name val="Calibri"/>
    </font>
    <font>
      <u/>
      <sz val="11.0"/>
      <color rgb="FF1155CC"/>
      <name val="Calibri"/>
    </font>
    <font>
      <u/>
      <sz val="11.0"/>
      <color rgb="FF1155CC"/>
      <name val="Calibri"/>
    </font>
    <font>
      <sz val="11.0"/>
      <color rgb="FF1C1E21"/>
      <name val="Calibri"/>
      <scheme val="minor"/>
    </font>
    <font>
      <u/>
      <sz val="11.0"/>
      <color rgb="FF0000FF"/>
      <name val="Calibri"/>
    </font>
    <font>
      <u/>
      <sz val="11.0"/>
      <color rgb="FF0000FF"/>
      <name val="Calibri"/>
    </font>
    <font>
      <u/>
      <sz val="11.0"/>
      <color rgb="FF1155CC"/>
      <name val="Calibri"/>
    </font>
    <font>
      <u/>
      <sz val="11.0"/>
      <color theme="1"/>
      <name val="Calibri"/>
    </font>
    <font>
      <u/>
      <color rgb="FF000000"/>
    </font>
    <font>
      <u/>
      <color rgb="FF000000"/>
      <name val="Calibri"/>
      <scheme val="minor"/>
    </font>
    <font>
      <u/>
      <sz val="12.0"/>
      <color rgb="FF000000"/>
    </font>
    <font>
      <sz val="12.0"/>
      <color rgb="FF000000"/>
      <name val="Calibri"/>
      <scheme val="minor"/>
    </font>
    <font>
      <u/>
      <sz val="11.0"/>
      <color rgb="FF0563C1"/>
      <name val="Calibri"/>
    </font>
    <font>
      <u/>
      <sz val="11.0"/>
      <color rgb="FF0563C1"/>
      <name val="Calibri"/>
    </font>
    <font>
      <u/>
      <sz val="11.0"/>
      <color rgb="FF0563C1"/>
      <name val="Calibri"/>
    </font>
    <font>
      <u/>
      <sz val="11.0"/>
      <color rgb="FF0000FF"/>
      <name val="Calibri"/>
    </font>
    <font>
      <u/>
      <sz val="11.0"/>
      <color rgb="FF000000"/>
      <name val="Calibri"/>
    </font>
    <font>
      <strike/>
      <sz val="11.0"/>
      <color rgb="FF000000"/>
      <name val="Calibri"/>
    </font>
    <font>
      <u/>
      <sz val="11.0"/>
      <color rgb="FF0000FF"/>
      <name val="Calibri"/>
    </font>
    <font>
      <u/>
      <sz val="11.0"/>
      <color rgb="FF0000FF"/>
      <name val="Calibri"/>
    </font>
    <font>
      <sz val="11.0"/>
      <color rgb="FF001D35"/>
      <name val="Calibri"/>
      <scheme val="minor"/>
    </font>
    <font>
      <color rgb="FF000000"/>
    </font>
    <font>
      <u/>
      <sz val="11.0"/>
      <color rgb="FF000000"/>
    </font>
    <font>
      <sz val="11.0"/>
      <name val="Calibri"/>
    </font>
    <font>
      <u/>
      <sz val="11.0"/>
      <color rgb="FF0000FF"/>
      <name val="Calibri"/>
    </font>
    <font>
      <u/>
      <sz val="11.0"/>
      <color rgb="FF0000FF"/>
      <name val="Calibri"/>
    </font>
    <font>
      <u/>
      <sz val="11.0"/>
      <color rgb="FF0000FF"/>
      <name val="Calibri"/>
    </font>
    <font>
      <u/>
      <sz val="11.0"/>
      <color theme="1"/>
      <name val="Calibri"/>
    </font>
    <font>
      <u/>
      <sz val="11.0"/>
      <color rgb="FF0000FF"/>
      <name val="Calibri"/>
    </font>
    <font>
      <u/>
      <sz val="12.0"/>
      <color rgb="FF0000FF"/>
      <name val="Calibri"/>
    </font>
    <font>
      <color rgb="FF1F1F1F"/>
      <name val="&quot;Google Sans&quot;"/>
    </font>
    <font>
      <u/>
      <color rgb="FF1155CC"/>
      <name val="Calibri"/>
      <scheme val="minor"/>
    </font>
    <font>
      <sz val="11.0"/>
      <color rgb="FF292A2E"/>
      <name val="&quot;Atlassian Sans&quot;"/>
    </font>
    <font>
      <sz val="11.0"/>
      <color rgb="FFFF0000"/>
      <name val="Calibri"/>
    </font>
    <font>
      <sz val="11.0"/>
      <color rgb="FF474747"/>
      <name val="Calibri"/>
      <scheme val="minor"/>
    </font>
    <font>
      <sz val="11.0"/>
      <color rgb="FF0C1014"/>
      <name val="-apple-system"/>
    </font>
    <font>
      <u/>
      <sz val="11.0"/>
      <color rgb="FF0000FF"/>
      <name val="Calibri"/>
    </font>
    <font>
      <sz val="11.0"/>
      <color rgb="FF222222"/>
      <name val="Calibri"/>
      <scheme val="minor"/>
    </font>
    <font>
      <sz val="12.0"/>
      <color rgb="FF000000"/>
      <name val="Condensada"/>
    </font>
    <font>
      <color rgb="FF000000"/>
      <name val="Arial"/>
    </font>
    <font>
      <u/>
      <sz val="11.0"/>
      <color rgb="FF222222"/>
      <name val="Arial"/>
    </font>
    <font>
      <u/>
      <sz val="11.0"/>
      <color rgb="FF0000FF"/>
      <name val="Calibri"/>
    </font>
    <font>
      <i/>
      <sz val="11.0"/>
      <color rgb="FF000000"/>
      <name val="Calibri"/>
    </font>
    <font>
      <u/>
      <sz val="11.0"/>
      <color rgb="FF000000"/>
    </font>
    <font>
      <u/>
      <sz val="11.0"/>
      <color rgb="FF0000FF"/>
      <name val="Calibri"/>
    </font>
    <font>
      <sz val="11.0"/>
      <color rgb="FF404040"/>
      <name val="Calibri"/>
    </font>
    <font>
      <sz val="11.0"/>
      <color rgb="FF051922"/>
      <name val="Calibri"/>
    </font>
    <font>
      <u/>
      <sz val="11.0"/>
      <color rgb="FF0000FF"/>
      <name val="Calibri"/>
    </font>
    <font>
      <sz val="11.0"/>
      <color rgb="FF212121"/>
      <name val="Calibri"/>
    </font>
    <font>
      <strike/>
      <sz val="11.0"/>
      <color theme="1"/>
      <name val="Calibri"/>
    </font>
    <font>
      <u/>
      <color rgb="FF0000FF"/>
    </font>
    <font>
      <u/>
      <sz val="1.0"/>
      <color rgb="FF000000"/>
      <name val="Roboto"/>
    </font>
    <font>
      <u/>
      <color rgb="FF0000FF"/>
      <name val="Arial"/>
    </font>
    <font>
      <sz val="11.0"/>
      <color rgb="FF000000"/>
    </font>
    <font>
      <i/>
      <sz val="8.0"/>
      <color rgb="FF666666"/>
      <name val="Arial"/>
    </font>
    <font>
      <sz val="11.0"/>
      <color rgb="FF333333"/>
      <name val="&quot;Open Sans&quot;"/>
    </font>
    <font>
      <u/>
      <color rgb="FF0000FF"/>
    </font>
    <font>
      <sz val="11.0"/>
      <color rgb="FF292A2E"/>
      <name val="Calibri"/>
      <scheme val="minor"/>
    </font>
    <font>
      <color rgb="FF000000"/>
      <name val="Calibri"/>
    </font>
    <font>
      <sz val="11.0"/>
      <color rgb="FF1F1F1F"/>
      <name val="Calibri"/>
      <scheme val="minor"/>
    </font>
    <font>
      <sz val="10.0"/>
      <color rgb="FF000000"/>
      <name val="Arial"/>
    </font>
    <font>
      <u/>
      <color rgb="FF000000"/>
    </font>
    <font>
      <color rgb="FF000000"/>
      <name val="Calibri"/>
      <scheme val="minor"/>
    </font>
  </fonts>
  <fills count="39">
    <fill>
      <patternFill patternType="none"/>
    </fill>
    <fill>
      <patternFill patternType="lightGray"/>
    </fill>
    <fill>
      <patternFill patternType="solid">
        <fgColor rgb="FFFFFF00"/>
        <bgColor rgb="FFFFFF00"/>
      </patternFill>
    </fill>
    <fill>
      <patternFill patternType="solid">
        <fgColor rgb="FFF9CB9C"/>
        <bgColor rgb="FFF9CB9C"/>
      </patternFill>
    </fill>
    <fill>
      <patternFill patternType="solid">
        <fgColor rgb="FF9CC2E5"/>
        <bgColor rgb="FF9CC2E5"/>
      </patternFill>
    </fill>
    <fill>
      <patternFill patternType="solid">
        <fgColor rgb="FFEAD1DC"/>
        <bgColor rgb="FFEAD1DC"/>
      </patternFill>
    </fill>
    <fill>
      <patternFill patternType="solid">
        <fgColor rgb="FFD8D8D8"/>
        <bgColor rgb="FFD8D8D8"/>
      </patternFill>
    </fill>
    <fill>
      <patternFill patternType="solid">
        <fgColor rgb="FFBFBFBF"/>
        <bgColor rgb="FFBFBFBF"/>
      </patternFill>
    </fill>
    <fill>
      <patternFill patternType="solid">
        <fgColor rgb="FFCFE2F3"/>
        <bgColor rgb="FFCFE2F3"/>
      </patternFill>
    </fill>
    <fill>
      <patternFill patternType="solid">
        <fgColor rgb="FFA5A5A5"/>
        <bgColor rgb="FFA5A5A5"/>
      </patternFill>
    </fill>
    <fill>
      <patternFill patternType="solid">
        <fgColor rgb="FFF2F2F2"/>
        <bgColor rgb="FFF2F2F2"/>
      </patternFill>
    </fill>
    <fill>
      <patternFill patternType="solid">
        <fgColor rgb="FFB6D7A8"/>
        <bgColor rgb="FFB6D7A8"/>
      </patternFill>
    </fill>
    <fill>
      <patternFill patternType="solid">
        <fgColor rgb="FFFFFFFF"/>
        <bgColor rgb="FFFFFFFF"/>
      </patternFill>
    </fill>
    <fill>
      <patternFill patternType="solid">
        <fgColor rgb="FF00FF00"/>
        <bgColor rgb="FF00FF00"/>
      </patternFill>
    </fill>
    <fill>
      <patternFill patternType="solid">
        <fgColor rgb="FFF1C232"/>
        <bgColor rgb="FFF1C232"/>
      </patternFill>
    </fill>
    <fill>
      <patternFill patternType="solid">
        <fgColor rgb="FFB4A7D6"/>
        <bgColor rgb="FFB4A7D6"/>
      </patternFill>
    </fill>
    <fill>
      <patternFill patternType="solid">
        <fgColor rgb="FF00FFFF"/>
        <bgColor rgb="FF00FFFF"/>
      </patternFill>
    </fill>
    <fill>
      <patternFill patternType="solid">
        <fgColor rgb="FFC9DAF8"/>
        <bgColor rgb="FFC9DAF8"/>
      </patternFill>
    </fill>
    <fill>
      <patternFill patternType="solid">
        <fgColor rgb="FFFFE599"/>
        <bgColor rgb="FFFFE599"/>
      </patternFill>
    </fill>
    <fill>
      <patternFill patternType="solid">
        <fgColor rgb="FFD9EAD3"/>
        <bgColor rgb="FFD9EAD3"/>
      </patternFill>
    </fill>
    <fill>
      <patternFill patternType="solid">
        <fgColor rgb="FFEA9999"/>
        <bgColor rgb="FFEA9999"/>
      </patternFill>
    </fill>
    <fill>
      <patternFill patternType="solid">
        <fgColor rgb="FF93C47D"/>
        <bgColor rgb="FF93C47D"/>
      </patternFill>
    </fill>
    <fill>
      <patternFill patternType="solid">
        <fgColor rgb="FFF6B26B"/>
        <bgColor rgb="FFF6B26B"/>
      </patternFill>
    </fill>
    <fill>
      <patternFill patternType="solid">
        <fgColor rgb="FFFF9900"/>
        <bgColor rgb="FFFF9900"/>
      </patternFill>
    </fill>
    <fill>
      <patternFill patternType="solid">
        <fgColor rgb="FFD9D2E9"/>
        <bgColor rgb="FFD9D2E9"/>
      </patternFill>
    </fill>
    <fill>
      <patternFill patternType="solid">
        <fgColor rgb="FFA4C2F4"/>
        <bgColor rgb="FFA4C2F4"/>
      </patternFill>
    </fill>
    <fill>
      <patternFill patternType="solid">
        <fgColor rgb="FFCCCCCC"/>
        <bgColor rgb="FFCCCCCC"/>
      </patternFill>
    </fill>
    <fill>
      <patternFill patternType="solid">
        <fgColor rgb="FFF7F7F7"/>
        <bgColor rgb="FFF7F7F7"/>
      </patternFill>
    </fill>
    <fill>
      <patternFill patternType="solid">
        <fgColor rgb="FFF8F9FA"/>
        <bgColor rgb="FFF8F9FA"/>
      </patternFill>
    </fill>
    <fill>
      <patternFill patternType="solid">
        <fgColor rgb="FFFDFDFD"/>
        <bgColor rgb="FFFDFDFD"/>
      </patternFill>
    </fill>
    <fill>
      <patternFill patternType="solid">
        <fgColor rgb="FFFF0000"/>
        <bgColor rgb="FFFF0000"/>
      </patternFill>
    </fill>
    <fill>
      <patternFill patternType="solid">
        <fgColor rgb="FFFAFAFA"/>
        <bgColor rgb="FFFAFAFA"/>
      </patternFill>
    </fill>
    <fill>
      <patternFill patternType="solid">
        <fgColor rgb="FFF8F8F8"/>
        <bgColor rgb="FFF8F8F8"/>
      </patternFill>
    </fill>
    <fill>
      <patternFill patternType="solid">
        <fgColor rgb="FFF9F9F9"/>
        <bgColor rgb="FFF9F9F9"/>
      </patternFill>
    </fill>
    <fill>
      <patternFill patternType="solid">
        <fgColor rgb="FFFBFBFB"/>
        <bgColor rgb="FFFBFBFB"/>
      </patternFill>
    </fill>
    <fill>
      <patternFill patternType="solid">
        <fgColor rgb="FFF5F5F5"/>
        <bgColor rgb="FFF5F5F5"/>
      </patternFill>
    </fill>
    <fill>
      <patternFill patternType="solid">
        <fgColor rgb="FFF8F7F7"/>
        <bgColor rgb="FFF8F7F7"/>
      </patternFill>
    </fill>
    <fill>
      <patternFill patternType="solid">
        <fgColor rgb="FFF9FBFF"/>
        <bgColor rgb="FFF9FBFF"/>
      </patternFill>
    </fill>
    <fill>
      <patternFill patternType="solid">
        <fgColor rgb="FFD9D9D9"/>
        <bgColor rgb="FFD9D9D9"/>
      </patternFill>
    </fill>
  </fills>
  <borders count="30">
    <border/>
    <border>
      <left style="medium">
        <color rgb="FF000000"/>
      </left>
      <right style="medium">
        <color rgb="FF000000"/>
      </right>
      <top style="medium">
        <color rgb="FF000000"/>
      </top>
      <bottom style="medium">
        <color rgb="FF000000"/>
      </bottom>
    </border>
    <border>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style="medium">
        <color rgb="FF000000"/>
      </right>
      <bottom style="thin">
        <color rgb="FF000000"/>
      </bottom>
    </border>
    <border>
      <left style="thin">
        <color rgb="FF000000"/>
      </left>
      <right style="thin">
        <color rgb="FF000000"/>
      </right>
      <top style="thin">
        <color rgb="FF000000"/>
      </top>
      <bottom style="thin">
        <color rgb="FF000000"/>
      </bottom>
    </border>
    <border>
      <right style="thin">
        <color rgb="FF000000"/>
      </right>
      <bottom style="thin">
        <color rgb="FF000000"/>
      </bottom>
    </border>
    <border>
      <left style="thin">
        <color rgb="FF000000"/>
      </left>
      <right style="medium">
        <color rgb="FF000000"/>
      </right>
      <bottom style="thin">
        <color rgb="FF000000"/>
      </bottom>
    </border>
    <border>
      <left style="medium">
        <color rgb="FF000000"/>
      </left>
      <right style="medium">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top style="thin">
        <color rgb="FF000000"/>
      </top>
    </border>
    <border>
      <right style="thin">
        <color rgb="FF000000"/>
      </right>
    </border>
    <border>
      <left style="medium">
        <color rgb="FF000000"/>
      </left>
      <right style="medium">
        <color rgb="FF000000"/>
      </right>
      <top style="thin">
        <color rgb="FF000000"/>
      </top>
    </border>
    <border>
      <right style="thin">
        <color rgb="FF000000"/>
      </right>
      <top style="thin">
        <color rgb="FF000000"/>
      </top>
    </border>
    <border>
      <left style="thin">
        <color rgb="FF000000"/>
      </left>
      <right style="medium">
        <color rgb="FF000000"/>
      </right>
      <top style="thin">
        <color rgb="FF000000"/>
      </top>
    </border>
    <border>
      <left style="thin">
        <color rgb="FF4472C4"/>
      </left>
      <right style="thin">
        <color rgb="FF4472C4"/>
      </right>
    </border>
    <border>
      <left style="thin">
        <color rgb="FF4472C4"/>
      </left>
      <right style="thin">
        <color rgb="FF4472C4"/>
      </right>
      <bottom style="thin">
        <color rgb="FF4472C4"/>
      </bottom>
    </border>
    <border>
      <left style="thin">
        <color rgb="FF4472C4"/>
      </left>
      <right style="thin">
        <color rgb="FF4472C4"/>
      </right>
      <top style="thin">
        <color rgb="FF4472C4"/>
      </top>
      <bottom style="thin">
        <color rgb="FF4472C4"/>
      </bottom>
    </border>
    <border>
      <left style="medium">
        <color rgb="FF000000"/>
      </left>
      <right style="medium">
        <color rgb="FF000000"/>
      </right>
      <top style="medium">
        <color rgb="FFCCCCCC"/>
      </top>
      <bottom style="medium">
        <color rgb="FF000000"/>
      </bottom>
    </border>
    <border>
      <left style="medium">
        <color rgb="FFCCCCCC"/>
      </left>
      <right style="medium">
        <color rgb="FF000000"/>
      </right>
      <top style="medium">
        <color rgb="FFCCCCCC"/>
      </top>
      <bottom style="medium">
        <color rgb="FF000000"/>
      </bottom>
    </border>
    <border>
      <left style="medium">
        <color rgb="FF4472C4"/>
      </left>
      <right style="medium">
        <color rgb="FF4472C4"/>
      </right>
      <top style="medium">
        <color rgb="FFCCCCCC"/>
      </top>
      <bottom style="medium">
        <color rgb="FF000000"/>
      </bottom>
    </border>
    <border>
      <top style="medium">
        <color rgb="FFCCCCCC"/>
      </top>
      <bottom style="medium">
        <color rgb="FF000000"/>
      </bottom>
    </border>
    <border>
      <left style="medium">
        <color rgb="FF4472C4"/>
      </left>
      <right style="medium">
        <color rgb="FF4472C4"/>
      </right>
      <top style="medium">
        <color rgb="FFCCCCCC"/>
      </top>
      <bottom style="medium">
        <color rgb="FF4472C4"/>
      </bottom>
    </border>
    <border>
      <left style="medium">
        <color rgb="FFCCCCCC"/>
      </left>
      <right style="medium">
        <color rgb="FFCCCCCC"/>
      </right>
      <top style="medium">
        <color rgb="FFCCCCCC"/>
      </top>
      <bottom style="medium">
        <color rgb="FFCCCCCC"/>
      </bottom>
    </border>
    <border>
      <top style="thin">
        <color rgb="FF4F81BD"/>
      </top>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30">
    <xf borderId="0" fillId="0" fontId="0" numFmtId="0" xfId="0" applyAlignment="1" applyFont="1">
      <alignment readingOrder="0" shrinkToFit="0" vertical="bottom" wrapText="0"/>
    </xf>
    <xf borderId="1" fillId="0" fontId="1" numFmtId="0" xfId="0" applyAlignment="1" applyBorder="1" applyFont="1">
      <alignment horizontal="center" readingOrder="0" vertical="bottom"/>
    </xf>
    <xf borderId="2" fillId="0" fontId="1" numFmtId="0" xfId="0" applyAlignment="1" applyBorder="1" applyFont="1">
      <alignment horizontal="center" readingOrder="0" vertical="bottom"/>
    </xf>
    <xf borderId="3" fillId="0" fontId="1" numFmtId="0" xfId="0" applyAlignment="1" applyBorder="1" applyFont="1">
      <alignment horizontal="center" readingOrder="0" vertical="bottom"/>
    </xf>
    <xf borderId="0" fillId="0" fontId="2" numFmtId="0" xfId="0" applyFont="1"/>
    <xf borderId="1" fillId="0" fontId="3" numFmtId="0" xfId="0" applyAlignment="1" applyBorder="1" applyFont="1">
      <alignment horizontal="center" readingOrder="0"/>
    </xf>
    <xf borderId="2" fillId="0" fontId="4" numFmtId="0" xfId="0" applyAlignment="1" applyBorder="1" applyFont="1">
      <alignment horizontal="center" readingOrder="0"/>
    </xf>
    <xf borderId="3" fillId="0" fontId="4" numFmtId="0" xfId="0" applyAlignment="1" applyBorder="1" applyFont="1">
      <alignment horizontal="center" readingOrder="0"/>
    </xf>
    <xf borderId="0" fillId="2" fontId="5" numFmtId="0" xfId="0" applyAlignment="1" applyFill="1" applyFont="1">
      <alignment horizontal="center" vertical="bottom"/>
    </xf>
    <xf borderId="4" fillId="0" fontId="2" numFmtId="0" xfId="0" applyAlignment="1" applyBorder="1" applyFont="1">
      <alignment readingOrder="0"/>
    </xf>
    <xf borderId="0" fillId="0" fontId="6" numFmtId="0" xfId="0" applyAlignment="1" applyFont="1">
      <alignment readingOrder="0"/>
    </xf>
    <xf borderId="0" fillId="0" fontId="5" numFmtId="0" xfId="0" applyAlignment="1" applyFont="1">
      <alignment vertical="bottom"/>
    </xf>
    <xf borderId="5" fillId="3" fontId="7" numFmtId="0" xfId="0" applyAlignment="1" applyBorder="1" applyFill="1" applyFont="1">
      <alignment horizontal="left" shrinkToFit="0" vertical="bottom" wrapText="0"/>
    </xf>
    <xf borderId="6" fillId="0" fontId="2" numFmtId="0" xfId="0" applyAlignment="1" applyBorder="1" applyFont="1">
      <alignment horizontal="center" readingOrder="0"/>
    </xf>
    <xf borderId="7" fillId="0" fontId="2" numFmtId="10" xfId="0" applyBorder="1" applyFont="1" applyNumberFormat="1"/>
    <xf borderId="6" fillId="0" fontId="2" numFmtId="0" xfId="0" applyAlignment="1" applyBorder="1" applyFont="1">
      <alignment readingOrder="0"/>
    </xf>
    <xf borderId="5" fillId="3" fontId="8" numFmtId="0" xfId="0" applyAlignment="1" applyBorder="1" applyFont="1">
      <alignment horizontal="left" shrinkToFit="0" vertical="bottom" wrapText="0"/>
    </xf>
    <xf borderId="7" fillId="0" fontId="2" numFmtId="10" xfId="0" applyAlignment="1" applyBorder="1" applyFont="1" applyNumberFormat="1">
      <alignment readingOrder="0"/>
    </xf>
    <xf borderId="0" fillId="0" fontId="9" numFmtId="0" xfId="0" applyAlignment="1" applyFont="1">
      <alignment readingOrder="0"/>
    </xf>
    <xf borderId="8" fillId="0" fontId="2" numFmtId="0" xfId="0" applyAlignment="1" applyBorder="1" applyFont="1">
      <alignment readingOrder="0"/>
    </xf>
    <xf borderId="5" fillId="4" fontId="10" numFmtId="0" xfId="0" applyAlignment="1" applyBorder="1" applyFill="1" applyFont="1">
      <alignment horizontal="center" readingOrder="0" shrinkToFit="0" vertical="bottom" wrapText="0"/>
    </xf>
    <xf borderId="5" fillId="3" fontId="7" numFmtId="0" xfId="0" applyAlignment="1" applyBorder="1" applyFont="1">
      <alignment horizontal="left" vertical="bottom"/>
    </xf>
    <xf borderId="9" fillId="0" fontId="2" numFmtId="0" xfId="0" applyAlignment="1" applyBorder="1" applyFont="1">
      <alignment horizontal="center" readingOrder="0"/>
    </xf>
    <xf borderId="5" fillId="4" fontId="10" numFmtId="0" xfId="0" applyAlignment="1" applyBorder="1" applyFont="1">
      <alignment readingOrder="0" shrinkToFit="0" vertical="bottom" wrapText="0"/>
    </xf>
    <xf borderId="10" fillId="0" fontId="2" numFmtId="10" xfId="0" applyBorder="1" applyFont="1" applyNumberFormat="1"/>
    <xf borderId="9" fillId="0" fontId="2" numFmtId="0" xfId="0" applyAlignment="1" applyBorder="1" applyFont="1">
      <alignment readingOrder="0"/>
    </xf>
    <xf borderId="5" fillId="4" fontId="10" numFmtId="0" xfId="0" applyAlignment="1" applyBorder="1" applyFont="1">
      <alignment shrinkToFit="0" vertical="bottom" wrapText="0"/>
    </xf>
    <xf borderId="5" fillId="3" fontId="11" numFmtId="0" xfId="0" applyAlignment="1" applyBorder="1" applyFont="1">
      <alignment horizontal="left" shrinkToFit="0" vertical="bottom" wrapText="0"/>
    </xf>
    <xf borderId="10" fillId="0" fontId="2" numFmtId="10" xfId="0" applyAlignment="1" applyBorder="1" applyFont="1" applyNumberFormat="1">
      <alignment readingOrder="0"/>
    </xf>
    <xf borderId="5" fillId="4" fontId="10" numFmtId="0" xfId="0" applyAlignment="1" applyBorder="1" applyFont="1">
      <alignment horizontal="center" shrinkToFit="0" vertical="bottom" wrapText="0"/>
    </xf>
    <xf borderId="5" fillId="4" fontId="10" numFmtId="0" xfId="0" applyAlignment="1" applyBorder="1" applyFont="1">
      <alignment horizontal="right" shrinkToFit="0" vertical="bottom" wrapText="0"/>
    </xf>
    <xf borderId="5" fillId="4" fontId="10" numFmtId="0" xfId="0" applyAlignment="1" applyBorder="1" applyFont="1">
      <alignment horizontal="left" shrinkToFit="0" vertical="bottom" wrapText="0"/>
    </xf>
    <xf borderId="8" fillId="0" fontId="2" numFmtId="0" xfId="0" applyBorder="1" applyFont="1"/>
    <xf borderId="11" fillId="0" fontId="12" numFmtId="0" xfId="0" applyAlignment="1" applyBorder="1" applyFont="1">
      <alignment horizontal="center" readingOrder="0"/>
    </xf>
    <xf borderId="9" fillId="0" fontId="2" numFmtId="0" xfId="0" applyAlignment="1" applyBorder="1" applyFont="1">
      <alignment horizontal="center"/>
    </xf>
    <xf borderId="12" fillId="0" fontId="12" numFmtId="0" xfId="0" applyAlignment="1" applyBorder="1" applyFont="1">
      <alignment horizontal="center" readingOrder="0"/>
    </xf>
    <xf borderId="9" fillId="0" fontId="12" numFmtId="0" xfId="0" applyAlignment="1" applyBorder="1" applyFont="1">
      <alignment horizontal="center" readingOrder="0"/>
    </xf>
    <xf borderId="5" fillId="3" fontId="13" numFmtId="0" xfId="0" applyAlignment="1" applyBorder="1" applyFont="1">
      <alignment horizontal="left" shrinkToFit="0" vertical="bottom" wrapText="0"/>
    </xf>
    <xf borderId="13" fillId="0" fontId="12" numFmtId="0" xfId="0" applyAlignment="1" applyBorder="1" applyFont="1">
      <alignment horizontal="center" readingOrder="0"/>
    </xf>
    <xf borderId="5" fillId="5" fontId="7" numFmtId="0" xfId="0" applyAlignment="1" applyBorder="1" applyFill="1" applyFont="1">
      <alignment horizontal="left" shrinkToFit="0" vertical="bottom" wrapText="0"/>
    </xf>
    <xf borderId="11" fillId="0" fontId="7" numFmtId="0" xfId="0" applyAlignment="1" applyBorder="1" applyFont="1">
      <alignment readingOrder="0" shrinkToFit="0" vertical="bottom" wrapText="0"/>
    </xf>
    <xf borderId="5" fillId="4" fontId="10" numFmtId="0" xfId="0" applyAlignment="1" applyBorder="1" applyFont="1">
      <alignment shrinkToFit="0" vertical="bottom" wrapText="0"/>
    </xf>
    <xf borderId="0" fillId="0" fontId="2" numFmtId="0" xfId="0" applyAlignment="1" applyFont="1">
      <alignment horizontal="left" shrinkToFit="0" vertical="bottom" wrapText="0"/>
    </xf>
    <xf borderId="0" fillId="0" fontId="14" numFmtId="0" xfId="0" applyAlignment="1" applyFont="1">
      <alignment readingOrder="0"/>
    </xf>
    <xf borderId="5" fillId="0" fontId="2" numFmtId="0" xfId="0" applyAlignment="1" applyBorder="1" applyFont="1">
      <alignment horizontal="center" shrinkToFit="0" vertical="bottom" wrapText="0"/>
    </xf>
    <xf borderId="11" fillId="6" fontId="10" numFmtId="0" xfId="0" applyAlignment="1" applyBorder="1" applyFill="1" applyFont="1">
      <alignment horizontal="left" readingOrder="0" shrinkToFit="0" vertical="bottom" wrapText="0"/>
    </xf>
    <xf borderId="14" fillId="0" fontId="6" numFmtId="0" xfId="0" applyAlignment="1" applyBorder="1" applyFont="1">
      <alignment readingOrder="0"/>
    </xf>
    <xf borderId="12" fillId="0" fontId="15" numFmtId="0" xfId="0" applyBorder="1" applyFont="1"/>
    <xf borderId="11" fillId="6" fontId="10" numFmtId="0" xfId="0" applyAlignment="1" applyBorder="1" applyFont="1">
      <alignment horizontal="center" readingOrder="0" shrinkToFit="0" vertical="bottom" wrapText="0"/>
    </xf>
    <xf borderId="5" fillId="5" fontId="16" numFmtId="0" xfId="0" applyAlignment="1" applyBorder="1" applyFont="1">
      <alignment horizontal="left" shrinkToFit="0" vertical="bottom" wrapText="0"/>
    </xf>
    <xf borderId="5" fillId="0" fontId="7" numFmtId="0" xfId="0" applyAlignment="1" applyBorder="1" applyFont="1">
      <alignment shrinkToFit="0" vertical="bottom" wrapText="0"/>
    </xf>
    <xf borderId="9" fillId="0" fontId="15" numFmtId="0" xfId="0" applyBorder="1" applyFont="1"/>
    <xf borderId="11" fillId="7" fontId="10" numFmtId="0" xfId="0" applyAlignment="1" applyBorder="1" applyFill="1" applyFont="1">
      <alignment horizontal="center" shrinkToFit="0" vertical="bottom" wrapText="0"/>
    </xf>
    <xf borderId="5" fillId="8" fontId="7" numFmtId="0" xfId="0" applyAlignment="1" applyBorder="1" applyFill="1" applyFont="1">
      <alignment horizontal="left" shrinkToFit="0" vertical="bottom" wrapText="0"/>
    </xf>
    <xf borderId="0" fillId="0" fontId="6" numFmtId="0" xfId="0" applyFont="1"/>
    <xf borderId="5" fillId="6" fontId="10" numFmtId="0" xfId="0" applyAlignment="1" applyBorder="1" applyFont="1">
      <alignment horizontal="left" readingOrder="0" shrinkToFit="0" vertical="bottom" wrapText="0"/>
    </xf>
    <xf borderId="11" fillId="6" fontId="10" numFmtId="0" xfId="0" applyAlignment="1" applyBorder="1" applyFont="1">
      <alignment horizontal="center" shrinkToFit="0" vertical="bottom" wrapText="0"/>
    </xf>
    <xf borderId="11" fillId="6" fontId="10" numFmtId="0" xfId="0" applyAlignment="1" applyBorder="1" applyFont="1">
      <alignment horizontal="left" shrinkToFit="0" vertical="bottom" wrapText="0"/>
    </xf>
    <xf borderId="5" fillId="0" fontId="7" numFmtId="0" xfId="0" applyAlignment="1" applyBorder="1" applyFont="1">
      <alignment horizontal="right" shrinkToFit="0" vertical="bottom" wrapText="0"/>
    </xf>
    <xf borderId="5" fillId="0" fontId="7" numFmtId="0" xfId="0" applyAlignment="1" applyBorder="1" applyFont="1">
      <alignment shrinkToFit="0" vertical="bottom" wrapText="0"/>
    </xf>
    <xf borderId="5" fillId="9" fontId="10" numFmtId="0" xfId="0" applyAlignment="1" applyBorder="1" applyFill="1" applyFont="1">
      <alignment horizontal="center" readingOrder="0" shrinkToFit="0" vertical="bottom" wrapText="0"/>
    </xf>
    <xf borderId="0" fillId="8" fontId="7" numFmtId="0" xfId="0" applyAlignment="1" applyFont="1">
      <alignment horizontal="left" shrinkToFit="0" vertical="bottom" wrapText="0"/>
    </xf>
    <xf borderId="5" fillId="10" fontId="10" numFmtId="0" xfId="0" applyAlignment="1" applyBorder="1" applyFill="1" applyFont="1">
      <alignment horizontal="center" shrinkToFit="0" vertical="bottom" wrapText="0"/>
    </xf>
    <xf borderId="5" fillId="6" fontId="10" numFmtId="0" xfId="0" applyAlignment="1" applyBorder="1" applyFont="1">
      <alignment horizontal="left" shrinkToFit="0" vertical="bottom" wrapText="0"/>
    </xf>
    <xf borderId="5" fillId="6" fontId="2" numFmtId="0" xfId="0" applyAlignment="1" applyBorder="1" applyFont="1">
      <alignment horizontal="center" readingOrder="0" shrinkToFit="0" vertical="bottom" wrapText="0"/>
    </xf>
    <xf borderId="5" fillId="6" fontId="10" numFmtId="0" xfId="0" applyAlignment="1" applyBorder="1" applyFont="1">
      <alignment horizontal="center" shrinkToFit="0" vertical="bottom" wrapText="0"/>
    </xf>
    <xf borderId="5" fillId="6" fontId="10" numFmtId="0" xfId="0" applyAlignment="1" applyBorder="1" applyFont="1">
      <alignment horizontal="center" readingOrder="0" shrinkToFit="0" vertical="bottom" wrapText="0"/>
    </xf>
    <xf borderId="5" fillId="11" fontId="7" numFmtId="0" xfId="0" applyAlignment="1" applyBorder="1" applyFill="1" applyFont="1">
      <alignment horizontal="left" shrinkToFit="0" vertical="bottom" wrapText="0"/>
    </xf>
    <xf borderId="5" fillId="12" fontId="7" numFmtId="0" xfId="0" applyAlignment="1" applyBorder="1" applyFill="1" applyFont="1">
      <alignment shrinkToFit="0" vertical="bottom" wrapText="0"/>
    </xf>
    <xf borderId="5" fillId="7" fontId="10" numFmtId="0" xfId="0" applyAlignment="1" applyBorder="1" applyFont="1">
      <alignment horizontal="left" shrinkToFit="0" vertical="bottom" wrapText="0"/>
    </xf>
    <xf borderId="5" fillId="7" fontId="10" numFmtId="0" xfId="0" applyAlignment="1" applyBorder="1" applyFont="1">
      <alignment horizontal="center" shrinkToFit="0" vertical="bottom" wrapText="0"/>
    </xf>
    <xf borderId="5" fillId="7" fontId="10" numFmtId="0" xfId="0" applyAlignment="1" applyBorder="1" applyFont="1">
      <alignment horizontal="center" readingOrder="0" shrinkToFit="0" vertical="bottom" wrapText="0"/>
    </xf>
    <xf borderId="5" fillId="7" fontId="10" numFmtId="0" xfId="0" applyAlignment="1" applyBorder="1" applyFont="1">
      <alignment horizontal="left" readingOrder="0" shrinkToFit="0" vertical="bottom" wrapText="0"/>
    </xf>
    <xf borderId="5" fillId="11" fontId="17" numFmtId="0" xfId="0" applyAlignment="1" applyBorder="1" applyFont="1">
      <alignment horizontal="left" shrinkToFit="0" vertical="bottom" wrapText="0"/>
    </xf>
    <xf borderId="5" fillId="0" fontId="2" numFmtId="0" xfId="0" applyAlignment="1" applyBorder="1" applyFont="1">
      <alignment horizontal="left" shrinkToFit="0" vertical="bottom" wrapText="0"/>
    </xf>
    <xf borderId="0" fillId="11" fontId="7" numFmtId="0" xfId="0" applyAlignment="1" applyFont="1">
      <alignment horizontal="left" shrinkToFit="0" vertical="bottom" wrapText="0"/>
    </xf>
    <xf borderId="5" fillId="13" fontId="2" numFmtId="0" xfId="0" applyAlignment="1" applyBorder="1" applyFill="1" applyFont="1">
      <alignment horizontal="center" readingOrder="0" shrinkToFit="0" vertical="bottom" wrapText="0"/>
    </xf>
    <xf borderId="5" fillId="0" fontId="2" numFmtId="0" xfId="0" applyAlignment="1" applyBorder="1" applyFont="1">
      <alignment readingOrder="0" shrinkToFit="0" vertical="bottom" wrapText="0"/>
    </xf>
    <xf borderId="5" fillId="0" fontId="2" numFmtId="0" xfId="0" applyAlignment="1" applyBorder="1" applyFont="1">
      <alignment horizontal="right" readingOrder="0" shrinkToFit="0" vertical="bottom" wrapText="0"/>
    </xf>
    <xf borderId="5" fillId="0" fontId="2" numFmtId="0" xfId="0" applyAlignment="1" applyBorder="1" applyFont="1">
      <alignment shrinkToFit="0" vertical="bottom" wrapText="0"/>
    </xf>
    <xf borderId="5" fillId="0" fontId="2" numFmtId="0" xfId="0" applyAlignment="1" applyBorder="1" applyFont="1">
      <alignment horizontal="right" shrinkToFit="0" vertical="bottom" wrapText="0"/>
    </xf>
    <xf borderId="5" fillId="11" fontId="18" numFmtId="0" xfId="0" applyAlignment="1" applyBorder="1" applyFont="1">
      <alignment horizontal="left" shrinkToFit="0" vertical="bottom" wrapText="0"/>
    </xf>
    <xf borderId="5" fillId="0" fontId="7" numFmtId="0" xfId="0" applyAlignment="1" applyBorder="1" applyFont="1">
      <alignment readingOrder="0" shrinkToFit="0" vertical="bottom" wrapText="0"/>
    </xf>
    <xf borderId="5" fillId="0" fontId="2" numFmtId="0" xfId="0" applyAlignment="1" applyBorder="1" applyFont="1">
      <alignment horizontal="left" readingOrder="0" shrinkToFit="0" vertical="bottom" wrapText="0"/>
    </xf>
    <xf borderId="5" fillId="14" fontId="7" numFmtId="0" xfId="0" applyAlignment="1" applyBorder="1" applyFill="1" applyFont="1">
      <alignment horizontal="left" shrinkToFit="0" vertical="bottom" wrapText="0"/>
    </xf>
    <xf borderId="5" fillId="12" fontId="2" numFmtId="0" xfId="0" applyAlignment="1" applyBorder="1" applyFont="1">
      <alignment horizontal="right" readingOrder="0" shrinkToFit="0" vertical="bottom" wrapText="0"/>
    </xf>
    <xf borderId="5" fillId="6" fontId="2" numFmtId="0" xfId="0" applyAlignment="1" applyBorder="1" applyFont="1">
      <alignment shrinkToFit="0" vertical="bottom" wrapText="0"/>
    </xf>
    <xf borderId="15" fillId="0" fontId="2" numFmtId="0" xfId="0" applyAlignment="1" applyBorder="1" applyFont="1">
      <alignment readingOrder="0"/>
    </xf>
    <xf borderId="5" fillId="12" fontId="7" numFmtId="0" xfId="0" applyAlignment="1" applyBorder="1" applyFont="1">
      <alignment horizontal="right" readingOrder="0" shrinkToFit="0" vertical="bottom" wrapText="0"/>
    </xf>
    <xf borderId="16" fillId="0" fontId="19" numFmtId="0" xfId="0" applyAlignment="1" applyBorder="1" applyFont="1">
      <alignment readingOrder="0"/>
    </xf>
    <xf borderId="17" fillId="0" fontId="2" numFmtId="10" xfId="0" applyAlignment="1" applyBorder="1" applyFont="1" applyNumberFormat="1">
      <alignment readingOrder="0"/>
    </xf>
    <xf borderId="5" fillId="14" fontId="20" numFmtId="0" xfId="0" applyAlignment="1" applyBorder="1" applyFont="1">
      <alignment horizontal="left" shrinkToFit="0" vertical="bottom" wrapText="0"/>
    </xf>
    <xf borderId="1" fillId="0" fontId="10" numFmtId="0" xfId="0" applyAlignment="1" applyBorder="1" applyFont="1">
      <alignment readingOrder="0" vertical="center"/>
    </xf>
    <xf borderId="2" fillId="0" fontId="4" numFmtId="0" xfId="0" applyAlignment="1" applyBorder="1" applyFont="1">
      <alignment vertical="center"/>
    </xf>
    <xf borderId="3" fillId="0" fontId="10" numFmtId="10" xfId="0" applyAlignment="1" applyBorder="1" applyFont="1" applyNumberFormat="1">
      <alignment readingOrder="0" vertical="center"/>
    </xf>
    <xf borderId="0" fillId="14" fontId="7" numFmtId="0" xfId="0" applyAlignment="1" applyFont="1">
      <alignment horizontal="left" shrinkToFit="0" vertical="bottom" wrapText="0"/>
    </xf>
    <xf borderId="0" fillId="0" fontId="7" numFmtId="0" xfId="0" applyAlignment="1" applyFont="1">
      <alignment horizontal="right" shrinkToFit="0" vertical="bottom" wrapText="0"/>
    </xf>
    <xf borderId="0" fillId="0" fontId="2" numFmtId="10" xfId="0" applyFont="1" applyNumberFormat="1"/>
    <xf borderId="5" fillId="6" fontId="2" numFmtId="0" xfId="0" applyAlignment="1" applyBorder="1" applyFont="1">
      <alignment readingOrder="0" shrinkToFit="0" vertical="bottom" wrapText="0"/>
    </xf>
    <xf borderId="5" fillId="15" fontId="7" numFmtId="0" xfId="0" applyAlignment="1" applyBorder="1" applyFill="1" applyFont="1">
      <alignment horizontal="left" shrinkToFit="0" vertical="bottom" wrapText="0"/>
    </xf>
    <xf borderId="0" fillId="15" fontId="7" numFmtId="0" xfId="0" applyAlignment="1" applyFont="1">
      <alignment horizontal="left" shrinkToFit="0" vertical="bottom" wrapText="0"/>
    </xf>
    <xf borderId="5" fillId="12" fontId="2" numFmtId="0" xfId="0" applyAlignment="1" applyBorder="1" applyFont="1">
      <alignment horizontal="right" shrinkToFit="0" vertical="bottom" wrapText="0"/>
    </xf>
    <xf borderId="5" fillId="6" fontId="2" numFmtId="0" xfId="0" applyAlignment="1" applyBorder="1" applyFont="1">
      <alignment readingOrder="0" shrinkToFit="0" vertical="bottom" wrapText="0"/>
    </xf>
    <xf borderId="5" fillId="16" fontId="2" numFmtId="0" xfId="0" applyAlignment="1" applyBorder="1" applyFill="1" applyFont="1">
      <alignment horizontal="center" readingOrder="0" shrinkToFit="0" vertical="bottom" wrapText="0"/>
    </xf>
    <xf borderId="5" fillId="17" fontId="7" numFmtId="0" xfId="0" applyAlignment="1" applyBorder="1" applyFill="1" applyFont="1">
      <alignment horizontal="left" shrinkToFit="0" vertical="bottom" wrapText="0"/>
    </xf>
    <xf borderId="16" fillId="0" fontId="2" numFmtId="0" xfId="0" applyAlignment="1" applyBorder="1" applyFont="1">
      <alignment horizontal="center" vertical="bottom"/>
    </xf>
    <xf borderId="17" fillId="0" fontId="2" numFmtId="10" xfId="0" applyAlignment="1" applyBorder="1" applyFont="1" applyNumberFormat="1">
      <alignment vertical="bottom"/>
    </xf>
    <xf borderId="5" fillId="17" fontId="7" numFmtId="0" xfId="0" applyAlignment="1" applyBorder="1" applyFont="1">
      <alignment horizontal="left" vertical="bottom"/>
    </xf>
    <xf borderId="1" fillId="0" fontId="10" numFmtId="0" xfId="0" applyAlignment="1" applyBorder="1" applyFont="1">
      <alignment readingOrder="0" vertical="bottom"/>
    </xf>
    <xf borderId="1" fillId="0" fontId="10" numFmtId="0" xfId="0" applyAlignment="1" applyBorder="1" applyFont="1">
      <alignment horizontal="center" vertical="bottom"/>
    </xf>
    <xf borderId="1" fillId="0" fontId="10" numFmtId="10" xfId="0" applyAlignment="1" applyBorder="1" applyFont="1" applyNumberFormat="1">
      <alignment vertical="bottom"/>
    </xf>
    <xf borderId="0" fillId="0" fontId="7" numFmtId="0" xfId="0" applyAlignment="1" applyFont="1">
      <alignment horizontal="center"/>
    </xf>
    <xf borderId="0" fillId="0" fontId="7" numFmtId="0" xfId="0" applyFont="1"/>
    <xf borderId="0" fillId="0" fontId="6" numFmtId="0" xfId="0" applyAlignment="1" applyFont="1">
      <alignment horizontal="center"/>
    </xf>
    <xf borderId="0" fillId="0" fontId="2" numFmtId="0" xfId="0" applyAlignment="1" applyFont="1">
      <alignment horizontal="right" shrinkToFit="0" vertical="bottom" wrapText="0"/>
    </xf>
    <xf borderId="5" fillId="17" fontId="21" numFmtId="0" xfId="0" applyAlignment="1" applyBorder="1" applyFont="1">
      <alignment horizontal="left" shrinkToFit="0" vertical="bottom" wrapText="0"/>
    </xf>
    <xf borderId="5" fillId="18" fontId="7" numFmtId="0" xfId="0" applyAlignment="1" applyBorder="1" applyFill="1" applyFont="1">
      <alignment horizontal="left" shrinkToFit="0" vertical="bottom" wrapText="0"/>
    </xf>
    <xf borderId="5" fillId="18" fontId="22" numFmtId="0" xfId="0" applyAlignment="1" applyBorder="1" applyFont="1">
      <alignment horizontal="left" shrinkToFit="0" vertical="bottom" wrapText="0"/>
    </xf>
    <xf borderId="0" fillId="18" fontId="7" numFmtId="0" xfId="0" applyAlignment="1" applyFont="1">
      <alignment horizontal="left" shrinkToFit="0" vertical="bottom" wrapText="0"/>
    </xf>
    <xf borderId="5" fillId="12" fontId="2" numFmtId="0" xfId="0" applyAlignment="1" applyBorder="1" applyFont="1">
      <alignment shrinkToFit="0" vertical="bottom" wrapText="0"/>
    </xf>
    <xf borderId="5" fillId="0" fontId="7" numFmtId="0" xfId="0" applyAlignment="1" applyBorder="1" applyFont="1">
      <alignment vertical="bottom"/>
    </xf>
    <xf borderId="5" fillId="19" fontId="7" numFmtId="0" xfId="0" applyAlignment="1" applyBorder="1" applyFill="1" applyFont="1">
      <alignment horizontal="left" shrinkToFit="0" vertical="bottom" wrapText="0"/>
    </xf>
    <xf borderId="5" fillId="0" fontId="7" numFmtId="0" xfId="0" applyAlignment="1" applyBorder="1" applyFont="1">
      <alignment horizontal="right" vertical="bottom"/>
    </xf>
    <xf borderId="5" fillId="19" fontId="7" numFmtId="0" xfId="0" applyAlignment="1" applyBorder="1" applyFont="1">
      <alignment horizontal="left" vertical="bottom"/>
    </xf>
    <xf borderId="18" fillId="19" fontId="7" numFmtId="0" xfId="0" applyAlignment="1" applyBorder="1" applyFont="1">
      <alignment horizontal="left" vertical="bottom"/>
    </xf>
    <xf borderId="0" fillId="12" fontId="23" numFmtId="0" xfId="0" applyAlignment="1" applyFont="1">
      <alignment horizontal="center" readingOrder="0"/>
    </xf>
    <xf borderId="5" fillId="12" fontId="2" numFmtId="0" xfId="0" applyAlignment="1" applyBorder="1" applyFont="1">
      <alignment horizontal="left" shrinkToFit="0" vertical="bottom" wrapText="0"/>
    </xf>
    <xf borderId="0" fillId="19" fontId="7" numFmtId="0" xfId="0" applyAlignment="1" applyFont="1">
      <alignment horizontal="left" vertical="bottom"/>
    </xf>
    <xf borderId="5" fillId="0" fontId="2" numFmtId="0" xfId="0" applyAlignment="1" applyBorder="1" applyFont="1">
      <alignment horizontal="center" readingOrder="0" shrinkToFit="0" vertical="bottom" wrapText="0"/>
    </xf>
    <xf borderId="5" fillId="12" fontId="2" numFmtId="0" xfId="0" applyAlignment="1" applyBorder="1" applyFont="1">
      <alignment horizontal="left" readingOrder="0" shrinkToFit="0" vertical="bottom" wrapText="0"/>
    </xf>
    <xf borderId="5" fillId="20" fontId="7" numFmtId="0" xfId="0" applyAlignment="1" applyBorder="1" applyFill="1" applyFont="1">
      <alignment horizontal="left" vertical="bottom"/>
    </xf>
    <xf borderId="18" fillId="20" fontId="7" numFmtId="0" xfId="0" applyAlignment="1" applyBorder="1" applyFont="1">
      <alignment horizontal="left" vertical="bottom"/>
    </xf>
    <xf borderId="5" fillId="20" fontId="24" numFmtId="0" xfId="0" applyAlignment="1" applyBorder="1" applyFont="1">
      <alignment horizontal="left" vertical="bottom"/>
    </xf>
    <xf borderId="5" fillId="12" fontId="17" numFmtId="0" xfId="0" applyAlignment="1" applyBorder="1" applyFont="1">
      <alignment horizontal="right" shrinkToFit="0" vertical="bottom" wrapText="0"/>
    </xf>
    <xf borderId="5" fillId="16" fontId="7" numFmtId="0" xfId="0" applyAlignment="1" applyBorder="1" applyFont="1">
      <alignment horizontal="center" readingOrder="0" vertical="bottom"/>
    </xf>
    <xf borderId="5" fillId="21" fontId="7" numFmtId="0" xfId="0" applyAlignment="1" applyBorder="1" applyFill="1" applyFont="1">
      <alignment horizontal="left" vertical="bottom"/>
    </xf>
    <xf borderId="5" fillId="0" fontId="25" numFmtId="0" xfId="0" applyAlignment="1" applyBorder="1" applyFont="1">
      <alignment horizontal="right" shrinkToFit="0" vertical="bottom" wrapText="0"/>
    </xf>
    <xf borderId="19" fillId="21" fontId="7" numFmtId="0" xfId="0" applyAlignment="1" applyBorder="1" applyFont="1">
      <alignment horizontal="left" vertical="bottom"/>
    </xf>
    <xf borderId="20" fillId="21" fontId="7" numFmtId="0" xfId="0" applyAlignment="1" applyBorder="1" applyFont="1">
      <alignment horizontal="left" vertical="bottom"/>
    </xf>
    <xf borderId="20" fillId="5" fontId="7" numFmtId="0" xfId="0" applyAlignment="1" applyBorder="1" applyFont="1">
      <alignment horizontal="left" vertical="bottom"/>
    </xf>
    <xf borderId="0" fillId="2" fontId="7" numFmtId="0" xfId="0" applyAlignment="1" applyFont="1">
      <alignment horizontal="center" vertical="bottom"/>
    </xf>
    <xf borderId="0" fillId="5" fontId="7" numFmtId="0" xfId="0" applyAlignment="1" applyFont="1">
      <alignment horizontal="left" vertical="bottom"/>
    </xf>
    <xf borderId="5" fillId="12" fontId="7" numFmtId="0" xfId="0" applyAlignment="1" applyBorder="1" applyFont="1">
      <alignment horizontal="right" shrinkToFit="0" vertical="bottom" wrapText="0"/>
    </xf>
    <xf borderId="0" fillId="3" fontId="7" numFmtId="0" xfId="0" applyAlignment="1" applyFont="1">
      <alignment horizontal="left" vertical="bottom"/>
    </xf>
    <xf borderId="5" fillId="12" fontId="2" numFmtId="0" xfId="0" applyAlignment="1" applyBorder="1" applyFont="1">
      <alignment readingOrder="0" shrinkToFit="0" vertical="bottom" wrapText="0"/>
    </xf>
    <xf borderId="0" fillId="19" fontId="26" numFmtId="0" xfId="0" applyAlignment="1" applyFont="1">
      <alignment horizontal="left" vertical="bottom"/>
    </xf>
    <xf borderId="0" fillId="5" fontId="27" numFmtId="0" xfId="0" applyAlignment="1" applyFont="1">
      <alignment horizontal="left" vertical="bottom"/>
    </xf>
    <xf borderId="0" fillId="2" fontId="6" numFmtId="0" xfId="0" applyAlignment="1" applyFont="1">
      <alignment horizontal="center" readingOrder="0"/>
    </xf>
    <xf borderId="5" fillId="12" fontId="2" numFmtId="0" xfId="0" applyAlignment="1" applyBorder="1" applyFont="1">
      <alignment horizontal="left" readingOrder="0" shrinkToFit="0" vertical="bottom" wrapText="0"/>
    </xf>
    <xf borderId="0" fillId="2" fontId="6" numFmtId="0" xfId="0" applyFont="1"/>
    <xf borderId="5" fillId="0" fontId="28" numFmtId="0" xfId="0" applyAlignment="1" applyBorder="1" applyFont="1">
      <alignment readingOrder="0"/>
    </xf>
    <xf borderId="5" fillId="0" fontId="29" numFmtId="0" xfId="0" applyAlignment="1" applyBorder="1" applyFont="1">
      <alignment readingOrder="0"/>
    </xf>
    <xf borderId="5" fillId="0" fontId="2" numFmtId="0" xfId="0" applyAlignment="1" applyBorder="1" applyFont="1">
      <alignment readingOrder="0" shrinkToFit="0" vertical="bottom" wrapText="0"/>
    </xf>
    <xf borderId="5" fillId="0" fontId="2" numFmtId="0" xfId="0" applyAlignment="1" applyBorder="1" applyFont="1">
      <alignment horizontal="right" readingOrder="0" shrinkToFit="0" vertical="bottom" wrapText="0"/>
    </xf>
    <xf borderId="5" fillId="0" fontId="2" numFmtId="0" xfId="0" applyAlignment="1" applyBorder="1" applyFont="1">
      <alignment horizontal="left" readingOrder="0" shrinkToFit="0" vertical="bottom" wrapText="0"/>
    </xf>
    <xf borderId="5" fillId="12" fontId="30" numFmtId="0" xfId="0" applyAlignment="1" applyBorder="1" applyFont="1">
      <alignment horizontal="left" readingOrder="0"/>
    </xf>
    <xf borderId="5" fillId="12" fontId="31" numFmtId="0" xfId="0" applyAlignment="1" applyBorder="1" applyFont="1">
      <alignment horizontal="left" readingOrder="0"/>
    </xf>
    <xf borderId="5" fillId="12" fontId="31" numFmtId="0" xfId="0" applyAlignment="1" applyBorder="1" applyFont="1">
      <alignment horizontal="right" readingOrder="0"/>
    </xf>
    <xf borderId="0" fillId="0" fontId="7" numFmtId="0" xfId="0" applyAlignment="1" applyFont="1">
      <alignment horizontal="center" vertical="bottom"/>
    </xf>
    <xf borderId="0" fillId="0" fontId="6" numFmtId="0" xfId="0" applyAlignment="1" applyFont="1">
      <alignment horizontal="center" readingOrder="0"/>
    </xf>
    <xf borderId="1" fillId="16" fontId="7" numFmtId="0" xfId="0" applyAlignment="1" applyBorder="1" applyFont="1">
      <alignment horizontal="right" shrinkToFit="0" vertical="bottom" wrapText="1"/>
    </xf>
    <xf borderId="21" fillId="16" fontId="7" numFmtId="0" xfId="0" applyAlignment="1" applyBorder="1" applyFont="1">
      <alignment horizontal="right" shrinkToFit="0" vertical="bottom" wrapText="1"/>
    </xf>
    <xf borderId="21" fillId="16" fontId="7" numFmtId="0" xfId="0" applyAlignment="1" applyBorder="1" applyFont="1">
      <alignment horizontal="right" readingOrder="0" shrinkToFit="0" vertical="bottom" wrapText="1"/>
    </xf>
    <xf borderId="21" fillId="16" fontId="17" numFmtId="0" xfId="0" applyAlignment="1" applyBorder="1" applyFont="1">
      <alignment horizontal="right" shrinkToFit="0" vertical="bottom" wrapText="1"/>
    </xf>
    <xf borderId="5" fillId="0" fontId="6" numFmtId="0" xfId="0" applyAlignment="1" applyBorder="1" applyFont="1">
      <alignment readingOrder="0" shrinkToFit="0" wrapText="0"/>
    </xf>
    <xf borderId="21" fillId="5" fontId="7" numFmtId="0" xfId="0" applyAlignment="1" applyBorder="1" applyFont="1">
      <alignment horizontal="right" shrinkToFit="0" vertical="bottom" wrapText="1"/>
    </xf>
    <xf borderId="21" fillId="22" fontId="7" numFmtId="0" xfId="0" applyAlignment="1" applyBorder="1" applyFill="1" applyFont="1">
      <alignment horizontal="right" shrinkToFit="0" vertical="bottom" wrapText="1"/>
    </xf>
    <xf borderId="22" fillId="22" fontId="7" numFmtId="0" xfId="0" applyAlignment="1" applyBorder="1" applyFont="1">
      <alignment horizontal="right" shrinkToFit="0" vertical="bottom" wrapText="1"/>
    </xf>
    <xf borderId="21" fillId="11" fontId="7" numFmtId="0" xfId="0" applyAlignment="1" applyBorder="1" applyFont="1">
      <alignment horizontal="right" shrinkToFit="0" vertical="bottom" wrapText="1"/>
    </xf>
    <xf borderId="21" fillId="11" fontId="17" numFmtId="0" xfId="0" applyAlignment="1" applyBorder="1" applyFont="1">
      <alignment horizontal="right" shrinkToFit="0" vertical="bottom" wrapText="1"/>
    </xf>
    <xf borderId="21" fillId="11" fontId="32" numFmtId="0" xfId="0" applyAlignment="1" applyBorder="1" applyFont="1">
      <alignment horizontal="right" shrinkToFit="0" vertical="bottom" wrapText="1"/>
    </xf>
    <xf borderId="22" fillId="5" fontId="7" numFmtId="0" xfId="0" applyAlignment="1" applyBorder="1" applyFont="1">
      <alignment horizontal="right" shrinkToFit="0" vertical="bottom" wrapText="1"/>
    </xf>
    <xf borderId="21" fillId="21" fontId="7" numFmtId="0" xfId="0" applyAlignment="1" applyBorder="1" applyFont="1">
      <alignment horizontal="right" shrinkToFit="0" vertical="bottom" wrapText="1"/>
    </xf>
    <xf borderId="21" fillId="23" fontId="7" numFmtId="0" xfId="0" applyAlignment="1" applyBorder="1" applyFill="1" applyFont="1">
      <alignment horizontal="right" shrinkToFit="0" vertical="bottom" wrapText="1"/>
    </xf>
    <xf borderId="21" fillId="23" fontId="33" numFmtId="0" xfId="0" applyAlignment="1" applyBorder="1" applyFont="1">
      <alignment horizontal="right" shrinkToFit="0" vertical="bottom" wrapText="1"/>
    </xf>
    <xf borderId="21" fillId="24" fontId="7" numFmtId="0" xfId="0" applyAlignment="1" applyBorder="1" applyFill="1" applyFont="1">
      <alignment horizontal="right" shrinkToFit="0" vertical="bottom" wrapText="1"/>
    </xf>
    <xf borderId="0" fillId="0" fontId="2" numFmtId="0" xfId="0" applyAlignment="1" applyFont="1">
      <alignment shrinkToFit="0" vertical="bottom" wrapText="0"/>
    </xf>
    <xf borderId="21" fillId="25" fontId="7" numFmtId="0" xfId="0" applyAlignment="1" applyBorder="1" applyFill="1" applyFont="1">
      <alignment horizontal="right" shrinkToFit="0" vertical="bottom" wrapText="1"/>
    </xf>
    <xf borderId="21" fillId="25" fontId="7" numFmtId="0" xfId="0" applyAlignment="1" applyBorder="1" applyFont="1">
      <alignment horizontal="right" readingOrder="0" shrinkToFit="0" vertical="bottom" wrapText="1"/>
    </xf>
    <xf borderId="23" fillId="25" fontId="7" numFmtId="0" xfId="0" applyAlignment="1" applyBorder="1" applyFont="1">
      <alignment horizontal="right" shrinkToFit="0" vertical="bottom" wrapText="1"/>
    </xf>
    <xf borderId="23" fillId="25" fontId="7" numFmtId="0" xfId="0" applyAlignment="1" applyBorder="1" applyFont="1">
      <alignment horizontal="right" readingOrder="0" shrinkToFit="0" vertical="bottom" wrapText="1"/>
    </xf>
    <xf borderId="24" fillId="25" fontId="7" numFmtId="0" xfId="0" applyAlignment="1" applyBorder="1" applyFont="1">
      <alignment horizontal="right" readingOrder="0" shrinkToFit="0" vertical="bottom" wrapText="1"/>
    </xf>
    <xf borderId="21" fillId="25" fontId="34" numFmtId="0" xfId="0" applyAlignment="1" applyBorder="1" applyFont="1">
      <alignment horizontal="right" shrinkToFit="0" vertical="bottom" wrapText="1"/>
    </xf>
    <xf borderId="21" fillId="21" fontId="7" numFmtId="0" xfId="0" applyAlignment="1" applyBorder="1" applyFont="1">
      <alignment horizontal="right" readingOrder="0" shrinkToFit="0" vertical="bottom" wrapText="1"/>
    </xf>
    <xf borderId="23" fillId="21" fontId="7" numFmtId="0" xfId="0" applyAlignment="1" applyBorder="1" applyFont="1">
      <alignment horizontal="right" shrinkToFit="0" vertical="bottom" wrapText="1"/>
    </xf>
    <xf borderId="21" fillId="4" fontId="7" numFmtId="0" xfId="0" applyAlignment="1" applyBorder="1" applyFont="1">
      <alignment horizontal="right" shrinkToFit="0" vertical="bottom" wrapText="1"/>
    </xf>
    <xf borderId="21" fillId="4" fontId="7" numFmtId="0" xfId="0" applyAlignment="1" applyBorder="1" applyFont="1">
      <alignment horizontal="right" readingOrder="0" shrinkToFit="0" vertical="bottom" wrapText="1"/>
    </xf>
    <xf borderId="25" fillId="4" fontId="7" numFmtId="0" xfId="0" applyAlignment="1" applyBorder="1" applyFont="1">
      <alignment horizontal="right" shrinkToFit="0" vertical="bottom" wrapText="1"/>
    </xf>
    <xf borderId="23" fillId="4" fontId="7" numFmtId="0" xfId="0" applyAlignment="1" applyBorder="1" applyFont="1">
      <alignment horizontal="right" shrinkToFit="0" vertical="bottom" wrapText="1"/>
    </xf>
    <xf borderId="26" fillId="12" fontId="7" numFmtId="0" xfId="0" applyAlignment="1" applyBorder="1" applyFont="1">
      <alignment vertical="bottom"/>
    </xf>
    <xf borderId="5" fillId="0" fontId="17" numFmtId="0" xfId="0" applyAlignment="1" applyBorder="1" applyFont="1">
      <alignment shrinkToFit="0" vertical="bottom" wrapText="0"/>
    </xf>
    <xf borderId="5" fillId="0" fontId="7" numFmtId="0" xfId="0" applyAlignment="1" applyBorder="1" applyFont="1">
      <alignment readingOrder="0" vertical="bottom"/>
    </xf>
    <xf borderId="5" fillId="0" fontId="7" numFmtId="0" xfId="0" applyAlignment="1" applyBorder="1" applyFont="1">
      <alignment horizontal="right" vertical="bottom"/>
    </xf>
    <xf borderId="5" fillId="0" fontId="7" numFmtId="0" xfId="0" applyAlignment="1" applyBorder="1" applyFont="1">
      <alignment horizontal="center" vertical="bottom"/>
    </xf>
    <xf borderId="5" fillId="0" fontId="7" numFmtId="0" xfId="0" applyAlignment="1" applyBorder="1" applyFont="1">
      <alignment vertical="bottom"/>
    </xf>
    <xf borderId="5" fillId="0" fontId="2" numFmtId="0" xfId="0" applyAlignment="1" applyBorder="1" applyFont="1">
      <alignment readingOrder="0"/>
    </xf>
    <xf borderId="5" fillId="0" fontId="7" numFmtId="0" xfId="0" applyAlignment="1" applyBorder="1" applyFont="1">
      <alignment horizontal="right" readingOrder="0" vertical="bottom"/>
    </xf>
    <xf borderId="5" fillId="12" fontId="7" numFmtId="0" xfId="0" applyAlignment="1" applyBorder="1" applyFont="1">
      <alignment horizontal="right" vertical="bottom"/>
    </xf>
    <xf borderId="5" fillId="26" fontId="2" numFmtId="0" xfId="0" applyAlignment="1" applyBorder="1" applyFill="1" applyFont="1">
      <alignment readingOrder="0" vertical="bottom"/>
    </xf>
    <xf borderId="5" fillId="12" fontId="35" numFmtId="0" xfId="0" applyAlignment="1" applyBorder="1" applyFont="1">
      <alignment horizontal="right" shrinkToFit="0" vertical="bottom" wrapText="0"/>
    </xf>
    <xf borderId="0" fillId="12" fontId="2" numFmtId="0" xfId="0" applyAlignment="1" applyFont="1">
      <alignment horizontal="right" shrinkToFit="0" vertical="bottom" wrapText="0"/>
    </xf>
    <xf borderId="5" fillId="27" fontId="7" numFmtId="0" xfId="0" applyAlignment="1" applyBorder="1" applyFill="1" applyFont="1">
      <alignment horizontal="right" shrinkToFit="0" vertical="bottom" wrapText="0"/>
    </xf>
    <xf borderId="5" fillId="12" fontId="2" numFmtId="0" xfId="0" applyAlignment="1" applyBorder="1" applyFont="1">
      <alignment readingOrder="0" shrinkToFit="0" wrapText="0"/>
    </xf>
    <xf borderId="5" fillId="12" fontId="36" numFmtId="0" xfId="0" applyAlignment="1" applyBorder="1" applyFont="1">
      <alignment horizontal="right" readingOrder="0" shrinkToFit="0" vertical="bottom" wrapText="0"/>
    </xf>
    <xf borderId="5" fillId="0" fontId="37" numFmtId="0" xfId="0" applyAlignment="1" applyBorder="1" applyFont="1">
      <alignment horizontal="right" shrinkToFit="0" vertical="bottom" wrapText="0"/>
    </xf>
    <xf borderId="5" fillId="28" fontId="7" numFmtId="0" xfId="0" applyAlignment="1" applyBorder="1" applyFill="1" applyFont="1">
      <alignment horizontal="right" shrinkToFit="0" vertical="bottom" wrapText="0"/>
    </xf>
    <xf borderId="5" fillId="6" fontId="7" numFmtId="0" xfId="0" applyAlignment="1" applyBorder="1" applyFont="1">
      <alignment readingOrder="0" shrinkToFit="0" vertical="bottom" wrapText="0"/>
    </xf>
    <xf borderId="5" fillId="12" fontId="17" numFmtId="0" xfId="0" applyAlignment="1" applyBorder="1" applyFont="1">
      <alignment horizontal="right" readingOrder="0" shrinkToFit="0" vertical="bottom" wrapText="0"/>
    </xf>
    <xf borderId="5" fillId="0" fontId="2" numFmtId="0" xfId="0" applyAlignment="1" applyBorder="1" applyFont="1">
      <alignment horizontal="left" readingOrder="0" shrinkToFit="0" vertical="bottom" wrapText="0"/>
    </xf>
    <xf borderId="5" fillId="0" fontId="38" numFmtId="0" xfId="0" applyAlignment="1" applyBorder="1" applyFont="1">
      <alignment shrinkToFit="0" vertical="bottom" wrapText="0"/>
    </xf>
    <xf borderId="5" fillId="12" fontId="2" numFmtId="0" xfId="0" applyAlignment="1" applyBorder="1" applyFont="1">
      <alignment horizontal="center" shrinkToFit="0" vertical="bottom" wrapText="0"/>
    </xf>
    <xf borderId="5" fillId="29" fontId="39" numFmtId="0" xfId="0" applyAlignment="1" applyBorder="1" applyFill="1" applyFont="1">
      <alignment horizontal="right" shrinkToFit="0" vertical="bottom" wrapText="0"/>
    </xf>
    <xf borderId="5" fillId="30" fontId="7" numFmtId="0" xfId="0" applyAlignment="1" applyBorder="1" applyFill="1" applyFont="1">
      <alignment shrinkToFit="0" vertical="bottom" wrapText="0"/>
    </xf>
    <xf borderId="5" fillId="30" fontId="7" numFmtId="0" xfId="0" applyAlignment="1" applyBorder="1" applyFont="1">
      <alignment horizontal="right" readingOrder="0" shrinkToFit="0" vertical="bottom" wrapText="0"/>
    </xf>
    <xf borderId="5" fillId="13" fontId="37" numFmtId="0" xfId="0" applyAlignment="1" applyBorder="1" applyFont="1">
      <alignment horizontal="center" readingOrder="0" shrinkToFit="0" vertical="bottom" wrapText="0"/>
    </xf>
    <xf borderId="5" fillId="0" fontId="37" numFmtId="0" xfId="0" applyAlignment="1" applyBorder="1" applyFont="1">
      <alignment readingOrder="0" shrinkToFit="0" vertical="bottom" wrapText="0"/>
    </xf>
    <xf borderId="5" fillId="0" fontId="37" numFmtId="0" xfId="0" applyAlignment="1" applyBorder="1" applyFont="1">
      <alignment shrinkToFit="0" vertical="bottom" wrapText="0"/>
    </xf>
    <xf borderId="5" fillId="0" fontId="37" numFmtId="0" xfId="0" applyAlignment="1" applyBorder="1" applyFont="1">
      <alignment horizontal="center" shrinkToFit="0" vertical="bottom" wrapText="0"/>
    </xf>
    <xf borderId="5" fillId="0" fontId="37" numFmtId="0" xfId="0" applyAlignment="1" applyBorder="1" applyFont="1">
      <alignment horizontal="right" shrinkToFit="0" vertical="bottom" wrapText="0"/>
    </xf>
    <xf borderId="5" fillId="0" fontId="37" numFmtId="0" xfId="0" applyAlignment="1" applyBorder="1" applyFont="1">
      <alignment horizontal="left" shrinkToFit="0" vertical="bottom" wrapText="0"/>
    </xf>
    <xf borderId="5" fillId="0" fontId="37" numFmtId="0" xfId="0" applyAlignment="1" applyBorder="1" applyFont="1">
      <alignment horizontal="right" readingOrder="0" shrinkToFit="0" vertical="bottom" wrapText="0"/>
    </xf>
    <xf borderId="5" fillId="12" fontId="37" numFmtId="0" xfId="0" applyAlignment="1" applyBorder="1" applyFont="1">
      <alignment horizontal="right" readingOrder="0" shrinkToFit="0" vertical="bottom" wrapText="0"/>
    </xf>
    <xf borderId="5" fillId="28" fontId="2" numFmtId="0" xfId="0" applyAlignment="1" applyBorder="1" applyFont="1">
      <alignment horizontal="left" readingOrder="0" shrinkToFit="0" vertical="bottom" wrapText="0"/>
    </xf>
    <xf borderId="5" fillId="28" fontId="2" numFmtId="0" xfId="0" applyAlignment="1" applyBorder="1" applyFont="1">
      <alignment horizontal="right" readingOrder="0" shrinkToFit="0" vertical="bottom" wrapText="0"/>
    </xf>
    <xf borderId="5" fillId="0" fontId="7" numFmtId="0" xfId="0" applyAlignment="1" applyBorder="1" applyFont="1">
      <alignment horizontal="center" readingOrder="0" vertical="bottom"/>
    </xf>
    <xf borderId="5" fillId="6" fontId="2" numFmtId="0" xfId="0" applyAlignment="1" applyBorder="1" applyFont="1">
      <alignment readingOrder="0" vertical="bottom"/>
    </xf>
    <xf borderId="5" fillId="12" fontId="40" numFmtId="0" xfId="0" applyAlignment="1" applyBorder="1" applyFont="1">
      <alignment readingOrder="0" shrinkToFit="0" wrapText="0"/>
    </xf>
    <xf borderId="5" fillId="0" fontId="41" numFmtId="0" xfId="0" applyAlignment="1" applyBorder="1" applyFont="1">
      <alignment readingOrder="0" shrinkToFit="0" wrapText="0"/>
    </xf>
    <xf borderId="5" fillId="0" fontId="6" numFmtId="0" xfId="0" applyAlignment="1" applyBorder="1" applyFont="1">
      <alignment horizontal="right" readingOrder="0" shrinkToFit="0" wrapText="0"/>
    </xf>
    <xf borderId="5" fillId="12" fontId="42" numFmtId="0" xfId="0" applyAlignment="1" applyBorder="1" applyFont="1">
      <alignment horizontal="right" readingOrder="0"/>
    </xf>
    <xf borderId="5" fillId="6" fontId="7" numFmtId="0" xfId="0" applyAlignment="1" applyBorder="1" applyFont="1">
      <alignment readingOrder="0" shrinkToFit="0" vertical="bottom" wrapText="0"/>
    </xf>
    <xf borderId="5" fillId="0" fontId="0" numFmtId="0" xfId="0" applyAlignment="1" applyBorder="1" applyFont="1">
      <alignment readingOrder="0"/>
    </xf>
    <xf borderId="5" fillId="0" fontId="0" numFmtId="0" xfId="0" applyAlignment="1" applyBorder="1" applyFont="1">
      <alignment horizontal="right" readingOrder="0"/>
    </xf>
    <xf borderId="5" fillId="26" fontId="2" numFmtId="0" xfId="0" applyAlignment="1" applyBorder="1" applyFont="1">
      <alignment readingOrder="0" shrinkToFit="0" vertical="bottom" wrapText="0"/>
    </xf>
    <xf borderId="5" fillId="31" fontId="7" numFmtId="0" xfId="0" applyAlignment="1" applyBorder="1" applyFill="1" applyFont="1">
      <alignment horizontal="right" shrinkToFit="0" vertical="bottom" wrapText="0"/>
    </xf>
    <xf borderId="5" fillId="0" fontId="2" numFmtId="0" xfId="0" applyAlignment="1" applyBorder="1" applyFont="1">
      <alignment horizontal="right" readingOrder="0" shrinkToFit="0" vertical="bottom" wrapText="0"/>
    </xf>
    <xf borderId="0" fillId="12" fontId="7" numFmtId="0" xfId="0" applyAlignment="1" applyFont="1">
      <alignment horizontal="right" shrinkToFit="0" vertical="bottom" wrapText="0"/>
    </xf>
    <xf borderId="5" fillId="6" fontId="43" numFmtId="0" xfId="0" applyAlignment="1" applyBorder="1" applyFont="1">
      <alignment readingOrder="0" shrinkToFit="0" vertical="bottom" wrapText="0"/>
    </xf>
    <xf borderId="0" fillId="12" fontId="0" numFmtId="0" xfId="0" applyAlignment="1" applyFont="1">
      <alignment readingOrder="0"/>
    </xf>
    <xf borderId="5" fillId="27" fontId="2" numFmtId="0" xfId="0" applyAlignment="1" applyBorder="1" applyFont="1">
      <alignment horizontal="right" shrinkToFit="0" vertical="bottom" wrapText="0"/>
    </xf>
    <xf borderId="0" fillId="0" fontId="2" numFmtId="0" xfId="0" applyAlignment="1" applyFont="1">
      <alignment horizontal="right" readingOrder="0" shrinkToFit="0" vertical="bottom" wrapText="0"/>
    </xf>
    <xf borderId="5" fillId="12" fontId="7" numFmtId="0" xfId="0" applyAlignment="1" applyBorder="1" applyFont="1">
      <alignment horizontal="right" shrinkToFit="0" vertical="bottom" wrapText="0"/>
    </xf>
    <xf borderId="5" fillId="0" fontId="7" numFmtId="0" xfId="0" applyAlignment="1" applyBorder="1" applyFont="1">
      <alignment horizontal="right" readingOrder="0" shrinkToFit="0" vertical="bottom" wrapText="0"/>
    </xf>
    <xf borderId="5" fillId="12" fontId="2" numFmtId="0" xfId="0" applyAlignment="1" applyBorder="1" applyFont="1">
      <alignment readingOrder="0" shrinkToFit="0" vertical="bottom" wrapText="0"/>
    </xf>
    <xf borderId="5" fillId="12" fontId="7" numFmtId="0" xfId="0" applyAlignment="1" applyBorder="1" applyFont="1">
      <alignment vertical="bottom"/>
    </xf>
    <xf borderId="5" fillId="12" fontId="7" numFmtId="0" xfId="0" applyAlignment="1" applyBorder="1" applyFont="1">
      <alignment readingOrder="0" vertical="bottom"/>
    </xf>
    <xf borderId="5" fillId="0" fontId="17" numFmtId="0" xfId="0" applyAlignment="1" applyBorder="1" applyFont="1">
      <alignment readingOrder="0" shrinkToFit="0" vertical="bottom" wrapText="0"/>
    </xf>
    <xf borderId="5" fillId="0" fontId="7" numFmtId="0" xfId="0" applyAlignment="1" applyBorder="1" applyFont="1">
      <alignment horizontal="right" shrinkToFit="0" vertical="bottom" wrapText="0"/>
    </xf>
    <xf borderId="5" fillId="12" fontId="44" numFmtId="0" xfId="0" applyAlignment="1" applyBorder="1" applyFont="1">
      <alignment vertical="bottom"/>
    </xf>
    <xf borderId="5" fillId="12" fontId="7" numFmtId="49" xfId="0" applyAlignment="1" applyBorder="1" applyFont="1" applyNumberFormat="1">
      <alignment vertical="bottom"/>
    </xf>
    <xf borderId="5" fillId="0" fontId="7" numFmtId="49" xfId="0" applyAlignment="1" applyBorder="1" applyFont="1" applyNumberFormat="1">
      <alignment vertical="bottom"/>
    </xf>
    <xf borderId="5" fillId="12" fontId="7" numFmtId="0" xfId="0" applyAlignment="1" applyBorder="1" applyFont="1">
      <alignment vertical="bottom"/>
    </xf>
    <xf borderId="0" fillId="0" fontId="7" numFmtId="0" xfId="0" applyAlignment="1" applyFont="1">
      <alignment horizontal="right" vertical="bottom"/>
    </xf>
    <xf borderId="0" fillId="0" fontId="7" numFmtId="0" xfId="0" applyAlignment="1" applyFont="1">
      <alignment shrinkToFit="0" vertical="bottom" wrapText="0"/>
    </xf>
    <xf borderId="5" fillId="12" fontId="7" numFmtId="49" xfId="0" applyAlignment="1" applyBorder="1" applyFont="1" applyNumberFormat="1">
      <alignment readingOrder="0" vertical="bottom"/>
    </xf>
    <xf borderId="0" fillId="0" fontId="45" numFmtId="0" xfId="0" applyAlignment="1" applyFont="1">
      <alignment horizontal="right" vertical="bottom"/>
    </xf>
    <xf borderId="0" fillId="12" fontId="7" numFmtId="49" xfId="0" applyAlignment="1" applyFont="1" applyNumberFormat="1">
      <alignment vertical="bottom"/>
    </xf>
    <xf borderId="5" fillId="12" fontId="7" numFmtId="49" xfId="0" applyAlignment="1" applyBorder="1" applyFont="1" applyNumberFormat="1">
      <alignment shrinkToFit="0" vertical="bottom" wrapText="0"/>
    </xf>
    <xf borderId="5" fillId="12" fontId="17" numFmtId="0" xfId="0" applyAlignment="1" applyBorder="1" applyFont="1">
      <alignment vertical="bottom"/>
    </xf>
    <xf borderId="5" fillId="0" fontId="46" numFmtId="49" xfId="0" applyAlignment="1" applyBorder="1" applyFont="1" applyNumberFormat="1">
      <alignment vertical="bottom"/>
    </xf>
    <xf borderId="5" fillId="0" fontId="47" numFmtId="49" xfId="0" applyAlignment="1" applyBorder="1" applyFont="1" applyNumberFormat="1">
      <alignment vertical="bottom"/>
    </xf>
    <xf borderId="5" fillId="0" fontId="7" numFmtId="0" xfId="0" applyAlignment="1" applyBorder="1" applyFont="1">
      <alignment shrinkToFit="0" vertical="bottom" wrapText="0"/>
    </xf>
    <xf borderId="5" fillId="12" fontId="7" numFmtId="49" xfId="0" applyAlignment="1" applyBorder="1" applyFont="1" applyNumberFormat="1">
      <alignment horizontal="right" shrinkToFit="0" vertical="bottom" wrapText="0"/>
    </xf>
    <xf borderId="5" fillId="0" fontId="7" numFmtId="49" xfId="0" applyAlignment="1" applyBorder="1" applyFont="1" applyNumberFormat="1">
      <alignment horizontal="right" shrinkToFit="0" vertical="bottom" wrapText="0"/>
    </xf>
    <xf borderId="5" fillId="12" fontId="7" numFmtId="49" xfId="0" applyAlignment="1" applyBorder="1" applyFont="1" applyNumberFormat="1">
      <alignment horizontal="right" shrinkToFit="0" vertical="bottom" wrapText="0"/>
    </xf>
    <xf borderId="0" fillId="12" fontId="48" numFmtId="49" xfId="0" applyAlignment="1" applyFont="1" applyNumberFormat="1">
      <alignment horizontal="right" shrinkToFit="0" vertical="bottom" wrapText="0"/>
    </xf>
    <xf borderId="0" fillId="0" fontId="7" numFmtId="0" xfId="0" applyAlignment="1" applyFont="1">
      <alignment vertical="bottom"/>
    </xf>
    <xf borderId="5" fillId="12" fontId="7" numFmtId="0" xfId="0" applyAlignment="1" applyBorder="1" applyFont="1">
      <alignment shrinkToFit="0" vertical="bottom" wrapText="0"/>
    </xf>
    <xf borderId="5" fillId="12" fontId="7" numFmtId="0" xfId="0" applyAlignment="1" applyBorder="1" applyFont="1">
      <alignment horizontal="right" shrinkToFit="0" vertical="bottom" wrapText="0"/>
    </xf>
    <xf borderId="5" fillId="0" fontId="17" numFmtId="0" xfId="0" applyAlignment="1" applyBorder="1" applyFont="1">
      <alignment shrinkToFit="0" vertical="bottom" wrapText="0"/>
    </xf>
    <xf borderId="5" fillId="0" fontId="10" numFmtId="0" xfId="0" applyAlignment="1" applyBorder="1" applyFont="1">
      <alignment horizontal="left" shrinkToFit="0" vertical="bottom" wrapText="0"/>
    </xf>
    <xf borderId="5" fillId="0" fontId="7" numFmtId="0" xfId="0" applyAlignment="1" applyBorder="1" applyFont="1">
      <alignment horizontal="left" shrinkToFit="0" vertical="bottom" wrapText="0"/>
    </xf>
    <xf borderId="0" fillId="0" fontId="7" numFmtId="0" xfId="0" applyAlignment="1" applyFont="1">
      <alignment horizontal="right" readingOrder="0" vertical="bottom"/>
    </xf>
    <xf borderId="0" fillId="0" fontId="7" numFmtId="0" xfId="0" applyAlignment="1" applyFont="1">
      <alignment horizontal="right" readingOrder="0" shrinkToFit="0" vertical="bottom" wrapText="0"/>
    </xf>
    <xf borderId="5" fillId="0" fontId="7" numFmtId="0" xfId="0" applyAlignment="1" applyBorder="1" applyFont="1">
      <alignment vertical="bottom"/>
    </xf>
    <xf borderId="0" fillId="12" fontId="2" numFmtId="0" xfId="0" applyAlignment="1" applyFont="1">
      <alignment horizontal="right" readingOrder="0" shrinkToFit="0" vertical="bottom" wrapText="0"/>
    </xf>
    <xf borderId="5" fillId="12" fontId="37" numFmtId="0" xfId="0" applyAlignment="1" applyBorder="1" applyFont="1">
      <alignment horizontal="right" shrinkToFit="0" vertical="bottom" wrapText="0"/>
    </xf>
    <xf borderId="5" fillId="30" fontId="7" numFmtId="0" xfId="0" applyAlignment="1" applyBorder="1" applyFont="1">
      <alignment shrinkToFit="0" vertical="bottom" wrapText="0"/>
    </xf>
    <xf borderId="5" fillId="30" fontId="7" numFmtId="0" xfId="0" applyAlignment="1" applyBorder="1" applyFont="1">
      <alignment horizontal="right" shrinkToFit="0" vertical="bottom" wrapText="0"/>
    </xf>
    <xf borderId="5" fillId="32" fontId="2" numFmtId="0" xfId="0" applyAlignment="1" applyBorder="1" applyFill="1" applyFont="1">
      <alignment horizontal="center" shrinkToFit="0" vertical="bottom" wrapText="0"/>
    </xf>
    <xf borderId="5" fillId="12" fontId="2" numFmtId="0" xfId="0" applyAlignment="1" applyBorder="1" applyFont="1">
      <alignment horizontal="right" readingOrder="0" shrinkToFit="0" wrapText="0"/>
    </xf>
    <xf borderId="5" fillId="2" fontId="2" numFmtId="0" xfId="0" applyAlignment="1" applyBorder="1" applyFont="1">
      <alignment shrinkToFit="0" vertical="bottom" wrapText="0"/>
    </xf>
    <xf borderId="5" fillId="12" fontId="10" numFmtId="0" xfId="0" applyAlignment="1" applyBorder="1" applyFont="1">
      <alignment horizontal="right" shrinkToFit="0" vertical="bottom" wrapText="0"/>
    </xf>
    <xf borderId="5" fillId="0" fontId="2" numFmtId="0" xfId="0" applyAlignment="1" applyBorder="1" applyFont="1">
      <alignment horizontal="right" readingOrder="0" shrinkToFit="0" vertical="bottom" wrapText="0"/>
    </xf>
    <xf borderId="5" fillId="12" fontId="49" numFmtId="0" xfId="0" applyAlignment="1" applyBorder="1" applyFont="1">
      <alignment horizontal="right" vertical="bottom"/>
    </xf>
    <xf borderId="5" fillId="0" fontId="6" numFmtId="0" xfId="0" applyAlignment="1" applyBorder="1" applyFont="1">
      <alignment readingOrder="0"/>
    </xf>
    <xf borderId="5" fillId="12" fontId="7" numFmtId="0" xfId="0" applyAlignment="1" applyBorder="1" applyFont="1">
      <alignment horizontal="right" readingOrder="0" vertical="bottom"/>
    </xf>
    <xf borderId="5" fillId="13" fontId="7" numFmtId="0" xfId="0" applyAlignment="1" applyBorder="1" applyFont="1">
      <alignment horizontal="center" readingOrder="0" shrinkToFit="0" vertical="bottom" wrapText="0"/>
    </xf>
    <xf borderId="5" fillId="0" fontId="2" numFmtId="49" xfId="0" applyAlignment="1" applyBorder="1" applyFont="1" applyNumberFormat="1">
      <alignment shrinkToFit="0" vertical="bottom" wrapText="0"/>
    </xf>
    <xf borderId="5" fillId="6" fontId="7" numFmtId="0" xfId="0" applyAlignment="1" applyBorder="1" applyFont="1">
      <alignment readingOrder="0" shrinkToFit="0" vertical="bottom" wrapText="0"/>
    </xf>
    <xf borderId="5" fillId="27" fontId="2" numFmtId="0" xfId="0" applyAlignment="1" applyBorder="1" applyFont="1">
      <alignment horizontal="right" readingOrder="0" shrinkToFit="0" vertical="bottom" wrapText="0"/>
    </xf>
    <xf borderId="0" fillId="0" fontId="2" numFmtId="0" xfId="0" applyAlignment="1" applyFont="1">
      <alignment readingOrder="0" shrinkToFit="0" vertical="bottom" wrapText="0"/>
    </xf>
    <xf borderId="5" fillId="12" fontId="50" numFmtId="0" xfId="0" applyAlignment="1" applyBorder="1" applyFont="1">
      <alignment horizontal="left" readingOrder="0"/>
    </xf>
    <xf borderId="0" fillId="0" fontId="51" numFmtId="0" xfId="0" applyAlignment="1" applyFont="1">
      <alignment readingOrder="0"/>
    </xf>
    <xf borderId="0" fillId="12" fontId="52" numFmtId="0" xfId="0" applyAlignment="1" applyFont="1">
      <alignment readingOrder="0"/>
    </xf>
    <xf borderId="5" fillId="0" fontId="2" numFmtId="9" xfId="0" applyAlignment="1" applyBorder="1" applyFont="1" applyNumberFormat="1">
      <alignment shrinkToFit="0" vertical="bottom" wrapText="0"/>
    </xf>
    <xf borderId="5" fillId="31" fontId="2" numFmtId="0" xfId="0" applyAlignment="1" applyBorder="1" applyFont="1">
      <alignment horizontal="right" readingOrder="0" shrinkToFit="0" vertical="bottom" wrapText="0"/>
    </xf>
    <xf borderId="5" fillId="0" fontId="53" numFmtId="0" xfId="0" applyAlignment="1" applyBorder="1" applyFont="1">
      <alignment readingOrder="0" shrinkToFit="0" vertical="bottom" wrapText="0"/>
    </xf>
    <xf borderId="0" fillId="12" fontId="54" numFmtId="0" xfId="0" applyAlignment="1" applyFont="1">
      <alignment readingOrder="0"/>
    </xf>
    <xf borderId="5" fillId="0" fontId="7" numFmtId="0" xfId="0" applyAlignment="1" applyBorder="1" applyFont="1">
      <alignment horizontal="left" shrinkToFit="0" vertical="bottom" wrapText="0"/>
    </xf>
    <xf borderId="5" fillId="0" fontId="2" numFmtId="3" xfId="0" applyAlignment="1" applyBorder="1" applyFont="1" applyNumberFormat="1">
      <alignment horizontal="left" shrinkToFit="0" vertical="bottom" wrapText="0"/>
    </xf>
    <xf borderId="0" fillId="12" fontId="55" numFmtId="0" xfId="0" applyAlignment="1" applyFont="1">
      <alignment readingOrder="0"/>
    </xf>
    <xf borderId="5" fillId="6" fontId="37" numFmtId="0" xfId="0" applyAlignment="1" applyBorder="1" applyFont="1">
      <alignment shrinkToFit="0" vertical="bottom" wrapText="0"/>
    </xf>
    <xf borderId="5" fillId="0" fontId="2" numFmtId="49" xfId="0" applyAlignment="1" applyBorder="1" applyFont="1" applyNumberFormat="1">
      <alignment horizontal="left" shrinkToFit="0" vertical="bottom" wrapText="0"/>
    </xf>
    <xf borderId="5" fillId="12" fontId="17" numFmtId="0" xfId="0" applyAlignment="1" applyBorder="1" applyFont="1">
      <alignment readingOrder="0" shrinkToFit="0" vertical="bottom" wrapText="0"/>
    </xf>
    <xf borderId="5" fillId="12" fontId="0" numFmtId="0" xfId="0" applyAlignment="1" applyBorder="1" applyFont="1">
      <alignment readingOrder="0" shrinkToFit="0" wrapText="0"/>
    </xf>
    <xf borderId="5" fillId="32" fontId="56" numFmtId="0" xfId="0" applyAlignment="1" applyBorder="1" applyFont="1">
      <alignment horizontal="right" shrinkToFit="0" vertical="bottom" wrapText="0"/>
    </xf>
    <xf borderId="5" fillId="12" fontId="0" numFmtId="0" xfId="0" applyAlignment="1" applyBorder="1" applyFont="1">
      <alignment readingOrder="0"/>
    </xf>
    <xf borderId="5" fillId="0" fontId="57" numFmtId="0" xfId="0" applyAlignment="1" applyBorder="1" applyFont="1">
      <alignment readingOrder="0"/>
    </xf>
    <xf borderId="5" fillId="0" fontId="10" numFmtId="0" xfId="0" applyAlignment="1" applyBorder="1" applyFont="1">
      <alignment shrinkToFit="0" vertical="bottom" wrapText="0"/>
    </xf>
    <xf borderId="5" fillId="0" fontId="2" numFmtId="0" xfId="0" applyAlignment="1" applyBorder="1" applyFont="1">
      <alignment horizontal="left" readingOrder="0" shrinkToFit="0" vertical="bottom" wrapText="0"/>
    </xf>
    <xf borderId="5" fillId="12" fontId="58" numFmtId="0" xfId="0" applyAlignment="1" applyBorder="1" applyFont="1">
      <alignment horizontal="center" readingOrder="0"/>
    </xf>
    <xf borderId="5" fillId="12" fontId="2" numFmtId="0" xfId="0" applyAlignment="1" applyBorder="1" applyFont="1">
      <alignment horizontal="right" readingOrder="0" shrinkToFit="0" vertical="bottom" wrapText="0"/>
    </xf>
    <xf borderId="5" fillId="27" fontId="2" numFmtId="0" xfId="0" applyAlignment="1" applyBorder="1" applyFont="1">
      <alignment horizontal="left" readingOrder="0" shrinkToFit="0" vertical="bottom" wrapText="0"/>
    </xf>
    <xf borderId="5" fillId="0" fontId="2" numFmtId="0" xfId="0" applyAlignment="1" applyBorder="1" applyFont="1">
      <alignment shrinkToFit="0" vertical="bottom" wrapText="0"/>
    </xf>
    <xf borderId="5" fillId="0" fontId="6" numFmtId="0" xfId="0" applyAlignment="1" applyBorder="1" applyFont="1">
      <alignment horizontal="right" readingOrder="0" shrinkToFit="0" wrapText="0"/>
    </xf>
    <xf borderId="0" fillId="0" fontId="59" numFmtId="0" xfId="0" applyAlignment="1" applyFont="1">
      <alignment readingOrder="0"/>
    </xf>
    <xf borderId="5" fillId="12" fontId="60" numFmtId="0" xfId="0" applyAlignment="1" applyBorder="1" applyFont="1">
      <alignment horizontal="right" vertical="bottom"/>
    </xf>
    <xf borderId="5" fillId="0" fontId="2" numFmtId="0" xfId="0" applyAlignment="1" applyBorder="1" applyFont="1">
      <alignment horizontal="right" readingOrder="0" shrinkToFit="0" wrapText="0"/>
    </xf>
    <xf borderId="5" fillId="0" fontId="61" numFmtId="0" xfId="0" applyAlignment="1" applyBorder="1" applyFont="1">
      <alignment vertical="bottom"/>
    </xf>
    <xf borderId="5" fillId="12" fontId="7" numFmtId="0" xfId="0" applyAlignment="1" applyBorder="1" applyFont="1">
      <alignment horizontal="right" vertical="bottom"/>
    </xf>
    <xf borderId="5" fillId="33" fontId="2" numFmtId="0" xfId="0" applyAlignment="1" applyBorder="1" applyFill="1" applyFont="1">
      <alignment horizontal="right" readingOrder="0" shrinkToFit="0" vertical="bottom" wrapText="0"/>
    </xf>
    <xf borderId="5" fillId="0" fontId="2" numFmtId="0" xfId="0" applyAlignment="1" applyBorder="1" applyFont="1">
      <alignment horizontal="left" shrinkToFit="0" vertical="bottom" wrapText="0"/>
    </xf>
    <xf borderId="5" fillId="12" fontId="7" numFmtId="0" xfId="0" applyAlignment="1" applyBorder="1" applyFont="1">
      <alignment vertical="bottom"/>
    </xf>
    <xf borderId="5" fillId="0" fontId="37" numFmtId="0" xfId="0" applyAlignment="1" applyBorder="1" applyFont="1">
      <alignment shrinkToFit="0" vertical="bottom" wrapText="0"/>
    </xf>
    <xf borderId="5" fillId="12" fontId="62" numFmtId="0" xfId="0" applyAlignment="1" applyBorder="1" applyFont="1">
      <alignment horizontal="center" shrinkToFit="0" vertical="bottom" wrapText="0"/>
    </xf>
    <xf borderId="5" fillId="0" fontId="2" numFmtId="0" xfId="0" applyAlignment="1" applyBorder="1" applyFont="1">
      <alignment readingOrder="0" shrinkToFit="0" vertical="bottom" wrapText="0"/>
    </xf>
    <xf borderId="5" fillId="0" fontId="41" numFmtId="0" xfId="0" applyAlignment="1" applyBorder="1" applyFont="1">
      <alignment horizontal="right" readingOrder="0" shrinkToFit="0" wrapText="0"/>
    </xf>
    <xf borderId="5" fillId="12" fontId="63" numFmtId="0" xfId="0" applyAlignment="1" applyBorder="1" applyFont="1">
      <alignment horizontal="right" readingOrder="0" shrinkToFit="0" wrapText="0"/>
    </xf>
    <xf borderId="0" fillId="0" fontId="2" numFmtId="0" xfId="0" applyAlignment="1" applyFont="1">
      <alignment horizontal="left" readingOrder="0" shrinkToFit="0" vertical="bottom" wrapText="0"/>
    </xf>
    <xf borderId="5" fillId="12" fontId="64" numFmtId="0" xfId="0" applyAlignment="1" applyBorder="1" applyFont="1">
      <alignment horizontal="right" vertical="bottom"/>
    </xf>
    <xf borderId="5" fillId="12" fontId="0" numFmtId="0" xfId="0" applyAlignment="1" applyBorder="1" applyFont="1">
      <alignment horizontal="right" readingOrder="0" shrinkToFit="0" wrapText="0"/>
    </xf>
    <xf borderId="5" fillId="12" fontId="65" numFmtId="0" xfId="0" applyAlignment="1" applyBorder="1" applyFont="1">
      <alignment shrinkToFit="0" vertical="bottom" wrapText="0"/>
    </xf>
    <xf borderId="5" fillId="34" fontId="66" numFmtId="0" xfId="0" applyAlignment="1" applyBorder="1" applyFill="1" applyFont="1">
      <alignment horizontal="right" shrinkToFit="0" vertical="bottom" wrapText="0"/>
    </xf>
    <xf borderId="5" fillId="28" fontId="2" numFmtId="0" xfId="0" applyAlignment="1" applyBorder="1" applyFont="1">
      <alignment shrinkToFit="0" vertical="bottom" wrapText="0"/>
    </xf>
    <xf borderId="5" fillId="0" fontId="67" numFmtId="0" xfId="0" applyAlignment="1" applyBorder="1" applyFont="1">
      <alignment horizontal="right" vertical="bottom"/>
    </xf>
    <xf borderId="5" fillId="0" fontId="68" numFmtId="0" xfId="0" applyAlignment="1" applyBorder="1" applyFont="1">
      <alignment vertical="bottom"/>
    </xf>
    <xf borderId="5" fillId="35" fontId="2" numFmtId="0" xfId="0" applyAlignment="1" applyBorder="1" applyFill="1" applyFont="1">
      <alignment horizontal="right" shrinkToFit="0" vertical="bottom" wrapText="0"/>
    </xf>
    <xf borderId="5" fillId="0" fontId="69" numFmtId="0" xfId="0" applyAlignment="1" applyBorder="1" applyFont="1">
      <alignment horizontal="right" shrinkToFit="0" vertical="bottom" wrapText="0"/>
    </xf>
    <xf borderId="0" fillId="0" fontId="70" numFmtId="0" xfId="0" applyAlignment="1" applyFont="1">
      <alignment readingOrder="0"/>
    </xf>
    <xf borderId="5" fillId="12" fontId="7" numFmtId="0" xfId="0" applyAlignment="1" applyBorder="1" applyFont="1">
      <alignment horizontal="right" shrinkToFit="0" vertical="bottom" wrapText="1"/>
    </xf>
    <xf borderId="27" fillId="12" fontId="2" numFmtId="0" xfId="0" applyAlignment="1" applyBorder="1" applyFont="1">
      <alignment horizontal="right" readingOrder="0" shrinkToFit="0" vertical="bottom" wrapText="0"/>
    </xf>
    <xf borderId="5" fillId="12" fontId="31" numFmtId="0" xfId="0" applyAlignment="1" applyBorder="1" applyFont="1">
      <alignment readingOrder="0"/>
    </xf>
    <xf borderId="5" fillId="12" fontId="71" numFmtId="0" xfId="0" applyAlignment="1" applyBorder="1" applyFont="1">
      <alignment readingOrder="0"/>
    </xf>
    <xf borderId="0" fillId="0" fontId="72" numFmtId="0" xfId="0" applyAlignment="1" applyFont="1">
      <alignment readingOrder="0"/>
    </xf>
    <xf borderId="5" fillId="0" fontId="7" numFmtId="0" xfId="0" applyAlignment="1" applyBorder="1" applyFont="1">
      <alignment readingOrder="0" shrinkToFit="0" wrapText="0"/>
    </xf>
    <xf borderId="5" fillId="0" fontId="7" numFmtId="0" xfId="0" applyAlignment="1" applyBorder="1" applyFont="1">
      <alignment horizontal="right" readingOrder="0" shrinkToFit="0" wrapText="0"/>
    </xf>
    <xf borderId="5" fillId="12" fontId="2" numFmtId="0" xfId="0" applyAlignment="1" applyBorder="1" applyFont="1">
      <alignment horizontal="center" readingOrder="0"/>
    </xf>
    <xf borderId="5" fillId="12" fontId="73" numFmtId="0" xfId="0" applyAlignment="1" applyBorder="1" applyFont="1">
      <alignment horizontal="right" readingOrder="0"/>
    </xf>
    <xf borderId="5" fillId="0" fontId="2" numFmtId="0" xfId="0" applyAlignment="1" applyBorder="1" applyFont="1">
      <alignment readingOrder="0" shrinkToFit="0" vertical="bottom" wrapText="0"/>
    </xf>
    <xf borderId="5" fillId="12" fontId="74" numFmtId="0" xfId="0" applyAlignment="1" applyBorder="1" applyFont="1">
      <alignment readingOrder="0" shrinkToFit="0" wrapText="0"/>
    </xf>
    <xf borderId="5" fillId="36" fontId="7" numFmtId="0" xfId="0" applyAlignment="1" applyBorder="1" applyFill="1" applyFont="1">
      <alignment horizontal="right" vertical="bottom"/>
    </xf>
    <xf borderId="5" fillId="30" fontId="2" numFmtId="0" xfId="0" applyAlignment="1" applyBorder="1" applyFont="1">
      <alignment horizontal="center" readingOrder="0" shrinkToFit="0" vertical="bottom" wrapText="0"/>
    </xf>
    <xf borderId="5" fillId="30" fontId="2" numFmtId="0" xfId="0" applyAlignment="1" applyBorder="1" applyFont="1">
      <alignment readingOrder="0" shrinkToFit="0" vertical="bottom" wrapText="0"/>
    </xf>
    <xf borderId="5" fillId="30" fontId="2" numFmtId="0" xfId="0" applyAlignment="1" applyBorder="1" applyFont="1">
      <alignment horizontal="right" shrinkToFit="0" vertical="bottom" wrapText="0"/>
    </xf>
    <xf borderId="5" fillId="30" fontId="2" numFmtId="0" xfId="0" applyAlignment="1" applyBorder="1" applyFont="1">
      <alignment shrinkToFit="0" vertical="bottom" wrapText="0"/>
    </xf>
    <xf borderId="5" fillId="30" fontId="2" numFmtId="0" xfId="0" applyAlignment="1" applyBorder="1" applyFont="1">
      <alignment horizontal="center" shrinkToFit="0" vertical="bottom" wrapText="0"/>
    </xf>
    <xf borderId="5" fillId="30" fontId="2" numFmtId="0" xfId="0" applyAlignment="1" applyBorder="1" applyFont="1">
      <alignment horizontal="left" shrinkToFit="0" vertical="bottom" wrapText="0"/>
    </xf>
    <xf borderId="5" fillId="30" fontId="2" numFmtId="0" xfId="0" applyAlignment="1" applyBorder="1" applyFont="1">
      <alignment horizontal="right" readingOrder="0" shrinkToFit="0" vertical="bottom" wrapText="0"/>
    </xf>
    <xf borderId="5" fillId="30" fontId="2" numFmtId="0" xfId="0" applyAlignment="1" applyBorder="1" applyFont="1">
      <alignment readingOrder="0" shrinkToFit="0" vertical="bottom" wrapText="0"/>
    </xf>
    <xf borderId="5" fillId="0" fontId="7" numFmtId="0" xfId="0" applyAlignment="1" applyBorder="1" applyFont="1">
      <alignment horizontal="left" readingOrder="0" vertical="bottom"/>
    </xf>
    <xf borderId="5" fillId="0" fontId="7" numFmtId="0" xfId="0" applyAlignment="1" applyBorder="1" applyFont="1">
      <alignment horizontal="right" readingOrder="0" vertical="bottom"/>
    </xf>
    <xf borderId="18" fillId="0" fontId="6" numFmtId="0" xfId="0" applyAlignment="1" applyBorder="1" applyFont="1">
      <alignment readingOrder="0"/>
    </xf>
    <xf borderId="18" fillId="0" fontId="7" numFmtId="0" xfId="0" applyAlignment="1" applyBorder="1" applyFont="1">
      <alignment horizontal="right" shrinkToFit="0" vertical="bottom" wrapText="0"/>
    </xf>
    <xf borderId="5" fillId="12" fontId="7" numFmtId="0" xfId="0" applyAlignment="1" applyBorder="1" applyFont="1">
      <alignment readingOrder="0" shrinkToFit="0" vertical="bottom" wrapText="0"/>
    </xf>
    <xf borderId="28" fillId="0" fontId="2" numFmtId="0" xfId="0" applyAlignment="1" applyBorder="1" applyFont="1">
      <alignment horizontal="right" readingOrder="0" shrinkToFit="0" vertical="bottom" wrapText="0"/>
    </xf>
    <xf borderId="9" fillId="12" fontId="2" numFmtId="0" xfId="0" applyAlignment="1" applyBorder="1" applyFont="1">
      <alignment horizontal="right" shrinkToFit="0" vertical="bottom" wrapText="0"/>
    </xf>
    <xf borderId="29" fillId="0" fontId="2" numFmtId="0" xfId="0" applyAlignment="1" applyBorder="1" applyFont="1">
      <alignment horizontal="right" readingOrder="0" shrinkToFit="0" vertical="bottom" wrapText="0"/>
    </xf>
    <xf borderId="5" fillId="0" fontId="7" numFmtId="0" xfId="0" applyAlignment="1" applyBorder="1" applyFont="1">
      <alignment horizontal="right" shrinkToFit="0" vertical="bottom" wrapText="0"/>
    </xf>
    <xf borderId="5" fillId="0" fontId="2" numFmtId="3" xfId="0" applyAlignment="1" applyBorder="1" applyFont="1" applyNumberFormat="1">
      <alignment horizontal="right" readingOrder="0" shrinkToFit="0" vertical="bottom" wrapText="0"/>
    </xf>
    <xf borderId="5" fillId="12" fontId="7" numFmtId="0" xfId="0" applyAlignment="1" applyBorder="1" applyFont="1">
      <alignment horizontal="right" shrinkToFit="0" vertical="bottom" wrapText="0"/>
    </xf>
    <xf borderId="5" fillId="28" fontId="7" numFmtId="0" xfId="0" applyAlignment="1" applyBorder="1" applyFont="1">
      <alignment horizontal="right" shrinkToFit="0" vertical="bottom" wrapText="0"/>
    </xf>
    <xf borderId="0" fillId="12" fontId="7" numFmtId="0" xfId="0" applyAlignment="1" applyFont="1">
      <alignment horizontal="right" shrinkToFit="0" vertical="bottom" wrapText="0"/>
    </xf>
    <xf borderId="5" fillId="12" fontId="7" numFmtId="0" xfId="0" applyAlignment="1" applyBorder="1" applyFont="1">
      <alignment horizontal="right" shrinkToFit="0" vertical="bottom" wrapText="0"/>
    </xf>
    <xf borderId="5" fillId="12" fontId="75" numFmtId="0" xfId="0" applyAlignment="1" applyBorder="1" applyFont="1">
      <alignment horizontal="left" readingOrder="0" shrinkToFit="0" wrapText="0"/>
    </xf>
    <xf borderId="0" fillId="0" fontId="7" numFmtId="0" xfId="0" applyAlignment="1" applyFont="1">
      <alignment horizontal="right" shrinkToFit="0" vertical="bottom" wrapText="0"/>
    </xf>
    <xf borderId="5" fillId="12" fontId="7" numFmtId="0" xfId="0" applyAlignment="1" applyBorder="1" applyFont="1">
      <alignment vertical="top"/>
    </xf>
    <xf borderId="5" fillId="6" fontId="2" numFmtId="0" xfId="0" applyAlignment="1" applyBorder="1" applyFont="1">
      <alignment readingOrder="0" vertical="bottom"/>
    </xf>
    <xf borderId="5" fillId="12" fontId="0" numFmtId="0" xfId="0" applyAlignment="1" applyBorder="1" applyFont="1">
      <alignment horizontal="center" readingOrder="0" shrinkToFit="0" wrapText="0"/>
    </xf>
    <xf borderId="0" fillId="0" fontId="76" numFmtId="0" xfId="0" applyAlignment="1" applyFont="1">
      <alignment readingOrder="0"/>
    </xf>
    <xf borderId="0" fillId="12" fontId="77" numFmtId="0" xfId="0" applyAlignment="1" applyFont="1">
      <alignment readingOrder="0"/>
    </xf>
    <xf borderId="0" fillId="0" fontId="6" numFmtId="0" xfId="0" applyFont="1"/>
    <xf borderId="0" fillId="0" fontId="6" numFmtId="0" xfId="0" applyFont="1"/>
    <xf borderId="5" fillId="0" fontId="7" numFmtId="0" xfId="0" applyAlignment="1" applyBorder="1" applyFont="1">
      <alignment horizontal="center" shrinkToFit="0" vertical="bottom" wrapText="0"/>
    </xf>
    <xf borderId="5" fillId="37" fontId="78" numFmtId="0" xfId="0" applyAlignment="1" applyBorder="1" applyFill="1" applyFont="1">
      <alignment horizontal="right" readingOrder="0" shrinkToFit="0" wrapText="0"/>
    </xf>
    <xf borderId="5" fillId="38" fontId="2" numFmtId="0" xfId="0" applyAlignment="1" applyBorder="1" applyFill="1" applyFont="1">
      <alignment readingOrder="0" shrinkToFit="0" vertical="bottom" wrapText="0"/>
    </xf>
    <xf borderId="5" fillId="0" fontId="0" numFmtId="0" xfId="0" applyAlignment="1" applyBorder="1" applyFont="1">
      <alignment horizontal="right" readingOrder="0" shrinkToFit="0" wrapText="0"/>
    </xf>
    <xf borderId="0" fillId="12" fontId="2" numFmtId="0" xfId="0" applyAlignment="1" applyFont="1">
      <alignment shrinkToFit="0" vertical="bottom" wrapText="0"/>
    </xf>
    <xf borderId="5" fillId="0" fontId="2" numFmtId="0" xfId="0" applyAlignment="1" applyBorder="1" applyFont="1">
      <alignment shrinkToFit="0" vertical="bottom" wrapText="0"/>
    </xf>
    <xf borderId="0" fillId="12" fontId="79" numFmtId="0" xfId="0" applyAlignment="1" applyFont="1">
      <alignment readingOrder="0"/>
    </xf>
    <xf borderId="0" fillId="12" fontId="79" numFmtId="0" xfId="0" applyAlignment="1" applyFont="1">
      <alignment horizontal="center" readingOrder="0"/>
    </xf>
    <xf borderId="12" fillId="0" fontId="2" numFmtId="0" xfId="0" applyAlignment="1" applyBorder="1" applyFont="1">
      <alignment horizontal="right" shrinkToFit="0" vertical="bottom" wrapText="0"/>
    </xf>
    <xf borderId="12" fillId="0" fontId="2" numFmtId="0" xfId="0" applyAlignment="1" applyBorder="1" applyFont="1">
      <alignment horizontal="right" readingOrder="0" shrinkToFit="0" vertical="bottom" wrapText="0"/>
    </xf>
    <xf borderId="5" fillId="12" fontId="2" numFmtId="0" xfId="0" applyAlignment="1" applyBorder="1" applyFont="1">
      <alignment horizontal="left" vertical="center"/>
    </xf>
    <xf borderId="5" fillId="12" fontId="79" numFmtId="0" xfId="0" applyAlignment="1" applyBorder="1" applyFont="1">
      <alignment readingOrder="0"/>
    </xf>
    <xf borderId="5" fillId="12" fontId="54" numFmtId="0" xfId="0" applyAlignment="1" applyBorder="1" applyFont="1">
      <alignment readingOrder="0"/>
    </xf>
    <xf borderId="5" fillId="12" fontId="2" numFmtId="0" xfId="0" applyAlignment="1" applyBorder="1" applyFont="1">
      <alignment readingOrder="0" shrinkToFit="0" vertical="bottom" wrapText="0"/>
    </xf>
    <xf borderId="5" fillId="12" fontId="2" numFmtId="0" xfId="0" applyAlignment="1" applyBorder="1" applyFont="1">
      <alignment horizontal="right" readingOrder="0" shrinkToFit="0" vertical="bottom" wrapText="0"/>
    </xf>
    <xf borderId="5" fillId="12" fontId="2" numFmtId="0" xfId="0" applyAlignment="1" applyBorder="1" applyFont="1">
      <alignment shrinkToFit="0" vertical="bottom" wrapText="0"/>
    </xf>
    <xf borderId="5" fillId="12" fontId="2" numFmtId="0" xfId="0" applyAlignment="1" applyBorder="1" applyFont="1">
      <alignment shrinkToFit="0" vertical="bottom" wrapText="0"/>
    </xf>
    <xf borderId="5" fillId="0" fontId="2" numFmtId="0" xfId="0" applyAlignment="1" applyBorder="1" applyFont="1">
      <alignment readingOrder="0" shrinkToFit="0" vertical="bottom" wrapText="0"/>
    </xf>
    <xf borderId="5" fillId="0" fontId="2" numFmtId="0" xfId="0" applyAlignment="1" applyBorder="1" applyFont="1">
      <alignment horizontal="right" readingOrder="0" shrinkToFit="0" vertical="bottom" wrapText="0"/>
    </xf>
    <xf borderId="5" fillId="0" fontId="2" numFmtId="0" xfId="0" applyAlignment="1" applyBorder="1" applyFont="1">
      <alignment shrinkToFit="0" vertical="bottom" wrapText="0"/>
    </xf>
    <xf borderId="5" fillId="12" fontId="6" numFmtId="0" xfId="0" applyAlignment="1" applyBorder="1" applyFont="1">
      <alignment horizontal="center" readingOrder="0" vertical="top"/>
    </xf>
    <xf borderId="5" fillId="12" fontId="19" numFmtId="0" xfId="0" applyAlignment="1" applyBorder="1" applyFont="1">
      <alignment horizontal="left" readingOrder="0" vertical="top"/>
    </xf>
    <xf borderId="5" fillId="12" fontId="2" numFmtId="0" xfId="0" applyAlignment="1" applyBorder="1" applyFont="1">
      <alignment shrinkToFit="0" vertical="bottom" wrapText="0"/>
    </xf>
    <xf borderId="5" fillId="12" fontId="19" numFmtId="0" xfId="0" applyAlignment="1" applyBorder="1" applyFont="1">
      <alignment horizontal="left" readingOrder="0" vertical="top"/>
    </xf>
    <xf borderId="5" fillId="0" fontId="2" numFmtId="0" xfId="0" applyAlignment="1" applyBorder="1" applyFont="1">
      <alignment shrinkToFit="0" vertical="bottom" wrapText="0"/>
    </xf>
    <xf borderId="0" fillId="0" fontId="2" numFmtId="0" xfId="0" applyAlignment="1" applyFont="1">
      <alignment horizontal="center" shrinkToFit="0" vertical="bottom" wrapText="0"/>
    </xf>
    <xf borderId="18" fillId="12" fontId="2" numFmtId="0" xfId="0" applyAlignment="1" applyBorder="1" applyFont="1">
      <alignment readingOrder="0" shrinkToFit="0" vertical="bottom" wrapText="0"/>
    </xf>
    <xf borderId="0" fillId="12" fontId="2" numFmtId="0" xfId="0" applyAlignment="1" applyFont="1">
      <alignment readingOrder="0"/>
    </xf>
    <xf borderId="18" fillId="0" fontId="2" numFmtId="0" xfId="0" applyAlignment="1" applyBorder="1" applyFont="1">
      <alignment readingOrder="0" shrinkToFit="0" vertical="bottom" wrapText="0"/>
    </xf>
    <xf borderId="18" fillId="0" fontId="2" numFmtId="0" xfId="0" applyAlignment="1" applyBorder="1" applyFont="1">
      <alignment horizontal="right" readingOrder="0" shrinkToFit="0" vertical="bottom" wrapText="0"/>
    </xf>
    <xf borderId="18" fillId="0" fontId="2" numFmtId="0" xfId="0" applyAlignment="1" applyBorder="1" applyFont="1">
      <alignment shrinkToFit="0" vertical="bottom" wrapText="0"/>
    </xf>
    <xf borderId="0" fillId="0" fontId="2" numFmtId="0" xfId="0" applyAlignment="1" applyFont="1">
      <alignment shrinkToFit="0" vertical="bottom" wrapText="0"/>
    </xf>
    <xf borderId="5" fillId="12" fontId="6" numFmtId="0" xfId="0" applyAlignment="1" applyBorder="1" applyFont="1">
      <alignment horizontal="left" readingOrder="0"/>
    </xf>
    <xf borderId="0" fillId="12" fontId="2" numFmtId="0" xfId="0" applyAlignment="1" applyFont="1">
      <alignment horizontal="center" shrinkToFit="0" vertical="bottom" wrapText="0"/>
    </xf>
    <xf borderId="0" fillId="12" fontId="2" numFmtId="0" xfId="0" applyAlignment="1" applyFont="1">
      <alignment readingOrder="0" shrinkToFit="0" vertical="bottom" wrapText="0"/>
    </xf>
    <xf borderId="18" fillId="12" fontId="2" numFmtId="0" xfId="0" applyAlignment="1" applyBorder="1" applyFont="1">
      <alignment horizontal="right" readingOrder="0" shrinkToFit="0" vertical="bottom" wrapText="0"/>
    </xf>
    <xf borderId="0" fillId="12" fontId="2" numFmtId="0" xfId="0" applyAlignment="1" applyFont="1">
      <alignment horizontal="left" readingOrder="0" shrinkToFit="0" vertical="bottom" wrapText="0"/>
    </xf>
    <xf borderId="18" fillId="12" fontId="2" numFmtId="0" xfId="0" applyAlignment="1" applyBorder="1" applyFont="1">
      <alignment shrinkToFit="0" vertical="bottom" wrapText="0"/>
    </xf>
    <xf borderId="0" fillId="12" fontId="2" numFmtId="0" xfId="0" applyAlignment="1" applyFont="1">
      <alignment shrinkToFit="0" vertical="bottom" wrapText="0"/>
    </xf>
    <xf borderId="5" fillId="12" fontId="6" numFmtId="0" xfId="0" applyAlignment="1" applyBorder="1" applyFont="1">
      <alignment horizontal="left" readingOrder="0" vertical="top"/>
    </xf>
    <xf borderId="5" fillId="12" fontId="80" numFmtId="0" xfId="0" applyAlignment="1" applyBorder="1" applyFont="1">
      <alignment readingOrder="0"/>
    </xf>
    <xf borderId="5" fillId="2" fontId="2" numFmtId="0" xfId="0" applyAlignment="1" applyBorder="1" applyFont="1">
      <alignment readingOrder="0" shrinkToFit="0" vertical="bottom" wrapText="0"/>
    </xf>
    <xf borderId="5" fillId="2" fontId="2" numFmtId="0" xfId="0" applyAlignment="1" applyBorder="1" applyFont="1">
      <alignment horizontal="right" readingOrder="0" shrinkToFit="0" vertical="bottom" wrapText="0"/>
    </xf>
    <xf borderId="5" fillId="12" fontId="41" numFmtId="0" xfId="0" applyAlignment="1" applyBorder="1" applyFont="1">
      <alignment readingOrder="0"/>
    </xf>
    <xf borderId="5" fillId="0" fontId="81" numFmtId="0" xfId="0" applyAlignment="1" applyBorder="1" applyFont="1">
      <alignment readingOrder="0"/>
    </xf>
    <xf borderId="0" fillId="12" fontId="2" numFmtId="0" xfId="0" applyAlignment="1" applyFont="1">
      <alignment readingOrder="0" shrinkToFit="0" vertical="bottom" wrapText="0"/>
    </xf>
    <xf borderId="5" fillId="0" fontId="82" numFmtId="0" xfId="0" applyAlignment="1" applyBorder="1" applyFont="1">
      <alignment readingOrder="0"/>
    </xf>
  </cellXfs>
  <cellStyles count="1">
    <cellStyle xfId="0" name="Normal" builtinId="0"/>
  </cellStyles>
  <dxfs count="4">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B7E1CD"/>
          <bgColor rgb="FFB7E1CD"/>
        </patternFill>
      </fill>
      <border/>
    </dxf>
  </dxfs>
  <tableStyles count="48">
    <tableStyle count="2" pivot="0" name="Contacto 1 y 2 (a eliminar)-style">
      <tableStyleElement dxfId="1" type="firstRowStripe"/>
      <tableStyleElement dxfId="2" type="secondRowStripe"/>
    </tableStyle>
    <tableStyle count="2" pivot="0" name="Mails_Normalizados-style">
      <tableStyleElement dxfId="2" type="firstRowStripe"/>
      <tableStyleElement dxfId="1" type="secondRowStripe"/>
    </tableStyle>
    <tableStyle count="2" pivot="0" name="Mails_Normalizados-style 2">
      <tableStyleElement dxfId="2" type="firstRowStripe"/>
      <tableStyleElement dxfId="1" type="secondRowStripe"/>
    </tableStyle>
    <tableStyle count="2" pivot="0" name="Mails_Normalizados-style 3">
      <tableStyleElement dxfId="1" type="firstRowStripe"/>
      <tableStyleElement dxfId="2" type="secondRowStripe"/>
    </tableStyle>
    <tableStyle count="2" pivot="0" name="Base 3F-style">
      <tableStyleElement dxfId="2" type="firstRowStripe"/>
      <tableStyleElement dxfId="1" type="secondRowStripe"/>
    </tableStyle>
    <tableStyle count="2" pivot="0" name="Mails_Normalizados-style 4">
      <tableStyleElement dxfId="1" type="firstRowStripe"/>
      <tableStyleElement dxfId="2" type="secondRowStripe"/>
    </tableStyle>
    <tableStyle count="2" pivot="0" name="Base 3F-style 2">
      <tableStyleElement dxfId="2" type="firstRowStripe"/>
      <tableStyleElement dxfId="1" type="secondRowStripe"/>
    </tableStyle>
    <tableStyle count="2" pivot="0" name="Mails_Normalizados-style 5">
      <tableStyleElement dxfId="2" type="firstRowStripe"/>
      <tableStyleElement dxfId="1" type="secondRowStripe"/>
    </tableStyle>
    <tableStyle count="2" pivot="0" name="Base 3F-style 3">
      <tableStyleElement dxfId="1" type="firstRowStripe"/>
      <tableStyleElement dxfId="2" type="secondRowStripe"/>
    </tableStyle>
    <tableStyle count="2" pivot="0" name="Mails_Normalizados-style 6">
      <tableStyleElement dxfId="2" type="firstRowStripe"/>
      <tableStyleElement dxfId="1" type="secondRowStripe"/>
    </tableStyle>
    <tableStyle count="2" pivot="0" name="Base 3F-style 4">
      <tableStyleElement dxfId="2" type="firstRowStripe"/>
      <tableStyleElement dxfId="1" type="secondRowStripe"/>
    </tableStyle>
    <tableStyle count="2" pivot="0" name="Mails_Normalizados-style 7">
      <tableStyleElement dxfId="1" type="firstRowStripe"/>
      <tableStyleElement dxfId="2" type="secondRowStripe"/>
    </tableStyle>
    <tableStyle count="2" pivot="0" name="Base 3F-style 5">
      <tableStyleElement dxfId="1" type="firstRowStripe"/>
      <tableStyleElement dxfId="2" type="secondRowStripe"/>
    </tableStyle>
    <tableStyle count="2" pivot="0" name="Mails_Normalizados-style 8">
      <tableStyleElement dxfId="1" type="firstRowStripe"/>
      <tableStyleElement dxfId="2" type="secondRowStripe"/>
    </tableStyle>
    <tableStyle count="2" pivot="0" name="Base 3F-style 6">
      <tableStyleElement dxfId="1" type="firstRowStripe"/>
      <tableStyleElement dxfId="2" type="secondRowStripe"/>
    </tableStyle>
    <tableStyle count="2" pivot="0" name="Mails_Normalizados-style 9">
      <tableStyleElement dxfId="2" type="firstRowStripe"/>
      <tableStyleElement dxfId="1" type="secondRowStripe"/>
    </tableStyle>
    <tableStyle count="2" pivot="0" name="Base 3F-style 7">
      <tableStyleElement dxfId="2" type="firstRowStripe"/>
      <tableStyleElement dxfId="1" type="secondRowStripe"/>
    </tableStyle>
    <tableStyle count="2" pivot="0" name="Mails_Normalizados-style 10">
      <tableStyleElement dxfId="2" type="firstRowStripe"/>
      <tableStyleElement dxfId="1" type="secondRowStripe"/>
    </tableStyle>
    <tableStyle count="2" pivot="0" name="Base 3F-style 8">
      <tableStyleElement dxfId="2" type="firstRowStripe"/>
      <tableStyleElement dxfId="1" type="secondRowStripe"/>
    </tableStyle>
    <tableStyle count="2" pivot="0" name="Mails_Normalizados-style 11">
      <tableStyleElement dxfId="1" type="firstRowStripe"/>
      <tableStyleElement dxfId="2" type="secondRowStripe"/>
    </tableStyle>
    <tableStyle count="2" pivot="0" name="Base 3F-style 9">
      <tableStyleElement dxfId="1" type="firstRowStripe"/>
      <tableStyleElement dxfId="2" type="secondRowStripe"/>
    </tableStyle>
    <tableStyle count="2" pivot="0" name="Mails_Normalizados-style 12">
      <tableStyleElement dxfId="1" type="firstRowStripe"/>
      <tableStyleElement dxfId="2" type="secondRowStripe"/>
    </tableStyle>
    <tableStyle count="2" pivot="0" name="Base 3F-style 10">
      <tableStyleElement dxfId="1" type="firstRowStripe"/>
      <tableStyleElement dxfId="2" type="secondRowStripe"/>
    </tableStyle>
    <tableStyle count="2" pivot="0" name="Mails_Normalizados-style 13">
      <tableStyleElement dxfId="1" type="firstRowStripe"/>
      <tableStyleElement dxfId="2" type="secondRowStripe"/>
    </tableStyle>
    <tableStyle count="2" pivot="0" name="Base 3F-style 11">
      <tableStyleElement dxfId="2" type="firstRowStripe"/>
      <tableStyleElement dxfId="1" type="secondRowStripe"/>
    </tableStyle>
    <tableStyle count="2" pivot="0" name="Base 3F-style 12">
      <tableStyleElement dxfId="1" type="firstRowStripe"/>
      <tableStyleElement dxfId="2" type="secondRowStripe"/>
    </tableStyle>
    <tableStyle count="2" pivot="0" name="Mails_Normalizados-style 14">
      <tableStyleElement dxfId="2" type="firstRowStripe"/>
      <tableStyleElement dxfId="1" type="secondRowStripe"/>
    </tableStyle>
    <tableStyle count="2" pivot="0" name="Base 3F-style 13">
      <tableStyleElement dxfId="2" type="firstRowStripe"/>
      <tableStyleElement dxfId="1" type="secondRowStripe"/>
    </tableStyle>
    <tableStyle count="2" pivot="0" name="Mails_Normalizados-style 15">
      <tableStyleElement dxfId="1" type="firstRowStripe"/>
      <tableStyleElement dxfId="2" type="secondRowStripe"/>
    </tableStyle>
    <tableStyle count="2" pivot="0" name="Mails_Normalizados-style 16">
      <tableStyleElement dxfId="1" type="firstRowStripe"/>
      <tableStyleElement dxfId="2" type="secondRowStripe"/>
    </tableStyle>
    <tableStyle count="2" pivot="0" name="Mails_Normalizados-style 17">
      <tableStyleElement dxfId="2" type="firstRowStripe"/>
      <tableStyleElement dxfId="1" type="secondRowStripe"/>
    </tableStyle>
    <tableStyle count="2" pivot="0" name="Mails_Normalizados-style 18">
      <tableStyleElement dxfId="2" type="firstRowStripe"/>
      <tableStyleElement dxfId="1" type="secondRowStripe"/>
    </tableStyle>
    <tableStyle count="2" pivot="0" name="Mails_Normalizados-style 19">
      <tableStyleElement dxfId="1" type="firstRowStripe"/>
      <tableStyleElement dxfId="2" type="secondRowStripe"/>
    </tableStyle>
    <tableStyle count="2" pivot="0" name="Mails_Normalizados-style 20">
      <tableStyleElement dxfId="1" type="firstRowStripe"/>
      <tableStyleElement dxfId="2" type="secondRowStripe"/>
    </tableStyle>
    <tableStyle count="2" pivot="0" name="Mails_Normalizados-style 21">
      <tableStyleElement dxfId="1" type="firstRowStripe"/>
      <tableStyleElement dxfId="2" type="secondRowStripe"/>
    </tableStyle>
    <tableStyle count="2" pivot="0" name="Mails_Normalizados-style 22">
      <tableStyleElement dxfId="2" type="firstRowStripe"/>
      <tableStyleElement dxfId="1" type="secondRowStripe"/>
    </tableStyle>
    <tableStyle count="2" pivot="0" name="Mails_Normalizados-style 23">
      <tableStyleElement dxfId="1" type="firstRowStripe"/>
      <tableStyleElement dxfId="2" type="secondRowStripe"/>
    </tableStyle>
    <tableStyle count="2" pivot="0" name="Mails_Normalizados-style 24">
      <tableStyleElement dxfId="1" type="firstRowStripe"/>
      <tableStyleElement dxfId="2" type="secondRowStripe"/>
    </tableStyle>
    <tableStyle count="2" pivot="0" name="Mails_Normalizados-style 25">
      <tableStyleElement dxfId="1" type="firstRowStripe"/>
      <tableStyleElement dxfId="2" type="secondRowStripe"/>
    </tableStyle>
    <tableStyle count="2" pivot="0" name="Mails_Normalizados-style 26">
      <tableStyleElement dxfId="1" type="firstRowStripe"/>
      <tableStyleElement dxfId="2" type="secondRowStripe"/>
    </tableStyle>
    <tableStyle count="2" pivot="0" name="Mails_Normalizados-style 27">
      <tableStyleElement dxfId="2" type="firstRowStripe"/>
      <tableStyleElement dxfId="1" type="secondRowStripe"/>
    </tableStyle>
    <tableStyle count="2" pivot="0" name="Mails_Normalizados-style 28">
      <tableStyleElement dxfId="2" type="firstRowStripe"/>
      <tableStyleElement dxfId="1" type="secondRowStripe"/>
    </tableStyle>
    <tableStyle count="2" pivot="0" name="Mails_Normalizados-style 29">
      <tableStyleElement dxfId="1" type="firstRowStripe"/>
      <tableStyleElement dxfId="2" type="secondRowStripe"/>
    </tableStyle>
    <tableStyle count="2" pivot="0" name="Mails_Normalizados-style 30">
      <tableStyleElement dxfId="1" type="firstRowStripe"/>
      <tableStyleElement dxfId="2" type="secondRowStripe"/>
    </tableStyle>
    <tableStyle count="2" pivot="0" name="Mails_Normalizados-style 31">
      <tableStyleElement dxfId="2" type="firstRowStripe"/>
      <tableStyleElement dxfId="1" type="secondRowStripe"/>
    </tableStyle>
    <tableStyle count="2" pivot="0" name="Mails_Normalizados-style 32">
      <tableStyleElement dxfId="2" type="firstRowStripe"/>
      <tableStyleElement dxfId="1" type="secondRowStripe"/>
    </tableStyle>
    <tableStyle count="2" pivot="0" name="Mails_Normalizados-style 33">
      <tableStyleElement dxfId="2" type="firstRowStripe"/>
      <tableStyleElement dxfId="1" type="secondRowStripe"/>
    </tableStyle>
    <tableStyle count="2" pivot="0" name="Mails_Normalizados-style 34">
      <tableStyleElement dxfId="2" type="firstRowStripe"/>
      <tableStyleElement dxfId="1"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clase1iatecno" id="{3b25e727-4505-4e19-864e-db3adc630b4e}" providerId="google-sheets"/>
</x18tc:personList>
</file>

<file path=xl/tables/table1.xml><?xml version="1.0" encoding="utf-8"?>
<table xmlns="http://schemas.openxmlformats.org/spreadsheetml/2006/main" headerRowCount="0" ref="Q23:R23" displayName="Table_4" name="Table_4" id="4">
  <tableColumns count="2">
    <tableColumn name="Column1" id="1"/>
    <tableColumn name="Column2" id="2"/>
  </tableColumns>
  <tableStyleInfo name="Base 3F-style" showColumnStripes="0" showFirstColumn="1" showLastColumn="1" showRowStripes="1"/>
</table>
</file>

<file path=xl/tables/table2.xml><?xml version="1.0" encoding="utf-8"?>
<table xmlns="http://schemas.openxmlformats.org/spreadsheetml/2006/main" headerRowCount="0" ref="P60" displayName="Table_7" name="Table_7" id="7">
  <tableColumns count="1">
    <tableColumn name="Column1" id="1"/>
  </tableColumns>
  <tableStyleInfo name="Base 3F-style 2" showColumnStripes="0" showFirstColumn="1" showLastColumn="1" showRowStripes="1"/>
</table>
</file>

<file path=xl/tables/table3.xml><?xml version="1.0" encoding="utf-8"?>
<table xmlns="http://schemas.openxmlformats.org/spreadsheetml/2006/main" headerRowCount="0" ref="O135:P135" displayName="Table_9" name="Table_9" id="9">
  <tableColumns count="2">
    <tableColumn name="Column1" id="1"/>
    <tableColumn name="Column2" id="2"/>
  </tableColumns>
  <tableStyleInfo name="Base 3F-style 3" showColumnStripes="0" showFirstColumn="1" showLastColumn="1" showRowStripes="1"/>
</table>
</file>

<file path=xl/tables/table4.xml><?xml version="1.0" encoding="utf-8"?>
<table xmlns="http://schemas.openxmlformats.org/spreadsheetml/2006/main" headerRowCount="0" ref="O268:P268" displayName="Table_11" name="Table_11" id="11">
  <tableColumns count="2">
    <tableColumn name="Column1" id="1"/>
    <tableColumn name="Column2" id="2"/>
  </tableColumns>
  <tableStyleInfo name="Base 3F-style 4" showColumnStripes="0" showFirstColumn="1" showLastColumn="1" showRowStripes="1"/>
</table>
</file>

<file path=xl/tables/table5.xml><?xml version="1.0" encoding="utf-8"?>
<table xmlns="http://schemas.openxmlformats.org/spreadsheetml/2006/main" headerRowCount="0" ref="Q371:R371" displayName="Table_13" name="Table_13" id="13">
  <tableColumns count="2">
    <tableColumn name="Column1" id="1"/>
    <tableColumn name="Column2" id="2"/>
  </tableColumns>
  <tableStyleInfo name="Base 3F-style 5" showColumnStripes="0" showFirstColumn="1" showLastColumn="1" showRowStripes="1"/>
</table>
</file>

<file path=xl/tables/table6.xml><?xml version="1.0" encoding="utf-8"?>
<table xmlns="http://schemas.openxmlformats.org/spreadsheetml/2006/main" headerRowCount="0" ref="P657" displayName="Table_15" name="Table_15" id="15">
  <tableColumns count="1">
    <tableColumn name="Column1" id="1"/>
  </tableColumns>
  <tableStyleInfo name="Base 3F-style 6" showColumnStripes="0" showFirstColumn="1" showLastColumn="1" showRowStripes="1"/>
</table>
</file>

<file path=xl/tables/table7.xml><?xml version="1.0" encoding="utf-8"?>
<table xmlns="http://schemas.openxmlformats.org/spreadsheetml/2006/main" headerRowCount="0" ref="O834:Q834" displayName="Table_17" name="Table_17" id="17">
  <tableColumns count="3">
    <tableColumn name="Column1" id="1"/>
    <tableColumn name="Column2" id="2"/>
    <tableColumn name="Column3" id="3"/>
  </tableColumns>
  <tableStyleInfo name="Base 3F-style 7" showColumnStripes="0" showFirstColumn="1" showLastColumn="1" showRowStripes="1"/>
</table>
</file>

<file path=xl/tables/table8.xml><?xml version="1.0" encoding="utf-8"?>
<table xmlns="http://schemas.openxmlformats.org/spreadsheetml/2006/main" headerRowCount="0" ref="Q1173:R1173" displayName="Table_19" name="Table_19" id="19">
  <tableColumns count="2">
    <tableColumn name="Column1" id="1"/>
    <tableColumn name="Column2" id="2"/>
  </tableColumns>
  <tableStyleInfo name="Base 3F-style 8" showColumnStripes="0" showFirstColumn="1" showLastColumn="1" showRowStripes="1"/>
</table>
</file>

<file path=xl/tables/table9.xml><?xml version="1.0" encoding="utf-8"?>
<table xmlns="http://schemas.openxmlformats.org/spreadsheetml/2006/main" headerRowCount="0" ref="Q1590:R1590" displayName="Table_21" name="Table_21" id="21">
  <tableColumns count="2">
    <tableColumn name="Column1" id="1"/>
    <tableColumn name="Column2" id="2"/>
  </tableColumns>
  <tableStyleInfo name="Base 3F-style 9" showColumnStripes="0" showFirstColumn="1" showLastColumn="1" showRowStripes="1"/>
</table>
</file>

<file path=xl/tables/table10.xml><?xml version="1.0" encoding="utf-8"?>
<table xmlns="http://schemas.openxmlformats.org/spreadsheetml/2006/main" headerRowCount="0" ref="O1674:P1674" displayName="Table_23" name="Table_23" id="23">
  <tableColumns count="2">
    <tableColumn name="Column1" id="1"/>
    <tableColumn name="Column2" id="2"/>
  </tableColumns>
  <tableStyleInfo name="Base 3F-style 10" showColumnStripes="0" showFirstColumn="1" showLastColumn="1" showRowStripes="1"/>
</table>
</file>

<file path=xl/tables/table11.xml><?xml version="1.0" encoding="utf-8"?>
<table xmlns="http://schemas.openxmlformats.org/spreadsheetml/2006/main" headerRowCount="0" ref="Q1932:R1932" displayName="Table_25" name="Table_25" id="25">
  <tableColumns count="2">
    <tableColumn name="Column1" id="1"/>
    <tableColumn name="Column2" id="2"/>
  </tableColumns>
  <tableStyleInfo name="Base 3F-style 11" showColumnStripes="0" showFirstColumn="1" showLastColumn="1" showRowStripes="1"/>
</table>
</file>

<file path=xl/tables/table12.xml><?xml version="1.0" encoding="utf-8"?>
<table xmlns="http://schemas.openxmlformats.org/spreadsheetml/2006/main" headerRowCount="0" ref="P1940:P1949" displayName="Table_27" name="Table_27" id="27">
  <tableColumns count="1">
    <tableColumn name="Column1" id="1"/>
  </tableColumns>
  <tableStyleInfo name="Base 3F-style 12" showColumnStripes="0" showFirstColumn="1" showLastColumn="1" showRowStripes="1"/>
</table>
</file>

<file path=xl/tables/table13.xml><?xml version="1.0" encoding="utf-8"?>
<table xmlns="http://schemas.openxmlformats.org/spreadsheetml/2006/main" headerRowCount="0" ref="Q1946:R1947" displayName="Table_28" name="Table_28" id="28">
  <tableColumns count="2">
    <tableColumn name="Column1" id="1"/>
    <tableColumn name="Column2" id="2"/>
  </tableColumns>
  <tableStyleInfo name="Base 3F-style 13" showColumnStripes="0" showFirstColumn="1" showLastColumn="1" showRowStripes="1"/>
</table>
</file>

<file path=xl/tables/table14.xml><?xml version="1.0" encoding="utf-8"?>
<table xmlns="http://schemas.openxmlformats.org/spreadsheetml/2006/main" headerRowCount="0" ref="D57" displayName="Table_2" name="Table_2" id="2">
  <tableColumns count="1">
    <tableColumn name="Column1" id="1"/>
  </tableColumns>
  <tableStyleInfo name="Mails_Normalizados-style" showColumnStripes="0" showFirstColumn="1" showLastColumn="1" showRowStripes="1"/>
</table>
</file>

<file path=xl/tables/table15.xml><?xml version="1.0" encoding="utf-8"?>
<table xmlns="http://schemas.openxmlformats.org/spreadsheetml/2006/main" headerRowCount="0" ref="D58" displayName="Table_3" name="Table_3" id="3">
  <tableColumns count="1">
    <tableColumn name="Column1" id="1"/>
  </tableColumns>
  <tableStyleInfo name="Mails_Normalizados-style 2" showColumnStripes="0" showFirstColumn="1" showLastColumn="1" showRowStripes="1"/>
</table>
</file>

<file path=xl/tables/table16.xml><?xml version="1.0" encoding="utf-8"?>
<table xmlns="http://schemas.openxmlformats.org/spreadsheetml/2006/main" headerRowCount="0" ref="D132" displayName="Table_5" name="Table_5" id="5">
  <tableColumns count="1">
    <tableColumn name="Column1" id="1"/>
  </tableColumns>
  <tableStyleInfo name="Mails_Normalizados-style 3" showColumnStripes="0" showFirstColumn="1" showLastColumn="1" showRowStripes="1"/>
</table>
</file>

<file path=xl/tables/table17.xml><?xml version="1.0" encoding="utf-8"?>
<table xmlns="http://schemas.openxmlformats.org/spreadsheetml/2006/main" headerRowCount="0" ref="D133" displayName="Table_6" name="Table_6" id="6">
  <tableColumns count="1">
    <tableColumn name="Column1" id="1"/>
  </tableColumns>
  <tableStyleInfo name="Mails_Normalizados-style 4" showColumnStripes="0" showFirstColumn="1" showLastColumn="1" showRowStripes="1"/>
</table>
</file>

<file path=xl/tables/table18.xml><?xml version="1.0" encoding="utf-8"?>
<table xmlns="http://schemas.openxmlformats.org/spreadsheetml/2006/main" headerRowCount="0" ref="D263" displayName="Table_8" name="Table_8" id="8">
  <tableColumns count="1">
    <tableColumn name="Column1" id="1"/>
  </tableColumns>
  <tableStyleInfo name="Mails_Normalizados-style 5" showColumnStripes="0" showFirstColumn="1" showLastColumn="1" showRowStripes="1"/>
</table>
</file>

<file path=xl/tables/table19.xml><?xml version="1.0" encoding="utf-8"?>
<table xmlns="http://schemas.openxmlformats.org/spreadsheetml/2006/main" headerRowCount="0" ref="D265" displayName="Table_10" name="Table_10" id="10">
  <tableColumns count="1">
    <tableColumn name="Column1" id="1"/>
  </tableColumns>
  <tableStyleInfo name="Mails_Normalizados-style 6" showColumnStripes="0" showFirstColumn="1" showLastColumn="1" showRowStripes="1"/>
</table>
</file>

<file path=xl/tables/table20.xml><?xml version="1.0" encoding="utf-8"?>
<table xmlns="http://schemas.openxmlformats.org/spreadsheetml/2006/main" headerRowCount="0" ref="D653" displayName="Table_12" name="Table_12" id="12">
  <tableColumns count="1">
    <tableColumn name="Column1" id="1"/>
  </tableColumns>
  <tableStyleInfo name="Mails_Normalizados-style 7" showColumnStripes="0" showFirstColumn="1" showLastColumn="1" showRowStripes="1"/>
</table>
</file>

<file path=xl/tables/table21.xml><?xml version="1.0" encoding="utf-8"?>
<table xmlns="http://schemas.openxmlformats.org/spreadsheetml/2006/main" headerRowCount="0" ref="D655" displayName="Table_14" name="Table_14" id="14">
  <tableColumns count="1">
    <tableColumn name="Column1" id="1"/>
  </tableColumns>
  <tableStyleInfo name="Mails_Normalizados-style 8" showColumnStripes="0" showFirstColumn="1" showLastColumn="1" showRowStripes="1"/>
</table>
</file>

<file path=xl/tables/table22.xml><?xml version="1.0" encoding="utf-8"?>
<table xmlns="http://schemas.openxmlformats.org/spreadsheetml/2006/main" headerRowCount="0" ref="D830" displayName="Table_16" name="Table_16" id="16">
  <tableColumns count="1">
    <tableColumn name="Column1" id="1"/>
  </tableColumns>
  <tableStyleInfo name="Mails_Normalizados-style 9" showColumnStripes="0" showFirstColumn="1" showLastColumn="1" showRowStripes="1"/>
</table>
</file>

<file path=xl/tables/table23.xml><?xml version="1.0" encoding="utf-8"?>
<table xmlns="http://schemas.openxmlformats.org/spreadsheetml/2006/main" headerRowCount="0" ref="D832" displayName="Table_18" name="Table_18" id="18">
  <tableColumns count="1">
    <tableColumn name="Column1" id="1"/>
  </tableColumns>
  <tableStyleInfo name="Mails_Normalizados-style 10" showColumnStripes="0" showFirstColumn="1" showLastColumn="1" showRowStripes="1"/>
</table>
</file>

<file path=xl/tables/table24.xml><?xml version="1.0" encoding="utf-8"?>
<table xmlns="http://schemas.openxmlformats.org/spreadsheetml/2006/main" headerRowCount="0" ref="D1671" displayName="Table_20" name="Table_20" id="20">
  <tableColumns count="1">
    <tableColumn name="Column1" id="1"/>
  </tableColumns>
  <tableStyleInfo name="Mails_Normalizados-style 11" showColumnStripes="0" showFirstColumn="1" showLastColumn="1" showRowStripes="1"/>
</table>
</file>

<file path=xl/tables/table25.xml><?xml version="1.0" encoding="utf-8"?>
<table xmlns="http://schemas.openxmlformats.org/spreadsheetml/2006/main" headerRowCount="0" ref="D1673" displayName="Table_22" name="Table_22" id="22">
  <tableColumns count="1">
    <tableColumn name="Column1" id="1"/>
  </tableColumns>
  <tableStyleInfo name="Mails_Normalizados-style 12" showColumnStripes="0" showFirstColumn="1" showLastColumn="1" showRowStripes="1"/>
</table>
</file>

<file path=xl/tables/table26.xml><?xml version="1.0" encoding="utf-8"?>
<table xmlns="http://schemas.openxmlformats.org/spreadsheetml/2006/main" headerRowCount="0" ref="D1937:D1946" displayName="Table_24" name="Table_24" id="24">
  <tableColumns count="1">
    <tableColumn name="Column1" id="1"/>
  </tableColumns>
  <tableStyleInfo name="Mails_Normalizados-style 13" showColumnStripes="0" showFirstColumn="1" showLastColumn="1" showRowStripes="1"/>
</table>
</file>

<file path=xl/tables/table27.xml><?xml version="1.0" encoding="utf-8"?>
<table xmlns="http://schemas.openxmlformats.org/spreadsheetml/2006/main" headerRowCount="0" ref="D1977" displayName="Table_26" name="Table_26" id="26">
  <tableColumns count="1">
    <tableColumn name="Column1" id="1"/>
  </tableColumns>
  <tableStyleInfo name="Mails_Normalizados-style 14" showColumnStripes="0" showFirstColumn="1" showLastColumn="1" showRowStripes="1"/>
</table>
</file>

<file path=xl/tables/table28.xml><?xml version="1.0" encoding="utf-8"?>
<table xmlns="http://schemas.openxmlformats.org/spreadsheetml/2006/main" headerRowCount="0" ref="D2122" displayName="Table_29" name="Table_29" id="29">
  <tableColumns count="1">
    <tableColumn name="Column1" id="1"/>
  </tableColumns>
  <tableStyleInfo name="Mails_Normalizados-style 15" showColumnStripes="0" showFirstColumn="1" showLastColumn="1" showRowStripes="1"/>
</table>
</file>

<file path=xl/tables/table29.xml><?xml version="1.0" encoding="utf-8"?>
<table xmlns="http://schemas.openxmlformats.org/spreadsheetml/2006/main" headerRowCount="0" ref="D2135" displayName="Table_30" name="Table_30" id="30">
  <tableColumns count="1">
    <tableColumn name="Column1" id="1"/>
  </tableColumns>
  <tableStyleInfo name="Mails_Normalizados-style 16" showColumnStripes="0" showFirstColumn="1" showLastColumn="1" showRowStripes="1"/>
</table>
</file>

<file path=xl/tables/table30.xml><?xml version="1.0" encoding="utf-8"?>
<table xmlns="http://schemas.openxmlformats.org/spreadsheetml/2006/main" headerRowCount="0" ref="D2172" displayName="Table_31" name="Table_31" id="31">
  <tableColumns count="1">
    <tableColumn name="Column1" id="1"/>
  </tableColumns>
  <tableStyleInfo name="Mails_Normalizados-style 17" showColumnStripes="0" showFirstColumn="1" showLastColumn="1" showRowStripes="1"/>
</table>
</file>

<file path=xl/tables/table31.xml><?xml version="1.0" encoding="utf-8"?>
<table xmlns="http://schemas.openxmlformats.org/spreadsheetml/2006/main" headerRowCount="0" ref="D2197" displayName="Table_32" name="Table_32" id="32">
  <tableColumns count="1">
    <tableColumn name="Column1" id="1"/>
  </tableColumns>
  <tableStyleInfo name="Mails_Normalizados-style 18" showColumnStripes="0" showFirstColumn="1" showLastColumn="1" showRowStripes="1"/>
</table>
</file>

<file path=xl/tables/table32.xml><?xml version="1.0" encoding="utf-8"?>
<table xmlns="http://schemas.openxmlformats.org/spreadsheetml/2006/main" headerRowCount="0" ref="D2223" displayName="Table_33" name="Table_33" id="33">
  <tableColumns count="1">
    <tableColumn name="Column1" id="1"/>
  </tableColumns>
  <tableStyleInfo name="Mails_Normalizados-style 19" showColumnStripes="0" showFirstColumn="1" showLastColumn="1" showRowStripes="1"/>
</table>
</file>

<file path=xl/tables/table33.xml><?xml version="1.0" encoding="utf-8"?>
<table xmlns="http://schemas.openxmlformats.org/spreadsheetml/2006/main" headerRowCount="0" ref="D2255" displayName="Table_34" name="Table_34" id="34">
  <tableColumns count="1">
    <tableColumn name="Column1" id="1"/>
  </tableColumns>
  <tableStyleInfo name="Mails_Normalizados-style 20" showColumnStripes="0" showFirstColumn="1" showLastColumn="1" showRowStripes="1"/>
</table>
</file>

<file path=xl/tables/table34.xml><?xml version="1.0" encoding="utf-8"?>
<table xmlns="http://schemas.openxmlformats.org/spreadsheetml/2006/main" headerRowCount="0" ref="D2262:D2263" displayName="Table_35" name="Table_35" id="35">
  <tableColumns count="1">
    <tableColumn name="Column1" id="1"/>
  </tableColumns>
  <tableStyleInfo name="Mails_Normalizados-style 21" showColumnStripes="0" showFirstColumn="1" showLastColumn="1" showRowStripes="1"/>
</table>
</file>

<file path=xl/tables/table35.xml><?xml version="1.0" encoding="utf-8"?>
<table xmlns="http://schemas.openxmlformats.org/spreadsheetml/2006/main" headerRowCount="0" ref="D2286" displayName="Table_36" name="Table_36" id="36">
  <tableColumns count="1">
    <tableColumn name="Column1" id="1"/>
  </tableColumns>
  <tableStyleInfo name="Mails_Normalizados-style 22" showColumnStripes="0" showFirstColumn="1" showLastColumn="1" showRowStripes="1"/>
</table>
</file>

<file path=xl/tables/table36.xml><?xml version="1.0" encoding="utf-8"?>
<table xmlns="http://schemas.openxmlformats.org/spreadsheetml/2006/main" headerRowCount="0" ref="D2291" displayName="Table_37" name="Table_37" id="37">
  <tableColumns count="1">
    <tableColumn name="Column1" id="1"/>
  </tableColumns>
  <tableStyleInfo name="Mails_Normalizados-style 23" showColumnStripes="0" showFirstColumn="1" showLastColumn="1" showRowStripes="1"/>
</table>
</file>

<file path=xl/tables/table37.xml><?xml version="1.0" encoding="utf-8"?>
<table xmlns="http://schemas.openxmlformats.org/spreadsheetml/2006/main" headerRowCount="0" ref="D2302" displayName="Table_38" name="Table_38" id="38">
  <tableColumns count="1">
    <tableColumn name="Column1" id="1"/>
  </tableColumns>
  <tableStyleInfo name="Mails_Normalizados-style 24" showColumnStripes="0" showFirstColumn="1" showLastColumn="1" showRowStripes="1"/>
</table>
</file>

<file path=xl/tables/table38.xml><?xml version="1.0" encoding="utf-8"?>
<table xmlns="http://schemas.openxmlformats.org/spreadsheetml/2006/main" headerRowCount="0" ref="D2311:D2320" displayName="Table_39" name="Table_39" id="39">
  <tableColumns count="1">
    <tableColumn name="Column1" id="1"/>
  </tableColumns>
  <tableStyleInfo name="Mails_Normalizados-style 25" showColumnStripes="0" showFirstColumn="1" showLastColumn="1" showRowStripes="1"/>
</table>
</file>

<file path=xl/tables/table39.xml><?xml version="1.0" encoding="utf-8"?>
<table xmlns="http://schemas.openxmlformats.org/spreadsheetml/2006/main" headerRowCount="0" ref="D2544" displayName="Table_40" name="Table_40" id="40">
  <tableColumns count="1">
    <tableColumn name="Column1" id="1"/>
  </tableColumns>
  <tableStyleInfo name="Mails_Normalizados-style 26" showColumnStripes="0" showFirstColumn="1" showLastColumn="1" showRowStripes="1"/>
</table>
</file>

<file path=xl/tables/table40.xml><?xml version="1.0" encoding="utf-8"?>
<table xmlns="http://schemas.openxmlformats.org/spreadsheetml/2006/main" headerRowCount="0" ref="D3114" displayName="Table_41" name="Table_41" id="41">
  <tableColumns count="1">
    <tableColumn name="Column1" id="1"/>
  </tableColumns>
  <tableStyleInfo name="Mails_Normalizados-style 27" showColumnStripes="0" showFirstColumn="1" showLastColumn="1" showRowStripes="1"/>
</table>
</file>

<file path=xl/tables/table41.xml><?xml version="1.0" encoding="utf-8"?>
<table xmlns="http://schemas.openxmlformats.org/spreadsheetml/2006/main" headerRowCount="0" ref="D3347" displayName="Table_42" name="Table_42" id="42">
  <tableColumns count="1">
    <tableColumn name="Column1" id="1"/>
  </tableColumns>
  <tableStyleInfo name="Mails_Normalizados-style 28" showColumnStripes="0" showFirstColumn="1" showLastColumn="1" showRowStripes="1"/>
</table>
</file>

<file path=xl/tables/table42.xml><?xml version="1.0" encoding="utf-8"?>
<table xmlns="http://schemas.openxmlformats.org/spreadsheetml/2006/main" headerRowCount="0" ref="D3532" displayName="Table_43" name="Table_43" id="43">
  <tableColumns count="1">
    <tableColumn name="Column1" id="1"/>
  </tableColumns>
  <tableStyleInfo name="Mails_Normalizados-style 29" showColumnStripes="0" showFirstColumn="1" showLastColumn="1" showRowStripes="1"/>
</table>
</file>

<file path=xl/tables/table43.xml><?xml version="1.0" encoding="utf-8"?>
<table xmlns="http://schemas.openxmlformats.org/spreadsheetml/2006/main" headerRowCount="0" ref="D3765" displayName="Table_44" name="Table_44" id="44">
  <tableColumns count="1">
    <tableColumn name="Column1" id="1"/>
  </tableColumns>
  <tableStyleInfo name="Mails_Normalizados-style 30" showColumnStripes="0" showFirstColumn="1" showLastColumn="1" showRowStripes="1"/>
</table>
</file>

<file path=xl/tables/table44.xml><?xml version="1.0" encoding="utf-8"?>
<table xmlns="http://schemas.openxmlformats.org/spreadsheetml/2006/main" headerRowCount="0" ref="D3874" displayName="Table_45" name="Table_45" id="45">
  <tableColumns count="1">
    <tableColumn name="Column1" id="1"/>
  </tableColumns>
  <tableStyleInfo name="Mails_Normalizados-style 31" showColumnStripes="0" showFirstColumn="1" showLastColumn="1" showRowStripes="1"/>
</table>
</file>

<file path=xl/tables/table45.xml><?xml version="1.0" encoding="utf-8"?>
<table xmlns="http://schemas.openxmlformats.org/spreadsheetml/2006/main" headerRowCount="0" ref="D3888:D3889" displayName="Table_46" name="Table_46" id="46">
  <tableColumns count="1">
    <tableColumn name="Column1" id="1"/>
  </tableColumns>
  <tableStyleInfo name="Mails_Normalizados-style 32" showColumnStripes="0" showFirstColumn="1" showLastColumn="1" showRowStripes="1"/>
</table>
</file>

<file path=xl/tables/table46.xml><?xml version="1.0" encoding="utf-8"?>
<table xmlns="http://schemas.openxmlformats.org/spreadsheetml/2006/main" headerRowCount="0" ref="D4107" displayName="Table_47" name="Table_47" id="47">
  <tableColumns count="1">
    <tableColumn name="Column1" id="1"/>
  </tableColumns>
  <tableStyleInfo name="Mails_Normalizados-style 33" showColumnStripes="0" showFirstColumn="1" showLastColumn="1" showRowStripes="1"/>
</table>
</file>

<file path=xl/tables/table47.xml><?xml version="1.0" encoding="utf-8"?>
<table xmlns="http://schemas.openxmlformats.org/spreadsheetml/2006/main" headerRowCount="0" ref="D4121:D4122" displayName="Table_48" name="Table_48" id="48">
  <tableColumns count="1">
    <tableColumn name="Column1" id="1"/>
  </tableColumns>
  <tableStyleInfo name="Mails_Normalizados-style 34" showColumnStripes="0" showFirstColumn="1" showLastColumn="1" showRowStripes="1"/>
</table>
</file>

<file path=xl/tables/table48.xml><?xml version="1.0" encoding="utf-8"?>
<table xmlns="http://schemas.openxmlformats.org/spreadsheetml/2006/main" headerRowCount="0" ref="A367:A368" displayName="Table_1" name="Table_1" id="1">
  <tableColumns count="1">
    <tableColumn name="Column1" id="1"/>
  </tableColumns>
  <tableStyleInfo name="Contacto 1 y 2 (a eliminar)-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7-01T01:41:14.00" personId="{3b25e727-4505-4e19-864e-db3adc630b4e}" id="{01071367-90dd-44cb-838a-e8f976b5a32e}" done="0">
    <x18tc:text xml:space="preserve">Elige 'Principal' para el correo oficial de contacto. Si tiene más, ponlos como 'Secundario'</x18tc:text>
  </x18tc:threadedComment>
  <x18tc:threadedComment ref="A1" dT="2026-07-01T01:40:46.00" personId="{3b25e727-4505-4e19-864e-db3adc630b4e}" id="{919acbe7-04aa-4c8d-8841-917e8d388d86}" done="1">
    <x18tc:text xml:space="preserve">Escribe un solo correo válido por celda</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 dT="2026-07-01T02:01:39.00" personId="{3b25e727-4505-4e19-864e-db3adc630b4e}" id="{ed1df8be-e591-4364-9ff7-28df2bf44b0a}" done="0">
    <x18tc:text xml:space="preserve">CUIT y RUBRO se autocompletan dependiendo de los datos de la Hoja Principal de esa empresa</x18tc:text>
  </x18tc:threadedComment>
  <x18tc:threadedComment ref="A1" dT="2026-07-01T01:40:34.00" personId="{3b25e727-4505-4e19-864e-db3adc630b4e}" id="{d5c04bb4-2d87-4007-b7d8-9a007210049e}" done="0">
    <x18tc:text xml:space="preserve">⚠️ CARGA DE MAILS: Si una empresa tiene varios correos, usa una fila nueva para cada uno. No separes correos por comas.
Si no aparece una empresa en el chip, deben agregarla en la hoja principal</x18tc:text>
  </x18tc:threadedComment>
  <x18tc:threadedComment ref="D1" dT="2026-07-01T01:41:24.00" personId="{3b25e727-4505-4e19-864e-db3adc630b4e}" id="{f70e7020-74d4-4a78-a2cd-e61a34aa32f6}" done="0">
    <x18tc:text xml:space="preserve">Escribe un solo correo válido por celda</x18tc:text>
  </x18tc:threadedComment>
</x18tc:ThreadedComments>
</file>

<file path=xl/worksheets/_rels/sheet1.xml.rels><?xml version="1.0" encoding="UTF-8" standalone="yes"?><Relationships xmlns="http://schemas.openxmlformats.org/package/2006/relationships"><Relationship Id="rId190" Type="http://schemas.openxmlformats.org/officeDocument/2006/relationships/hyperlink" Target="https://www.cynthios.com.ar/" TargetMode="External"/><Relationship Id="rId194" Type="http://schemas.openxmlformats.org/officeDocument/2006/relationships/hyperlink" Target="https://www.danytexs.com.ar/" TargetMode="External"/><Relationship Id="rId193" Type="http://schemas.openxmlformats.org/officeDocument/2006/relationships/hyperlink" Target="http://www.chimak3d.com/" TargetMode="External"/><Relationship Id="rId192" Type="http://schemas.openxmlformats.org/officeDocument/2006/relationships/hyperlink" Target="https://dachcomsrl.com/" TargetMode="External"/><Relationship Id="rId191" Type="http://schemas.openxmlformats.org/officeDocument/2006/relationships/hyperlink" Target="https://dyd-brocol.com.ar/" TargetMode="External"/><Relationship Id="rId187" Type="http://schemas.openxmlformats.org/officeDocument/2006/relationships/hyperlink" Target="http://axal.com.ar" TargetMode="External"/><Relationship Id="rId186" Type="http://schemas.openxmlformats.org/officeDocument/2006/relationships/hyperlink" Target="https://cubcosurveyor.com/es/index.html" TargetMode="External"/><Relationship Id="rId185" Type="http://schemas.openxmlformats.org/officeDocument/2006/relationships/hyperlink" Target="https://www.facebook.com/crossingflex/?locale=es_LA" TargetMode="External"/><Relationship Id="rId184" Type="http://schemas.openxmlformats.org/officeDocument/2006/relationships/hyperlink" Target="https://cristalbang.com.ar/" TargetMode="External"/><Relationship Id="rId189" Type="http://schemas.openxmlformats.org/officeDocument/2006/relationships/hyperlink" Target="http://www.cepilloscvc.com.ar/" TargetMode="External"/><Relationship Id="rId188" Type="http://schemas.openxmlformats.org/officeDocument/2006/relationships/hyperlink" Target="https://www.cvingenieria.com.ar/" TargetMode="External"/><Relationship Id="rId183" Type="http://schemas.openxmlformats.org/officeDocument/2006/relationships/hyperlink" Target="https://www.cremonesi.com.ar/" TargetMode="External"/><Relationship Id="rId182" Type="http://schemas.openxmlformats.org/officeDocument/2006/relationships/hyperlink" Target="http://cosmetecnica.com/" TargetMode="External"/><Relationship Id="rId181" Type="http://schemas.openxmlformats.org/officeDocument/2006/relationships/hyperlink" Target="https://coolsmart.com.ar/" TargetMode="External"/><Relationship Id="rId180" Type="http://schemas.openxmlformats.org/officeDocument/2006/relationships/hyperlink" Target="https://conylec.com.ar/" TargetMode="External"/><Relationship Id="rId176" Type="http://schemas.openxmlformats.org/officeDocument/2006/relationships/hyperlink" Target="https://construseralvear.mercadoshops.com.ar/" TargetMode="External"/><Relationship Id="rId297" Type="http://schemas.openxmlformats.org/officeDocument/2006/relationships/hyperlink" Target="https://hancolor.com.ar/" TargetMode="External"/><Relationship Id="rId175" Type="http://schemas.openxmlformats.org/officeDocument/2006/relationships/hyperlink" Target="https://www.construsan.com.ar/" TargetMode="External"/><Relationship Id="rId296" Type="http://schemas.openxmlformats.org/officeDocument/2006/relationships/hyperlink" Target="https://www.hkoch.com.ar/" TargetMode="External"/><Relationship Id="rId174" Type="http://schemas.openxmlformats.org/officeDocument/2006/relationships/hyperlink" Target="http://www.conimed.com/" TargetMode="External"/><Relationship Id="rId295" Type="http://schemas.openxmlformats.org/officeDocument/2006/relationships/hyperlink" Target="https://www.guarnitalsrl.com/" TargetMode="External"/><Relationship Id="rId173" Type="http://schemas.openxmlformats.org/officeDocument/2006/relationships/hyperlink" Target="https://www.mesiba.com.ar/" TargetMode="External"/><Relationship Id="rId294" Type="http://schemas.openxmlformats.org/officeDocument/2006/relationships/hyperlink" Target="https://gtcribbon.com/" TargetMode="External"/><Relationship Id="rId179" Type="http://schemas.openxmlformats.org/officeDocument/2006/relationships/hyperlink" Target="https://conyca.com.ar/contacto/" TargetMode="External"/><Relationship Id="rId178" Type="http://schemas.openxmlformats.org/officeDocument/2006/relationships/hyperlink" Target="https://converpelargentina.com.ar/" TargetMode="External"/><Relationship Id="rId299" Type="http://schemas.openxmlformats.org/officeDocument/2006/relationships/hyperlink" Target="https://www.hediar.com.ar/" TargetMode="External"/><Relationship Id="rId177" Type="http://schemas.openxmlformats.org/officeDocument/2006/relationships/hyperlink" Target="https://www.mitral.com.ar/" TargetMode="External"/><Relationship Id="rId298" Type="http://schemas.openxmlformats.org/officeDocument/2006/relationships/hyperlink" Target="https://jmdistribuidora.com/product-category/productos-jberries/" TargetMode="External"/><Relationship Id="rId198" Type="http://schemas.openxmlformats.org/officeDocument/2006/relationships/hyperlink" Target="https://linktr.ee/decalsgrafica?utm_source=linktree_profile_share&amp;ltsid=d3643be4-063e-4e1a-b06a-ce3d427a303b" TargetMode="External"/><Relationship Id="rId197" Type="http://schemas.openxmlformats.org/officeDocument/2006/relationships/hyperlink" Target="http://demarinis.com.ar" TargetMode="External"/><Relationship Id="rId196" Type="http://schemas.openxmlformats.org/officeDocument/2006/relationships/hyperlink" Target="https://dazconductores.com.ar/" TargetMode="External"/><Relationship Id="rId195" Type="http://schemas.openxmlformats.org/officeDocument/2006/relationships/hyperlink" Target="http://dasa.com.ar/contacto.html" TargetMode="External"/><Relationship Id="rId199" Type="http://schemas.openxmlformats.org/officeDocument/2006/relationships/hyperlink" Target="https://www.idoler.com.ar/" TargetMode="External"/><Relationship Id="rId150" Type="http://schemas.openxmlformats.org/officeDocument/2006/relationships/hyperlink" Target="https://cintagom.com/" TargetMode="External"/><Relationship Id="rId271" Type="http://schemas.openxmlformats.org/officeDocument/2006/relationships/hyperlink" Target="http://www.frare.com.ar/" TargetMode="External"/><Relationship Id="rId392" Type="http://schemas.openxmlformats.org/officeDocument/2006/relationships/hyperlink" Target="https://www.mriplasticas.com.ar/?i=1" TargetMode="External"/><Relationship Id="rId270" Type="http://schemas.openxmlformats.org/officeDocument/2006/relationships/hyperlink" Target="https://talleres-rjf.negocio.site/" TargetMode="External"/><Relationship Id="rId391" Type="http://schemas.openxmlformats.org/officeDocument/2006/relationships/hyperlink" Target="http://www.johnsonelectric.com" TargetMode="External"/><Relationship Id="rId390" Type="http://schemas.openxmlformats.org/officeDocument/2006/relationships/hyperlink" Target="https://www.lumaproductos.com.ar/"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www.cinens.com.ar/" TargetMode="External"/><Relationship Id="rId4" Type="http://schemas.openxmlformats.org/officeDocument/2006/relationships/hyperlink" Target="https://www.dosg.com.ar/" TargetMode="External"/><Relationship Id="rId148" Type="http://schemas.openxmlformats.org/officeDocument/2006/relationships/hyperlink" Target="https://grupocimhe.com/" TargetMode="External"/><Relationship Id="rId269" Type="http://schemas.openxmlformats.org/officeDocument/2006/relationships/hyperlink" Target="https://www.pinturasfrall.com.ar/" TargetMode="External"/><Relationship Id="rId9" Type="http://schemas.openxmlformats.org/officeDocument/2006/relationships/hyperlink" Target="https://valvulas-esteban.com.ar/" TargetMode="External"/><Relationship Id="rId143" Type="http://schemas.openxmlformats.org/officeDocument/2006/relationships/hyperlink" Target="https://www.chillersystem.com/" TargetMode="External"/><Relationship Id="rId264" Type="http://schemas.openxmlformats.org/officeDocument/2006/relationships/hyperlink" Target="https://www.flexelo.com/?page=Contacto" TargetMode="External"/><Relationship Id="rId385" Type="http://schemas.openxmlformats.org/officeDocument/2006/relationships/hyperlink" Target="https://coworking.com.ar/" TargetMode="External"/><Relationship Id="rId142" Type="http://schemas.openxmlformats.org/officeDocument/2006/relationships/hyperlink" Target="https://chilleout.com.ar/" TargetMode="External"/><Relationship Id="rId263" Type="http://schemas.openxmlformats.org/officeDocument/2006/relationships/hyperlink" Target="https://fijacionesimel.com.ar/contacto" TargetMode="External"/><Relationship Id="rId384" Type="http://schemas.openxmlformats.org/officeDocument/2006/relationships/hyperlink" Target="https://www.cuitonline.com/detalle/23143791319/lignini-claudio-esteban.html" TargetMode="External"/><Relationship Id="rId141" Type="http://schemas.openxmlformats.org/officeDocument/2006/relationships/hyperlink" Target="https://chavetasgalas.com.ar/" TargetMode="External"/><Relationship Id="rId262" Type="http://schemas.openxmlformats.org/officeDocument/2006/relationships/hyperlink" Target="https://fijacionesimel.com.ar/contacto" TargetMode="External"/><Relationship Id="rId383" Type="http://schemas.openxmlformats.org/officeDocument/2006/relationships/hyperlink" Target="https://leducom.com.ar/" TargetMode="External"/><Relationship Id="rId140" Type="http://schemas.openxmlformats.org/officeDocument/2006/relationships/hyperlink" Target="https://www.grupochalten.com.ar/index.php" TargetMode="External"/><Relationship Id="rId261" Type="http://schemas.openxmlformats.org/officeDocument/2006/relationships/hyperlink" Target="http://fijacionesimel.com.ar/" TargetMode="External"/><Relationship Id="rId382" Type="http://schemas.openxmlformats.org/officeDocument/2006/relationships/hyperlink" Target="http://laring.com/" TargetMode="External"/><Relationship Id="rId5" Type="http://schemas.openxmlformats.org/officeDocument/2006/relationships/hyperlink" Target="https://amasd.com.ar/" TargetMode="External"/><Relationship Id="rId147" Type="http://schemas.openxmlformats.org/officeDocument/2006/relationships/hyperlink" Target="https://grupobiored.com.ar/" TargetMode="External"/><Relationship Id="rId268" Type="http://schemas.openxmlformats.org/officeDocument/2006/relationships/hyperlink" Target="http://www.almoharsh.com.ar/" TargetMode="External"/><Relationship Id="rId389" Type="http://schemas.openxmlformats.org/officeDocument/2006/relationships/hyperlink" Target="https://www.lubeseguridad.com.ar/" TargetMode="External"/><Relationship Id="rId6" Type="http://schemas.openxmlformats.org/officeDocument/2006/relationships/hyperlink" Target="https://valgo.com.ar/" TargetMode="External"/><Relationship Id="rId146" Type="http://schemas.openxmlformats.org/officeDocument/2006/relationships/hyperlink" Target="https://esmetic.com.ar/" TargetMode="External"/><Relationship Id="rId267" Type="http://schemas.openxmlformats.org/officeDocument/2006/relationships/hyperlink" Target="https://www.flexitec.com.ar/" TargetMode="External"/><Relationship Id="rId388" Type="http://schemas.openxmlformats.org/officeDocument/2006/relationships/hyperlink" Target="https://www.logisticasmiraglia.com.ar/" TargetMode="External"/><Relationship Id="rId7" Type="http://schemas.openxmlformats.org/officeDocument/2006/relationships/hyperlink" Target="http://www.aantaj.com.ar/" TargetMode="External"/><Relationship Id="rId145" Type="http://schemas.openxmlformats.org/officeDocument/2006/relationships/hyperlink" Target="https://chousa.com.ar/" TargetMode="External"/><Relationship Id="rId266" Type="http://schemas.openxmlformats.org/officeDocument/2006/relationships/hyperlink" Target="https://www.flexitec.com.ar/" TargetMode="External"/><Relationship Id="rId387" Type="http://schemas.openxmlformats.org/officeDocument/2006/relationships/hyperlink" Target="https://www.locatellihnos.com.ar/" TargetMode="External"/><Relationship Id="rId8" Type="http://schemas.openxmlformats.org/officeDocument/2006/relationships/hyperlink" Target="http://www.abaflex.com.ar" TargetMode="External"/><Relationship Id="rId144" Type="http://schemas.openxmlformats.org/officeDocument/2006/relationships/hyperlink" Target="https://chisap.com/" TargetMode="External"/><Relationship Id="rId265" Type="http://schemas.openxmlformats.org/officeDocument/2006/relationships/hyperlink" Target="http://www.flexico.com.ar/" TargetMode="External"/><Relationship Id="rId386" Type="http://schemas.openxmlformats.org/officeDocument/2006/relationships/hyperlink" Target="https://www.marmolesbortolin.com/" TargetMode="External"/><Relationship Id="rId260" Type="http://schemas.openxmlformats.org/officeDocument/2006/relationships/hyperlink" Target="https://fiestissima.com/" TargetMode="External"/><Relationship Id="rId381" Type="http://schemas.openxmlformats.org/officeDocument/2006/relationships/hyperlink" Target="https://www.lamifilm.com.ar/" TargetMode="External"/><Relationship Id="rId380" Type="http://schemas.openxmlformats.org/officeDocument/2006/relationships/hyperlink" Target="https://www.lambdachemical.com.ar/" TargetMode="External"/><Relationship Id="rId139" Type="http://schemas.openxmlformats.org/officeDocument/2006/relationships/hyperlink" Target="https://maniel32.com.ar/" TargetMode="External"/><Relationship Id="rId138" Type="http://schemas.openxmlformats.org/officeDocument/2006/relationships/hyperlink" Target="https://www.instagram.com/bierzuhause/" TargetMode="External"/><Relationship Id="rId259" Type="http://schemas.openxmlformats.org/officeDocument/2006/relationships/hyperlink" Target="https://www.forli.com.ar/" TargetMode="External"/><Relationship Id="rId137" Type="http://schemas.openxmlformats.org/officeDocument/2006/relationships/hyperlink" Target="https://www.plasticoscerri.com/" TargetMode="External"/><Relationship Id="rId258" Type="http://schemas.openxmlformats.org/officeDocument/2006/relationships/hyperlink" Target="https://www.instagram.com/felcap.s.a/?hl=es" TargetMode="External"/><Relationship Id="rId379" Type="http://schemas.openxmlformats.org/officeDocument/2006/relationships/hyperlink" Target="https://www.instagram.com/lamrepuestos/" TargetMode="External"/><Relationship Id="rId132" Type="http://schemas.openxmlformats.org/officeDocument/2006/relationships/hyperlink" Target="https://centralred.com.ar/" TargetMode="External"/><Relationship Id="rId253" Type="http://schemas.openxmlformats.org/officeDocument/2006/relationships/hyperlink" Target="https://fareemprendimientos.com.ar/" TargetMode="External"/><Relationship Id="rId374" Type="http://schemas.openxmlformats.org/officeDocument/2006/relationships/hyperlink" Target="https://primeradevillabosch.com.ar/" TargetMode="External"/><Relationship Id="rId495" Type="http://schemas.openxmlformats.org/officeDocument/2006/relationships/hyperlink" Target="https://rochitar.wixsite.com/rosoflex" TargetMode="External"/><Relationship Id="rId131" Type="http://schemas.openxmlformats.org/officeDocument/2006/relationships/hyperlink" Target="https://www.celsiussrl.com.ar/" TargetMode="External"/><Relationship Id="rId252" Type="http://schemas.openxmlformats.org/officeDocument/2006/relationships/hyperlink" Target="https://fapremol.com/contacto/" TargetMode="External"/><Relationship Id="rId373" Type="http://schemas.openxmlformats.org/officeDocument/2006/relationships/hyperlink" Target="https://www.lacarrocera.com.ar/" TargetMode="External"/><Relationship Id="rId494" Type="http://schemas.openxmlformats.org/officeDocument/2006/relationships/hyperlink" Target="https://rerar.com.ar/mujer-e-industria/" TargetMode="External"/><Relationship Id="rId130" Type="http://schemas.openxmlformats.org/officeDocument/2006/relationships/hyperlink" Target="http://www.uniformesangelo.com.ar/home.php" TargetMode="External"/><Relationship Id="rId251" Type="http://schemas.openxmlformats.org/officeDocument/2006/relationships/hyperlink" Target="https://faipsa.com/" TargetMode="External"/><Relationship Id="rId372" Type="http://schemas.openxmlformats.org/officeDocument/2006/relationships/hyperlink" Target="https://www.instagram.com/lyg_herrajes/?hl=es" TargetMode="External"/><Relationship Id="rId493" Type="http://schemas.openxmlformats.org/officeDocument/2006/relationships/hyperlink" Target="https://barrasolimpicasjr.com.ar/product-category/cinturones/" TargetMode="External"/><Relationship Id="rId250" Type="http://schemas.openxmlformats.org/officeDocument/2006/relationships/hyperlink" Target="http://www.bujesgomet.com.ar/" TargetMode="External"/><Relationship Id="rId371" Type="http://schemas.openxmlformats.org/officeDocument/2006/relationships/hyperlink" Target="https://www.kuppe.com.ar/" TargetMode="External"/><Relationship Id="rId492" Type="http://schemas.openxmlformats.org/officeDocument/2006/relationships/hyperlink" Target="https://www.linkedin.com/company/rodriflor-sa/?originalSubdomain=ar" TargetMode="External"/><Relationship Id="rId136" Type="http://schemas.openxmlformats.org/officeDocument/2006/relationships/hyperlink" Target="https://www.ceofic.com.ar/" TargetMode="External"/><Relationship Id="rId257" Type="http://schemas.openxmlformats.org/officeDocument/2006/relationships/hyperlink" Target="https://www.instagram.com/fegosrl/" TargetMode="External"/><Relationship Id="rId378" Type="http://schemas.openxmlformats.org/officeDocument/2006/relationships/hyperlink" Target="https://www.emeth.com.ar/" TargetMode="External"/><Relationship Id="rId499" Type="http://schemas.openxmlformats.org/officeDocument/2006/relationships/hyperlink" Target="https://stesa-camaras.com.ar/" TargetMode="External"/><Relationship Id="rId135" Type="http://schemas.openxmlformats.org/officeDocument/2006/relationships/hyperlink" Target="https://www.bimet.net/" TargetMode="External"/><Relationship Id="rId256" Type="http://schemas.openxmlformats.org/officeDocument/2006/relationships/hyperlink" Target="http://www.fdm-srl.com.ar/" TargetMode="External"/><Relationship Id="rId377" Type="http://schemas.openxmlformats.org/officeDocument/2006/relationships/hyperlink" Target="https://www.ecovita.com.ar/" TargetMode="External"/><Relationship Id="rId498" Type="http://schemas.openxmlformats.org/officeDocument/2006/relationships/hyperlink" Target="https://www.sabbatini.com.ar/" TargetMode="External"/><Relationship Id="rId134" Type="http://schemas.openxmlformats.org/officeDocument/2006/relationships/hyperlink" Target="http://www.corwin.com.ar/contacto.htm" TargetMode="External"/><Relationship Id="rId255" Type="http://schemas.openxmlformats.org/officeDocument/2006/relationships/hyperlink" Target="https://www.fcisa.com.ar/" TargetMode="External"/><Relationship Id="rId376" Type="http://schemas.openxmlformats.org/officeDocument/2006/relationships/hyperlink" Target="http://www.labdeterplus.com.ar/" TargetMode="External"/><Relationship Id="rId497" Type="http://schemas.openxmlformats.org/officeDocument/2006/relationships/hyperlink" Target="https://www.rubberservice.com.ar/" TargetMode="External"/><Relationship Id="rId133" Type="http://schemas.openxmlformats.org/officeDocument/2006/relationships/hyperlink" Target="https://www.instagram.com/torneriacentralmec/?hl=es-la" TargetMode="External"/><Relationship Id="rId254" Type="http://schemas.openxmlformats.org/officeDocument/2006/relationships/hyperlink" Target="https://www.fatansa.com.ar/" TargetMode="External"/><Relationship Id="rId375" Type="http://schemas.openxmlformats.org/officeDocument/2006/relationships/hyperlink" Target="https://www.dicofar.com/" TargetMode="External"/><Relationship Id="rId496" Type="http://schemas.openxmlformats.org/officeDocument/2006/relationships/hyperlink" Target="https://rotomplastsa.com.ar/" TargetMode="External"/><Relationship Id="rId172" Type="http://schemas.openxmlformats.org/officeDocument/2006/relationships/hyperlink" Target="https://www.conextube.com/" TargetMode="External"/><Relationship Id="rId293" Type="http://schemas.openxmlformats.org/officeDocument/2006/relationships/hyperlink" Target="https://www.vilum.com.ar/" TargetMode="External"/><Relationship Id="rId171" Type="http://schemas.openxmlformats.org/officeDocument/2006/relationships/hyperlink" Target="https://conduflex.com.ar/" TargetMode="External"/><Relationship Id="rId292" Type="http://schemas.openxmlformats.org/officeDocument/2006/relationships/hyperlink" Target="https://www.instagram.com/aberturasgrupototal/?hl=es" TargetMode="External"/><Relationship Id="rId170" Type="http://schemas.openxmlformats.org/officeDocument/2006/relationships/hyperlink" Target="https://www.compriband.com.ar/" TargetMode="External"/><Relationship Id="rId291" Type="http://schemas.openxmlformats.org/officeDocument/2006/relationships/hyperlink" Target="https://www.siprocsi.com.ar/" TargetMode="External"/><Relationship Id="rId290" Type="http://schemas.openxmlformats.org/officeDocument/2006/relationships/hyperlink" Target="https://www.metodogps.com.ar/gps/" TargetMode="External"/><Relationship Id="rId165" Type="http://schemas.openxmlformats.org/officeDocument/2006/relationships/hyperlink" Target="https://www.instagram.com/cia.asturiana_cafe3/?hl=es" TargetMode="External"/><Relationship Id="rId286" Type="http://schemas.openxmlformats.org/officeDocument/2006/relationships/hyperlink" Target="https://goprisrl.negocio.site/" TargetMode="External"/><Relationship Id="rId164" Type="http://schemas.openxmlformats.org/officeDocument/2006/relationships/hyperlink" Target="https://la-sante.com.ar/" TargetMode="External"/><Relationship Id="rId285" Type="http://schemas.openxmlformats.org/officeDocument/2006/relationships/hyperlink" Target="https://uniongood.com/" TargetMode="External"/><Relationship Id="rId163" Type="http://schemas.openxmlformats.org/officeDocument/2006/relationships/hyperlink" Target="https://plasticosflorida.com.ar/" TargetMode="External"/><Relationship Id="rId284" Type="http://schemas.openxmlformats.org/officeDocument/2006/relationships/hyperlink" Target="https://gomeztorralba.com.ar/" TargetMode="External"/><Relationship Id="rId162" Type="http://schemas.openxmlformats.org/officeDocument/2006/relationships/hyperlink" Target="https://www.ir3d.com.ar/" TargetMode="External"/><Relationship Id="rId283" Type="http://schemas.openxmlformats.org/officeDocument/2006/relationships/hyperlink" Target="https://www.golocan.com.ar/" TargetMode="External"/><Relationship Id="rId169" Type="http://schemas.openxmlformats.org/officeDocument/2006/relationships/hyperlink" Target="https://compresurt.com/" TargetMode="External"/><Relationship Id="rId168" Type="http://schemas.openxmlformats.org/officeDocument/2006/relationships/hyperlink" Target="https://www.bujiashescher.com.ar/" TargetMode="External"/><Relationship Id="rId289" Type="http://schemas.openxmlformats.org/officeDocument/2006/relationships/hyperlink" Target="https://www.instagram.com/amoblamientosgrosso/?hl=es" TargetMode="External"/><Relationship Id="rId167" Type="http://schemas.openxmlformats.org/officeDocument/2006/relationships/hyperlink" Target="https://www.plasticostextil.com.ar/" TargetMode="External"/><Relationship Id="rId288" Type="http://schemas.openxmlformats.org/officeDocument/2006/relationships/hyperlink" Target="https://www.opyr.com.ar/" TargetMode="External"/><Relationship Id="rId166" Type="http://schemas.openxmlformats.org/officeDocument/2006/relationships/hyperlink" Target="http://www.cae.com.ar/" TargetMode="External"/><Relationship Id="rId287" Type="http://schemas.openxmlformats.org/officeDocument/2006/relationships/hyperlink" Target="https://www.facebook.com/zbm.lab/?locale=es_LA" TargetMode="External"/><Relationship Id="rId161" Type="http://schemas.openxmlformats.org/officeDocument/2006/relationships/hyperlink" Target="http://coinpo.com.ar/somos.php" TargetMode="External"/><Relationship Id="rId282" Type="http://schemas.openxmlformats.org/officeDocument/2006/relationships/hyperlink" Target="https://www.perezlattanziprop.com.ar/" TargetMode="External"/><Relationship Id="rId160" Type="http://schemas.openxmlformats.org/officeDocument/2006/relationships/hyperlink" Target="https://www.cofaco.com.ar/" TargetMode="External"/><Relationship Id="rId281" Type="http://schemas.openxmlformats.org/officeDocument/2006/relationships/hyperlink" Target="http://www.grusso.com.ar/" TargetMode="External"/><Relationship Id="rId280" Type="http://schemas.openxmlformats.org/officeDocument/2006/relationships/hyperlink" Target="https://www.gamuza.com.ar/" TargetMode="External"/><Relationship Id="rId159" Type="http://schemas.openxmlformats.org/officeDocument/2006/relationships/hyperlink" Target="https://www.cofaco.com.ar/" TargetMode="External"/><Relationship Id="rId154" Type="http://schemas.openxmlformats.org/officeDocument/2006/relationships/hyperlink" Target="https://www.covisa.com.ar/" TargetMode="External"/><Relationship Id="rId275" Type="http://schemas.openxmlformats.org/officeDocument/2006/relationships/hyperlink" Target="https://fundimet.com.ar/" TargetMode="External"/><Relationship Id="rId396" Type="http://schemas.openxmlformats.org/officeDocument/2006/relationships/hyperlink" Target="https://maptecnologia.com.ar/" TargetMode="External"/><Relationship Id="rId153" Type="http://schemas.openxmlformats.org/officeDocument/2006/relationships/hyperlink" Target="https://www.covisa.com.ar/" TargetMode="External"/><Relationship Id="rId274" Type="http://schemas.openxmlformats.org/officeDocument/2006/relationships/hyperlink" Target="http://www.fundicionlazzarini.com.ar/" TargetMode="External"/><Relationship Id="rId395" Type="http://schemas.openxmlformats.org/officeDocument/2006/relationships/hyperlink" Target="https://www.google.com/search?q=MANISOL+SRL&amp;rlz=1C1GCEU_es&amp;oq=MANISOL+SRL&amp;gs_lcrp=EgZjaHJvbWUyBggAEEUYOTIKCAEQABiABBiiBDIKCAIQABiABBiiBDIHCAMQABjvBdIBCTI2MTdqMGoxNagCDLACAfEFvVntbX6KJKw&amp;sourceid=chrome&amp;ie=UTF-8" TargetMode="External"/><Relationship Id="rId152" Type="http://schemas.openxmlformats.org/officeDocument/2006/relationships/hyperlink" Target="https://cm-tec.com.ar/" TargetMode="External"/><Relationship Id="rId273" Type="http://schemas.openxmlformats.org/officeDocument/2006/relationships/hyperlink" Target="https://www.fullplastics.com.ar/" TargetMode="External"/><Relationship Id="rId394" Type="http://schemas.openxmlformats.org/officeDocument/2006/relationships/hyperlink" Target="https://www.cooperreposteria.com.ar/" TargetMode="External"/><Relationship Id="rId151" Type="http://schemas.openxmlformats.org/officeDocument/2006/relationships/hyperlink" Target="https://cintasindustriales.com/" TargetMode="External"/><Relationship Id="rId272" Type="http://schemas.openxmlformats.org/officeDocument/2006/relationships/hyperlink" Target="https://fueradeseriesrl.com/" TargetMode="External"/><Relationship Id="rId393" Type="http://schemas.openxmlformats.org/officeDocument/2006/relationships/hyperlink" Target="https://www.instagram.com/cerveza_kraken/?hl=es" TargetMode="External"/><Relationship Id="rId158" Type="http://schemas.openxmlformats.org/officeDocument/2006/relationships/hyperlink" Target="https://codesil.com.ar/" TargetMode="External"/><Relationship Id="rId279" Type="http://schemas.openxmlformats.org/officeDocument/2006/relationships/hyperlink" Target="https://galvanoplastiaeltrebol.com/" TargetMode="External"/><Relationship Id="rId157" Type="http://schemas.openxmlformats.org/officeDocument/2006/relationships/hyperlink" Target="https://codacsrl.com.ar/" TargetMode="External"/><Relationship Id="rId278" Type="http://schemas.openxmlformats.org/officeDocument/2006/relationships/hyperlink" Target="https://galvanoplastia.com.ar/" TargetMode="External"/><Relationship Id="rId399" Type="http://schemas.openxmlformats.org/officeDocument/2006/relationships/hyperlink" Target="https://www.google.com/search?q=MARRAPODI+JUNTAS+SAIYC&amp;rlz=1C1GCEU_es&amp;oq=MARRAPODI+JUNTAS+SAIYC&amp;gs_lcrp=EgZjaHJvbWUyBggAEEUYOTIHCAEQIRigAdIBCDkzNmowajE1qAIAsAIA&amp;sourceid=chrome&amp;ie=UTF-8" TargetMode="External"/><Relationship Id="rId156" Type="http://schemas.openxmlformats.org/officeDocument/2006/relationships/hyperlink" Target="https://cobsil.com.ar/" TargetMode="External"/><Relationship Id="rId277" Type="http://schemas.openxmlformats.org/officeDocument/2006/relationships/hyperlink" Target="https://galelive.com/" TargetMode="External"/><Relationship Id="rId398" Type="http://schemas.openxmlformats.org/officeDocument/2006/relationships/hyperlink" Target="https://www.instagram.com/blancoinfantil/" TargetMode="External"/><Relationship Id="rId155" Type="http://schemas.openxmlformats.org/officeDocument/2006/relationships/hyperlink" Target="https://www.coalix.com/" TargetMode="External"/><Relationship Id="rId276" Type="http://schemas.openxmlformats.org/officeDocument/2006/relationships/hyperlink" Target="https://www.gadolberaka.com.ar/" TargetMode="External"/><Relationship Id="rId397" Type="http://schemas.openxmlformats.org/officeDocument/2006/relationships/hyperlink" Target="https://marclima.com.ar/" TargetMode="External"/><Relationship Id="rId40" Type="http://schemas.openxmlformats.org/officeDocument/2006/relationships/hyperlink" Target="https://www.amentuel.com.ar/" TargetMode="External"/><Relationship Id="rId42" Type="http://schemas.openxmlformats.org/officeDocument/2006/relationships/hyperlink" Target="https://dassoluciones.com.ar/" TargetMode="External"/><Relationship Id="rId41" Type="http://schemas.openxmlformats.org/officeDocument/2006/relationships/hyperlink" Target="https://www.instagram.com/ajuva.olgui/" TargetMode="External"/><Relationship Id="rId44" Type="http://schemas.openxmlformats.org/officeDocument/2006/relationships/hyperlink" Target="http://www.andamiosnestradunol.com.ar" TargetMode="External"/><Relationship Id="rId43" Type="http://schemas.openxmlformats.org/officeDocument/2006/relationships/hyperlink" Target="https://amsaceros.com/" TargetMode="External"/><Relationship Id="rId46" Type="http://schemas.openxmlformats.org/officeDocument/2006/relationships/hyperlink" Target="https://www.uniformesfabrega.com.ar/" TargetMode="External"/><Relationship Id="rId45" Type="http://schemas.openxmlformats.org/officeDocument/2006/relationships/hyperlink" Target="https://www.anodimar.com.ar/index.html" TargetMode="External"/><Relationship Id="rId509" Type="http://schemas.openxmlformats.org/officeDocument/2006/relationships/hyperlink" Target="https://www.sinis.com.ar/" TargetMode="External"/><Relationship Id="rId508" Type="http://schemas.openxmlformats.org/officeDocument/2006/relationships/hyperlink" Target="https://arg.sika.com/" TargetMode="External"/><Relationship Id="rId503" Type="http://schemas.openxmlformats.org/officeDocument/2006/relationships/hyperlink" Target="http://alfajoreslaaldea.com/" TargetMode="External"/><Relationship Id="rId502" Type="http://schemas.openxmlformats.org/officeDocument/2006/relationships/hyperlink" Target="https://cimescentral.com/" TargetMode="External"/><Relationship Id="rId501" Type="http://schemas.openxmlformats.org/officeDocument/2006/relationships/hyperlink" Target="http://www.ospack.com.ar/" TargetMode="External"/><Relationship Id="rId500" Type="http://schemas.openxmlformats.org/officeDocument/2006/relationships/hyperlink" Target="http://www.kaliorexi.com.ar/" TargetMode="External"/><Relationship Id="rId507" Type="http://schemas.openxmlformats.org/officeDocument/2006/relationships/hyperlink" Target="https://www.shiai.com.ar/" TargetMode="External"/><Relationship Id="rId506" Type="http://schemas.openxmlformats.org/officeDocument/2006/relationships/hyperlink" Target="http://www.serviciosff.com.ar/" TargetMode="External"/><Relationship Id="rId505" Type="http://schemas.openxmlformats.org/officeDocument/2006/relationships/hyperlink" Target="https://semat.com.ar/" TargetMode="External"/><Relationship Id="rId504" Type="http://schemas.openxmlformats.org/officeDocument/2006/relationships/hyperlink" Target="https://www.instagram.com/mariadelrosario.segovia.1/" TargetMode="External"/><Relationship Id="rId48" Type="http://schemas.openxmlformats.org/officeDocument/2006/relationships/hyperlink" Target="http://m.apcoargentina.com.ar/index.php/en/" TargetMode="External"/><Relationship Id="rId47" Type="http://schemas.openxmlformats.org/officeDocument/2006/relationships/hyperlink" Target="https://www.podrzaj.com.ar/" TargetMode="External"/><Relationship Id="rId49" Type="http://schemas.openxmlformats.org/officeDocument/2006/relationships/hyperlink" Target="https://shop.aptitud.com.ar/" TargetMode="External"/><Relationship Id="rId31" Type="http://schemas.openxmlformats.org/officeDocument/2006/relationships/hyperlink" Target="http://www.noly.com.ar/" TargetMode="External"/><Relationship Id="rId30" Type="http://schemas.openxmlformats.org/officeDocument/2006/relationships/hyperlink" Target="https://kapac.com.ar/" TargetMode="External"/><Relationship Id="rId33" Type="http://schemas.openxmlformats.org/officeDocument/2006/relationships/hyperlink" Target="https://almartenisdemesa.com.ar/" TargetMode="External"/><Relationship Id="rId32" Type="http://schemas.openxmlformats.org/officeDocument/2006/relationships/hyperlink" Target="https://www.instagram.com/silva_sapori/?hl=es" TargetMode="External"/><Relationship Id="rId35" Type="http://schemas.openxmlformats.org/officeDocument/2006/relationships/hyperlink" Target="https://alumetal.com.ar/" TargetMode="External"/><Relationship Id="rId34" Type="http://schemas.openxmlformats.org/officeDocument/2006/relationships/hyperlink" Target="https://alprin.com.ar/" TargetMode="External"/><Relationship Id="rId613" Type="http://schemas.openxmlformats.org/officeDocument/2006/relationships/table" Target="../tables/table11.xml"/><Relationship Id="rId612" Type="http://schemas.openxmlformats.org/officeDocument/2006/relationships/table" Target="../tables/table10.xml"/><Relationship Id="rId611" Type="http://schemas.openxmlformats.org/officeDocument/2006/relationships/table" Target="../tables/table9.xml"/><Relationship Id="rId610" Type="http://schemas.openxmlformats.org/officeDocument/2006/relationships/table" Target="../tables/table8.xml"/><Relationship Id="rId615" Type="http://schemas.openxmlformats.org/officeDocument/2006/relationships/table" Target="../tables/table13.xml"/><Relationship Id="rId614" Type="http://schemas.openxmlformats.org/officeDocument/2006/relationships/table" Target="../tables/table12.xml"/><Relationship Id="rId37" Type="http://schemas.openxmlformats.org/officeDocument/2006/relationships/hyperlink" Target="https://www.aluoest.com.ar/" TargetMode="External"/><Relationship Id="rId36" Type="http://schemas.openxmlformats.org/officeDocument/2006/relationships/hyperlink" Target="https://aluminioreal.com.ar/" TargetMode="External"/><Relationship Id="rId39" Type="http://schemas.openxmlformats.org/officeDocument/2006/relationships/hyperlink" Target="https://amalgraf.com.ar/" TargetMode="External"/><Relationship Id="rId38" Type="http://schemas.openxmlformats.org/officeDocument/2006/relationships/hyperlink" Target="http://www.flexitub.com.ar" TargetMode="External"/><Relationship Id="rId20" Type="http://schemas.openxmlformats.org/officeDocument/2006/relationships/hyperlink" Target="https://agmetalurgica.com.ar/" TargetMode="External"/><Relationship Id="rId22" Type="http://schemas.openxmlformats.org/officeDocument/2006/relationships/hyperlink" Target="http://aitec-ingenieria.com.ar/" TargetMode="External"/><Relationship Id="rId21" Type="http://schemas.openxmlformats.org/officeDocument/2006/relationships/hyperlink" Target="https://caissa.com.ar/" TargetMode="External"/><Relationship Id="rId24" Type="http://schemas.openxmlformats.org/officeDocument/2006/relationships/hyperlink" Target="https://www.instagram.com/al.gremioherrajes/" TargetMode="External"/><Relationship Id="rId23" Type="http://schemas.openxmlformats.org/officeDocument/2006/relationships/hyperlink" Target="https://www.instagram.com/aitue.desarrollos/" TargetMode="External"/><Relationship Id="rId409" Type="http://schemas.openxmlformats.org/officeDocument/2006/relationships/hyperlink" Target="https://mestanostra.com/" TargetMode="External"/><Relationship Id="rId404" Type="http://schemas.openxmlformats.org/officeDocument/2006/relationships/hyperlink" Target="https://www.google.com/search?q=Gally-Bell&amp;oq=Gally-Bell&amp;gs_lcrp=EgZjaHJvbWUyBggAEEUYOTIOCAEQLhgKGB4YxwEY0QMyDAgCEAAYCBgKGA8YHtIBCTE0NTNqMGoxNagCALACAA&amp;sourceid=chrome&amp;ie=UTF-8" TargetMode="External"/><Relationship Id="rId525" Type="http://schemas.openxmlformats.org/officeDocument/2006/relationships/hyperlink" Target="http://www.talleresalvear.com.ar/" TargetMode="External"/><Relationship Id="rId403" Type="http://schemas.openxmlformats.org/officeDocument/2006/relationships/hyperlink" Target="https://servi-maz.com.ar/" TargetMode="External"/><Relationship Id="rId524" Type="http://schemas.openxmlformats.org/officeDocument/2006/relationships/hyperlink" Target="https://baigorriaindustrial.com/" TargetMode="External"/><Relationship Id="rId402" Type="http://schemas.openxmlformats.org/officeDocument/2006/relationships/hyperlink" Target="https://www.mbautopiezas.com/" TargetMode="External"/><Relationship Id="rId523" Type="http://schemas.openxmlformats.org/officeDocument/2006/relationships/hyperlink" Target="https://surgicalsupply.com.ar/" TargetMode="External"/><Relationship Id="rId401" Type="http://schemas.openxmlformats.org/officeDocument/2006/relationships/hyperlink" Target="https://masluz.com.ar/" TargetMode="External"/><Relationship Id="rId522" Type="http://schemas.openxmlformats.org/officeDocument/2006/relationships/hyperlink" Target="http://cir-imagenes.com.ar/web/" TargetMode="External"/><Relationship Id="rId408" Type="http://schemas.openxmlformats.org/officeDocument/2006/relationships/hyperlink" Target="https://messmedicion.com.ar/" TargetMode="External"/><Relationship Id="rId529" Type="http://schemas.openxmlformats.org/officeDocument/2006/relationships/hyperlink" Target="http://www.technicdelfinosa.com.ar/" TargetMode="External"/><Relationship Id="rId407" Type="http://schemas.openxmlformats.org/officeDocument/2006/relationships/hyperlink" Target="http://mpapaianni.com.ar/espanol.htm" TargetMode="External"/><Relationship Id="rId528" Type="http://schemas.openxmlformats.org/officeDocument/2006/relationships/hyperlink" Target="https://www.tejeduriatauro.com.ar/" TargetMode="External"/><Relationship Id="rId406" Type="http://schemas.openxmlformats.org/officeDocument/2006/relationships/hyperlink" Target="https://megamec.com.ar/" TargetMode="External"/><Relationship Id="rId527" Type="http://schemas.openxmlformats.org/officeDocument/2006/relationships/hyperlink" Target="https://tapperadhesivos.com.ar/" TargetMode="External"/><Relationship Id="rId405" Type="http://schemas.openxmlformats.org/officeDocument/2006/relationships/hyperlink" Target="https://www.instagram.com/mcmtermoformado/" TargetMode="External"/><Relationship Id="rId526" Type="http://schemas.openxmlformats.org/officeDocument/2006/relationships/hyperlink" Target="https://www.fabricadebisagras.com/about-5" TargetMode="External"/><Relationship Id="rId26" Type="http://schemas.openxmlformats.org/officeDocument/2006/relationships/hyperlink" Target="https://www.alcidestessa.com.ar/" TargetMode="External"/><Relationship Id="rId25" Type="http://schemas.openxmlformats.org/officeDocument/2006/relationships/hyperlink" Target="https://www.albalonga.com.ar/" TargetMode="External"/><Relationship Id="rId28" Type="http://schemas.openxmlformats.org/officeDocument/2006/relationships/hyperlink" Target="https://www.sabbatini.com.ar/" TargetMode="External"/><Relationship Id="rId27" Type="http://schemas.openxmlformats.org/officeDocument/2006/relationships/hyperlink" Target="https://www.sabbatini.com.ar/" TargetMode="External"/><Relationship Id="rId400" Type="http://schemas.openxmlformats.org/officeDocument/2006/relationships/hyperlink" Target="https://www.oxgrips.com/" TargetMode="External"/><Relationship Id="rId521" Type="http://schemas.openxmlformats.org/officeDocument/2006/relationships/hyperlink" Target="http://www.sulfoquimica.com.ar/" TargetMode="External"/><Relationship Id="rId29" Type="http://schemas.openxmlformats.org/officeDocument/2006/relationships/hyperlink" Target="https://www.instagram.com/crisppino/?hl=es" TargetMode="External"/><Relationship Id="rId520" Type="http://schemas.openxmlformats.org/officeDocument/2006/relationships/hyperlink" Target="https://sites.google.com/view/stolmar/" TargetMode="External"/><Relationship Id="rId11" Type="http://schemas.openxmlformats.org/officeDocument/2006/relationships/hyperlink" Target="http://acerosaceper.com.ar/" TargetMode="External"/><Relationship Id="rId10" Type="http://schemas.openxmlformats.org/officeDocument/2006/relationships/hyperlink" Target="https://www.abk.com.ar/" TargetMode="External"/><Relationship Id="rId13" Type="http://schemas.openxmlformats.org/officeDocument/2006/relationships/hyperlink" Target="http://acerosdr.com.ar/contacto.html" TargetMode="External"/><Relationship Id="rId12" Type="http://schemas.openxmlformats.org/officeDocument/2006/relationships/hyperlink" Target="https://www.aceroscofer.com.ar/" TargetMode="External"/><Relationship Id="rId519" Type="http://schemas.openxmlformats.org/officeDocument/2006/relationships/hyperlink" Target="https://www.starpack.com.ar/" TargetMode="External"/><Relationship Id="rId514" Type="http://schemas.openxmlformats.org/officeDocument/2006/relationships/hyperlink" Target="https://www.sodpint.com/" TargetMode="External"/><Relationship Id="rId513" Type="http://schemas.openxmlformats.org/officeDocument/2006/relationships/hyperlink" Target="https://sisteplast.com.ar/" TargetMode="External"/><Relationship Id="rId512" Type="http://schemas.openxmlformats.org/officeDocument/2006/relationships/hyperlink" Target="https://www.sistemasenergeticos.com.ar/" TargetMode="External"/><Relationship Id="rId511" Type="http://schemas.openxmlformats.org/officeDocument/2006/relationships/hyperlink" Target="https://sippublicidad.com.ar/" TargetMode="External"/><Relationship Id="rId518" Type="http://schemas.openxmlformats.org/officeDocument/2006/relationships/hyperlink" Target="http://starlight.com.ar/" TargetMode="External"/><Relationship Id="rId517" Type="http://schemas.openxmlformats.org/officeDocument/2006/relationships/hyperlink" Target="https://www.instagram.com/starnewaguas/?hl=es-la" TargetMode="External"/><Relationship Id="rId516" Type="http://schemas.openxmlformats.org/officeDocument/2006/relationships/hyperlink" Target="http://acytra.com/" TargetMode="External"/><Relationship Id="rId515" Type="http://schemas.openxmlformats.org/officeDocument/2006/relationships/hyperlink" Target="https://solucionimpresa.com.ar/" TargetMode="External"/><Relationship Id="rId15" Type="http://schemas.openxmlformats.org/officeDocument/2006/relationships/hyperlink" Target="https://los-amores.com.ar/" TargetMode="External"/><Relationship Id="rId14" Type="http://schemas.openxmlformats.org/officeDocument/2006/relationships/hyperlink" Target="https://www.acerosmb.com.ar/" TargetMode="External"/><Relationship Id="rId17" Type="http://schemas.openxmlformats.org/officeDocument/2006/relationships/hyperlink" Target="https://acytra.com/" TargetMode="External"/><Relationship Id="rId16" Type="http://schemas.openxmlformats.org/officeDocument/2006/relationships/hyperlink" Target="https://www.instagram.com/acrilicosamendola/?hl=es-la" TargetMode="External"/><Relationship Id="rId19" Type="http://schemas.openxmlformats.org/officeDocument/2006/relationships/hyperlink" Target="https://aditivosplasticos.com/" TargetMode="External"/><Relationship Id="rId510" Type="http://schemas.openxmlformats.org/officeDocument/2006/relationships/hyperlink" Target="https://sippublicidad.com.ar/" TargetMode="External"/><Relationship Id="rId18" Type="http://schemas.openxmlformats.org/officeDocument/2006/relationships/hyperlink" Target="https://adheplastonline.com.ar/" TargetMode="External"/><Relationship Id="rId84" Type="http://schemas.openxmlformats.org/officeDocument/2006/relationships/hyperlink" Target="https://www.bavosi.com.ar/" TargetMode="External"/><Relationship Id="rId83" Type="http://schemas.openxmlformats.org/officeDocument/2006/relationships/hyperlink" Target="https://bairesdom.com/" TargetMode="External"/><Relationship Id="rId86" Type="http://schemas.openxmlformats.org/officeDocument/2006/relationships/hyperlink" Target="https://www.instagram.com/bazarymenajesalumar/" TargetMode="External"/><Relationship Id="rId85" Type="http://schemas.openxmlformats.org/officeDocument/2006/relationships/hyperlink" Target="https://www.e-intrasrl.com/" TargetMode="External"/><Relationship Id="rId88" Type="http://schemas.openxmlformats.org/officeDocument/2006/relationships/hyperlink" Target="https://www.google.com/search?q=BEDERIAL+S.A.&amp;oq=BEDERIAL+S.A.&amp;gs_lcrp=EgZjaHJvbWUyBggAEEUYOTIKCAEQABiABBiiBDIKCAIQABiABBiiBDIHCAMQABjvBdIBCDYxNmowajE1qAIAsAIA&amp;sourceid=chrome&amp;ie=UTF-8" TargetMode="External"/><Relationship Id="rId87" Type="http://schemas.openxmlformats.org/officeDocument/2006/relationships/hyperlink" Target="https://trade.nosis.com/es/BEDERIAL-SA/30707472835/1/p" TargetMode="External"/><Relationship Id="rId89" Type="http://schemas.openxmlformats.org/officeDocument/2006/relationships/hyperlink" Target="http://www.bellplex.com.ar/" TargetMode="External"/><Relationship Id="rId80" Type="http://schemas.openxmlformats.org/officeDocument/2006/relationships/hyperlink" Target="https://byh.com.ar/" TargetMode="External"/><Relationship Id="rId82" Type="http://schemas.openxmlformats.org/officeDocument/2006/relationships/hyperlink" Target="https://bacumsa.com.ar/wp/" TargetMode="External"/><Relationship Id="rId81" Type="http://schemas.openxmlformats.org/officeDocument/2006/relationships/hyperlink" Target="https://www.babyhour.com.ar/" TargetMode="External"/><Relationship Id="rId73" Type="http://schemas.openxmlformats.org/officeDocument/2006/relationships/hyperlink" Target="http://www.aurametal.com.ar/" TargetMode="External"/><Relationship Id="rId72" Type="http://schemas.openxmlformats.org/officeDocument/2006/relationships/hyperlink" Target="http://afarmade.org/buenosaires/papeleras/attaplast/gmx-niv262-con17203.htm" TargetMode="External"/><Relationship Id="rId75" Type="http://schemas.openxmlformats.org/officeDocument/2006/relationships/hyperlink" Target="https://www.australtech.com.ar/" TargetMode="External"/><Relationship Id="rId74" Type="http://schemas.openxmlformats.org/officeDocument/2006/relationships/hyperlink" Target="https://www.auritor.com.ar/" TargetMode="External"/><Relationship Id="rId77" Type="http://schemas.openxmlformats.org/officeDocument/2006/relationships/hyperlink" Target="https://avibra.com.ar/" TargetMode="External"/><Relationship Id="rId76" Type="http://schemas.openxmlformats.org/officeDocument/2006/relationships/hyperlink" Target="https://aviber.com.ar/" TargetMode="External"/><Relationship Id="rId79" Type="http://schemas.openxmlformats.org/officeDocument/2006/relationships/hyperlink" Target="https://www.correasbts.com.ar/" TargetMode="External"/><Relationship Id="rId78" Type="http://schemas.openxmlformats.org/officeDocument/2006/relationships/hyperlink" Target="https://www.ayelenpublicidad.com.ar/" TargetMode="External"/><Relationship Id="rId71" Type="http://schemas.openxmlformats.org/officeDocument/2006/relationships/hyperlink" Target="https://www.atlasplasticos.com.ar/" TargetMode="External"/><Relationship Id="rId70" Type="http://schemas.openxmlformats.org/officeDocument/2006/relationships/hyperlink" Target="https://asi.com.ar/" TargetMode="External"/><Relationship Id="rId62" Type="http://schemas.openxmlformats.org/officeDocument/2006/relationships/hyperlink" Target="https://heladosaloha.com.ar/" TargetMode="External"/><Relationship Id="rId61" Type="http://schemas.openxmlformats.org/officeDocument/2006/relationships/hyperlink" Target="http://arquiceica.com.ar/" TargetMode="External"/><Relationship Id="rId64" Type="http://schemas.openxmlformats.org/officeDocument/2006/relationships/hyperlink" Target="http://www.artecniamarmoles.com.ar/" TargetMode="External"/><Relationship Id="rId63" Type="http://schemas.openxmlformats.org/officeDocument/2006/relationships/hyperlink" Target="https://www.instagram.com/estilo.arte.deco/" TargetMode="External"/><Relationship Id="rId66" Type="http://schemas.openxmlformats.org/officeDocument/2006/relationships/hyperlink" Target="https://www.artenvases.com.ar/" TargetMode="External"/><Relationship Id="rId65" Type="http://schemas.openxmlformats.org/officeDocument/2006/relationships/hyperlink" Target="https://attachepiramide.com.ar/" TargetMode="External"/><Relationship Id="rId68" Type="http://schemas.openxmlformats.org/officeDocument/2006/relationships/hyperlink" Target="http://artrama.com.ar/" TargetMode="External"/><Relationship Id="rId67" Type="http://schemas.openxmlformats.org/officeDocument/2006/relationships/hyperlink" Target="https://www.artestamp.com.ar/" TargetMode="External"/><Relationship Id="rId609" Type="http://schemas.openxmlformats.org/officeDocument/2006/relationships/table" Target="../tables/table7.xml"/><Relationship Id="rId608" Type="http://schemas.openxmlformats.org/officeDocument/2006/relationships/table" Target="../tables/table6.xml"/><Relationship Id="rId607" Type="http://schemas.openxmlformats.org/officeDocument/2006/relationships/table" Target="../tables/table5.xml"/><Relationship Id="rId60" Type="http://schemas.openxmlformats.org/officeDocument/2006/relationships/hyperlink" Target="https://www.aroquim.com.ar/" TargetMode="External"/><Relationship Id="rId606" Type="http://schemas.openxmlformats.org/officeDocument/2006/relationships/table" Target="../tables/table4.xml"/><Relationship Id="rId605" Type="http://schemas.openxmlformats.org/officeDocument/2006/relationships/table" Target="../tables/table3.xml"/><Relationship Id="rId604" Type="http://schemas.openxmlformats.org/officeDocument/2006/relationships/table" Target="../tables/table2.xml"/><Relationship Id="rId603" Type="http://schemas.openxmlformats.org/officeDocument/2006/relationships/table" Target="../tables/table1.xml"/><Relationship Id="rId69" Type="http://schemas.openxmlformats.org/officeDocument/2006/relationships/hyperlink" Target="https://www.fabricas.iluminacionya.com/emi/" TargetMode="External"/><Relationship Id="rId51" Type="http://schemas.openxmlformats.org/officeDocument/2006/relationships/hyperlink" Target="http://www.arcolor-sa.com.ar/" TargetMode="External"/><Relationship Id="rId50" Type="http://schemas.openxmlformats.org/officeDocument/2006/relationships/hyperlink" Target="https://araujosrl.ar/" TargetMode="External"/><Relationship Id="rId53" Type="http://schemas.openxmlformats.org/officeDocument/2006/relationships/hyperlink" Target="https://www.instagram.com/argenchapmetalurgica/?hl=es" TargetMode="External"/><Relationship Id="rId52" Type="http://schemas.openxmlformats.org/officeDocument/2006/relationships/hyperlink" Target="https://rigiflex.com.ar/" TargetMode="External"/><Relationship Id="rId55" Type="http://schemas.openxmlformats.org/officeDocument/2006/relationships/hyperlink" Target="http://www.argensil.com.ar/" TargetMode="External"/><Relationship Id="rId54" Type="http://schemas.openxmlformats.org/officeDocument/2006/relationships/hyperlink" Target="https://argenchemical.com.ar/" TargetMode="External"/><Relationship Id="rId57" Type="http://schemas.openxmlformats.org/officeDocument/2006/relationships/hyperlink" Target="https://arlimetal.com.ar/" TargetMode="External"/><Relationship Id="rId56" Type="http://schemas.openxmlformats.org/officeDocument/2006/relationships/hyperlink" Target="https://www.dravidal.com.ar/" TargetMode="External"/><Relationship Id="rId59" Type="http://schemas.openxmlformats.org/officeDocument/2006/relationships/hyperlink" Target="https://agmetalurgica.com.ar/" TargetMode="External"/><Relationship Id="rId58" Type="http://schemas.openxmlformats.org/officeDocument/2006/relationships/hyperlink" Target="https://www.armaferro.com.ar/" TargetMode="External"/><Relationship Id="rId107" Type="http://schemas.openxmlformats.org/officeDocument/2006/relationships/hyperlink" Target="https://bscargentina.com/" TargetMode="External"/><Relationship Id="rId228" Type="http://schemas.openxmlformats.org/officeDocument/2006/relationships/hyperlink" Target="https://embalflej.com.ar/" TargetMode="External"/><Relationship Id="rId349" Type="http://schemas.openxmlformats.org/officeDocument/2006/relationships/hyperlink" Target="https://tidar.com.ar/" TargetMode="External"/><Relationship Id="rId106" Type="http://schemas.openxmlformats.org/officeDocument/2006/relationships/hyperlink" Target="http://www.distrigaston.com.ar/index.php" TargetMode="External"/><Relationship Id="rId227" Type="http://schemas.openxmlformats.org/officeDocument/2006/relationships/hyperlink" Target="https://elityc.com.ar/es/" TargetMode="External"/><Relationship Id="rId348" Type="http://schemas.openxmlformats.org/officeDocument/2006/relationships/hyperlink" Target="https://ndajeans.com/" TargetMode="External"/><Relationship Id="rId469" Type="http://schemas.openxmlformats.org/officeDocument/2006/relationships/hyperlink" Target="http://www.sanignacio.edu.ar" TargetMode="External"/><Relationship Id="rId105" Type="http://schemas.openxmlformats.org/officeDocument/2006/relationships/hyperlink" Target="https://www.botterosa.com.ar/" TargetMode="External"/><Relationship Id="rId226" Type="http://schemas.openxmlformats.org/officeDocument/2006/relationships/hyperlink" Target="https://elityc.com.ar/es/" TargetMode="External"/><Relationship Id="rId347" Type="http://schemas.openxmlformats.org/officeDocument/2006/relationships/hyperlink" Target="https://agrosigma.wixsite.com/intemasrl" TargetMode="External"/><Relationship Id="rId468" Type="http://schemas.openxmlformats.org/officeDocument/2006/relationships/hyperlink" Target="https://www.olivaresdelarioja.com.ar/" TargetMode="External"/><Relationship Id="rId589" Type="http://schemas.openxmlformats.org/officeDocument/2006/relationships/vmlDrawing" Target="../drawings/vmlDrawing1.vml"/><Relationship Id="rId104" Type="http://schemas.openxmlformats.org/officeDocument/2006/relationships/hyperlink" Target="https://www.bondeadosnortex.com.ar/" TargetMode="External"/><Relationship Id="rId225" Type="http://schemas.openxmlformats.org/officeDocument/2006/relationships/hyperlink" Target="https://www.elibet.com/" TargetMode="External"/><Relationship Id="rId346" Type="http://schemas.openxmlformats.org/officeDocument/2006/relationships/hyperlink" Target="http://www.inprocil.com/" TargetMode="External"/><Relationship Id="rId467" Type="http://schemas.openxmlformats.org/officeDocument/2006/relationships/hyperlink" Target="https://prfvprfv.com/" TargetMode="External"/><Relationship Id="rId588" Type="http://schemas.openxmlformats.org/officeDocument/2006/relationships/drawing" Target="../drawings/drawing1.xml"/><Relationship Id="rId109" Type="http://schemas.openxmlformats.org/officeDocument/2006/relationships/hyperlink" Target="https://www.bujiashescher.com.ar/" TargetMode="External"/><Relationship Id="rId108" Type="http://schemas.openxmlformats.org/officeDocument/2006/relationships/hyperlink" Target="https://www.buacar.com.ar/" TargetMode="External"/><Relationship Id="rId229" Type="http://schemas.openxmlformats.org/officeDocument/2006/relationships/hyperlink" Target="https://emedeplast.com/" TargetMode="External"/><Relationship Id="rId220" Type="http://schemas.openxmlformats.org/officeDocument/2006/relationships/hyperlink" Target="https://elacin.com.ar/" TargetMode="External"/><Relationship Id="rId341" Type="http://schemas.openxmlformats.org/officeDocument/2006/relationships/hyperlink" Target="https://www.frione.com/" TargetMode="External"/><Relationship Id="rId462" Type="http://schemas.openxmlformats.org/officeDocument/2006/relationships/hyperlink" Target="https://www.atlasplasticos.com.ar/" TargetMode="External"/><Relationship Id="rId583" Type="http://schemas.openxmlformats.org/officeDocument/2006/relationships/hyperlink" Target="https://coronadabahia.com/" TargetMode="External"/><Relationship Id="rId340" Type="http://schemas.openxmlformats.org/officeDocument/2006/relationships/hyperlink" Target="http://www.ipesa.com.ar/es/inicio/" TargetMode="External"/><Relationship Id="rId461" Type="http://schemas.openxmlformats.org/officeDocument/2006/relationships/hyperlink" Target="https://www.google.com/search?q=pastica+total+srl&amp;oq=pastica+total+srl&amp;aqs=chrome..69i57j33i10i160.598922454j0j15&amp;sourceid=chrome&amp;ie=UTF-8" TargetMode="External"/><Relationship Id="rId582" Type="http://schemas.openxmlformats.org/officeDocument/2006/relationships/hyperlink" Target="https://xipap.com.ar/" TargetMode="External"/><Relationship Id="rId460" Type="http://schemas.openxmlformats.org/officeDocument/2006/relationships/hyperlink" Target="https://ciudadela.com.ar/" TargetMode="External"/><Relationship Id="rId581" Type="http://schemas.openxmlformats.org/officeDocument/2006/relationships/hyperlink" Target="https://www.x-urban.com.ar/" TargetMode="External"/><Relationship Id="rId580" Type="http://schemas.openxmlformats.org/officeDocument/2006/relationships/hyperlink" Target="https://www.windplastsrl.com.ar/" TargetMode="External"/><Relationship Id="rId103" Type="http://schemas.openxmlformats.org/officeDocument/2006/relationships/hyperlink" Target="https://www.boellhoff.com/" TargetMode="External"/><Relationship Id="rId224" Type="http://schemas.openxmlformats.org/officeDocument/2006/relationships/hyperlink" Target="https://elefe.com/" TargetMode="External"/><Relationship Id="rId345" Type="http://schemas.openxmlformats.org/officeDocument/2006/relationships/hyperlink" Target="https://consultoradehigieneyseguridad.com/" TargetMode="External"/><Relationship Id="rId466" Type="http://schemas.openxmlformats.org/officeDocument/2006/relationships/hyperlink" Target="https://www.google.com/search?q=PREMIUM+PACK+S.R.L&amp;oq=PREMIUM+PACK+S.R.L&amp;gs_lcrp=EgZjaHJvbWUyBggAEEUYOTIGCAEQIxgnMgoIAhAAGIAEGKIEMgcIAxAAGO8F0gEINzcwajBqMTWoAgCwAgA&amp;sourceid=chrome&amp;ie=UTF-8" TargetMode="External"/><Relationship Id="rId587" Type="http://schemas.openxmlformats.org/officeDocument/2006/relationships/hyperlink" Target="https://wa.me/541125706542" TargetMode="External"/><Relationship Id="rId102" Type="http://schemas.openxmlformats.org/officeDocument/2006/relationships/hyperlink" Target="https://frenosnacionales.com.ar/" TargetMode="External"/><Relationship Id="rId223" Type="http://schemas.openxmlformats.org/officeDocument/2006/relationships/hyperlink" Target="https://www.cattozzosrl.com.ar/" TargetMode="External"/><Relationship Id="rId344" Type="http://schemas.openxmlformats.org/officeDocument/2006/relationships/hyperlink" Target="https://www.inplaca.com.ar/" TargetMode="External"/><Relationship Id="rId465" Type="http://schemas.openxmlformats.org/officeDocument/2006/relationships/hyperlink" Target="https://www.instagram.com/preking.srl/" TargetMode="External"/><Relationship Id="rId586" Type="http://schemas.openxmlformats.org/officeDocument/2006/relationships/hyperlink" Target="https://www.dateas.com/es/persona/william-peter-toribio-pandal-20940351090" TargetMode="External"/><Relationship Id="rId101" Type="http://schemas.openxmlformats.org/officeDocument/2006/relationships/hyperlink" Target="http://www.biscaynesa.com/" TargetMode="External"/><Relationship Id="rId222" Type="http://schemas.openxmlformats.org/officeDocument/2006/relationships/hyperlink" Target="https://electroinstal.com.ar/" TargetMode="External"/><Relationship Id="rId343" Type="http://schemas.openxmlformats.org/officeDocument/2006/relationships/hyperlink" Target="https://ingenieriatermoacustica.com/" TargetMode="External"/><Relationship Id="rId464" Type="http://schemas.openxmlformats.org/officeDocument/2006/relationships/hyperlink" Target="http://www.pousadagroup.com" TargetMode="External"/><Relationship Id="rId585" Type="http://schemas.openxmlformats.org/officeDocument/2006/relationships/hyperlink" Target="https://zylberpal.com/home.php" TargetMode="External"/><Relationship Id="rId100" Type="http://schemas.openxmlformats.org/officeDocument/2006/relationships/hyperlink" Target="https://www.tiendabiobellus.com.ar/" TargetMode="External"/><Relationship Id="rId221" Type="http://schemas.openxmlformats.org/officeDocument/2006/relationships/hyperlink" Target="http://elecsistems.com/" TargetMode="External"/><Relationship Id="rId342" Type="http://schemas.openxmlformats.org/officeDocument/2006/relationships/hyperlink" Target="http://www.todoflex.com.ar/" TargetMode="External"/><Relationship Id="rId463" Type="http://schemas.openxmlformats.org/officeDocument/2006/relationships/hyperlink" Target="https://www.plasticostextil.com.ar/" TargetMode="External"/><Relationship Id="rId584" Type="http://schemas.openxmlformats.org/officeDocument/2006/relationships/hyperlink" Target="https://zcherramental.com.ar/" TargetMode="External"/><Relationship Id="rId217" Type="http://schemas.openxmlformats.org/officeDocument/2006/relationships/hyperlink" Target="https://eduaplast.com.ar/" TargetMode="External"/><Relationship Id="rId338" Type="http://schemas.openxmlformats.org/officeDocument/2006/relationships/hyperlink" Target="https://www.industriaskras.com/" TargetMode="External"/><Relationship Id="rId459" Type="http://schemas.openxmlformats.org/officeDocument/2006/relationships/hyperlink" Target="https://www.instagram.com/pitproducciones/" TargetMode="External"/><Relationship Id="rId216" Type="http://schemas.openxmlformats.org/officeDocument/2006/relationships/hyperlink" Target="https://www.ecoilsrl.com.ar/" TargetMode="External"/><Relationship Id="rId337" Type="http://schemas.openxmlformats.org/officeDocument/2006/relationships/hyperlink" Target="https://www.ifssa.com.ar/" TargetMode="External"/><Relationship Id="rId458" Type="http://schemas.openxmlformats.org/officeDocument/2006/relationships/hyperlink" Target="https://pinturasgillmore.com.ar/" TargetMode="External"/><Relationship Id="rId579" Type="http://schemas.openxmlformats.org/officeDocument/2006/relationships/hyperlink" Target="https://wassington.com.ar/" TargetMode="External"/><Relationship Id="rId215" Type="http://schemas.openxmlformats.org/officeDocument/2006/relationships/hyperlink" Target="http://www.flexoemagen.com.ar" TargetMode="External"/><Relationship Id="rId336" Type="http://schemas.openxmlformats.org/officeDocument/2006/relationships/hyperlink" Target="https://epta.com.ar/" TargetMode="External"/><Relationship Id="rId457" Type="http://schemas.openxmlformats.org/officeDocument/2006/relationships/hyperlink" Target="http://envasespineral.com.ar/" TargetMode="External"/><Relationship Id="rId578" Type="http://schemas.openxmlformats.org/officeDocument/2006/relationships/hyperlink" Target="https://www.wasley.com.ar/" TargetMode="External"/><Relationship Id="rId214" Type="http://schemas.openxmlformats.org/officeDocument/2006/relationships/hyperlink" Target="https://www.duzzen.com.ar/" TargetMode="External"/><Relationship Id="rId335" Type="http://schemas.openxmlformats.org/officeDocument/2006/relationships/hyperlink" Target="https://www.industriaselinec.com/" TargetMode="External"/><Relationship Id="rId456" Type="http://schemas.openxmlformats.org/officeDocument/2006/relationships/hyperlink" Target="http://pillver.com.ar/" TargetMode="External"/><Relationship Id="rId577" Type="http://schemas.openxmlformats.org/officeDocument/2006/relationships/hyperlink" Target="https://www.warplast.com.ar/" TargetMode="External"/><Relationship Id="rId219" Type="http://schemas.openxmlformats.org/officeDocument/2006/relationships/hyperlink" Target="http://www.bombaselbravo.com.ar/" TargetMode="External"/><Relationship Id="rId218" Type="http://schemas.openxmlformats.org/officeDocument/2006/relationships/hyperlink" Target="http://www.peliza.com.ar/htmlv/empresa.html" TargetMode="External"/><Relationship Id="rId339" Type="http://schemas.openxmlformats.org/officeDocument/2006/relationships/hyperlink" Target="https://intermec.com.ar/" TargetMode="External"/><Relationship Id="rId330" Type="http://schemas.openxmlformats.org/officeDocument/2006/relationships/hyperlink" Target="https://www.seghimetsa.com.ar/contactos.html" TargetMode="External"/><Relationship Id="rId451" Type="http://schemas.openxmlformats.org/officeDocument/2006/relationships/hyperlink" Target="http://topsi.com.ar" TargetMode="External"/><Relationship Id="rId572" Type="http://schemas.openxmlformats.org/officeDocument/2006/relationships/hyperlink" Target="http://victorylimpieza.com.ar/index.html" TargetMode="External"/><Relationship Id="rId450" Type="http://schemas.openxmlformats.org/officeDocument/2006/relationships/hyperlink" Target="https://www.instagram.com/ph_hasenauer/?hl=es-la" TargetMode="External"/><Relationship Id="rId571" Type="http://schemas.openxmlformats.org/officeDocument/2006/relationships/hyperlink" Target="http://www.quimicasimo.com.ar/" TargetMode="External"/><Relationship Id="rId570" Type="http://schemas.openxmlformats.org/officeDocument/2006/relationships/hyperlink" Target="https://www.vexco.com.ar/contacto.php" TargetMode="External"/><Relationship Id="rId213" Type="http://schemas.openxmlformats.org/officeDocument/2006/relationships/hyperlink" Target="https://dubasa.com.ar/" TargetMode="External"/><Relationship Id="rId334" Type="http://schemas.openxmlformats.org/officeDocument/2006/relationships/hyperlink" Target="https://www.industriasedigma.com.ar/" TargetMode="External"/><Relationship Id="rId455" Type="http://schemas.openxmlformats.org/officeDocument/2006/relationships/hyperlink" Target="https://l.instagram.com/?u=https%3A%2F%2Fwww.ilmolise.com.ar%2Findex.php%3Futm_source%3Dig%26utm_medium%3Dsocial%26utm_content%3Dlink_in_bio%26fbclid%3DPAZXh0bgNhZW0CMTEAc3J0YwZhcHBfaWQMMjU2MjgxMDQwNTU4AAGn5PQcVk7WXvQTR_JaCXwdA8nTIAyzreFfotgt2M1Yg257C0CuweqngXlxeZo_aem_Rq8pU81r62AP03Q9kwmZrg&amp;e=AT2NH4TqevNn8wgjRf6HUG7KWiDTkayE4NkfKV3GgNFF0EWtpyiFrQIQcQ9kH9Xl2UFYVn9T464ceyTsTnI9iYlIcXkwbRF3Q3cJO1VLpw" TargetMode="External"/><Relationship Id="rId576" Type="http://schemas.openxmlformats.org/officeDocument/2006/relationships/hyperlink" Target="https://sagradamadre.com/" TargetMode="External"/><Relationship Id="rId212" Type="http://schemas.openxmlformats.org/officeDocument/2006/relationships/hyperlink" Target="https://donjorge.com.ar/" TargetMode="External"/><Relationship Id="rId333" Type="http://schemas.openxmlformats.org/officeDocument/2006/relationships/hyperlink" Target="https://www.instagram.com/industriasdelautomotor/?hl=es-la" TargetMode="External"/><Relationship Id="rId454" Type="http://schemas.openxmlformats.org/officeDocument/2006/relationships/hyperlink" Target="https://phyl.com.ar/" TargetMode="External"/><Relationship Id="rId575" Type="http://schemas.openxmlformats.org/officeDocument/2006/relationships/hyperlink" Target="https://abermatic.com/" TargetMode="External"/><Relationship Id="rId211" Type="http://schemas.openxmlformats.org/officeDocument/2006/relationships/hyperlink" Target="https://www.idolz.com.ar/" TargetMode="External"/><Relationship Id="rId332" Type="http://schemas.openxmlformats.org/officeDocument/2006/relationships/hyperlink" Target="https://www.industriascamporesi.com.ar/" TargetMode="External"/><Relationship Id="rId453" Type="http://schemas.openxmlformats.org/officeDocument/2006/relationships/hyperlink" Target="http://www.revistapetroquimica.com/petroquimica-tinarca-s-r-l/" TargetMode="External"/><Relationship Id="rId574" Type="http://schemas.openxmlformats.org/officeDocument/2006/relationships/hyperlink" Target="https://www.vgroupcomputers.com.ar/" TargetMode="External"/><Relationship Id="rId210" Type="http://schemas.openxmlformats.org/officeDocument/2006/relationships/hyperlink" Target="https://www.solenis.com/es-mx//" TargetMode="External"/><Relationship Id="rId331" Type="http://schemas.openxmlformats.org/officeDocument/2006/relationships/hyperlink" Target="https://industriasalbano.com/" TargetMode="External"/><Relationship Id="rId452" Type="http://schemas.openxmlformats.org/officeDocument/2006/relationships/hyperlink" Target="https://prfvprfv.com/contacto/" TargetMode="External"/><Relationship Id="rId573" Type="http://schemas.openxmlformats.org/officeDocument/2006/relationships/hyperlink" Target="https://www.autoclavesvz.com.ar/" TargetMode="External"/><Relationship Id="rId370" Type="http://schemas.openxmlformats.org/officeDocument/2006/relationships/hyperlink" Target="http://www.kuasar-srl.com.ar/" TargetMode="External"/><Relationship Id="rId491" Type="http://schemas.openxmlformats.org/officeDocument/2006/relationships/hyperlink" Target="https://rocagriferia.com.ar/" TargetMode="External"/><Relationship Id="rId490" Type="http://schemas.openxmlformats.org/officeDocument/2006/relationships/hyperlink" Target="https://rocagriferia.com.ar/" TargetMode="External"/><Relationship Id="rId129" Type="http://schemas.openxmlformats.org/officeDocument/2006/relationships/hyperlink" Target="http://www.extintoresfadesa.com.ar/es/contactos" TargetMode="External"/><Relationship Id="rId128" Type="http://schemas.openxmlformats.org/officeDocument/2006/relationships/hyperlink" Target="http://www.cerradurasabc.com.ar/" TargetMode="External"/><Relationship Id="rId249" Type="http://schemas.openxmlformats.org/officeDocument/2006/relationships/hyperlink" Target="https://1260-ar.all.biz/" TargetMode="External"/><Relationship Id="rId127" Type="http://schemas.openxmlformats.org/officeDocument/2006/relationships/hyperlink" Target="https://olivascastell.com.ar/" TargetMode="External"/><Relationship Id="rId248" Type="http://schemas.openxmlformats.org/officeDocument/2006/relationships/hyperlink" Target="https://volturno.com.ar/" TargetMode="External"/><Relationship Id="rId369" Type="http://schemas.openxmlformats.org/officeDocument/2006/relationships/hyperlink" Target="https://www.korzin.com.ar/" TargetMode="External"/><Relationship Id="rId126" Type="http://schemas.openxmlformats.org/officeDocument/2006/relationships/hyperlink" Target="https://casiba.ar/" TargetMode="External"/><Relationship Id="rId247" Type="http://schemas.openxmlformats.org/officeDocument/2006/relationships/hyperlink" Target="https://www.linkedin.com/in/federico-matias-fabris-58663551?lipi=urn%3Ali%3Apage%3Ad_flagship3_profile_view_base_contact_details%3B1h4bYkIvT%2Byo%2FwwJL1WVOQ%3D%3D" TargetMode="External"/><Relationship Id="rId368" Type="http://schemas.openxmlformats.org/officeDocument/2006/relationships/hyperlink" Target="https://www.jivcinmet.com.ar/" TargetMode="External"/><Relationship Id="rId489" Type="http://schemas.openxmlformats.org/officeDocument/2006/relationships/hyperlink" Target="http://roexpress.com.ar/" TargetMode="External"/><Relationship Id="rId121" Type="http://schemas.openxmlformats.org/officeDocument/2006/relationships/hyperlink" Target="https://www.carpeal.com/" TargetMode="External"/><Relationship Id="rId242" Type="http://schemas.openxmlformats.org/officeDocument/2006/relationships/hyperlink" Target="https://www.expoyerweb.com.ar/" TargetMode="External"/><Relationship Id="rId363" Type="http://schemas.openxmlformats.org/officeDocument/2006/relationships/hyperlink" Target="http://www.jhservicios.com.ar/" TargetMode="External"/><Relationship Id="rId484" Type="http://schemas.openxmlformats.org/officeDocument/2006/relationships/hyperlink" Target="https://www.reposteracaseros.com.ar/" TargetMode="External"/><Relationship Id="rId120" Type="http://schemas.openxmlformats.org/officeDocument/2006/relationships/hyperlink" Target="http://www.carosdivisores.com.ar/index.html" TargetMode="External"/><Relationship Id="rId241" Type="http://schemas.openxmlformats.org/officeDocument/2006/relationships/hyperlink" Target="https://etc.com.ar/" TargetMode="External"/><Relationship Id="rId362" Type="http://schemas.openxmlformats.org/officeDocument/2006/relationships/hyperlink" Target="https://www.jerf.com.ar/" TargetMode="External"/><Relationship Id="rId483" Type="http://schemas.openxmlformats.org/officeDocument/2006/relationships/hyperlink" Target="https://www.remssi.com.ar/" TargetMode="External"/><Relationship Id="rId240" Type="http://schemas.openxmlformats.org/officeDocument/2006/relationships/hyperlink" Target="https://www.estrulam.com.ar/" TargetMode="External"/><Relationship Id="rId361" Type="http://schemas.openxmlformats.org/officeDocument/2006/relationships/hyperlink" Target="https://www.itzasa.com.ar/" TargetMode="External"/><Relationship Id="rId482" Type="http://schemas.openxmlformats.org/officeDocument/2006/relationships/hyperlink" Target="https://metalurgica-rematex.jimdosite.com/" TargetMode="External"/><Relationship Id="rId360" Type="http://schemas.openxmlformats.org/officeDocument/2006/relationships/hyperlink" Target="https://italgroupsa.com.ar/" TargetMode="External"/><Relationship Id="rId481" Type="http://schemas.openxmlformats.org/officeDocument/2006/relationships/hyperlink" Target="https://regan.com.ar/" TargetMode="External"/><Relationship Id="rId125" Type="http://schemas.openxmlformats.org/officeDocument/2006/relationships/hyperlink" Target="https://www.instagram.com/gnccaseros/?hl=es" TargetMode="External"/><Relationship Id="rId246" Type="http://schemas.openxmlformats.org/officeDocument/2006/relationships/hyperlink" Target="https://fchsa.com.ar/" TargetMode="External"/><Relationship Id="rId367" Type="http://schemas.openxmlformats.org/officeDocument/2006/relationships/hyperlink" Target="http://kingmaticsa.com.ar/" TargetMode="External"/><Relationship Id="rId488" Type="http://schemas.openxmlformats.org/officeDocument/2006/relationships/hyperlink" Target="http://www.ipesa.com.ar/es/inicio/" TargetMode="External"/><Relationship Id="rId124" Type="http://schemas.openxmlformats.org/officeDocument/2006/relationships/hyperlink" Target="http://casaargasrl.com.ar/" TargetMode="External"/><Relationship Id="rId245" Type="http://schemas.openxmlformats.org/officeDocument/2006/relationships/hyperlink" Target="http://sillasbahiablanca.com.ar/" TargetMode="External"/><Relationship Id="rId366" Type="http://schemas.openxmlformats.org/officeDocument/2006/relationships/hyperlink" Target="https://www.kellparsrl.com/" TargetMode="External"/><Relationship Id="rId487" Type="http://schemas.openxmlformats.org/officeDocument/2006/relationships/hyperlink" Target="http://www.gespannt.com.ar/" TargetMode="External"/><Relationship Id="rId123" Type="http://schemas.openxmlformats.org/officeDocument/2006/relationships/hyperlink" Target="http://cartobox.com.ar/" TargetMode="External"/><Relationship Id="rId244" Type="http://schemas.openxmlformats.org/officeDocument/2006/relationships/hyperlink" Target="https://www.fervimax.com.ar/p/nosotros" TargetMode="External"/><Relationship Id="rId365" Type="http://schemas.openxmlformats.org/officeDocument/2006/relationships/hyperlink" Target="https://exlampargentina.com/" TargetMode="External"/><Relationship Id="rId486" Type="http://schemas.openxmlformats.org/officeDocument/2006/relationships/hyperlink" Target="https://reuschargentina.com.ar/" TargetMode="External"/><Relationship Id="rId122" Type="http://schemas.openxmlformats.org/officeDocument/2006/relationships/hyperlink" Target="http://www.industriacem.com.ar/" TargetMode="External"/><Relationship Id="rId243" Type="http://schemas.openxmlformats.org/officeDocument/2006/relationships/hyperlink" Target="https://www.extrapol.com.ar/" TargetMode="External"/><Relationship Id="rId364" Type="http://schemas.openxmlformats.org/officeDocument/2006/relationships/hyperlink" Target="https://www.jrclip.com.ar/" TargetMode="External"/><Relationship Id="rId485" Type="http://schemas.openxmlformats.org/officeDocument/2006/relationships/hyperlink" Target="https://resortescastano.com.ar/" TargetMode="External"/><Relationship Id="rId95" Type="http://schemas.openxmlformats.org/officeDocument/2006/relationships/hyperlink" Target="http://bernaplast.com.ar/" TargetMode="External"/><Relationship Id="rId94" Type="http://schemas.openxmlformats.org/officeDocument/2006/relationships/hyperlink" Target="https://bercomar.com/wp/" TargetMode="External"/><Relationship Id="rId97" Type="http://schemas.openxmlformats.org/officeDocument/2006/relationships/hyperlink" Target="https://bhisrl.com/" TargetMode="External"/><Relationship Id="rId96" Type="http://schemas.openxmlformats.org/officeDocument/2006/relationships/hyperlink" Target="http://www.bettendorff.com.ar/index.html" TargetMode="External"/><Relationship Id="rId99" Type="http://schemas.openxmlformats.org/officeDocument/2006/relationships/hyperlink" Target="https://wa.me/5491124684097" TargetMode="External"/><Relationship Id="rId480" Type="http://schemas.openxmlformats.org/officeDocument/2006/relationships/hyperlink" Target="https://frio-audisio.com.ar/" TargetMode="External"/><Relationship Id="rId98" Type="http://schemas.openxmlformats.org/officeDocument/2006/relationships/hyperlink" Target="https://bical.com.ar/" TargetMode="External"/><Relationship Id="rId91" Type="http://schemas.openxmlformats.org/officeDocument/2006/relationships/hyperlink" Target="https://benplassrl.com.ar/" TargetMode="External"/><Relationship Id="rId90" Type="http://schemas.openxmlformats.org/officeDocument/2006/relationships/hyperlink" Target="https://benplassrl.com.ar/" TargetMode="External"/><Relationship Id="rId93" Type="http://schemas.openxmlformats.org/officeDocument/2006/relationships/hyperlink" Target="http://www.hiperinox.com" TargetMode="External"/><Relationship Id="rId92" Type="http://schemas.openxmlformats.org/officeDocument/2006/relationships/hyperlink" Target="https://fundicionlgb.com.ar/" TargetMode="External"/><Relationship Id="rId118" Type="http://schemas.openxmlformats.org/officeDocument/2006/relationships/hyperlink" Target="https://carboneaut.com.ar/" TargetMode="External"/><Relationship Id="rId239" Type="http://schemas.openxmlformats.org/officeDocument/2006/relationships/hyperlink" Target="https://www.tectumonline.com.ar/" TargetMode="External"/><Relationship Id="rId117" Type="http://schemas.openxmlformats.org/officeDocument/2006/relationships/hyperlink" Target="https://guiademantenimiento.com/canos-palacios" TargetMode="External"/><Relationship Id="rId238" Type="http://schemas.openxmlformats.org/officeDocument/2006/relationships/hyperlink" Target="http://www.estampalex.com.ar/" TargetMode="External"/><Relationship Id="rId359" Type="http://schemas.openxmlformats.org/officeDocument/2006/relationships/hyperlink" Target="https://isde.online/" TargetMode="External"/><Relationship Id="rId116" Type="http://schemas.openxmlformats.org/officeDocument/2006/relationships/hyperlink" Target="https://braganza.com.ar/" TargetMode="External"/><Relationship Id="rId237" Type="http://schemas.openxmlformats.org/officeDocument/2006/relationships/hyperlink" Target="https://www.legadogomecosrl.com/" TargetMode="External"/><Relationship Id="rId358" Type="http://schemas.openxmlformats.org/officeDocument/2006/relationships/hyperlink" Target="https://isaga.com.ar/" TargetMode="External"/><Relationship Id="rId479" Type="http://schemas.openxmlformats.org/officeDocument/2006/relationships/hyperlink" Target="http://www.redcomsa.com.ar" TargetMode="External"/><Relationship Id="rId115" Type="http://schemas.openxmlformats.org/officeDocument/2006/relationships/hyperlink" Target="https://cantonmetalwork.com.ar/" TargetMode="External"/><Relationship Id="rId236" Type="http://schemas.openxmlformats.org/officeDocument/2006/relationships/hyperlink" Target="https://emgraciela.com.ar/" TargetMode="External"/><Relationship Id="rId357" Type="http://schemas.openxmlformats.org/officeDocument/2006/relationships/hyperlink" Target="https://www.iruma.com.ar/" TargetMode="External"/><Relationship Id="rId478" Type="http://schemas.openxmlformats.org/officeDocument/2006/relationships/hyperlink" Target="https://realessenze.com.ar/" TargetMode="External"/><Relationship Id="rId119" Type="http://schemas.openxmlformats.org/officeDocument/2006/relationships/hyperlink" Target="http://www.carflex.com.ar/" TargetMode="External"/><Relationship Id="rId110" Type="http://schemas.openxmlformats.org/officeDocument/2006/relationships/hyperlink" Target="https://www.instagram.com/ch.amoblamientos/" TargetMode="External"/><Relationship Id="rId231" Type="http://schemas.openxmlformats.org/officeDocument/2006/relationships/hyperlink" Target="https://www.emos-sa.com.ar/" TargetMode="External"/><Relationship Id="rId352" Type="http://schemas.openxmlformats.org/officeDocument/2006/relationships/hyperlink" Target="https://www.inyectal.com/index.html" TargetMode="External"/><Relationship Id="rId473" Type="http://schemas.openxmlformats.org/officeDocument/2006/relationships/hyperlink" Target="https://www.pvctecnocom.com/" TargetMode="External"/><Relationship Id="rId230" Type="http://schemas.openxmlformats.org/officeDocument/2006/relationships/hyperlink" Target="http://www.emerpetro.com/" TargetMode="External"/><Relationship Id="rId351" Type="http://schemas.openxmlformats.org/officeDocument/2006/relationships/hyperlink" Target="https://www.inviseseguridad.com.ar/inicio.html" TargetMode="External"/><Relationship Id="rId472" Type="http://schemas.openxmlformats.org/officeDocument/2006/relationships/hyperlink" Target="https://proyecto1932.com.ar/" TargetMode="External"/><Relationship Id="rId350" Type="http://schemas.openxmlformats.org/officeDocument/2006/relationships/hyperlink" Target="https://inumet.com.ar/" TargetMode="External"/><Relationship Id="rId471" Type="http://schemas.openxmlformats.org/officeDocument/2006/relationships/hyperlink" Target="https://pronut.com.ar/" TargetMode="External"/><Relationship Id="rId470" Type="http://schemas.openxmlformats.org/officeDocument/2006/relationships/hyperlink" Target="https://programasasistir.com.ar/" TargetMode="External"/><Relationship Id="rId114" Type="http://schemas.openxmlformats.org/officeDocument/2006/relationships/hyperlink" Target="https://www.extrapol.com.ar/" TargetMode="External"/><Relationship Id="rId235" Type="http://schemas.openxmlformats.org/officeDocument/2006/relationships/hyperlink" Target="http://www.gygmetalmecanica.com.ar/" TargetMode="External"/><Relationship Id="rId356" Type="http://schemas.openxmlformats.org/officeDocument/2006/relationships/hyperlink" Target="https://www.instagram.com/irobe.sa/?hl=es-la" TargetMode="External"/><Relationship Id="rId477" Type="http://schemas.openxmlformats.org/officeDocument/2006/relationships/hyperlink" Target="http://raiper.com.ar/" TargetMode="External"/><Relationship Id="rId113" Type="http://schemas.openxmlformats.org/officeDocument/2006/relationships/hyperlink" Target="https://candex.com.ar/" TargetMode="External"/><Relationship Id="rId234" Type="http://schemas.openxmlformats.org/officeDocument/2006/relationships/hyperlink" Target="https://www.abrochadorasgrap.com/" TargetMode="External"/><Relationship Id="rId355" Type="http://schemas.openxmlformats.org/officeDocument/2006/relationships/hyperlink" Target="https://iraolasrl.com.ar/" TargetMode="External"/><Relationship Id="rId476" Type="http://schemas.openxmlformats.org/officeDocument/2006/relationships/hyperlink" Target="https://www.raiconet.com/" TargetMode="External"/><Relationship Id="rId112" Type="http://schemas.openxmlformats.org/officeDocument/2006/relationships/hyperlink" Target="http://www.cadiem.com.ar/index.html" TargetMode="External"/><Relationship Id="rId233" Type="http://schemas.openxmlformats.org/officeDocument/2006/relationships/hyperlink" Target="https://equiposdelchef.com.ar/" TargetMode="External"/><Relationship Id="rId354" Type="http://schemas.openxmlformats.org/officeDocument/2006/relationships/hyperlink" Target="https://www.ir3d.com.ar/" TargetMode="External"/><Relationship Id="rId475" Type="http://schemas.openxmlformats.org/officeDocument/2006/relationships/hyperlink" Target="https://cantonmetalwork.com.ar/" TargetMode="External"/><Relationship Id="rId111" Type="http://schemas.openxmlformats.org/officeDocument/2006/relationships/hyperlink" Target="http://www.consultoracys.com/" TargetMode="External"/><Relationship Id="rId232" Type="http://schemas.openxmlformats.org/officeDocument/2006/relationships/hyperlink" Target="https://www.envasesjohn.com.ar/es/" TargetMode="External"/><Relationship Id="rId353" Type="http://schemas.openxmlformats.org/officeDocument/2006/relationships/hyperlink" Target="https://www.iqasa.com.ar/" TargetMode="External"/><Relationship Id="rId474" Type="http://schemas.openxmlformats.org/officeDocument/2006/relationships/hyperlink" Target="http://www.quais.com.ar/" TargetMode="External"/><Relationship Id="rId305" Type="http://schemas.openxmlformats.org/officeDocument/2006/relationships/hyperlink" Target="https://www.homcon.com.ar/" TargetMode="External"/><Relationship Id="rId426" Type="http://schemas.openxmlformats.org/officeDocument/2006/relationships/hyperlink" Target="https://www.mocar.com.ar/" TargetMode="External"/><Relationship Id="rId547" Type="http://schemas.openxmlformats.org/officeDocument/2006/relationships/hyperlink" Target="http://www.medamil.com.ar/" TargetMode="External"/><Relationship Id="rId304" Type="http://schemas.openxmlformats.org/officeDocument/2006/relationships/hyperlink" Target="https://www.histo.com.ar/" TargetMode="External"/><Relationship Id="rId425" Type="http://schemas.openxmlformats.org/officeDocument/2006/relationships/hyperlink" Target="https://www.mobilegno.it/" TargetMode="External"/><Relationship Id="rId546" Type="http://schemas.openxmlformats.org/officeDocument/2006/relationships/hyperlink" Target="https://tissuebaires.com.ar/" TargetMode="External"/><Relationship Id="rId303" Type="http://schemas.openxmlformats.org/officeDocument/2006/relationships/hyperlink" Target="https://www.hiladosindustriales.com/home" TargetMode="External"/><Relationship Id="rId424" Type="http://schemas.openxmlformats.org/officeDocument/2006/relationships/hyperlink" Target="https://famaq-s.com.ar/prensas.htm" TargetMode="External"/><Relationship Id="rId545" Type="http://schemas.openxmlformats.org/officeDocument/2006/relationships/hyperlink" Target="http://www.tipasaic.com/web/" TargetMode="External"/><Relationship Id="rId302" Type="http://schemas.openxmlformats.org/officeDocument/2006/relationships/hyperlink" Target="https://argenflexsa.com.ar/contacto/" TargetMode="External"/><Relationship Id="rId423" Type="http://schemas.openxmlformats.org/officeDocument/2006/relationships/hyperlink" Target="http://www.herrajesbis.com.ar/contacto.php" TargetMode="External"/><Relationship Id="rId544" Type="http://schemas.openxmlformats.org/officeDocument/2006/relationships/hyperlink" Target="http://www.tiani.com.ar/" TargetMode="External"/><Relationship Id="rId309" Type="http://schemas.openxmlformats.org/officeDocument/2006/relationships/hyperlink" Target="http://www.ispisa.com.ar/contacto.php" TargetMode="External"/><Relationship Id="rId308" Type="http://schemas.openxmlformats.org/officeDocument/2006/relationships/hyperlink" Target="https://www.panlaperla.com.ar/" TargetMode="External"/><Relationship Id="rId429" Type="http://schemas.openxmlformats.org/officeDocument/2006/relationships/hyperlink" Target="https://maurizi.com.ar/" TargetMode="External"/><Relationship Id="rId307" Type="http://schemas.openxmlformats.org/officeDocument/2006/relationships/hyperlink" Target="https://www.hyaf.com.ar/" TargetMode="External"/><Relationship Id="rId428" Type="http://schemas.openxmlformats.org/officeDocument/2006/relationships/hyperlink" Target="https://www.instagram.com/myka.mobili/?hl=es-la" TargetMode="External"/><Relationship Id="rId549" Type="http://schemas.openxmlformats.org/officeDocument/2006/relationships/hyperlink" Target="https://traecosa.com.ar/" TargetMode="External"/><Relationship Id="rId306" Type="http://schemas.openxmlformats.org/officeDocument/2006/relationships/hyperlink" Target="https://www.humedad-cimientos.com.ar/" TargetMode="External"/><Relationship Id="rId427" Type="http://schemas.openxmlformats.org/officeDocument/2006/relationships/hyperlink" Target="https://molinosararat.com.ar/" TargetMode="External"/><Relationship Id="rId548" Type="http://schemas.openxmlformats.org/officeDocument/2006/relationships/hyperlink" Target="https://tolepublicidad.com.ar/site/" TargetMode="External"/><Relationship Id="rId301" Type="http://schemas.openxmlformats.org/officeDocument/2006/relationships/hyperlink" Target="https://www.herramientastoriano.com.ar/web/" TargetMode="External"/><Relationship Id="rId422" Type="http://schemas.openxmlformats.org/officeDocument/2006/relationships/hyperlink" Target="https://metalurgicapellegrini.com/index.html" TargetMode="External"/><Relationship Id="rId543" Type="http://schemas.openxmlformats.org/officeDocument/2006/relationships/hyperlink" Target="https://www.textilser.com.ar/" TargetMode="External"/><Relationship Id="rId300" Type="http://schemas.openxmlformats.org/officeDocument/2006/relationships/hyperlink" Target="https://www.herbron.com.ar/" TargetMode="External"/><Relationship Id="rId421" Type="http://schemas.openxmlformats.org/officeDocument/2006/relationships/hyperlink" Target="https://www.google.com/search?q=METALURGICA+NAMUNCURA+SRL&amp;oq=METALURGICA+NAMUNCURA+SRL&amp;gs_lcrp=EgZjaHJvbWUyDggAEEUYJxg5GIAEGIoFMhAIARAuGK8BGMcBGIAEGI4FMgoIAhAAGIAEGKIEMgoIAxAAGIAEGKIEMgoIBBAAGIAEGKIEMgoIBRAAGIAEGKIE0gEIODA5ajBqMTWoAgCwAgA&amp;sourceid=chrome&amp;ie=UTF-8" TargetMode="External"/><Relationship Id="rId542" Type="http://schemas.openxmlformats.org/officeDocument/2006/relationships/hyperlink" Target="https://ibikus.mitiendanube.com/bikinis/" TargetMode="External"/><Relationship Id="rId420" Type="http://schemas.openxmlformats.org/officeDocument/2006/relationships/hyperlink" Target="https://www.metalurgicamora.com.ar/" TargetMode="External"/><Relationship Id="rId541" Type="http://schemas.openxmlformats.org/officeDocument/2006/relationships/hyperlink" Target="https://independenciatextil.com.ar/" TargetMode="External"/><Relationship Id="rId540" Type="http://schemas.openxmlformats.org/officeDocument/2006/relationships/hyperlink" Target="https://telasmetalicas.ar/" TargetMode="External"/><Relationship Id="rId415" Type="http://schemas.openxmlformats.org/officeDocument/2006/relationships/hyperlink" Target="https://www.facebook.com/p/Metalurgica-Balbuena-Hnos-100080618641783/?locale=ru_RU" TargetMode="External"/><Relationship Id="rId536" Type="http://schemas.openxmlformats.org/officeDocument/2006/relationships/hyperlink" Target="http://www.compresorestcg.com.ar/" TargetMode="External"/><Relationship Id="rId414" Type="http://schemas.openxmlformats.org/officeDocument/2006/relationships/hyperlink" Target="https://atk.com.ar/" TargetMode="External"/><Relationship Id="rId535" Type="http://schemas.openxmlformats.org/officeDocument/2006/relationships/hyperlink" Target="http://www.compresorestcg.com.ar/" TargetMode="External"/><Relationship Id="rId413" Type="http://schemas.openxmlformats.org/officeDocument/2006/relationships/hyperlink" Target="https://metalurgicabarbera.com.ar/index.php/contacto/" TargetMode="External"/><Relationship Id="rId534" Type="http://schemas.openxmlformats.org/officeDocument/2006/relationships/hyperlink" Target="https://www.tecnocaseros.com.ar/" TargetMode="External"/><Relationship Id="rId412" Type="http://schemas.openxmlformats.org/officeDocument/2006/relationships/hyperlink" Target="https://metaldeep.com/" TargetMode="External"/><Relationship Id="rId533" Type="http://schemas.openxmlformats.org/officeDocument/2006/relationships/hyperlink" Target="https://tecnoboxsrl.com.ar/" TargetMode="External"/><Relationship Id="rId419" Type="http://schemas.openxmlformats.org/officeDocument/2006/relationships/hyperlink" Target="https://www.instagram.com/metalurgica_magarelli_e_hijos/" TargetMode="External"/><Relationship Id="rId418" Type="http://schemas.openxmlformats.org/officeDocument/2006/relationships/hyperlink" Target="http://www.autopartesleo.com.ar/" TargetMode="External"/><Relationship Id="rId539" Type="http://schemas.openxmlformats.org/officeDocument/2006/relationships/hyperlink" Target="https://www.tejeduriadetomaso.com/" TargetMode="External"/><Relationship Id="rId417" Type="http://schemas.openxmlformats.org/officeDocument/2006/relationships/hyperlink" Target="https://twitter.com/metalurgicaekar" TargetMode="External"/><Relationship Id="rId538" Type="http://schemas.openxmlformats.org/officeDocument/2006/relationships/hyperlink" Target="https://www.tecnoroll.com.ar/" TargetMode="External"/><Relationship Id="rId416" Type="http://schemas.openxmlformats.org/officeDocument/2006/relationships/hyperlink" Target="https://www.metalurgicaecas.com.ar/" TargetMode="External"/><Relationship Id="rId537" Type="http://schemas.openxmlformats.org/officeDocument/2006/relationships/hyperlink" Target="https://www.plugtechcable.com/" TargetMode="External"/><Relationship Id="rId411" Type="http://schemas.openxmlformats.org/officeDocument/2006/relationships/hyperlink" Target="http://www.metalcrispino.com/" TargetMode="External"/><Relationship Id="rId532" Type="http://schemas.openxmlformats.org/officeDocument/2006/relationships/hyperlink" Target="https://tecniark.com.ar/" TargetMode="External"/><Relationship Id="rId410" Type="http://schemas.openxmlformats.org/officeDocument/2006/relationships/hyperlink" Target="https://metacsa.com/" TargetMode="External"/><Relationship Id="rId531" Type="http://schemas.openxmlformats.org/officeDocument/2006/relationships/hyperlink" Target="https://www.tecmade.com/" TargetMode="External"/><Relationship Id="rId530" Type="http://schemas.openxmlformats.org/officeDocument/2006/relationships/hyperlink" Target="https://sanjusto.tecknicam3d.com.ar/" TargetMode="External"/><Relationship Id="rId206" Type="http://schemas.openxmlformats.org/officeDocument/2006/relationships/hyperlink" Target="https://diquimevet.mitiendanube.com/" TargetMode="External"/><Relationship Id="rId327" Type="http://schemas.openxmlformats.org/officeDocument/2006/relationships/hyperlink" Target="https://www.icpsa.com.ar/" TargetMode="External"/><Relationship Id="rId448" Type="http://schemas.openxmlformats.org/officeDocument/2006/relationships/hyperlink" Target="https://www.panbrown.com/" TargetMode="External"/><Relationship Id="rId569" Type="http://schemas.openxmlformats.org/officeDocument/2006/relationships/hyperlink" Target="https://www.veralux.com.ar/" TargetMode="External"/><Relationship Id="rId205" Type="http://schemas.openxmlformats.org/officeDocument/2006/relationships/hyperlink" Target="http://www.din-kos.com.ar/" TargetMode="External"/><Relationship Id="rId326" Type="http://schemas.openxmlformats.org/officeDocument/2006/relationships/hyperlink" Target="https://industermic.com.ar/" TargetMode="External"/><Relationship Id="rId447" Type="http://schemas.openxmlformats.org/officeDocument/2006/relationships/hyperlink" Target="http://www.cpelectronica.com.ar" TargetMode="External"/><Relationship Id="rId568" Type="http://schemas.openxmlformats.org/officeDocument/2006/relationships/hyperlink" Target="http://www.vespoli.com.ar/contacto.html" TargetMode="External"/><Relationship Id="rId204" Type="http://schemas.openxmlformats.org/officeDocument/2006/relationships/hyperlink" Target="https://bonn.com.ar/" TargetMode="External"/><Relationship Id="rId325" Type="http://schemas.openxmlformats.org/officeDocument/2006/relationships/hyperlink" Target="https://indusgraf.com.ar/" TargetMode="External"/><Relationship Id="rId446" Type="http://schemas.openxmlformats.org/officeDocument/2006/relationships/hyperlink" Target="https://dieselpadovani.com.ar/" TargetMode="External"/><Relationship Id="rId567" Type="http://schemas.openxmlformats.org/officeDocument/2006/relationships/hyperlink" Target="https://vdm.com.ar/" TargetMode="External"/><Relationship Id="rId203" Type="http://schemas.openxmlformats.org/officeDocument/2006/relationships/hyperlink" Target="http://dilmax.com.ar/" TargetMode="External"/><Relationship Id="rId324" Type="http://schemas.openxmlformats.org/officeDocument/2006/relationships/hyperlink" Target="https://www.indusetglobal.com/" TargetMode="External"/><Relationship Id="rId445" Type="http://schemas.openxmlformats.org/officeDocument/2006/relationships/hyperlink" Target="https://www.google.com/search?q=PACKING+WORLD+S.R.L.&amp;oq=PACKING+WORLD+S.R.L.&amp;gs_lcrp=EgZjaHJvbWUyBggAEEUYOTIHCAEQIRigATIHCAIQIRigATIHCAMQIRigATIHCAQQIRigAdIBCTEyODlqMGoxNagCALACAA&amp;sourceid=chrome&amp;ie=UTF-8" TargetMode="External"/><Relationship Id="rId566" Type="http://schemas.openxmlformats.org/officeDocument/2006/relationships/hyperlink" Target="https://vautomatmoldes.com/" TargetMode="External"/><Relationship Id="rId209" Type="http://schemas.openxmlformats.org/officeDocument/2006/relationships/hyperlink" Target="https://diversey.com.ar/es/node" TargetMode="External"/><Relationship Id="rId208" Type="http://schemas.openxmlformats.org/officeDocument/2006/relationships/hyperlink" Target="https://www.dsanblas.com.ar/contact.html" TargetMode="External"/><Relationship Id="rId329" Type="http://schemas.openxmlformats.org/officeDocument/2006/relationships/hyperlink" Target="http://www.italart-sa.com.ar/" TargetMode="External"/><Relationship Id="rId207" Type="http://schemas.openxmlformats.org/officeDocument/2006/relationships/hyperlink" Target="https://distpampa.com.ar/" TargetMode="External"/><Relationship Id="rId328" Type="http://schemas.openxmlformats.org/officeDocument/2006/relationships/hyperlink" Target="http://www.industriamt.com.ar/contacto.php" TargetMode="External"/><Relationship Id="rId449" Type="http://schemas.openxmlformats.org/officeDocument/2006/relationships/hyperlink" Target="https://wa.me/541564010011" TargetMode="External"/><Relationship Id="rId440" Type="http://schemas.openxmlformats.org/officeDocument/2006/relationships/hyperlink" Target="http://www.orions.com.ar/" TargetMode="External"/><Relationship Id="rId561" Type="http://schemas.openxmlformats.org/officeDocument/2006/relationships/hyperlink" Target="http://www.vacformsrl.com/" TargetMode="External"/><Relationship Id="rId560" Type="http://schemas.openxmlformats.org/officeDocument/2006/relationships/hyperlink" Target="https://www.upmraflatac.com/es/" TargetMode="External"/><Relationship Id="rId202" Type="http://schemas.openxmlformats.org/officeDocument/2006/relationships/hyperlink" Target="https://www.e-diemer.com.ar/" TargetMode="External"/><Relationship Id="rId323" Type="http://schemas.openxmlformats.org/officeDocument/2006/relationships/hyperlink" Target="https://www.indrasrl.com.ar/" TargetMode="External"/><Relationship Id="rId444" Type="http://schemas.openxmlformats.org/officeDocument/2006/relationships/hyperlink" Target="https://tetis.com.ar/" TargetMode="External"/><Relationship Id="rId565" Type="http://schemas.openxmlformats.org/officeDocument/2006/relationships/hyperlink" Target="http://www.vasalu.com.ar/" TargetMode="External"/><Relationship Id="rId201" Type="http://schemas.openxmlformats.org/officeDocument/2006/relationships/hyperlink" Target="https://dharmapanificados.com.ar/" TargetMode="External"/><Relationship Id="rId322" Type="http://schemas.openxmlformats.org/officeDocument/2006/relationships/hyperlink" Target="https://indrasrl.com.ar/" TargetMode="External"/><Relationship Id="rId443" Type="http://schemas.openxmlformats.org/officeDocument/2006/relationships/hyperlink" Target="https://www.psmsrl.com.ar/" TargetMode="External"/><Relationship Id="rId564" Type="http://schemas.openxmlformats.org/officeDocument/2006/relationships/hyperlink" Target="http://www.varienzo.com/contacto.html" TargetMode="External"/><Relationship Id="rId200" Type="http://schemas.openxmlformats.org/officeDocument/2006/relationships/hyperlink" Target="https://deuan.site/" TargetMode="External"/><Relationship Id="rId321" Type="http://schemas.openxmlformats.org/officeDocument/2006/relationships/hyperlink" Target="https://indarpo.com/" TargetMode="External"/><Relationship Id="rId442" Type="http://schemas.openxmlformats.org/officeDocument/2006/relationships/hyperlink" Target="http://www.outdelplata.com.ar/" TargetMode="External"/><Relationship Id="rId563" Type="http://schemas.openxmlformats.org/officeDocument/2006/relationships/hyperlink" Target="https://www.vantronic-sa.com.ar/" TargetMode="External"/><Relationship Id="rId320" Type="http://schemas.openxmlformats.org/officeDocument/2006/relationships/hyperlink" Target="https://fabricadetelas.wixsite.com/indalfar" TargetMode="External"/><Relationship Id="rId441" Type="http://schemas.openxmlformats.org/officeDocument/2006/relationships/hyperlink" Target="https://outsourcesrl.com/" TargetMode="External"/><Relationship Id="rId562" Type="http://schemas.openxmlformats.org/officeDocument/2006/relationships/hyperlink" Target="https://www.facebook.com/valenrob.calzados/" TargetMode="External"/><Relationship Id="rId316" Type="http://schemas.openxmlformats.org/officeDocument/2006/relationships/hyperlink" Target="https://www.ilunor.com.ar/" TargetMode="External"/><Relationship Id="rId437" Type="http://schemas.openxmlformats.org/officeDocument/2006/relationships/hyperlink" Target="https://www.campoinformatico.com.ar/" TargetMode="External"/><Relationship Id="rId558" Type="http://schemas.openxmlformats.org/officeDocument/2006/relationships/hyperlink" Target="https://www.trymo.com/" TargetMode="External"/><Relationship Id="rId315" Type="http://schemas.openxmlformats.org/officeDocument/2006/relationships/hyperlink" Target="https://ayelenporetti.mercadoshops.com.ar/" TargetMode="External"/><Relationship Id="rId436" Type="http://schemas.openxmlformats.org/officeDocument/2006/relationships/hyperlink" Target="https://www.metalurgicamiele.com.ar/" TargetMode="External"/><Relationship Id="rId557" Type="http://schemas.openxmlformats.org/officeDocument/2006/relationships/hyperlink" Target="https://www.trimet.com.ar/" TargetMode="External"/><Relationship Id="rId314" Type="http://schemas.openxmlformats.org/officeDocument/2006/relationships/hyperlink" Target="https://www.ikonsolutions.com/" TargetMode="External"/><Relationship Id="rId435" Type="http://schemas.openxmlformats.org/officeDocument/2006/relationships/hyperlink" Target="https://nunezhnos.com.ar/web/" TargetMode="External"/><Relationship Id="rId556" Type="http://schemas.openxmlformats.org/officeDocument/2006/relationships/hyperlink" Target="https://wa.me/+5491167236864" TargetMode="External"/><Relationship Id="rId313" Type="http://schemas.openxmlformats.org/officeDocument/2006/relationships/hyperlink" Target="https://ignap.com.ar/" TargetMode="External"/><Relationship Id="rId434" Type="http://schemas.openxmlformats.org/officeDocument/2006/relationships/hyperlink" Target="http://noberargentina.com.ar/" TargetMode="External"/><Relationship Id="rId555" Type="http://schemas.openxmlformats.org/officeDocument/2006/relationships/hyperlink" Target="http://trexal.com.ar/" TargetMode="External"/><Relationship Id="rId319" Type="http://schemas.openxmlformats.org/officeDocument/2006/relationships/hyperlink" Target="http://ibuenayre.com.ar/" TargetMode="External"/><Relationship Id="rId318" Type="http://schemas.openxmlformats.org/officeDocument/2006/relationships/hyperlink" Target="https://www.facebook.com/imagenproduccionessa/?locale=es_LA" TargetMode="External"/><Relationship Id="rId439" Type="http://schemas.openxmlformats.org/officeDocument/2006/relationships/hyperlink" Target="http://yerbamateorigen.com.ar/" TargetMode="External"/><Relationship Id="rId317" Type="http://schemas.openxmlformats.org/officeDocument/2006/relationships/hyperlink" Target="https://capdevila.com.ar/" TargetMode="External"/><Relationship Id="rId438" Type="http://schemas.openxmlformats.org/officeDocument/2006/relationships/hyperlink" Target="https://openmaquinas.com.ar/" TargetMode="External"/><Relationship Id="rId559" Type="http://schemas.openxmlformats.org/officeDocument/2006/relationships/hyperlink" Target="https://untus.com.ar/" TargetMode="External"/><Relationship Id="rId550" Type="http://schemas.openxmlformats.org/officeDocument/2006/relationships/hyperlink" Target="https://tapisrl.com.ar/" TargetMode="External"/><Relationship Id="rId312" Type="http://schemas.openxmlformats.org/officeDocument/2006/relationships/hyperlink" Target="https://www.idg.com.ar/" TargetMode="External"/><Relationship Id="rId433" Type="http://schemas.openxmlformats.org/officeDocument/2006/relationships/hyperlink" Target="http://www.nitrophyl.com.ar" TargetMode="External"/><Relationship Id="rId554" Type="http://schemas.openxmlformats.org/officeDocument/2006/relationships/hyperlink" Target="http://trevinox.com.ar" TargetMode="External"/><Relationship Id="rId311" Type="http://schemas.openxmlformats.org/officeDocument/2006/relationships/hyperlink" Target="https://www.google.com/search?q=IDG+IDENTIDAD+GRAFICA+SA&amp;oq=IDG+IDENTIDAD+GRAFICA+SA&amp;gs_lcrp=EgZjaHJvbWUyBggAEEUYOTIHCAEQIRigATIHCAIQIRigATIHCAMQIRigAdIBCDkyN2owajE1qAIAsAIA&amp;sourceid=chrome&amp;ie=UTF-8" TargetMode="External"/><Relationship Id="rId432" Type="http://schemas.openxmlformats.org/officeDocument/2006/relationships/hyperlink" Target="https://www.wasley.com.ar/contacto" TargetMode="External"/><Relationship Id="rId553" Type="http://schemas.openxmlformats.org/officeDocument/2006/relationships/hyperlink" Target="https://www.transportesmolinasrl.com/" TargetMode="External"/><Relationship Id="rId310" Type="http://schemas.openxmlformats.org/officeDocument/2006/relationships/hyperlink" Target="https://rigazio.com.ar/" TargetMode="External"/><Relationship Id="rId431" Type="http://schemas.openxmlformats.org/officeDocument/2006/relationships/hyperlink" Target="https://www.newmetal.com.ar/" TargetMode="External"/><Relationship Id="rId552" Type="http://schemas.openxmlformats.org/officeDocument/2006/relationships/hyperlink" Target="https://levonsrl.com.ar/" TargetMode="External"/><Relationship Id="rId430" Type="http://schemas.openxmlformats.org/officeDocument/2006/relationships/hyperlink" Target="https://www.newirons.com.ar/" TargetMode="External"/><Relationship Id="rId551" Type="http://schemas.openxmlformats.org/officeDocument/2006/relationships/hyperlink" Target="https://www.cadenastramec.com/"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mailto:adm@alprin.com.ar" TargetMode="External"/><Relationship Id="rId9" Type="http://schemas.openxmlformats.org/officeDocument/2006/relationships/hyperlink" Target="https://www.cuitonline.com/detalle/23143791319/lignini-claudio-esteban.html" TargetMode="External"/><Relationship Id="rId5" Type="http://schemas.openxmlformats.org/officeDocument/2006/relationships/hyperlink" Target="mailto:hbentivegna@hiperinox.com" TargetMode="External"/><Relationship Id="rId6" Type="http://schemas.openxmlformats.org/officeDocument/2006/relationships/hyperlink" Target="mailto:carlina.compriband@gmail.com" TargetMode="External"/><Relationship Id="rId7" Type="http://schemas.openxmlformats.org/officeDocument/2006/relationships/hyperlink" Target="mailto:info@leffort.com.ar" TargetMode="External"/><Relationship Id="rId8" Type="http://schemas.openxmlformats.org/officeDocument/2006/relationships/hyperlink" Target="mailto:ventas@jerf.com.ar" TargetMode="External"/><Relationship Id="rId40" Type="http://schemas.openxmlformats.org/officeDocument/2006/relationships/hyperlink" Target="mailto:%20info@upmraflatac.com" TargetMode="External"/><Relationship Id="rId42" Type="http://schemas.openxmlformats.org/officeDocument/2006/relationships/hyperlink" Target="http://cliente1test.com/" TargetMode="External"/><Relationship Id="rId41" Type="http://schemas.openxmlformats.org/officeDocument/2006/relationships/hyperlink" Target="http://cliente1test.com/" TargetMode="External"/><Relationship Id="rId44" Type="http://schemas.openxmlformats.org/officeDocument/2006/relationships/hyperlink" Target="http://cliente1test.com/" TargetMode="External"/><Relationship Id="rId43" Type="http://schemas.openxmlformats.org/officeDocument/2006/relationships/hyperlink" Target="http://cliente1test.com/" TargetMode="External"/><Relationship Id="rId46" Type="http://schemas.openxmlformats.org/officeDocument/2006/relationships/hyperlink" Target="http://cliente1test.com/" TargetMode="External"/><Relationship Id="rId45" Type="http://schemas.openxmlformats.org/officeDocument/2006/relationships/hyperlink" Target="http://cliente1test.com/" TargetMode="External"/><Relationship Id="rId48" Type="http://schemas.openxmlformats.org/officeDocument/2006/relationships/hyperlink" Target="http://cliente1test.com/" TargetMode="External"/><Relationship Id="rId47" Type="http://schemas.openxmlformats.org/officeDocument/2006/relationships/hyperlink" Target="http://cliente1test.com/" TargetMode="External"/><Relationship Id="rId49" Type="http://schemas.openxmlformats.org/officeDocument/2006/relationships/drawing" Target="../drawings/drawing2.xml"/><Relationship Id="rId31" Type="http://schemas.openxmlformats.org/officeDocument/2006/relationships/hyperlink" Target="http://guia.afac.org.ar/empresa_detalle.php?id_emp=107&amp;h=10&amp;lg=SP" TargetMode="External"/><Relationship Id="rId30" Type="http://schemas.openxmlformats.org/officeDocument/2006/relationships/hyperlink" Target="mailto:leandro@laring.com" TargetMode="External"/><Relationship Id="rId33" Type="http://schemas.openxmlformats.org/officeDocument/2006/relationships/hyperlink" Target="https://correo.tresdefebrero.gov.ar/" TargetMode="External"/><Relationship Id="rId32" Type="http://schemas.openxmlformats.org/officeDocument/2006/relationships/hyperlink" Target="mailto:mendezhnos@mendezhnos.com.ar" TargetMode="External"/><Relationship Id="rId35" Type="http://schemas.openxmlformats.org/officeDocument/2006/relationships/hyperlink" Target="mailto:Info@roexpress.com.ar" TargetMode="External"/><Relationship Id="rId34" Type="http://schemas.openxmlformats.org/officeDocument/2006/relationships/hyperlink" Target="mailto:info@pettorossi.com" TargetMode="External"/><Relationship Id="rId37" Type="http://schemas.openxmlformats.org/officeDocument/2006/relationships/hyperlink" Target="mailto:info@tipasaic.com" TargetMode="External"/><Relationship Id="rId36" Type="http://schemas.openxmlformats.org/officeDocument/2006/relationships/hyperlink" Target="mailto:strapingsrl@gmail.com" TargetMode="External"/><Relationship Id="rId39" Type="http://schemas.openxmlformats.org/officeDocument/2006/relationships/hyperlink" Target="mailto:administracion@levonsrl.com.ar" TargetMode="External"/><Relationship Id="rId38" Type="http://schemas.openxmlformats.org/officeDocument/2006/relationships/hyperlink" Target="mailto:info@tolepublicidad.com.ar" TargetMode="External"/><Relationship Id="rId20" Type="http://schemas.openxmlformats.org/officeDocument/2006/relationships/hyperlink" Target="mailto:info@maferbul.com.ar" TargetMode="External"/><Relationship Id="rId22" Type="http://schemas.openxmlformats.org/officeDocument/2006/relationships/hyperlink" Target="mailto:info@diquime.com.ar" TargetMode="External"/><Relationship Id="rId21" Type="http://schemas.openxmlformats.org/officeDocument/2006/relationships/hyperlink" Target="mailto:info@axal.com.ar" TargetMode="External"/><Relationship Id="rId24" Type="http://schemas.openxmlformats.org/officeDocument/2006/relationships/hyperlink" Target="mailto:info@expoyer.com.ar" TargetMode="External"/><Relationship Id="rId23" Type="http://schemas.openxmlformats.org/officeDocument/2006/relationships/hyperlink" Target="mailto:fabricaelebano@gmail.com" TargetMode="External"/><Relationship Id="rId26" Type="http://schemas.openxmlformats.org/officeDocument/2006/relationships/hyperlink" Target="mailto:info@italart-sa.com.ar" TargetMode="External"/><Relationship Id="rId25" Type="http://schemas.openxmlformats.org/officeDocument/2006/relationships/hyperlink" Target="http://www.idg.com.ar/contacto.html" TargetMode="External"/><Relationship Id="rId28" Type="http://schemas.openxmlformats.org/officeDocument/2006/relationships/hyperlink" Target="mailto:ventas@jerf.com.ar" TargetMode="External"/><Relationship Id="rId27" Type="http://schemas.openxmlformats.org/officeDocument/2006/relationships/hyperlink" Target="mailto:iqasa.sa@gmail.com" TargetMode="External"/><Relationship Id="rId29" Type="http://schemas.openxmlformats.org/officeDocument/2006/relationships/hyperlink" Target="mailto:Kuasar.ascensores@gmail.com" TargetMode="External"/><Relationship Id="rId11" Type="http://schemas.openxmlformats.org/officeDocument/2006/relationships/hyperlink" Target="mailto:elianaborda@hotmail.com" TargetMode="External"/><Relationship Id="rId10" Type="http://schemas.openxmlformats.org/officeDocument/2006/relationships/hyperlink" Target="http://lumaproductos.com.ar/" TargetMode="External"/><Relationship Id="rId13" Type="http://schemas.openxmlformats.org/officeDocument/2006/relationships/hyperlink" Target="mailto:apallettipablo@gmail.com" TargetMode="External"/><Relationship Id="rId12" Type="http://schemas.openxmlformats.org/officeDocument/2006/relationships/hyperlink" Target="mailto:gabriel.scarnato@trimet.com.ar" TargetMode="External"/><Relationship Id="rId15" Type="http://schemas.openxmlformats.org/officeDocument/2006/relationships/hyperlink" Target="mailto:ventas@maferbul.com.ar" TargetMode="External"/><Relationship Id="rId14" Type="http://schemas.openxmlformats.org/officeDocument/2006/relationships/hyperlink" Target="mailto:ventas@maferbul.com.ar" TargetMode="External"/><Relationship Id="rId17" Type="http://schemas.openxmlformats.org/officeDocument/2006/relationships/hyperlink" Target="mailto:julieta.lisciotti@all4labels.com" TargetMode="External"/><Relationship Id="rId16" Type="http://schemas.openxmlformats.org/officeDocument/2006/relationships/hyperlink" Target="mailto:comex@sabbatini.com.ar" TargetMode="External"/><Relationship Id="rId19" Type="http://schemas.openxmlformats.org/officeDocument/2006/relationships/hyperlink" Target="http://ibuenayre.com.ar/" TargetMode="External"/><Relationship Id="rId18" Type="http://schemas.openxmlformats.org/officeDocument/2006/relationships/hyperlink" Target="mailto:celia.compribandsrl@gmail.com" TargetMode="External"/><Relationship Id="rId86" Type="http://schemas.openxmlformats.org/officeDocument/2006/relationships/table" Target="../tables/table15.xml"/><Relationship Id="rId85" Type="http://schemas.openxmlformats.org/officeDocument/2006/relationships/table" Target="../tables/table14.xml"/><Relationship Id="rId88" Type="http://schemas.openxmlformats.org/officeDocument/2006/relationships/table" Target="../tables/table17.xml"/><Relationship Id="rId87" Type="http://schemas.openxmlformats.org/officeDocument/2006/relationships/table" Target="../tables/table16.xml"/><Relationship Id="rId89" Type="http://schemas.openxmlformats.org/officeDocument/2006/relationships/table" Target="../tables/table18.xml"/><Relationship Id="rId50" Type="http://schemas.openxmlformats.org/officeDocument/2006/relationships/vmlDrawing" Target="../drawings/vmlDrawing2.vml"/><Relationship Id="rId107" Type="http://schemas.openxmlformats.org/officeDocument/2006/relationships/table" Target="../tables/table36.xml"/><Relationship Id="rId106" Type="http://schemas.openxmlformats.org/officeDocument/2006/relationships/table" Target="../tables/table35.xml"/><Relationship Id="rId105" Type="http://schemas.openxmlformats.org/officeDocument/2006/relationships/table" Target="../tables/table34.xml"/><Relationship Id="rId104" Type="http://schemas.openxmlformats.org/officeDocument/2006/relationships/table" Target="../tables/table33.xml"/><Relationship Id="rId109" Type="http://schemas.openxmlformats.org/officeDocument/2006/relationships/table" Target="../tables/table38.xml"/><Relationship Id="rId108" Type="http://schemas.openxmlformats.org/officeDocument/2006/relationships/table" Target="../tables/table37.xml"/><Relationship Id="rId103" Type="http://schemas.openxmlformats.org/officeDocument/2006/relationships/table" Target="../tables/table32.xml"/><Relationship Id="rId102" Type="http://schemas.openxmlformats.org/officeDocument/2006/relationships/table" Target="../tables/table31.xml"/><Relationship Id="rId101" Type="http://schemas.openxmlformats.org/officeDocument/2006/relationships/table" Target="../tables/table30.xml"/><Relationship Id="rId100" Type="http://schemas.openxmlformats.org/officeDocument/2006/relationships/table" Target="../tables/table29.xml"/><Relationship Id="rId95" Type="http://schemas.openxmlformats.org/officeDocument/2006/relationships/table" Target="../tables/table24.xml"/><Relationship Id="rId94" Type="http://schemas.openxmlformats.org/officeDocument/2006/relationships/table" Target="../tables/table23.xml"/><Relationship Id="rId97" Type="http://schemas.openxmlformats.org/officeDocument/2006/relationships/table" Target="../tables/table26.xml"/><Relationship Id="rId96" Type="http://schemas.openxmlformats.org/officeDocument/2006/relationships/table" Target="../tables/table25.xml"/><Relationship Id="rId99" Type="http://schemas.openxmlformats.org/officeDocument/2006/relationships/table" Target="../tables/table28.xml"/><Relationship Id="rId98" Type="http://schemas.openxmlformats.org/officeDocument/2006/relationships/table" Target="../tables/table27.xml"/><Relationship Id="rId91" Type="http://schemas.openxmlformats.org/officeDocument/2006/relationships/table" Target="../tables/table20.xml"/><Relationship Id="rId90" Type="http://schemas.openxmlformats.org/officeDocument/2006/relationships/table" Target="../tables/table19.xml"/><Relationship Id="rId93" Type="http://schemas.openxmlformats.org/officeDocument/2006/relationships/table" Target="../tables/table22.xml"/><Relationship Id="rId92" Type="http://schemas.openxmlformats.org/officeDocument/2006/relationships/table" Target="../tables/table21.xml"/><Relationship Id="rId118" Type="http://schemas.openxmlformats.org/officeDocument/2006/relationships/table" Target="../tables/table47.xml"/><Relationship Id="rId117" Type="http://schemas.openxmlformats.org/officeDocument/2006/relationships/table" Target="../tables/table46.xml"/><Relationship Id="rId116" Type="http://schemas.openxmlformats.org/officeDocument/2006/relationships/table" Target="../tables/table45.xml"/><Relationship Id="rId115" Type="http://schemas.openxmlformats.org/officeDocument/2006/relationships/table" Target="../tables/table44.xml"/><Relationship Id="rId110" Type="http://schemas.openxmlformats.org/officeDocument/2006/relationships/table" Target="../tables/table39.xml"/><Relationship Id="rId114" Type="http://schemas.openxmlformats.org/officeDocument/2006/relationships/table" Target="../tables/table43.xml"/><Relationship Id="rId113" Type="http://schemas.openxmlformats.org/officeDocument/2006/relationships/table" Target="../tables/table42.xml"/><Relationship Id="rId112" Type="http://schemas.openxmlformats.org/officeDocument/2006/relationships/table" Target="../tables/table41.xml"/><Relationship Id="rId111" Type="http://schemas.openxmlformats.org/officeDocument/2006/relationships/table" Target="../tables/table40.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mailto:holubvictor@gmail.com" TargetMode="External"/><Relationship Id="rId2" Type="http://schemas.openxmlformats.org/officeDocument/2006/relationships/hyperlink" Target="mailto:adm@alprin.com.ar" TargetMode="External"/><Relationship Id="rId3" Type="http://schemas.openxmlformats.org/officeDocument/2006/relationships/hyperlink" Target="mailto:hbentivegna@hiperinox.com" TargetMode="External"/><Relationship Id="rId4" Type="http://schemas.openxmlformats.org/officeDocument/2006/relationships/hyperlink" Target="mailto:carlina.compriband@gmail.com" TargetMode="External"/><Relationship Id="rId9" Type="http://schemas.openxmlformats.org/officeDocument/2006/relationships/hyperlink" Target="mailto:apallettipablo@gmail.com" TargetMode="External"/><Relationship Id="rId5" Type="http://schemas.openxmlformats.org/officeDocument/2006/relationships/hyperlink" Target="mailto:info@leffort.com.ar" TargetMode="External"/><Relationship Id="rId6" Type="http://schemas.openxmlformats.org/officeDocument/2006/relationships/hyperlink" Target="http://lumaproductos.com.ar/" TargetMode="External"/><Relationship Id="rId7" Type="http://schemas.openxmlformats.org/officeDocument/2006/relationships/hyperlink" Target="mailto:elianaborda@hotmail.com" TargetMode="External"/><Relationship Id="rId8" Type="http://schemas.openxmlformats.org/officeDocument/2006/relationships/hyperlink" Target="mailto:gabriel.scarnato@trimet.com.ar" TargetMode="External"/><Relationship Id="rId11" Type="http://schemas.openxmlformats.org/officeDocument/2006/relationships/hyperlink" Target="mailto:luismontiel@terlizzisa.com" TargetMode="External"/><Relationship Id="rId10" Type="http://schemas.openxmlformats.org/officeDocument/2006/relationships/hyperlink" Target="http://ibuenayre.com.ar/" TargetMode="External"/><Relationship Id="rId13" Type="http://schemas.openxmlformats.org/officeDocument/2006/relationships/hyperlink" Target="mailto:ventas@maferbul.com.ar" TargetMode="External"/><Relationship Id="rId12" Type="http://schemas.openxmlformats.org/officeDocument/2006/relationships/hyperlink" Target="mailto:ventas@maferbul.com.ar" TargetMode="External"/><Relationship Id="rId15" Type="http://schemas.openxmlformats.org/officeDocument/2006/relationships/drawing" Target="../drawings/drawing4.xml"/><Relationship Id="rId14" Type="http://schemas.openxmlformats.org/officeDocument/2006/relationships/hyperlink" Target="mailto:info@maferbul.com.ar" TargetMode="External"/><Relationship Id="rId17" Type="http://schemas.openxmlformats.org/officeDocument/2006/relationships/table" Target="../tables/table48.xml"/></Relationships>
</file>

<file path=xl/worksheets/_rels/sheet5.xml.rels><?xml version="1.0" encoding="UTF-8" standalone="yes"?><Relationships xmlns="http://schemas.openxmlformats.org/package/2006/relationships"><Relationship Id="rId1" Type="http://schemas.openxmlformats.org/officeDocument/2006/relationships/hyperlink" Target="http://lumaproductos.com.ar/" TargetMode="External"/><Relationship Id="rId2" Type="http://schemas.openxmlformats.org/officeDocument/2006/relationships/hyperlink" Target="mailto:gabriel.scarnato@trimet.com.ar" TargetMode="External"/><Relationship Id="rId3" Type="http://schemas.openxmlformats.org/officeDocument/2006/relationships/hyperlink" Target="mailto:apallettipablo@gmail.com" TargetMode="External"/><Relationship Id="rId4"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fitToPage="1"/>
  </sheetPr>
  <sheetViews>
    <sheetView workbookViewId="0">
      <pane xSplit="3.0" ySplit="4.0" topLeftCell="D5" activePane="bottomRight" state="frozen"/>
      <selection activeCell="D1" sqref="D1" pane="topRight"/>
      <selection activeCell="A5" sqref="A5" pane="bottomLeft"/>
      <selection activeCell="D5" sqref="D5" pane="bottomRight"/>
    </sheetView>
  </sheetViews>
  <sheetFormatPr customHeight="1" defaultColWidth="14.43" defaultRowHeight="15.0"/>
  <cols>
    <col customWidth="1" hidden="1" min="1" max="1" width="5.43"/>
    <col customWidth="1" min="2" max="2" width="68.0"/>
    <col customWidth="1" min="3" max="3" width="12.57"/>
    <col customWidth="1" min="4" max="4" width="22.43"/>
    <col customWidth="1" min="5" max="5" width="38.57"/>
    <col customWidth="1" min="6" max="6" width="19.57"/>
    <col customWidth="1" min="7" max="7" width="30.29"/>
    <col customWidth="1" min="8" max="8" width="7.14"/>
    <col customWidth="1" min="9" max="9" width="8.71"/>
    <col customWidth="1" min="10" max="10" width="24.57"/>
    <col customWidth="1" min="11" max="11" width="121.57"/>
    <col customWidth="1" min="12" max="12" width="13.57"/>
    <col customWidth="1" min="13" max="13" width="84.0"/>
    <col customWidth="1" min="14" max="14" width="19.0"/>
    <col customWidth="1" min="15" max="15" width="53.0"/>
    <col customWidth="1" min="16" max="16" width="20.43"/>
    <col customWidth="1" min="17" max="17" width="27.86"/>
    <col customWidth="1" min="18" max="18" width="14.43"/>
    <col customWidth="1" min="19" max="19" width="17.14"/>
    <col customWidth="1" min="20" max="20" width="15.29"/>
    <col customWidth="1" min="21" max="21" width="15.0"/>
    <col customWidth="1" min="22" max="22" width="44.86"/>
    <col customWidth="1" min="23" max="23" width="10.57"/>
    <col customWidth="1" min="24" max="24" width="10.0"/>
    <col customWidth="1" min="25" max="25" width="9.29"/>
    <col customWidth="1" min="26" max="26" width="26.57"/>
  </cols>
  <sheetData>
    <row r="1">
      <c r="A1" s="20" t="s">
        <v>24</v>
      </c>
      <c r="B1" s="23" t="s">
        <v>27</v>
      </c>
      <c r="C1" s="26">
        <f>COUNTA(B5:B3164)</f>
        <v>2175</v>
      </c>
      <c r="D1" s="26"/>
      <c r="E1" s="26"/>
      <c r="F1" s="29"/>
      <c r="G1" s="26"/>
      <c r="H1" s="30"/>
      <c r="I1" s="31"/>
      <c r="J1" s="31"/>
      <c r="K1" s="26"/>
      <c r="L1" s="26"/>
      <c r="M1" s="26"/>
      <c r="N1" s="26"/>
      <c r="O1" s="26"/>
      <c r="P1" s="30"/>
      <c r="Q1" s="26"/>
      <c r="R1" s="30"/>
      <c r="S1" s="30">
        <f t="shared" ref="S1:U1" si="1">COUNTA(S5:S2041)</f>
        <v>1875</v>
      </c>
      <c r="T1" s="30">
        <f t="shared" si="1"/>
        <v>1640</v>
      </c>
      <c r="U1" s="30">
        <f t="shared" si="1"/>
        <v>1481</v>
      </c>
      <c r="V1" s="41">
        <f>COUNTIFS(V5:V1956,"&lt;&gt;No encontrado / No tiene",V5:V1956,"&lt;&gt;")</f>
        <v>984</v>
      </c>
      <c r="W1" s="26"/>
      <c r="X1" s="26"/>
      <c r="Y1" s="26"/>
      <c r="Z1" s="26"/>
    </row>
    <row r="2">
      <c r="A2" s="44">
        <f>COUNTIF(A5:A1968, "C")</f>
        <v>1219</v>
      </c>
      <c r="B2" s="45" t="s">
        <v>112</v>
      </c>
      <c r="C2" s="47"/>
      <c r="D2" s="48" t="s">
        <v>121</v>
      </c>
      <c r="E2" s="47"/>
      <c r="F2" s="47"/>
      <c r="G2" s="47"/>
      <c r="H2" s="47"/>
      <c r="I2" s="47"/>
      <c r="J2" s="47"/>
      <c r="K2" s="47"/>
      <c r="L2" s="47"/>
      <c r="M2" s="47"/>
      <c r="N2" s="51"/>
      <c r="O2" s="52" t="s">
        <v>128</v>
      </c>
      <c r="P2" s="47"/>
      <c r="Q2" s="47"/>
      <c r="R2" s="47"/>
      <c r="S2" s="47"/>
      <c r="T2" s="47"/>
      <c r="U2" s="47"/>
      <c r="V2" s="47"/>
      <c r="W2" s="47"/>
      <c r="X2" s="47"/>
      <c r="Y2" s="51"/>
      <c r="Z2" s="44"/>
    </row>
    <row r="3">
      <c r="A3" s="44">
        <f>COUNTIF(A5:A1968, "F")</f>
        <v>741</v>
      </c>
      <c r="B3" s="45" t="s">
        <v>144</v>
      </c>
      <c r="C3" s="47"/>
      <c r="D3" s="55"/>
      <c r="E3" s="56" t="s">
        <v>150</v>
      </c>
      <c r="F3" s="47"/>
      <c r="G3" s="47"/>
      <c r="H3" s="51"/>
      <c r="I3" s="57"/>
      <c r="J3" s="47"/>
      <c r="K3" s="47"/>
      <c r="L3" s="47"/>
      <c r="M3" s="47"/>
      <c r="N3" s="51"/>
      <c r="O3" s="52" t="s">
        <v>161</v>
      </c>
      <c r="P3" s="51"/>
      <c r="Q3" s="52" t="s">
        <v>166</v>
      </c>
      <c r="R3" s="51"/>
      <c r="S3" s="52" t="s">
        <v>170</v>
      </c>
      <c r="T3" s="47"/>
      <c r="U3" s="47"/>
      <c r="V3" s="47"/>
      <c r="W3" s="47"/>
      <c r="X3" s="47"/>
      <c r="Y3" s="51"/>
      <c r="Z3" s="60" t="s">
        <v>178</v>
      </c>
    </row>
    <row r="4">
      <c r="A4" s="62" t="s">
        <v>188</v>
      </c>
      <c r="B4" s="63" t="s">
        <v>80</v>
      </c>
      <c r="C4" s="64" t="s">
        <v>193</v>
      </c>
      <c r="D4" s="55" t="s">
        <v>196</v>
      </c>
      <c r="E4" s="63" t="s">
        <v>198</v>
      </c>
      <c r="F4" s="65" t="s">
        <v>201</v>
      </c>
      <c r="G4" s="66" t="s">
        <v>3</v>
      </c>
      <c r="H4" s="66" t="s">
        <v>206</v>
      </c>
      <c r="I4" s="55" t="s">
        <v>209</v>
      </c>
      <c r="J4" s="55" t="s">
        <v>0</v>
      </c>
      <c r="K4" s="63" t="s">
        <v>212</v>
      </c>
      <c r="L4" s="63" t="s">
        <v>214</v>
      </c>
      <c r="M4" s="63" t="s">
        <v>217</v>
      </c>
      <c r="N4" s="63" t="s">
        <v>219</v>
      </c>
      <c r="O4" s="69" t="s">
        <v>221</v>
      </c>
      <c r="P4" s="70" t="s">
        <v>223</v>
      </c>
      <c r="Q4" s="69" t="s">
        <v>221</v>
      </c>
      <c r="R4" s="70" t="s">
        <v>223</v>
      </c>
      <c r="S4" s="70" t="s">
        <v>228</v>
      </c>
      <c r="T4" s="70" t="s">
        <v>230</v>
      </c>
      <c r="U4" s="71" t="s">
        <v>232</v>
      </c>
      <c r="V4" s="72" t="s">
        <v>235</v>
      </c>
      <c r="W4" s="69" t="s">
        <v>239</v>
      </c>
      <c r="X4" s="69" t="s">
        <v>242</v>
      </c>
      <c r="Y4" s="69" t="s">
        <v>243</v>
      </c>
      <c r="Z4" s="74"/>
    </row>
    <row r="5" ht="15.0" customHeight="1">
      <c r="A5" s="76" t="s">
        <v>247</v>
      </c>
      <c r="B5" s="77" t="s">
        <v>123</v>
      </c>
      <c r="C5" s="78" t="s">
        <v>253</v>
      </c>
      <c r="D5" s="77" t="s">
        <v>264</v>
      </c>
      <c r="E5" s="77" t="s">
        <v>266</v>
      </c>
      <c r="F5" s="44">
        <v>3552.0</v>
      </c>
      <c r="G5" s="79" t="s">
        <v>15</v>
      </c>
      <c r="H5" s="80">
        <v>1678.0</v>
      </c>
      <c r="I5" s="79">
        <v>162909.0</v>
      </c>
      <c r="J5" s="74" t="s">
        <v>283</v>
      </c>
      <c r="K5" s="77" t="s">
        <v>284</v>
      </c>
      <c r="L5" s="79" t="s">
        <v>286</v>
      </c>
      <c r="M5" s="79"/>
      <c r="N5" s="79">
        <v>16.0</v>
      </c>
      <c r="O5" s="83" t="s">
        <v>288</v>
      </c>
      <c r="P5" s="78" t="s">
        <v>291</v>
      </c>
      <c r="Q5" s="79"/>
      <c r="R5" s="80"/>
      <c r="S5" s="78" t="s">
        <v>295</v>
      </c>
      <c r="T5" s="85" t="s">
        <v>298</v>
      </c>
      <c r="U5" s="80"/>
      <c r="V5" s="86" t="s">
        <v>302</v>
      </c>
      <c r="W5" s="79" t="s">
        <v>306</v>
      </c>
      <c r="X5" s="79" t="s">
        <v>306</v>
      </c>
      <c r="Y5" s="79" t="s">
        <v>309</v>
      </c>
      <c r="Z5" s="79"/>
    </row>
    <row r="6" ht="15.75" customHeight="1">
      <c r="A6" s="76" t="s">
        <v>247</v>
      </c>
      <c r="B6" s="77" t="s">
        <v>312</v>
      </c>
      <c r="C6" s="80">
        <v>3.0714815179E10</v>
      </c>
      <c r="D6" s="79" t="s">
        <v>264</v>
      </c>
      <c r="E6" s="79" t="s">
        <v>314</v>
      </c>
      <c r="F6" s="44">
        <v>4523.0</v>
      </c>
      <c r="G6" s="79" t="s">
        <v>15</v>
      </c>
      <c r="H6" s="80">
        <v>1678.0</v>
      </c>
      <c r="I6" s="79">
        <v>202907.0</v>
      </c>
      <c r="J6" s="74" t="s">
        <v>316</v>
      </c>
      <c r="K6" s="79" t="s">
        <v>318</v>
      </c>
      <c r="L6" s="79"/>
      <c r="M6" s="79"/>
      <c r="N6" s="79">
        <v>0.0</v>
      </c>
      <c r="O6" s="74" t="s">
        <v>322</v>
      </c>
      <c r="P6" s="78" t="s">
        <v>324</v>
      </c>
      <c r="Q6" s="79"/>
      <c r="R6" s="80"/>
      <c r="S6" s="78" t="s">
        <v>328</v>
      </c>
      <c r="T6" s="78" t="s">
        <v>330</v>
      </c>
      <c r="U6" s="80" t="s">
        <v>332</v>
      </c>
      <c r="V6" s="98" t="s">
        <v>333</v>
      </c>
      <c r="W6" s="79" t="s">
        <v>306</v>
      </c>
      <c r="X6" s="79" t="s">
        <v>306</v>
      </c>
      <c r="Y6" s="79" t="s">
        <v>309</v>
      </c>
      <c r="Z6" s="79"/>
    </row>
    <row r="7">
      <c r="A7" s="76" t="s">
        <v>247</v>
      </c>
      <c r="B7" s="77" t="s">
        <v>173</v>
      </c>
      <c r="C7" s="80">
        <v>3.0710393725E10</v>
      </c>
      <c r="D7" s="79" t="s">
        <v>264</v>
      </c>
      <c r="E7" s="79" t="s">
        <v>359</v>
      </c>
      <c r="F7" s="44">
        <v>5028.0</v>
      </c>
      <c r="G7" s="79" t="s">
        <v>15</v>
      </c>
      <c r="H7" s="80">
        <v>1678.0</v>
      </c>
      <c r="I7" s="79">
        <v>310020.0</v>
      </c>
      <c r="J7" s="74" t="s">
        <v>347</v>
      </c>
      <c r="K7" s="79" t="s">
        <v>367</v>
      </c>
      <c r="L7" s="79" t="s">
        <v>369</v>
      </c>
      <c r="M7" s="79" t="s">
        <v>370</v>
      </c>
      <c r="N7" s="79">
        <v>22.0</v>
      </c>
      <c r="O7" s="74" t="s">
        <v>373</v>
      </c>
      <c r="P7" s="80"/>
      <c r="Q7" s="77"/>
      <c r="R7" s="80"/>
      <c r="S7" s="78" t="s">
        <v>377</v>
      </c>
      <c r="T7" s="85" t="s">
        <v>379</v>
      </c>
      <c r="U7" s="80" t="s">
        <v>332</v>
      </c>
      <c r="V7" s="98" t="s">
        <v>382</v>
      </c>
      <c r="W7" s="79" t="s">
        <v>306</v>
      </c>
      <c r="X7" s="79" t="s">
        <v>306</v>
      </c>
      <c r="Y7" s="79" t="s">
        <v>309</v>
      </c>
      <c r="Z7" s="79"/>
    </row>
    <row r="8" ht="15.75" customHeight="1">
      <c r="A8" s="76" t="s">
        <v>247</v>
      </c>
      <c r="B8" s="77" t="s">
        <v>393</v>
      </c>
      <c r="C8" s="80">
        <v>3.0518263834E10</v>
      </c>
      <c r="D8" s="79" t="s">
        <v>264</v>
      </c>
      <c r="E8" s="79" t="s">
        <v>398</v>
      </c>
      <c r="F8" s="44">
        <v>4749.0</v>
      </c>
      <c r="G8" s="79" t="s">
        <v>15</v>
      </c>
      <c r="H8" s="101">
        <v>1678.0</v>
      </c>
      <c r="I8" s="79">
        <v>293090.0</v>
      </c>
      <c r="J8" s="74" t="s">
        <v>347</v>
      </c>
      <c r="K8" s="77" t="s">
        <v>407</v>
      </c>
      <c r="L8" s="79"/>
      <c r="M8" s="79"/>
      <c r="N8" s="79">
        <v>4.0</v>
      </c>
      <c r="O8" s="74" t="s">
        <v>420</v>
      </c>
      <c r="P8" s="80"/>
      <c r="Q8" s="79"/>
      <c r="R8" s="80"/>
      <c r="S8" s="78" t="s">
        <v>424</v>
      </c>
      <c r="T8" s="85" t="s">
        <v>426</v>
      </c>
      <c r="U8" s="80" t="s">
        <v>332</v>
      </c>
      <c r="V8" s="102" t="s">
        <v>429</v>
      </c>
      <c r="W8" s="79" t="s">
        <v>309</v>
      </c>
      <c r="X8" s="79" t="s">
        <v>306</v>
      </c>
      <c r="Y8" s="79" t="s">
        <v>309</v>
      </c>
      <c r="Z8" s="79"/>
    </row>
    <row r="9" ht="15.0" customHeight="1">
      <c r="A9" s="103" t="s">
        <v>24</v>
      </c>
      <c r="B9" s="77" t="s">
        <v>438</v>
      </c>
      <c r="C9" s="80">
        <v>3.0611422268E10</v>
      </c>
      <c r="D9" s="79" t="s">
        <v>264</v>
      </c>
      <c r="E9" s="79" t="s">
        <v>442</v>
      </c>
      <c r="F9" s="44">
        <v>4381.0</v>
      </c>
      <c r="G9" s="79" t="s">
        <v>68</v>
      </c>
      <c r="H9" s="101">
        <v>1702.0</v>
      </c>
      <c r="I9" s="79">
        <v>281102.0</v>
      </c>
      <c r="J9" s="74" t="s">
        <v>347</v>
      </c>
      <c r="K9" s="79" t="s">
        <v>451</v>
      </c>
      <c r="L9" s="79" t="s">
        <v>453</v>
      </c>
      <c r="M9" s="79"/>
      <c r="N9" s="79">
        <v>0.0</v>
      </c>
      <c r="O9" s="74" t="s">
        <v>332</v>
      </c>
      <c r="P9" s="80"/>
      <c r="Q9" s="79"/>
      <c r="R9" s="80"/>
      <c r="S9" s="80" t="s">
        <v>460</v>
      </c>
      <c r="T9" s="85" t="s">
        <v>462</v>
      </c>
      <c r="U9" s="80" t="s">
        <v>332</v>
      </c>
      <c r="V9" s="102" t="s">
        <v>429</v>
      </c>
      <c r="W9" s="79" t="s">
        <v>306</v>
      </c>
      <c r="X9" s="79" t="s">
        <v>306</v>
      </c>
      <c r="Y9" s="79" t="s">
        <v>309</v>
      </c>
      <c r="Z9" s="79"/>
    </row>
    <row r="10" ht="15.75" customHeight="1">
      <c r="A10" s="103" t="s">
        <v>24</v>
      </c>
      <c r="B10" s="77" t="s">
        <v>474</v>
      </c>
      <c r="C10" s="80">
        <v>3.0662138157E10</v>
      </c>
      <c r="D10" s="79" t="s">
        <v>264</v>
      </c>
      <c r="E10" s="79" t="s">
        <v>478</v>
      </c>
      <c r="F10" s="44">
        <v>12110.0</v>
      </c>
      <c r="G10" s="79" t="s">
        <v>68</v>
      </c>
      <c r="H10" s="101">
        <v>1702.0</v>
      </c>
      <c r="I10" s="79">
        <v>801090.0</v>
      </c>
      <c r="J10" s="74" t="s">
        <v>433</v>
      </c>
      <c r="K10" s="77" t="s">
        <v>484</v>
      </c>
      <c r="L10" s="79"/>
      <c r="M10" s="79"/>
      <c r="N10" s="79">
        <v>17.0</v>
      </c>
      <c r="O10" s="74" t="s">
        <v>332</v>
      </c>
      <c r="P10" s="80"/>
      <c r="Q10" s="79"/>
      <c r="R10" s="80"/>
      <c r="S10" s="80" t="s">
        <v>490</v>
      </c>
      <c r="T10" s="101"/>
      <c r="U10" s="80" t="s">
        <v>332</v>
      </c>
      <c r="V10" s="102" t="s">
        <v>429</v>
      </c>
      <c r="W10" s="79" t="s">
        <v>306</v>
      </c>
      <c r="X10" s="79" t="s">
        <v>306</v>
      </c>
      <c r="Y10" s="79" t="s">
        <v>309</v>
      </c>
      <c r="Z10" s="79"/>
    </row>
    <row r="11" ht="15.75" customHeight="1">
      <c r="A11" s="76" t="s">
        <v>247</v>
      </c>
      <c r="B11" s="77" t="s">
        <v>499</v>
      </c>
      <c r="C11" s="80">
        <v>3.0701156532E10</v>
      </c>
      <c r="D11" s="79" t="s">
        <v>264</v>
      </c>
      <c r="E11" s="77" t="s">
        <v>503</v>
      </c>
      <c r="F11" s="44">
        <v>3397.0</v>
      </c>
      <c r="G11" s="77" t="s">
        <v>68</v>
      </c>
      <c r="H11" s="101">
        <v>1704.0</v>
      </c>
      <c r="I11" s="79">
        <v>812090.0</v>
      </c>
      <c r="J11" s="74" t="s">
        <v>433</v>
      </c>
      <c r="K11" s="77" t="s">
        <v>509</v>
      </c>
      <c r="L11" s="79"/>
      <c r="M11" s="79"/>
      <c r="N11" s="79">
        <v>11.0</v>
      </c>
      <c r="O11" s="74" t="s">
        <v>332</v>
      </c>
      <c r="P11" s="80"/>
      <c r="Q11" s="79"/>
      <c r="R11" s="114"/>
      <c r="S11" s="78" t="s">
        <v>510</v>
      </c>
      <c r="T11" s="85" t="s">
        <v>512</v>
      </c>
      <c r="U11" s="80" t="s">
        <v>332</v>
      </c>
      <c r="V11" s="98" t="s">
        <v>516</v>
      </c>
      <c r="W11" s="79" t="s">
        <v>306</v>
      </c>
      <c r="X11" s="79" t="s">
        <v>306</v>
      </c>
      <c r="Y11" s="79" t="s">
        <v>309</v>
      </c>
      <c r="Z11" s="79"/>
    </row>
    <row r="12" ht="15.0" customHeight="1">
      <c r="A12" s="76" t="s">
        <v>247</v>
      </c>
      <c r="B12" s="79" t="s">
        <v>527</v>
      </c>
      <c r="C12" s="80">
        <v>3.0709992178E10</v>
      </c>
      <c r="D12" s="119" t="s">
        <v>264</v>
      </c>
      <c r="E12" s="79" t="s">
        <v>532</v>
      </c>
      <c r="F12" s="44">
        <v>21.0</v>
      </c>
      <c r="G12" s="79" t="s">
        <v>68</v>
      </c>
      <c r="H12" s="101">
        <v>1702.0</v>
      </c>
      <c r="I12" s="79">
        <v>139209.0</v>
      </c>
      <c r="J12" s="74" t="s">
        <v>448</v>
      </c>
      <c r="K12" s="77" t="s">
        <v>539</v>
      </c>
      <c r="L12" s="79" t="s">
        <v>369</v>
      </c>
      <c r="M12" s="79"/>
      <c r="N12" s="79">
        <v>4.0</v>
      </c>
      <c r="O12" s="74" t="s">
        <v>332</v>
      </c>
      <c r="P12" s="80"/>
      <c r="Q12" s="79"/>
      <c r="R12" s="80"/>
      <c r="S12" s="78" t="s">
        <v>546</v>
      </c>
      <c r="T12" s="85" t="s">
        <v>548</v>
      </c>
      <c r="U12" s="78" t="s">
        <v>549</v>
      </c>
      <c r="V12" s="98" t="s">
        <v>551</v>
      </c>
      <c r="W12" s="79" t="s">
        <v>309</v>
      </c>
      <c r="X12" s="79" t="s">
        <v>309</v>
      </c>
      <c r="Y12" s="79" t="s">
        <v>309</v>
      </c>
      <c r="Z12" s="79"/>
    </row>
    <row r="13" ht="15.75" customHeight="1">
      <c r="A13" s="76" t="s">
        <v>247</v>
      </c>
      <c r="B13" s="77" t="s">
        <v>561</v>
      </c>
      <c r="C13" s="80">
        <v>3.059742913E10</v>
      </c>
      <c r="D13" s="79" t="s">
        <v>264</v>
      </c>
      <c r="E13" s="79" t="s">
        <v>564</v>
      </c>
      <c r="F13" s="44">
        <v>4352.0</v>
      </c>
      <c r="G13" s="79" t="s">
        <v>68</v>
      </c>
      <c r="H13" s="101">
        <v>1702.0</v>
      </c>
      <c r="I13" s="79">
        <v>222090.0</v>
      </c>
      <c r="J13" s="83" t="s">
        <v>568</v>
      </c>
      <c r="K13" s="77" t="s">
        <v>569</v>
      </c>
      <c r="L13" s="79" t="s">
        <v>453</v>
      </c>
      <c r="M13" s="79"/>
      <c r="N13" s="79">
        <v>14.0</v>
      </c>
      <c r="O13" s="74" t="s">
        <v>332</v>
      </c>
      <c r="P13" s="80"/>
      <c r="Q13" s="79"/>
      <c r="R13" s="80"/>
      <c r="S13" s="80" t="s">
        <v>575</v>
      </c>
      <c r="T13" s="101" t="s">
        <v>577</v>
      </c>
      <c r="U13" s="80" t="s">
        <v>332</v>
      </c>
      <c r="V13" s="102" t="s">
        <v>579</v>
      </c>
      <c r="W13" s="79" t="s">
        <v>309</v>
      </c>
      <c r="X13" s="79" t="s">
        <v>309</v>
      </c>
      <c r="Y13" s="79" t="s">
        <v>309</v>
      </c>
      <c r="Z13" s="79"/>
    </row>
    <row r="14" ht="14.25" customHeight="1">
      <c r="A14" s="76" t="s">
        <v>247</v>
      </c>
      <c r="B14" s="79" t="s">
        <v>589</v>
      </c>
      <c r="C14" s="80">
        <v>3.0647487285E10</v>
      </c>
      <c r="D14" s="79" t="s">
        <v>264</v>
      </c>
      <c r="E14" s="77" t="s">
        <v>591</v>
      </c>
      <c r="F14" s="44">
        <v>262.0</v>
      </c>
      <c r="G14" s="79" t="s">
        <v>68</v>
      </c>
      <c r="H14" s="101">
        <v>1702.0</v>
      </c>
      <c r="I14" s="79">
        <v>383961.0</v>
      </c>
      <c r="J14" s="83" t="s">
        <v>207</v>
      </c>
      <c r="K14" s="79" t="s">
        <v>596</v>
      </c>
      <c r="L14" s="79"/>
      <c r="M14" s="79"/>
      <c r="N14" s="79">
        <v>0.0</v>
      </c>
      <c r="O14" s="74" t="s">
        <v>332</v>
      </c>
      <c r="P14" s="80"/>
      <c r="Q14" s="79"/>
      <c r="R14" s="80"/>
      <c r="S14" s="80" t="s">
        <v>599</v>
      </c>
      <c r="T14" s="101" t="s">
        <v>601</v>
      </c>
      <c r="U14" s="80" t="s">
        <v>332</v>
      </c>
      <c r="V14" s="102" t="s">
        <v>429</v>
      </c>
      <c r="W14" s="79" t="s">
        <v>306</v>
      </c>
      <c r="X14" s="79" t="s">
        <v>306</v>
      </c>
      <c r="Y14" s="79" t="s">
        <v>309</v>
      </c>
      <c r="Z14" s="79"/>
    </row>
    <row r="15" ht="15.75" customHeight="1">
      <c r="A15" s="76" t="s">
        <v>247</v>
      </c>
      <c r="B15" s="77" t="s">
        <v>605</v>
      </c>
      <c r="C15" s="80">
        <v>3.0710802552E10</v>
      </c>
      <c r="D15" s="79" t="s">
        <v>264</v>
      </c>
      <c r="E15" s="77" t="s">
        <v>608</v>
      </c>
      <c r="F15" s="44">
        <v>2945.0</v>
      </c>
      <c r="G15" s="79" t="s">
        <v>15</v>
      </c>
      <c r="H15" s="101">
        <v>1678.0</v>
      </c>
      <c r="I15" s="79">
        <v>433010.0</v>
      </c>
      <c r="J15" s="74" t="s">
        <v>125</v>
      </c>
      <c r="K15" s="79" t="s">
        <v>614</v>
      </c>
      <c r="L15" s="79" t="s">
        <v>286</v>
      </c>
      <c r="M15" s="79"/>
      <c r="N15" s="79">
        <v>6.0</v>
      </c>
      <c r="O15" s="74" t="s">
        <v>332</v>
      </c>
      <c r="P15" s="80"/>
      <c r="Q15" s="79"/>
      <c r="R15" s="80"/>
      <c r="S15" s="78" t="s">
        <v>619</v>
      </c>
      <c r="T15" s="101" t="s">
        <v>621</v>
      </c>
      <c r="U15" s="125" t="s">
        <v>622</v>
      </c>
      <c r="V15" s="86" t="s">
        <v>625</v>
      </c>
      <c r="W15" s="79" t="s">
        <v>306</v>
      </c>
      <c r="X15" s="79" t="s">
        <v>306</v>
      </c>
      <c r="Y15" s="79" t="s">
        <v>309</v>
      </c>
      <c r="Z15" s="79"/>
    </row>
    <row r="16" ht="15.0" customHeight="1">
      <c r="A16" s="76" t="s">
        <v>247</v>
      </c>
      <c r="B16" s="126" t="s">
        <v>216</v>
      </c>
      <c r="C16" s="80">
        <v>2.010533933E10</v>
      </c>
      <c r="D16" s="77" t="s">
        <v>631</v>
      </c>
      <c r="E16" s="77" t="s">
        <v>633</v>
      </c>
      <c r="F16" s="128">
        <v>1130.0</v>
      </c>
      <c r="G16" s="79" t="s">
        <v>68</v>
      </c>
      <c r="H16" s="101">
        <v>1702.0</v>
      </c>
      <c r="I16" s="77">
        <v>259993.0</v>
      </c>
      <c r="J16" s="83" t="s">
        <v>347</v>
      </c>
      <c r="K16" s="129" t="s">
        <v>638</v>
      </c>
      <c r="L16" s="79"/>
      <c r="M16" s="79"/>
      <c r="N16" s="79"/>
      <c r="O16" s="83" t="s">
        <v>642</v>
      </c>
      <c r="P16" s="80"/>
      <c r="Q16" s="79"/>
      <c r="R16" s="80"/>
      <c r="S16" s="101" t="s">
        <v>646</v>
      </c>
      <c r="T16" s="101" t="s">
        <v>647</v>
      </c>
      <c r="U16" s="80"/>
      <c r="V16" s="102" t="s">
        <v>649</v>
      </c>
      <c r="W16" s="79"/>
      <c r="X16" s="79"/>
      <c r="Y16" s="79"/>
      <c r="Z16" s="79"/>
    </row>
    <row r="17" ht="15.0" customHeight="1">
      <c r="A17" s="76" t="s">
        <v>247</v>
      </c>
      <c r="B17" s="77" t="s">
        <v>659</v>
      </c>
      <c r="C17" s="80">
        <v>3.0707243844E10</v>
      </c>
      <c r="D17" s="79" t="s">
        <v>264</v>
      </c>
      <c r="E17" s="79" t="s">
        <v>660</v>
      </c>
      <c r="F17" s="44">
        <v>5337.0</v>
      </c>
      <c r="G17" s="79" t="s">
        <v>15</v>
      </c>
      <c r="H17" s="80">
        <v>1678.0</v>
      </c>
      <c r="I17" s="77">
        <v>271010.0</v>
      </c>
      <c r="J17" s="74" t="s">
        <v>347</v>
      </c>
      <c r="K17" s="77" t="s">
        <v>661</v>
      </c>
      <c r="L17" s="79" t="s">
        <v>662</v>
      </c>
      <c r="M17" s="79"/>
      <c r="N17" s="79">
        <v>30.0</v>
      </c>
      <c r="O17" s="83" t="s">
        <v>663</v>
      </c>
      <c r="P17" s="80"/>
      <c r="Q17" s="79"/>
      <c r="R17" s="80"/>
      <c r="S17" s="80" t="s">
        <v>666</v>
      </c>
      <c r="T17" s="101" t="s">
        <v>667</v>
      </c>
      <c r="U17" s="80" t="s">
        <v>669</v>
      </c>
      <c r="V17" s="102" t="s">
        <v>670</v>
      </c>
      <c r="W17" s="79" t="s">
        <v>309</v>
      </c>
      <c r="X17" s="79" t="s">
        <v>309</v>
      </c>
      <c r="Y17" s="79" t="s">
        <v>309</v>
      </c>
      <c r="Z17" s="79"/>
    </row>
    <row r="18" ht="15.75" customHeight="1">
      <c r="A18" s="103" t="s">
        <v>24</v>
      </c>
      <c r="B18" s="77" t="s">
        <v>675</v>
      </c>
      <c r="C18" s="80">
        <v>3.0663783013E10</v>
      </c>
      <c r="D18" s="79" t="s">
        <v>264</v>
      </c>
      <c r="E18" s="79" t="s">
        <v>678</v>
      </c>
      <c r="F18" s="44">
        <v>5157.0</v>
      </c>
      <c r="G18" s="79" t="s">
        <v>269</v>
      </c>
      <c r="H18" s="80">
        <v>1682.0</v>
      </c>
      <c r="I18" s="79">
        <v>452900.0</v>
      </c>
      <c r="J18" s="74" t="s">
        <v>125</v>
      </c>
      <c r="K18" s="77" t="s">
        <v>682</v>
      </c>
      <c r="L18" s="79" t="s">
        <v>453</v>
      </c>
      <c r="M18" s="79"/>
      <c r="N18" s="79">
        <v>0.0</v>
      </c>
      <c r="O18" s="74" t="s">
        <v>332</v>
      </c>
      <c r="P18" s="80"/>
      <c r="Q18" s="79"/>
      <c r="R18" s="80"/>
      <c r="S18" s="80" t="s">
        <v>687</v>
      </c>
      <c r="T18" s="101" t="s">
        <v>332</v>
      </c>
      <c r="U18" s="80" t="s">
        <v>332</v>
      </c>
      <c r="V18" s="102" t="s">
        <v>429</v>
      </c>
      <c r="W18" s="79" t="s">
        <v>306</v>
      </c>
      <c r="X18" s="79" t="s">
        <v>306</v>
      </c>
      <c r="Y18" s="79" t="s">
        <v>309</v>
      </c>
      <c r="Z18" s="79"/>
    </row>
    <row r="19" ht="15.0" customHeight="1">
      <c r="A19" s="76" t="s">
        <v>247</v>
      </c>
      <c r="B19" s="77" t="s">
        <v>693</v>
      </c>
      <c r="C19" s="80">
        <v>3.3625752499E10</v>
      </c>
      <c r="D19" s="79" t="s">
        <v>264</v>
      </c>
      <c r="E19" s="126" t="s">
        <v>696</v>
      </c>
      <c r="F19" s="44">
        <v>5683.0</v>
      </c>
      <c r="G19" s="79" t="s">
        <v>15</v>
      </c>
      <c r="H19" s="80">
        <v>1678.0</v>
      </c>
      <c r="I19" s="79">
        <v>202907.0</v>
      </c>
      <c r="J19" s="74" t="s">
        <v>316</v>
      </c>
      <c r="K19" s="79" t="s">
        <v>318</v>
      </c>
      <c r="L19" s="79"/>
      <c r="M19" s="79"/>
      <c r="N19" s="79">
        <v>10.0</v>
      </c>
      <c r="O19" s="74" t="s">
        <v>332</v>
      </c>
      <c r="P19" s="78" t="s">
        <v>704</v>
      </c>
      <c r="Q19" s="79"/>
      <c r="R19" s="80"/>
      <c r="S19" s="78" t="s">
        <v>707</v>
      </c>
      <c r="T19" s="78" t="s">
        <v>704</v>
      </c>
      <c r="U19" s="80" t="s">
        <v>708</v>
      </c>
      <c r="V19" s="102" t="s">
        <v>709</v>
      </c>
      <c r="W19" s="79" t="s">
        <v>309</v>
      </c>
      <c r="X19" s="79" t="s">
        <v>309</v>
      </c>
      <c r="Y19" s="79" t="s">
        <v>309</v>
      </c>
      <c r="Z19" s="79"/>
    </row>
    <row r="20" ht="15.75" customHeight="1">
      <c r="A20" s="103" t="s">
        <v>24</v>
      </c>
      <c r="B20" s="77" t="s">
        <v>722</v>
      </c>
      <c r="C20" s="80">
        <v>3.0714258377E10</v>
      </c>
      <c r="D20" s="79" t="s">
        <v>264</v>
      </c>
      <c r="E20" s="79" t="s">
        <v>723</v>
      </c>
      <c r="F20" s="44">
        <v>5236.0</v>
      </c>
      <c r="G20" s="79" t="s">
        <v>15</v>
      </c>
      <c r="H20" s="80">
        <v>1678.0</v>
      </c>
      <c r="I20" s="79">
        <v>329090.0</v>
      </c>
      <c r="J20" s="74" t="s">
        <v>347</v>
      </c>
      <c r="K20" s="77" t="s">
        <v>726</v>
      </c>
      <c r="L20" s="79"/>
      <c r="M20" s="79"/>
      <c r="N20" s="79">
        <v>4.0</v>
      </c>
      <c r="O20" s="74"/>
      <c r="P20" s="80"/>
      <c r="Q20" s="79"/>
      <c r="R20" s="80"/>
      <c r="S20" s="80" t="s">
        <v>730</v>
      </c>
      <c r="T20" s="101" t="s">
        <v>731</v>
      </c>
      <c r="U20" s="80" t="s">
        <v>332</v>
      </c>
      <c r="V20" s="86" t="s">
        <v>734</v>
      </c>
      <c r="W20" s="79" t="s">
        <v>306</v>
      </c>
      <c r="X20" s="79" t="s">
        <v>306</v>
      </c>
      <c r="Y20" s="79" t="s">
        <v>309</v>
      </c>
      <c r="Z20" s="79"/>
    </row>
    <row r="21" ht="15.75" customHeight="1">
      <c r="A21" s="76" t="s">
        <v>247</v>
      </c>
      <c r="B21" s="77" t="s">
        <v>738</v>
      </c>
      <c r="C21" s="80">
        <v>3.0632566448E10</v>
      </c>
      <c r="D21" s="79" t="s">
        <v>264</v>
      </c>
      <c r="E21" s="77" t="s">
        <v>742</v>
      </c>
      <c r="F21" s="44">
        <v>4656.0</v>
      </c>
      <c r="G21" s="79" t="s">
        <v>15</v>
      </c>
      <c r="H21" s="80">
        <v>1678.0</v>
      </c>
      <c r="I21" s="79">
        <v>151200.0</v>
      </c>
      <c r="J21" s="74" t="s">
        <v>163</v>
      </c>
      <c r="K21" s="77" t="s">
        <v>749</v>
      </c>
      <c r="L21" s="79" t="s">
        <v>369</v>
      </c>
      <c r="M21" s="77" t="s">
        <v>752</v>
      </c>
      <c r="N21" s="79">
        <v>23.0</v>
      </c>
      <c r="O21" s="74"/>
      <c r="P21" s="80"/>
      <c r="Q21" s="79"/>
      <c r="R21" s="80"/>
      <c r="S21" s="78" t="s">
        <v>756</v>
      </c>
      <c r="T21" s="80" t="s">
        <v>757</v>
      </c>
      <c r="U21" s="85" t="s">
        <v>758</v>
      </c>
      <c r="V21" s="86" t="s">
        <v>760</v>
      </c>
      <c r="W21" s="79" t="s">
        <v>309</v>
      </c>
      <c r="X21" s="79" t="s">
        <v>309</v>
      </c>
      <c r="Y21" s="79" t="s">
        <v>309</v>
      </c>
      <c r="Z21" s="79"/>
    </row>
    <row r="22" ht="15.0" customHeight="1">
      <c r="A22" s="76" t="s">
        <v>247</v>
      </c>
      <c r="B22" s="79" t="s">
        <v>765</v>
      </c>
      <c r="C22" s="101">
        <v>2.7162030618E10</v>
      </c>
      <c r="D22" s="77" t="s">
        <v>631</v>
      </c>
      <c r="E22" s="126" t="s">
        <v>771</v>
      </c>
      <c r="F22" s="44">
        <v>4369.0</v>
      </c>
      <c r="G22" s="79" t="s">
        <v>15</v>
      </c>
      <c r="H22" s="80">
        <v>1678.0</v>
      </c>
      <c r="I22" s="79">
        <v>475290.0</v>
      </c>
      <c r="J22" s="74" t="s">
        <v>125</v>
      </c>
      <c r="K22" s="77" t="s">
        <v>778</v>
      </c>
      <c r="L22" s="79"/>
      <c r="M22" s="79"/>
      <c r="N22" s="79"/>
      <c r="O22" s="79"/>
      <c r="P22" s="80"/>
      <c r="Q22" s="79"/>
      <c r="R22" s="80"/>
      <c r="S22" s="85" t="s">
        <v>784</v>
      </c>
      <c r="T22" s="85" t="s">
        <v>787</v>
      </c>
      <c r="U22" s="78">
        <v>1.140376715E9</v>
      </c>
      <c r="V22" s="102" t="s">
        <v>789</v>
      </c>
      <c r="W22" s="79"/>
      <c r="X22" s="79"/>
      <c r="Y22" s="79"/>
      <c r="Z22" s="79"/>
    </row>
    <row r="23">
      <c r="A23" s="76" t="s">
        <v>247</v>
      </c>
      <c r="B23" s="77" t="s">
        <v>257</v>
      </c>
      <c r="C23" s="80">
        <v>3.0707576444E10</v>
      </c>
      <c r="D23" s="119" t="s">
        <v>264</v>
      </c>
      <c r="E23" s="79" t="s">
        <v>826</v>
      </c>
      <c r="F23" s="44">
        <v>8299.0</v>
      </c>
      <c r="G23" s="79" t="s">
        <v>175</v>
      </c>
      <c r="H23" s="80">
        <v>1657.0</v>
      </c>
      <c r="I23" s="79">
        <v>259999.0</v>
      </c>
      <c r="J23" s="74" t="s">
        <v>347</v>
      </c>
      <c r="K23" s="77" t="s">
        <v>839</v>
      </c>
      <c r="L23" s="79" t="s">
        <v>453</v>
      </c>
      <c r="M23" s="79"/>
      <c r="N23" s="79">
        <v>31.0</v>
      </c>
      <c r="O23" s="74" t="s">
        <v>851</v>
      </c>
      <c r="P23" s="80"/>
      <c r="Q23" s="77" t="s">
        <v>854</v>
      </c>
      <c r="R23" s="78" t="s">
        <v>856</v>
      </c>
      <c r="S23" s="78" t="s">
        <v>859</v>
      </c>
      <c r="T23" s="101" t="s">
        <v>861</v>
      </c>
      <c r="U23" s="80" t="s">
        <v>864</v>
      </c>
      <c r="V23" s="102" t="s">
        <v>866</v>
      </c>
      <c r="W23" s="79" t="s">
        <v>309</v>
      </c>
      <c r="X23" s="79" t="s">
        <v>309</v>
      </c>
      <c r="Y23" s="79" t="s">
        <v>309</v>
      </c>
      <c r="Z23" s="79"/>
    </row>
    <row r="24">
      <c r="A24" s="76" t="s">
        <v>247</v>
      </c>
      <c r="B24" s="79" t="s">
        <v>891</v>
      </c>
      <c r="C24" s="101">
        <v>3.0711724997E10</v>
      </c>
      <c r="D24" s="79" t="s">
        <v>264</v>
      </c>
      <c r="E24" s="79" t="s">
        <v>898</v>
      </c>
      <c r="F24" s="44">
        <v>3237.0</v>
      </c>
      <c r="G24" s="79" t="s">
        <v>68</v>
      </c>
      <c r="H24" s="80">
        <v>1702.0</v>
      </c>
      <c r="I24" s="79">
        <v>259999.0</v>
      </c>
      <c r="J24" s="74" t="s">
        <v>347</v>
      </c>
      <c r="K24" s="144" t="s">
        <v>839</v>
      </c>
      <c r="L24" s="79"/>
      <c r="M24" s="79"/>
      <c r="N24" s="79"/>
      <c r="O24" s="79"/>
      <c r="P24" s="80"/>
      <c r="Q24" s="79"/>
      <c r="R24" s="80"/>
      <c r="S24" s="80" t="s">
        <v>909</v>
      </c>
      <c r="T24" s="101"/>
      <c r="U24" s="80"/>
      <c r="V24" s="102" t="s">
        <v>914</v>
      </c>
      <c r="W24" s="79"/>
      <c r="X24" s="79"/>
      <c r="Y24" s="79"/>
      <c r="Z24" s="79"/>
    </row>
    <row r="25">
      <c r="A25" s="76" t="s">
        <v>247</v>
      </c>
      <c r="B25" s="77" t="s">
        <v>287</v>
      </c>
      <c r="C25" s="144">
        <v>3.3715692649E10</v>
      </c>
      <c r="D25" s="77" t="s">
        <v>264</v>
      </c>
      <c r="E25" s="77" t="s">
        <v>943</v>
      </c>
      <c r="F25" s="44">
        <v>2554.0</v>
      </c>
      <c r="G25" s="79" t="s">
        <v>97</v>
      </c>
      <c r="H25" s="78">
        <v>1703.0</v>
      </c>
      <c r="I25" s="77">
        <v>243100.0</v>
      </c>
      <c r="J25" s="74" t="s">
        <v>347</v>
      </c>
      <c r="K25" s="77" t="s">
        <v>954</v>
      </c>
      <c r="L25" s="79"/>
      <c r="M25" s="79"/>
      <c r="N25" s="79"/>
      <c r="O25" s="79" t="s">
        <v>959</v>
      </c>
      <c r="P25" s="78" t="s">
        <v>961</v>
      </c>
      <c r="Q25" s="79"/>
      <c r="R25" s="80"/>
      <c r="S25" s="78" t="s">
        <v>966</v>
      </c>
      <c r="T25" s="101"/>
      <c r="U25" s="80"/>
      <c r="V25" s="102" t="s">
        <v>429</v>
      </c>
      <c r="W25" s="79"/>
      <c r="X25" s="79"/>
      <c r="Y25" s="79"/>
      <c r="Z25" s="79"/>
    </row>
    <row r="26" ht="15.75" customHeight="1">
      <c r="A26" s="76" t="s">
        <v>247</v>
      </c>
      <c r="B26" s="77" t="s">
        <v>311</v>
      </c>
      <c r="C26" s="80">
        <v>3.0708161272E10</v>
      </c>
      <c r="D26" s="119" t="s">
        <v>264</v>
      </c>
      <c r="E26" s="126" t="s">
        <v>985</v>
      </c>
      <c r="F26" s="44">
        <v>3244.0</v>
      </c>
      <c r="G26" s="79" t="s">
        <v>15</v>
      </c>
      <c r="H26" s="80">
        <v>1678.0</v>
      </c>
      <c r="I26" s="79">
        <v>259999.0</v>
      </c>
      <c r="J26" s="74" t="s">
        <v>347</v>
      </c>
      <c r="K26" s="77" t="s">
        <v>839</v>
      </c>
      <c r="L26" s="79" t="s">
        <v>453</v>
      </c>
      <c r="M26" s="79"/>
      <c r="N26" s="79">
        <v>26.0</v>
      </c>
      <c r="O26" s="74" t="s">
        <v>992</v>
      </c>
      <c r="P26" s="78" t="s">
        <v>993</v>
      </c>
      <c r="Q26" s="79"/>
      <c r="R26" s="80"/>
      <c r="S26" s="80" t="s">
        <v>997</v>
      </c>
      <c r="T26" s="101" t="s">
        <v>999</v>
      </c>
      <c r="U26" s="78" t="s">
        <v>1002</v>
      </c>
      <c r="V26" s="102" t="s">
        <v>1005</v>
      </c>
      <c r="W26" s="79" t="s">
        <v>306</v>
      </c>
      <c r="X26" s="79" t="s">
        <v>306</v>
      </c>
      <c r="Y26" s="79" t="s">
        <v>309</v>
      </c>
      <c r="Z26" s="79"/>
    </row>
    <row r="27" ht="15.75" customHeight="1">
      <c r="A27" s="76" t="s">
        <v>247</v>
      </c>
      <c r="B27" s="77" t="s">
        <v>339</v>
      </c>
      <c r="C27" s="80">
        <v>3.0584398694E10</v>
      </c>
      <c r="D27" s="79" t="s">
        <v>264</v>
      </c>
      <c r="E27" s="79" t="s">
        <v>723</v>
      </c>
      <c r="F27" s="128">
        <v>4353.0</v>
      </c>
      <c r="G27" s="79" t="s">
        <v>15</v>
      </c>
      <c r="H27" s="80">
        <v>1678.0</v>
      </c>
      <c r="I27" s="79">
        <v>241009.0</v>
      </c>
      <c r="J27" s="74" t="s">
        <v>347</v>
      </c>
      <c r="K27" s="77" t="s">
        <v>1014</v>
      </c>
      <c r="L27" s="79"/>
      <c r="M27" s="79"/>
      <c r="N27" s="79">
        <v>62.0</v>
      </c>
      <c r="O27" s="83" t="s">
        <v>1017</v>
      </c>
      <c r="P27" s="78" t="s">
        <v>1019</v>
      </c>
      <c r="Q27" s="152" t="s">
        <v>1022</v>
      </c>
      <c r="R27" s="153" t="s">
        <v>1024</v>
      </c>
      <c r="S27" s="78" t="s">
        <v>1027</v>
      </c>
      <c r="T27" s="101" t="s">
        <v>1030</v>
      </c>
      <c r="U27" s="80" t="s">
        <v>1032</v>
      </c>
      <c r="V27" s="98" t="s">
        <v>1033</v>
      </c>
      <c r="W27" s="79" t="s">
        <v>309</v>
      </c>
      <c r="X27" s="79" t="s">
        <v>309</v>
      </c>
      <c r="Y27" s="79" t="s">
        <v>309</v>
      </c>
      <c r="Z27" s="79"/>
    </row>
    <row r="28" ht="15.75" customHeight="1">
      <c r="A28" s="103" t="s">
        <v>24</v>
      </c>
      <c r="B28" s="77" t="s">
        <v>1043</v>
      </c>
      <c r="C28" s="80">
        <v>3.0687238881E10</v>
      </c>
      <c r="D28" s="119" t="s">
        <v>264</v>
      </c>
      <c r="E28" s="79" t="s">
        <v>1045</v>
      </c>
      <c r="F28" s="44">
        <v>3979.0</v>
      </c>
      <c r="G28" s="79" t="s">
        <v>15</v>
      </c>
      <c r="H28" s="80">
        <v>1678.0</v>
      </c>
      <c r="I28" s="79">
        <v>282901.0</v>
      </c>
      <c r="J28" s="74" t="s">
        <v>347</v>
      </c>
      <c r="K28" s="79" t="s">
        <v>1046</v>
      </c>
      <c r="L28" s="79" t="s">
        <v>662</v>
      </c>
      <c r="M28" s="79"/>
      <c r="N28" s="79">
        <v>0.0</v>
      </c>
      <c r="O28" s="74" t="s">
        <v>332</v>
      </c>
      <c r="P28" s="80"/>
      <c r="Q28" s="79"/>
      <c r="R28" s="80"/>
      <c r="S28" s="80" t="s">
        <v>1047</v>
      </c>
      <c r="T28" s="101" t="s">
        <v>332</v>
      </c>
      <c r="U28" s="80" t="s">
        <v>332</v>
      </c>
      <c r="V28" s="102" t="s">
        <v>429</v>
      </c>
      <c r="W28" s="79" t="s">
        <v>306</v>
      </c>
      <c r="X28" s="79" t="s">
        <v>306</v>
      </c>
      <c r="Y28" s="79" t="s">
        <v>309</v>
      </c>
      <c r="Z28" s="79"/>
    </row>
    <row r="29" ht="15.0" customHeight="1">
      <c r="A29" s="76" t="s">
        <v>247</v>
      </c>
      <c r="B29" s="77" t="s">
        <v>365</v>
      </c>
      <c r="C29" s="80">
        <v>3.3708320159E10</v>
      </c>
      <c r="D29" s="144" t="s">
        <v>264</v>
      </c>
      <c r="E29" s="79" t="s">
        <v>1049</v>
      </c>
      <c r="F29" s="44">
        <v>7853.0</v>
      </c>
      <c r="G29" s="79" t="s">
        <v>269</v>
      </c>
      <c r="H29" s="80">
        <v>1682.0</v>
      </c>
      <c r="I29" s="79">
        <v>105030.0</v>
      </c>
      <c r="J29" s="74" t="s">
        <v>22</v>
      </c>
      <c r="K29" s="79" t="s">
        <v>1052</v>
      </c>
      <c r="L29" s="79"/>
      <c r="M29" s="79"/>
      <c r="N29" s="79">
        <v>47.0</v>
      </c>
      <c r="O29" s="74" t="s">
        <v>1053</v>
      </c>
      <c r="P29" s="78" t="s">
        <v>1054</v>
      </c>
      <c r="Q29" s="79"/>
      <c r="R29" s="80"/>
      <c r="S29" s="78" t="s">
        <v>1056</v>
      </c>
      <c r="T29" s="101"/>
      <c r="U29" s="80" t="s">
        <v>332</v>
      </c>
      <c r="V29" s="102" t="s">
        <v>1058</v>
      </c>
      <c r="W29" s="79" t="s">
        <v>309</v>
      </c>
      <c r="X29" s="79" t="s">
        <v>309</v>
      </c>
      <c r="Y29" s="79" t="s">
        <v>309</v>
      </c>
      <c r="Z29" s="79"/>
    </row>
    <row r="30" ht="15.75" customHeight="1">
      <c r="A30" s="76" t="s">
        <v>247</v>
      </c>
      <c r="B30" s="164" t="s">
        <v>1062</v>
      </c>
      <c r="C30" s="80">
        <v>3.0620246596E10</v>
      </c>
      <c r="D30" s="119" t="s">
        <v>264</v>
      </c>
      <c r="E30" s="77" t="s">
        <v>943</v>
      </c>
      <c r="F30" s="44">
        <v>4492.0</v>
      </c>
      <c r="G30" s="79" t="s">
        <v>68</v>
      </c>
      <c r="H30" s="80">
        <v>1702.0</v>
      </c>
      <c r="I30" s="79">
        <v>293099.0</v>
      </c>
      <c r="J30" s="83" t="s">
        <v>207</v>
      </c>
      <c r="K30" s="77" t="s">
        <v>1064</v>
      </c>
      <c r="L30" s="79"/>
      <c r="M30" s="79"/>
      <c r="N30" s="79">
        <v>0.0</v>
      </c>
      <c r="O30" s="74" t="s">
        <v>332</v>
      </c>
      <c r="P30" s="80"/>
      <c r="Q30" s="79"/>
      <c r="R30" s="80"/>
      <c r="S30" s="80" t="s">
        <v>1065</v>
      </c>
      <c r="T30" s="101" t="s">
        <v>332</v>
      </c>
      <c r="U30" s="80" t="s">
        <v>332</v>
      </c>
      <c r="V30" s="102" t="s">
        <v>429</v>
      </c>
      <c r="W30" s="79" t="s">
        <v>309</v>
      </c>
      <c r="X30" s="79" t="s">
        <v>309</v>
      </c>
      <c r="Y30" s="79" t="s">
        <v>306</v>
      </c>
      <c r="Z30" s="79"/>
    </row>
    <row r="31" ht="15.75" customHeight="1">
      <c r="A31" s="76" t="s">
        <v>247</v>
      </c>
      <c r="B31" s="79" t="s">
        <v>1069</v>
      </c>
      <c r="C31" s="80">
        <v>3.0710864612E10</v>
      </c>
      <c r="D31" s="79" t="s">
        <v>264</v>
      </c>
      <c r="E31" s="77" t="s">
        <v>1070</v>
      </c>
      <c r="F31" s="44">
        <v>65.0</v>
      </c>
      <c r="G31" s="79" t="s">
        <v>68</v>
      </c>
      <c r="H31" s="80">
        <v>1702.0</v>
      </c>
      <c r="I31" s="79">
        <v>222109.0</v>
      </c>
      <c r="J31" s="74" t="s">
        <v>433</v>
      </c>
      <c r="K31" s="79" t="s">
        <v>1072</v>
      </c>
      <c r="L31" s="79"/>
      <c r="M31" s="79"/>
      <c r="N31" s="79">
        <v>0.0</v>
      </c>
      <c r="O31" s="74" t="s">
        <v>332</v>
      </c>
      <c r="P31" s="80"/>
      <c r="Q31" s="79"/>
      <c r="R31" s="80"/>
      <c r="S31" s="78" t="s">
        <v>1075</v>
      </c>
      <c r="T31" s="101" t="s">
        <v>332</v>
      </c>
      <c r="U31" s="80" t="s">
        <v>332</v>
      </c>
      <c r="V31" s="102" t="s">
        <v>429</v>
      </c>
      <c r="W31" s="79" t="s">
        <v>306</v>
      </c>
      <c r="X31" s="79" t="s">
        <v>306</v>
      </c>
      <c r="Y31" s="79" t="s">
        <v>309</v>
      </c>
      <c r="Z31" s="79"/>
    </row>
    <row r="32" ht="15.75" customHeight="1">
      <c r="A32" s="103" t="s">
        <v>24</v>
      </c>
      <c r="B32" s="77" t="s">
        <v>1078</v>
      </c>
      <c r="C32" s="80">
        <v>3.0710015615E10</v>
      </c>
      <c r="D32" s="119" t="s">
        <v>264</v>
      </c>
      <c r="E32" s="79" t="s">
        <v>1079</v>
      </c>
      <c r="F32" s="44">
        <v>5196.0</v>
      </c>
      <c r="G32" s="79" t="s">
        <v>15</v>
      </c>
      <c r="H32" s="80">
        <v>1678.0</v>
      </c>
      <c r="I32" s="77">
        <v>241009.0</v>
      </c>
      <c r="J32" s="74" t="s">
        <v>347</v>
      </c>
      <c r="K32" s="77" t="s">
        <v>1082</v>
      </c>
      <c r="L32" s="79"/>
      <c r="M32" s="79"/>
      <c r="N32" s="79">
        <v>0.0</v>
      </c>
      <c r="O32" s="74" t="s">
        <v>332</v>
      </c>
      <c r="P32" s="80"/>
      <c r="Q32" s="79"/>
      <c r="R32" s="80"/>
      <c r="S32" s="80" t="s">
        <v>1084</v>
      </c>
      <c r="T32" s="101" t="s">
        <v>332</v>
      </c>
      <c r="U32" s="80" t="s">
        <v>332</v>
      </c>
      <c r="V32" s="102" t="s">
        <v>429</v>
      </c>
      <c r="W32" s="79" t="s">
        <v>306</v>
      </c>
      <c r="X32" s="79" t="s">
        <v>306</v>
      </c>
      <c r="Y32" s="79" t="s">
        <v>309</v>
      </c>
      <c r="Z32" s="79"/>
    </row>
    <row r="33" ht="15.75" customHeight="1">
      <c r="A33" s="103" t="s">
        <v>24</v>
      </c>
      <c r="B33" s="77" t="s">
        <v>1086</v>
      </c>
      <c r="C33" s="80">
        <v>3.0637276499E10</v>
      </c>
      <c r="D33" s="119" t="s">
        <v>264</v>
      </c>
      <c r="E33" s="79" t="s">
        <v>1088</v>
      </c>
      <c r="F33" s="44">
        <v>5444.0</v>
      </c>
      <c r="G33" s="79" t="s">
        <v>15</v>
      </c>
      <c r="H33" s="80">
        <v>1678.0</v>
      </c>
      <c r="I33" s="79">
        <v>289993.0</v>
      </c>
      <c r="J33" s="74" t="s">
        <v>347</v>
      </c>
      <c r="K33" s="129" t="s">
        <v>638</v>
      </c>
      <c r="L33" s="79" t="s">
        <v>453</v>
      </c>
      <c r="M33" s="79"/>
      <c r="N33" s="79">
        <v>0.0</v>
      </c>
      <c r="O33" s="74" t="s">
        <v>332</v>
      </c>
      <c r="P33" s="80"/>
      <c r="Q33" s="79"/>
      <c r="R33" s="80"/>
      <c r="S33" s="78" t="s">
        <v>1092</v>
      </c>
      <c r="T33" s="101" t="s">
        <v>332</v>
      </c>
      <c r="U33" s="80" t="s">
        <v>332</v>
      </c>
      <c r="V33" s="102" t="s">
        <v>429</v>
      </c>
      <c r="W33" s="79" t="s">
        <v>306</v>
      </c>
      <c r="X33" s="79" t="s">
        <v>306</v>
      </c>
      <c r="Y33" s="79" t="s">
        <v>309</v>
      </c>
      <c r="Z33" s="79"/>
    </row>
    <row r="34" ht="15.75" customHeight="1">
      <c r="A34" s="76" t="s">
        <v>247</v>
      </c>
      <c r="B34" s="77" t="s">
        <v>1094</v>
      </c>
      <c r="C34" s="80">
        <v>3.0647516366E10</v>
      </c>
      <c r="D34" s="119" t="s">
        <v>264</v>
      </c>
      <c r="E34" s="79" t="s">
        <v>1095</v>
      </c>
      <c r="F34" s="44">
        <v>1727.0</v>
      </c>
      <c r="G34" s="79" t="s">
        <v>15</v>
      </c>
      <c r="H34" s="80">
        <v>1678.0</v>
      </c>
      <c r="I34" s="79">
        <v>222090.0</v>
      </c>
      <c r="J34" s="83" t="s">
        <v>568</v>
      </c>
      <c r="K34" s="77" t="s">
        <v>569</v>
      </c>
      <c r="L34" s="79" t="s">
        <v>453</v>
      </c>
      <c r="M34" s="79"/>
      <c r="N34" s="79">
        <v>2.0</v>
      </c>
      <c r="O34" s="74" t="s">
        <v>1096</v>
      </c>
      <c r="P34" s="78" t="s">
        <v>1098</v>
      </c>
      <c r="Q34" s="77" t="s">
        <v>1099</v>
      </c>
      <c r="R34" s="78" t="s">
        <v>1101</v>
      </c>
      <c r="S34" s="80" t="s">
        <v>1102</v>
      </c>
      <c r="T34" s="101" t="s">
        <v>1103</v>
      </c>
      <c r="U34" s="80" t="s">
        <v>1104</v>
      </c>
      <c r="V34" s="102" t="s">
        <v>1105</v>
      </c>
      <c r="W34" s="79" t="s">
        <v>309</v>
      </c>
      <c r="X34" s="79" t="s">
        <v>309</v>
      </c>
      <c r="Y34" s="79" t="s">
        <v>309</v>
      </c>
      <c r="Z34" s="79"/>
    </row>
    <row r="35" ht="15.75" customHeight="1">
      <c r="A35" s="103" t="s">
        <v>24</v>
      </c>
      <c r="B35" s="79" t="s">
        <v>1107</v>
      </c>
      <c r="C35" s="80">
        <v>3.0586071099E10</v>
      </c>
      <c r="D35" s="119" t="s">
        <v>264</v>
      </c>
      <c r="E35" s="77" t="s">
        <v>1109</v>
      </c>
      <c r="F35" s="44">
        <v>3564.0</v>
      </c>
      <c r="G35" s="79" t="s">
        <v>68</v>
      </c>
      <c r="H35" s="80">
        <v>1702.0</v>
      </c>
      <c r="I35" s="79">
        <v>390968.0</v>
      </c>
      <c r="J35" s="74" t="s">
        <v>347</v>
      </c>
      <c r="K35" s="79" t="s">
        <v>1111</v>
      </c>
      <c r="L35" s="79"/>
      <c r="M35" s="79"/>
      <c r="N35" s="79">
        <v>0.0</v>
      </c>
      <c r="O35" s="74" t="s">
        <v>332</v>
      </c>
      <c r="P35" s="80"/>
      <c r="Q35" s="79"/>
      <c r="R35" s="80"/>
      <c r="S35" s="80"/>
      <c r="T35" s="101" t="s">
        <v>332</v>
      </c>
      <c r="U35" s="80" t="s">
        <v>332</v>
      </c>
      <c r="V35" s="102" t="s">
        <v>429</v>
      </c>
      <c r="W35" s="79" t="s">
        <v>306</v>
      </c>
      <c r="X35" s="79" t="s">
        <v>306</v>
      </c>
      <c r="Y35" s="79" t="s">
        <v>309</v>
      </c>
      <c r="Z35" s="79"/>
    </row>
    <row r="36" ht="15.75" customHeight="1">
      <c r="A36" s="76" t="s">
        <v>247</v>
      </c>
      <c r="B36" s="79" t="s">
        <v>1112</v>
      </c>
      <c r="C36" s="80">
        <v>3.06637387E10</v>
      </c>
      <c r="D36" s="119" t="s">
        <v>264</v>
      </c>
      <c r="E36" s="79" t="s">
        <v>1114</v>
      </c>
      <c r="F36" s="44">
        <v>4019.0</v>
      </c>
      <c r="G36" s="79" t="s">
        <v>68</v>
      </c>
      <c r="H36" s="80">
        <v>1702.0</v>
      </c>
      <c r="I36" s="79">
        <v>252090.0</v>
      </c>
      <c r="J36" s="83" t="s">
        <v>568</v>
      </c>
      <c r="K36" s="77" t="s">
        <v>569</v>
      </c>
      <c r="L36" s="79" t="s">
        <v>453</v>
      </c>
      <c r="M36" s="79"/>
      <c r="N36" s="79">
        <v>0.0</v>
      </c>
      <c r="O36" s="74" t="s">
        <v>1115</v>
      </c>
      <c r="P36" s="80" t="s">
        <v>1116</v>
      </c>
      <c r="Q36" s="79"/>
      <c r="R36" s="80"/>
      <c r="S36" s="80" t="s">
        <v>1116</v>
      </c>
      <c r="T36" s="101" t="s">
        <v>332</v>
      </c>
      <c r="U36" s="80" t="s">
        <v>332</v>
      </c>
      <c r="V36" s="102" t="s">
        <v>429</v>
      </c>
      <c r="W36" s="79" t="s">
        <v>306</v>
      </c>
      <c r="X36" s="79" t="s">
        <v>306</v>
      </c>
      <c r="Y36" s="79" t="s">
        <v>309</v>
      </c>
      <c r="Z36" s="79"/>
    </row>
    <row r="37" ht="15.0" customHeight="1">
      <c r="A37" s="76" t="s">
        <v>247</v>
      </c>
      <c r="B37" s="77" t="s">
        <v>1117</v>
      </c>
      <c r="C37" s="80">
        <v>3.0502185787E10</v>
      </c>
      <c r="D37" s="119" t="s">
        <v>264</v>
      </c>
      <c r="E37" s="77" t="s">
        <v>1118</v>
      </c>
      <c r="F37" s="44">
        <v>2341.0</v>
      </c>
      <c r="G37" s="77" t="s">
        <v>285</v>
      </c>
      <c r="H37" s="80">
        <v>1674.0</v>
      </c>
      <c r="I37" s="79">
        <v>259309.0</v>
      </c>
      <c r="J37" s="74" t="s">
        <v>347</v>
      </c>
      <c r="K37" s="77" t="s">
        <v>1121</v>
      </c>
      <c r="L37" s="79" t="s">
        <v>1122</v>
      </c>
      <c r="M37" s="79" t="s">
        <v>1123</v>
      </c>
      <c r="N37" s="79">
        <v>50.0</v>
      </c>
      <c r="O37" s="83" t="s">
        <v>1126</v>
      </c>
      <c r="P37" s="78" t="s">
        <v>1127</v>
      </c>
      <c r="Q37" s="79" t="s">
        <v>1128</v>
      </c>
      <c r="R37" s="78" t="s">
        <v>1129</v>
      </c>
      <c r="S37" s="78" t="s">
        <v>1130</v>
      </c>
      <c r="T37" s="85" t="s">
        <v>1131</v>
      </c>
      <c r="U37" s="78" t="s">
        <v>1132</v>
      </c>
      <c r="V37" s="102" t="s">
        <v>1133</v>
      </c>
      <c r="W37" s="79" t="s">
        <v>309</v>
      </c>
      <c r="X37" s="79" t="s">
        <v>309</v>
      </c>
      <c r="Y37" s="79" t="s">
        <v>309</v>
      </c>
      <c r="Z37" s="79"/>
    </row>
    <row r="38" ht="15.75" customHeight="1">
      <c r="A38" s="76" t="s">
        <v>247</v>
      </c>
      <c r="B38" s="79" t="s">
        <v>1134</v>
      </c>
      <c r="C38" s="80">
        <v>3.0708208481E10</v>
      </c>
      <c r="D38" s="119" t="s">
        <v>264</v>
      </c>
      <c r="E38" s="79" t="s">
        <v>1136</v>
      </c>
      <c r="F38" s="44">
        <v>3636.0</v>
      </c>
      <c r="G38" s="79" t="s">
        <v>68</v>
      </c>
      <c r="H38" s="80">
        <v>1702.0</v>
      </c>
      <c r="I38" s="79">
        <v>202907.0</v>
      </c>
      <c r="J38" s="74" t="s">
        <v>316</v>
      </c>
      <c r="K38" s="79" t="s">
        <v>318</v>
      </c>
      <c r="L38" s="79"/>
      <c r="M38" s="79"/>
      <c r="N38" s="79">
        <v>3.0</v>
      </c>
      <c r="O38" s="74" t="s">
        <v>332</v>
      </c>
      <c r="P38" s="80"/>
      <c r="Q38" s="79"/>
      <c r="R38" s="80"/>
      <c r="S38" s="80" t="s">
        <v>1138</v>
      </c>
      <c r="T38" s="101" t="s">
        <v>1139</v>
      </c>
      <c r="U38" s="80" t="s">
        <v>1140</v>
      </c>
      <c r="V38" s="102" t="s">
        <v>429</v>
      </c>
      <c r="W38" s="79" t="s">
        <v>306</v>
      </c>
      <c r="X38" s="79" t="s">
        <v>306</v>
      </c>
      <c r="Y38" s="79" t="s">
        <v>309</v>
      </c>
      <c r="Z38" s="79"/>
    </row>
    <row r="39" ht="15.75" customHeight="1">
      <c r="A39" s="76" t="s">
        <v>247</v>
      </c>
      <c r="B39" s="77" t="s">
        <v>1141</v>
      </c>
      <c r="C39" s="80">
        <v>3.0714362409E10</v>
      </c>
      <c r="D39" s="119" t="s">
        <v>264</v>
      </c>
      <c r="E39" s="79" t="s">
        <v>1143</v>
      </c>
      <c r="F39" s="44">
        <v>3186.0</v>
      </c>
      <c r="G39" s="79" t="s">
        <v>15</v>
      </c>
      <c r="H39" s="80">
        <v>1678.0</v>
      </c>
      <c r="I39" s="79">
        <v>222090.0</v>
      </c>
      <c r="J39" s="83" t="s">
        <v>568</v>
      </c>
      <c r="K39" s="77" t="s">
        <v>569</v>
      </c>
      <c r="L39" s="79" t="s">
        <v>453</v>
      </c>
      <c r="M39" s="79"/>
      <c r="N39" s="79">
        <v>1.0</v>
      </c>
      <c r="O39" s="74" t="s">
        <v>332</v>
      </c>
      <c r="P39" s="80"/>
      <c r="Q39" s="79"/>
      <c r="R39" s="80"/>
      <c r="S39" s="78" t="s">
        <v>1145</v>
      </c>
      <c r="T39" s="85" t="s">
        <v>1146</v>
      </c>
      <c r="U39" s="78" t="s">
        <v>1147</v>
      </c>
      <c r="V39" s="102" t="s">
        <v>1149</v>
      </c>
      <c r="W39" s="79" t="s">
        <v>306</v>
      </c>
      <c r="X39" s="79" t="s">
        <v>306</v>
      </c>
      <c r="Y39" s="79" t="s">
        <v>309</v>
      </c>
      <c r="Z39" s="79"/>
    </row>
    <row r="40" ht="15.75" customHeight="1">
      <c r="A40" s="76" t="s">
        <v>247</v>
      </c>
      <c r="B40" s="77" t="s">
        <v>390</v>
      </c>
      <c r="C40" s="80">
        <v>3.0708354011E10</v>
      </c>
      <c r="D40" s="119" t="s">
        <v>264</v>
      </c>
      <c r="E40" s="79" t="s">
        <v>1152</v>
      </c>
      <c r="F40" s="44">
        <v>3144.0</v>
      </c>
      <c r="G40" s="79" t="s">
        <v>15</v>
      </c>
      <c r="H40" s="80">
        <v>1678.0</v>
      </c>
      <c r="I40" s="79">
        <v>202908.0</v>
      </c>
      <c r="J40" s="74" t="s">
        <v>316</v>
      </c>
      <c r="K40" s="77" t="s">
        <v>1153</v>
      </c>
      <c r="L40" s="79"/>
      <c r="M40" s="79"/>
      <c r="N40" s="79">
        <v>4.0</v>
      </c>
      <c r="O40" s="83" t="s">
        <v>1154</v>
      </c>
      <c r="P40" s="78" t="s">
        <v>1155</v>
      </c>
      <c r="Q40" s="119" t="s">
        <v>1156</v>
      </c>
      <c r="R40" s="80"/>
      <c r="S40" s="78" t="s">
        <v>1157</v>
      </c>
      <c r="T40" s="85" t="s">
        <v>1158</v>
      </c>
      <c r="U40" s="80"/>
      <c r="V40" s="102" t="s">
        <v>1159</v>
      </c>
      <c r="W40" s="79" t="s">
        <v>309</v>
      </c>
      <c r="X40" s="79" t="s">
        <v>309</v>
      </c>
      <c r="Y40" s="79" t="s">
        <v>309</v>
      </c>
      <c r="Z40" s="79"/>
    </row>
    <row r="41" ht="15.75" customHeight="1">
      <c r="A41" s="76" t="s">
        <v>247</v>
      </c>
      <c r="B41" s="79" t="s">
        <v>1163</v>
      </c>
      <c r="C41" s="80">
        <v>3.3710551699E10</v>
      </c>
      <c r="D41" s="79" t="s">
        <v>264</v>
      </c>
      <c r="E41" s="79" t="s">
        <v>1164</v>
      </c>
      <c r="F41" s="44">
        <v>283.0</v>
      </c>
      <c r="G41" s="79" t="s">
        <v>68</v>
      </c>
      <c r="H41" s="80">
        <v>1702.0</v>
      </c>
      <c r="I41" s="79">
        <v>862110.0</v>
      </c>
      <c r="J41" s="74" t="s">
        <v>433</v>
      </c>
      <c r="K41" s="79" t="s">
        <v>1165</v>
      </c>
      <c r="L41" s="79"/>
      <c r="M41" s="79"/>
      <c r="N41" s="79">
        <v>3.0</v>
      </c>
      <c r="O41" s="74" t="s">
        <v>332</v>
      </c>
      <c r="P41" s="80"/>
      <c r="Q41" s="79"/>
      <c r="R41" s="80"/>
      <c r="S41" s="80" t="s">
        <v>1166</v>
      </c>
      <c r="T41" s="101"/>
      <c r="U41" s="80" t="s">
        <v>332</v>
      </c>
      <c r="V41" s="102" t="s">
        <v>429</v>
      </c>
      <c r="W41" s="79" t="s">
        <v>306</v>
      </c>
      <c r="X41" s="79" t="s">
        <v>306</v>
      </c>
      <c r="Y41" s="79" t="s">
        <v>309</v>
      </c>
      <c r="Z41" s="79"/>
    </row>
    <row r="42" ht="15.0" customHeight="1">
      <c r="A42" s="76" t="s">
        <v>247</v>
      </c>
      <c r="B42" s="77" t="s">
        <v>1168</v>
      </c>
      <c r="C42" s="78">
        <v>3.0715841106E10</v>
      </c>
      <c r="D42" s="119" t="s">
        <v>264</v>
      </c>
      <c r="E42" s="77" t="s">
        <v>1169</v>
      </c>
      <c r="F42" s="128">
        <v>2731.0</v>
      </c>
      <c r="G42" s="79" t="s">
        <v>15</v>
      </c>
      <c r="H42" s="80">
        <v>1678.0</v>
      </c>
      <c r="I42" s="77">
        <v>222010.0</v>
      </c>
      <c r="J42" s="83" t="s">
        <v>568</v>
      </c>
      <c r="K42" s="176" t="s">
        <v>1170</v>
      </c>
      <c r="L42" s="79" t="s">
        <v>453</v>
      </c>
      <c r="M42" s="79"/>
      <c r="N42" s="79"/>
      <c r="O42" s="74" t="s">
        <v>1171</v>
      </c>
      <c r="P42" s="78" t="s">
        <v>1172</v>
      </c>
      <c r="Q42" s="79"/>
      <c r="R42" s="80"/>
      <c r="S42" s="78" t="s">
        <v>1173</v>
      </c>
      <c r="T42" s="101"/>
      <c r="U42" s="80"/>
      <c r="V42" s="102" t="s">
        <v>1174</v>
      </c>
      <c r="W42" s="79"/>
      <c r="X42" s="79"/>
      <c r="Y42" s="79" t="s">
        <v>309</v>
      </c>
      <c r="Z42" s="79"/>
    </row>
    <row r="43" ht="15.75" customHeight="1">
      <c r="A43" s="76" t="s">
        <v>247</v>
      </c>
      <c r="B43" s="77" t="s">
        <v>417</v>
      </c>
      <c r="C43" s="80">
        <v>2.026281372E10</v>
      </c>
      <c r="D43" s="77" t="s">
        <v>631</v>
      </c>
      <c r="E43" s="77" t="s">
        <v>1176</v>
      </c>
      <c r="F43" s="44">
        <v>737.0</v>
      </c>
      <c r="G43" s="79" t="s">
        <v>68</v>
      </c>
      <c r="H43" s="80">
        <v>1702.0</v>
      </c>
      <c r="I43" s="77">
        <v>702092.0</v>
      </c>
      <c r="J43" s="83" t="s">
        <v>568</v>
      </c>
      <c r="K43" s="77" t="s">
        <v>1177</v>
      </c>
      <c r="L43" s="79" t="s">
        <v>453</v>
      </c>
      <c r="M43" s="79" t="s">
        <v>1178</v>
      </c>
      <c r="N43" s="79"/>
      <c r="O43" s="83" t="s">
        <v>1179</v>
      </c>
      <c r="P43" s="78" t="s">
        <v>1180</v>
      </c>
      <c r="Q43" s="79" t="s">
        <v>1181</v>
      </c>
      <c r="R43" s="80"/>
      <c r="S43" s="78" t="s">
        <v>1182</v>
      </c>
      <c r="T43" s="101"/>
      <c r="U43" s="80"/>
      <c r="V43" s="102" t="s">
        <v>1183</v>
      </c>
      <c r="W43" s="79"/>
      <c r="X43" s="79"/>
      <c r="Y43" s="79"/>
      <c r="Z43" s="79"/>
    </row>
    <row r="44" ht="15.75" customHeight="1">
      <c r="A44" s="76" t="s">
        <v>247</v>
      </c>
      <c r="B44" s="77" t="s">
        <v>1184</v>
      </c>
      <c r="C44" s="80">
        <v>3.3708183909E10</v>
      </c>
      <c r="D44" s="79" t="s">
        <v>264</v>
      </c>
      <c r="E44" s="79" t="s">
        <v>359</v>
      </c>
      <c r="F44" s="44">
        <v>4773.0</v>
      </c>
      <c r="G44" s="79" t="s">
        <v>15</v>
      </c>
      <c r="H44" s="80">
        <v>1678.0</v>
      </c>
      <c r="I44" s="79">
        <v>221909.0</v>
      </c>
      <c r="J44" s="83" t="s">
        <v>88</v>
      </c>
      <c r="K44" s="77" t="s">
        <v>1186</v>
      </c>
      <c r="L44" s="79"/>
      <c r="M44" s="144" t="s">
        <v>1187</v>
      </c>
      <c r="N44" s="79">
        <v>18.0</v>
      </c>
      <c r="O44" s="126"/>
      <c r="P44" s="80"/>
      <c r="Q44" s="77" t="s">
        <v>1188</v>
      </c>
      <c r="R44" s="78" t="s">
        <v>1189</v>
      </c>
      <c r="S44" s="80" t="s">
        <v>1191</v>
      </c>
      <c r="T44" s="101" t="s">
        <v>1192</v>
      </c>
      <c r="U44" s="80" t="s">
        <v>1194</v>
      </c>
      <c r="V44" s="86" t="s">
        <v>1195</v>
      </c>
      <c r="W44" s="79" t="s">
        <v>309</v>
      </c>
      <c r="X44" s="79" t="s">
        <v>309</v>
      </c>
      <c r="Y44" s="79" t="s">
        <v>309</v>
      </c>
      <c r="Z44" s="79"/>
    </row>
    <row r="45">
      <c r="A45" s="76" t="s">
        <v>247</v>
      </c>
      <c r="B45" s="77" t="s">
        <v>444</v>
      </c>
      <c r="C45" s="80">
        <v>3.0712300023E10</v>
      </c>
      <c r="D45" s="119" t="s">
        <v>264</v>
      </c>
      <c r="E45" s="77" t="s">
        <v>1196</v>
      </c>
      <c r="F45" s="128">
        <v>4626.0</v>
      </c>
      <c r="G45" s="79" t="s">
        <v>15</v>
      </c>
      <c r="H45" s="80">
        <v>1678.0</v>
      </c>
      <c r="I45" s="79">
        <v>259999.0</v>
      </c>
      <c r="J45" s="74" t="s">
        <v>337</v>
      </c>
      <c r="K45" s="77" t="s">
        <v>839</v>
      </c>
      <c r="L45" s="79" t="s">
        <v>453</v>
      </c>
      <c r="M45" s="79"/>
      <c r="N45" s="79">
        <v>20.0</v>
      </c>
      <c r="O45" s="83" t="s">
        <v>1199</v>
      </c>
      <c r="P45" s="78" t="s">
        <v>1200</v>
      </c>
      <c r="Q45" s="79" t="s">
        <v>1201</v>
      </c>
      <c r="R45" s="78" t="s">
        <v>1202</v>
      </c>
      <c r="S45" s="78" t="s">
        <v>1203</v>
      </c>
      <c r="T45" s="85" t="s">
        <v>1204</v>
      </c>
      <c r="U45" s="78" t="s">
        <v>1205</v>
      </c>
      <c r="V45" s="98" t="s">
        <v>1206</v>
      </c>
      <c r="W45" s="79" t="s">
        <v>306</v>
      </c>
      <c r="X45" s="79" t="s">
        <v>306</v>
      </c>
      <c r="Y45" s="79" t="s">
        <v>309</v>
      </c>
      <c r="Z45" s="79"/>
    </row>
    <row r="46" ht="15.75" customHeight="1">
      <c r="A46" s="76" t="s">
        <v>247</v>
      </c>
      <c r="B46" s="79" t="s">
        <v>1209</v>
      </c>
      <c r="C46" s="80">
        <v>2.3229314629E10</v>
      </c>
      <c r="D46" s="77" t="s">
        <v>631</v>
      </c>
      <c r="E46" s="79" t="s">
        <v>1088</v>
      </c>
      <c r="F46" s="44">
        <v>5050.0</v>
      </c>
      <c r="G46" s="79" t="s">
        <v>15</v>
      </c>
      <c r="H46" s="80">
        <v>1678.0</v>
      </c>
      <c r="I46" s="79">
        <v>259993.0</v>
      </c>
      <c r="J46" s="83" t="s">
        <v>347</v>
      </c>
      <c r="K46" s="129" t="s">
        <v>638</v>
      </c>
      <c r="L46" s="79" t="s">
        <v>453</v>
      </c>
      <c r="M46" s="79"/>
      <c r="N46" s="79"/>
      <c r="O46" s="74"/>
      <c r="P46" s="80"/>
      <c r="Q46" s="79"/>
      <c r="R46" s="80"/>
      <c r="S46" s="78" t="s">
        <v>1210</v>
      </c>
      <c r="T46" s="101"/>
      <c r="U46" s="80"/>
      <c r="V46" s="102" t="s">
        <v>429</v>
      </c>
      <c r="W46" s="79"/>
      <c r="X46" s="79"/>
      <c r="Y46" s="79"/>
      <c r="Z46" s="79"/>
    </row>
    <row r="47" ht="15.75" customHeight="1">
      <c r="A47" s="76" t="s">
        <v>247</v>
      </c>
      <c r="B47" s="79" t="s">
        <v>1211</v>
      </c>
      <c r="C47" s="80">
        <v>3.0548270622E10</v>
      </c>
      <c r="D47" s="119" t="s">
        <v>264</v>
      </c>
      <c r="E47" s="79" t="s">
        <v>1212</v>
      </c>
      <c r="F47" s="44">
        <v>3542.0</v>
      </c>
      <c r="G47" s="79" t="s">
        <v>68</v>
      </c>
      <c r="H47" s="80">
        <v>1702.0</v>
      </c>
      <c r="I47" s="79">
        <v>170990.0</v>
      </c>
      <c r="J47" s="74" t="s">
        <v>283</v>
      </c>
      <c r="K47" s="77" t="s">
        <v>1214</v>
      </c>
      <c r="L47" s="79" t="s">
        <v>1122</v>
      </c>
      <c r="M47" s="79" t="s">
        <v>1215</v>
      </c>
      <c r="N47" s="79">
        <v>13.0</v>
      </c>
      <c r="O47" s="74" t="s">
        <v>1216</v>
      </c>
      <c r="P47" s="80"/>
      <c r="Q47" s="79"/>
      <c r="R47" s="80"/>
      <c r="S47" s="78" t="s">
        <v>1217</v>
      </c>
      <c r="T47" s="101"/>
      <c r="U47" s="80"/>
      <c r="V47" s="102" t="s">
        <v>1218</v>
      </c>
      <c r="W47" s="79" t="s">
        <v>309</v>
      </c>
      <c r="X47" s="79" t="s">
        <v>309</v>
      </c>
      <c r="Y47" s="79" t="s">
        <v>309</v>
      </c>
      <c r="Z47" s="79"/>
    </row>
    <row r="48" ht="15.75" customHeight="1">
      <c r="A48" s="103" t="s">
        <v>24</v>
      </c>
      <c r="B48" s="77" t="s">
        <v>1219</v>
      </c>
      <c r="C48" s="101">
        <v>3.0716890275E10</v>
      </c>
      <c r="D48" s="119" t="s">
        <v>264</v>
      </c>
      <c r="E48" s="79" t="s">
        <v>1221</v>
      </c>
      <c r="F48" s="44">
        <v>8310.0</v>
      </c>
      <c r="G48" s="79" t="s">
        <v>119</v>
      </c>
      <c r="H48" s="80">
        <v>1657.0</v>
      </c>
      <c r="I48" s="77">
        <v>110412.0</v>
      </c>
      <c r="J48" s="74" t="s">
        <v>57</v>
      </c>
      <c r="K48" s="79" t="s">
        <v>1222</v>
      </c>
      <c r="L48" s="79"/>
      <c r="M48" s="79"/>
      <c r="N48" s="79"/>
      <c r="O48" s="74"/>
      <c r="P48" s="80"/>
      <c r="Q48" s="79"/>
      <c r="R48" s="80"/>
      <c r="S48" s="101" t="s">
        <v>1223</v>
      </c>
      <c r="T48" s="101" t="s">
        <v>1224</v>
      </c>
      <c r="U48" s="80"/>
      <c r="V48" s="102" t="s">
        <v>1225</v>
      </c>
      <c r="W48" s="79"/>
      <c r="X48" s="79"/>
      <c r="Y48" s="79" t="s">
        <v>309</v>
      </c>
      <c r="Z48" s="79"/>
    </row>
    <row r="49" ht="15.75" customHeight="1">
      <c r="A49" s="103" t="s">
        <v>24</v>
      </c>
      <c r="B49" s="77" t="s">
        <v>1226</v>
      </c>
      <c r="C49" s="80">
        <v>3.0701153878E10</v>
      </c>
      <c r="D49" s="144" t="s">
        <v>264</v>
      </c>
      <c r="E49" s="79" t="s">
        <v>1228</v>
      </c>
      <c r="F49" s="44">
        <v>3471.0</v>
      </c>
      <c r="G49" s="79" t="s">
        <v>249</v>
      </c>
      <c r="H49" s="80">
        <v>1676.0</v>
      </c>
      <c r="I49" s="79">
        <v>642020.0</v>
      </c>
      <c r="J49" s="74" t="s">
        <v>433</v>
      </c>
      <c r="K49" s="79" t="s">
        <v>1230</v>
      </c>
      <c r="L49" s="79"/>
      <c r="M49" s="79"/>
      <c r="N49" s="79">
        <v>0.0</v>
      </c>
      <c r="O49" s="74" t="s">
        <v>332</v>
      </c>
      <c r="P49" s="80"/>
      <c r="Q49" s="79"/>
      <c r="R49" s="80"/>
      <c r="S49" s="80" t="s">
        <v>1231</v>
      </c>
      <c r="T49" s="101" t="s">
        <v>1232</v>
      </c>
      <c r="U49" s="114" t="s">
        <v>1233</v>
      </c>
      <c r="V49" s="102" t="s">
        <v>429</v>
      </c>
      <c r="W49" s="79" t="s">
        <v>306</v>
      </c>
      <c r="X49" s="79" t="s">
        <v>306</v>
      </c>
      <c r="Y49" s="79" t="s">
        <v>309</v>
      </c>
      <c r="Z49" s="79"/>
    </row>
    <row r="50" ht="15.75" customHeight="1">
      <c r="A50" s="103" t="s">
        <v>24</v>
      </c>
      <c r="B50" s="77" t="s">
        <v>1226</v>
      </c>
      <c r="C50" s="80">
        <v>3.3707612229E10</v>
      </c>
      <c r="D50" s="144" t="s">
        <v>631</v>
      </c>
      <c r="E50" s="129" t="s">
        <v>1235</v>
      </c>
      <c r="F50" s="44">
        <v>793.0</v>
      </c>
      <c r="G50" s="79" t="s">
        <v>269</v>
      </c>
      <c r="H50" s="80">
        <v>1682.0</v>
      </c>
      <c r="I50" s="79">
        <v>154120.0</v>
      </c>
      <c r="J50" s="74" t="s">
        <v>22</v>
      </c>
      <c r="K50" s="79" t="s">
        <v>1236</v>
      </c>
      <c r="L50" s="79"/>
      <c r="M50" s="79"/>
      <c r="N50" s="79">
        <v>2.0</v>
      </c>
      <c r="O50" s="74"/>
      <c r="P50" s="80"/>
      <c r="Q50" s="79"/>
      <c r="R50" s="80"/>
      <c r="S50" s="80" t="s">
        <v>1237</v>
      </c>
      <c r="T50" s="101" t="s">
        <v>332</v>
      </c>
      <c r="U50" s="80" t="s">
        <v>332</v>
      </c>
      <c r="V50" s="102" t="s">
        <v>429</v>
      </c>
      <c r="W50" s="79" t="s">
        <v>306</v>
      </c>
      <c r="X50" s="79" t="s">
        <v>306</v>
      </c>
      <c r="Y50" s="79" t="s">
        <v>309</v>
      </c>
      <c r="Z50" s="79"/>
    </row>
    <row r="51" ht="15.0" customHeight="1">
      <c r="A51" s="103" t="s">
        <v>24</v>
      </c>
      <c r="B51" s="77" t="s">
        <v>1239</v>
      </c>
      <c r="C51" s="80">
        <v>3.0685304666E10</v>
      </c>
      <c r="D51" s="119" t="s">
        <v>264</v>
      </c>
      <c r="E51" s="79" t="s">
        <v>1240</v>
      </c>
      <c r="F51" s="44">
        <v>3086.0</v>
      </c>
      <c r="G51" s="77" t="s">
        <v>47</v>
      </c>
      <c r="H51" s="80">
        <v>1684.0</v>
      </c>
      <c r="I51" s="79">
        <v>522999.0</v>
      </c>
      <c r="J51" s="74" t="s">
        <v>22</v>
      </c>
      <c r="K51" s="79" t="s">
        <v>1241</v>
      </c>
      <c r="L51" s="79"/>
      <c r="M51" s="79" t="s">
        <v>1242</v>
      </c>
      <c r="N51" s="79">
        <v>1.0</v>
      </c>
      <c r="O51" s="74" t="s">
        <v>332</v>
      </c>
      <c r="P51" s="80"/>
      <c r="Q51" s="79"/>
      <c r="R51" s="80"/>
      <c r="S51" s="78" t="s">
        <v>1243</v>
      </c>
      <c r="T51" s="85" t="s">
        <v>1244</v>
      </c>
      <c r="U51" s="80" t="s">
        <v>332</v>
      </c>
      <c r="V51" s="102" t="s">
        <v>429</v>
      </c>
      <c r="W51" s="79" t="s">
        <v>306</v>
      </c>
      <c r="X51" s="79" t="s">
        <v>306</v>
      </c>
      <c r="Y51" s="79" t="s">
        <v>309</v>
      </c>
      <c r="Z51" s="79"/>
    </row>
    <row r="52" ht="15.75" customHeight="1">
      <c r="A52" s="76" t="s">
        <v>247</v>
      </c>
      <c r="B52" s="77" t="s">
        <v>470</v>
      </c>
      <c r="C52" s="80">
        <v>3.3646972979E10</v>
      </c>
      <c r="D52" s="79" t="s">
        <v>264</v>
      </c>
      <c r="E52" s="79" t="s">
        <v>1246</v>
      </c>
      <c r="F52" s="44">
        <v>1066.0</v>
      </c>
      <c r="G52" s="79" t="s">
        <v>68</v>
      </c>
      <c r="H52" s="80">
        <v>1702.0</v>
      </c>
      <c r="I52" s="79">
        <v>139202.0</v>
      </c>
      <c r="J52" s="74" t="s">
        <v>448</v>
      </c>
      <c r="K52" s="79" t="s">
        <v>1247</v>
      </c>
      <c r="L52" s="79" t="s">
        <v>1122</v>
      </c>
      <c r="M52" s="79" t="s">
        <v>1248</v>
      </c>
      <c r="N52" s="79">
        <v>47.0</v>
      </c>
      <c r="O52" s="74" t="s">
        <v>1249</v>
      </c>
      <c r="P52" s="80"/>
      <c r="Q52" s="119"/>
      <c r="R52" s="80"/>
      <c r="S52" s="78" t="s">
        <v>1250</v>
      </c>
      <c r="T52" s="101" t="s">
        <v>1251</v>
      </c>
      <c r="U52" s="80" t="s">
        <v>1252</v>
      </c>
      <c r="V52" s="102" t="s">
        <v>1253</v>
      </c>
      <c r="W52" s="79" t="s">
        <v>309</v>
      </c>
      <c r="X52" s="79" t="s">
        <v>306</v>
      </c>
      <c r="Y52" s="79" t="s">
        <v>309</v>
      </c>
      <c r="Z52" s="79"/>
    </row>
    <row r="53" ht="15.75" customHeight="1">
      <c r="A53" s="76" t="s">
        <v>247</v>
      </c>
      <c r="B53" s="77" t="s">
        <v>1254</v>
      </c>
      <c r="C53" s="80">
        <v>3.0595980425E10</v>
      </c>
      <c r="D53" s="119" t="s">
        <v>264</v>
      </c>
      <c r="E53" s="77" t="s">
        <v>1255</v>
      </c>
      <c r="F53" s="44">
        <v>9744.0</v>
      </c>
      <c r="G53" s="79" t="s">
        <v>119</v>
      </c>
      <c r="H53" s="80">
        <v>1657.0</v>
      </c>
      <c r="I53" s="77">
        <v>266090.0</v>
      </c>
      <c r="J53" s="83" t="s">
        <v>347</v>
      </c>
      <c r="K53" s="77" t="s">
        <v>1257</v>
      </c>
      <c r="L53" s="79" t="s">
        <v>453</v>
      </c>
      <c r="M53" s="77" t="s">
        <v>1258</v>
      </c>
      <c r="N53" s="79">
        <v>9.0</v>
      </c>
      <c r="O53" s="74" t="s">
        <v>332</v>
      </c>
      <c r="P53" s="80"/>
      <c r="Q53" s="79"/>
      <c r="R53" s="80"/>
      <c r="S53" s="78" t="s">
        <v>1259</v>
      </c>
      <c r="T53" s="85" t="s">
        <v>1260</v>
      </c>
      <c r="U53" s="80"/>
      <c r="V53" s="98" t="s">
        <v>1261</v>
      </c>
      <c r="W53" s="79" t="s">
        <v>309</v>
      </c>
      <c r="X53" s="79" t="s">
        <v>309</v>
      </c>
      <c r="Y53" s="79" t="s">
        <v>309</v>
      </c>
      <c r="Z53" s="79"/>
    </row>
    <row r="54" ht="15.75" customHeight="1">
      <c r="A54" s="103" t="s">
        <v>24</v>
      </c>
      <c r="B54" s="77" t="s">
        <v>1263</v>
      </c>
      <c r="C54" s="80">
        <v>3.07119251E10</v>
      </c>
      <c r="D54" s="119" t="s">
        <v>264</v>
      </c>
      <c r="E54" s="79" t="s">
        <v>442</v>
      </c>
      <c r="F54" s="44">
        <v>3985.0</v>
      </c>
      <c r="G54" s="79" t="s">
        <v>68</v>
      </c>
      <c r="H54" s="80">
        <v>1702.0</v>
      </c>
      <c r="I54" s="79">
        <v>410021.0</v>
      </c>
      <c r="J54" s="74" t="s">
        <v>125</v>
      </c>
      <c r="K54" s="77" t="s">
        <v>1264</v>
      </c>
      <c r="L54" s="79" t="s">
        <v>453</v>
      </c>
      <c r="M54" s="79"/>
      <c r="N54" s="79">
        <v>2.0</v>
      </c>
      <c r="O54" s="74" t="s">
        <v>332</v>
      </c>
      <c r="P54" s="80"/>
      <c r="Q54" s="79"/>
      <c r="R54" s="80"/>
      <c r="S54" s="78" t="s">
        <v>1266</v>
      </c>
      <c r="T54" s="85">
        <v>1.12686227E9</v>
      </c>
      <c r="U54" s="80" t="s">
        <v>332</v>
      </c>
      <c r="V54" s="102" t="s">
        <v>1267</v>
      </c>
      <c r="W54" s="79" t="s">
        <v>306</v>
      </c>
      <c r="X54" s="79" t="s">
        <v>306</v>
      </c>
      <c r="Y54" s="79" t="s">
        <v>309</v>
      </c>
      <c r="Z54" s="79"/>
    </row>
    <row r="55" ht="15.75" customHeight="1">
      <c r="A55" s="76" t="s">
        <v>247</v>
      </c>
      <c r="B55" s="77" t="s">
        <v>1268</v>
      </c>
      <c r="C55" s="80">
        <v>3.3709956669E10</v>
      </c>
      <c r="D55" s="119" t="s">
        <v>264</v>
      </c>
      <c r="E55" s="77" t="s">
        <v>943</v>
      </c>
      <c r="F55" s="44">
        <v>2288.0</v>
      </c>
      <c r="G55" s="79" t="s">
        <v>97</v>
      </c>
      <c r="H55" s="80">
        <v>1702.0</v>
      </c>
      <c r="I55" s="79">
        <v>466330.0</v>
      </c>
      <c r="J55" s="74" t="s">
        <v>347</v>
      </c>
      <c r="K55" s="77" t="s">
        <v>1269</v>
      </c>
      <c r="L55" s="79" t="s">
        <v>453</v>
      </c>
      <c r="M55" s="77" t="s">
        <v>1271</v>
      </c>
      <c r="N55" s="79">
        <v>0.0</v>
      </c>
      <c r="O55" s="74" t="s">
        <v>332</v>
      </c>
      <c r="P55" s="80"/>
      <c r="Q55" s="79"/>
      <c r="R55" s="80"/>
      <c r="S55" s="78" t="s">
        <v>1272</v>
      </c>
      <c r="T55" s="85" t="s">
        <v>1273</v>
      </c>
      <c r="U55" s="101"/>
      <c r="V55" s="98" t="s">
        <v>1274</v>
      </c>
      <c r="W55" s="79" t="s">
        <v>306</v>
      </c>
      <c r="X55" s="79" t="s">
        <v>306</v>
      </c>
      <c r="Y55" s="79" t="s">
        <v>309</v>
      </c>
      <c r="Z55" s="79"/>
    </row>
    <row r="56" ht="15.75" customHeight="1">
      <c r="A56" s="76" t="s">
        <v>247</v>
      </c>
      <c r="B56" s="77" t="s">
        <v>1276</v>
      </c>
      <c r="C56" s="80">
        <v>3.0710612214E10</v>
      </c>
      <c r="D56" s="119" t="s">
        <v>264</v>
      </c>
      <c r="E56" s="79" t="s">
        <v>1079</v>
      </c>
      <c r="F56" s="44">
        <v>5830.0</v>
      </c>
      <c r="G56" s="79" t="s">
        <v>15</v>
      </c>
      <c r="H56" s="80">
        <v>1678.0</v>
      </c>
      <c r="I56" s="79">
        <v>243200.0</v>
      </c>
      <c r="J56" s="74" t="s">
        <v>347</v>
      </c>
      <c r="K56" s="77" t="s">
        <v>1277</v>
      </c>
      <c r="L56" s="79" t="s">
        <v>453</v>
      </c>
      <c r="M56" s="77" t="s">
        <v>1278</v>
      </c>
      <c r="N56" s="79">
        <v>3.0</v>
      </c>
      <c r="O56" s="83" t="s">
        <v>1279</v>
      </c>
      <c r="P56" s="80"/>
      <c r="Q56" s="79"/>
      <c r="R56" s="80"/>
      <c r="S56" s="80" t="s">
        <v>1280</v>
      </c>
      <c r="T56" s="101" t="s">
        <v>332</v>
      </c>
      <c r="U56" s="80" t="s">
        <v>332</v>
      </c>
      <c r="V56" s="102" t="s">
        <v>429</v>
      </c>
      <c r="W56" s="79" t="s">
        <v>306</v>
      </c>
      <c r="X56" s="79" t="s">
        <v>306</v>
      </c>
      <c r="Y56" s="79" t="s">
        <v>309</v>
      </c>
      <c r="Z56" s="77"/>
    </row>
    <row r="57" ht="15.75" customHeight="1">
      <c r="A57" s="76" t="s">
        <v>247</v>
      </c>
      <c r="B57" s="77" t="s">
        <v>494</v>
      </c>
      <c r="C57" s="80">
        <v>3.0647279909E10</v>
      </c>
      <c r="D57" s="119" t="s">
        <v>264</v>
      </c>
      <c r="E57" s="79" t="s">
        <v>1283</v>
      </c>
      <c r="F57" s="44">
        <v>973.0</v>
      </c>
      <c r="G57" s="79" t="s">
        <v>269</v>
      </c>
      <c r="H57" s="80">
        <v>1682.0</v>
      </c>
      <c r="I57" s="79">
        <v>241009.0</v>
      </c>
      <c r="J57" s="74" t="s">
        <v>347</v>
      </c>
      <c r="K57" s="77" t="s">
        <v>839</v>
      </c>
      <c r="L57" s="79" t="s">
        <v>453</v>
      </c>
      <c r="M57" s="77" t="s">
        <v>1284</v>
      </c>
      <c r="N57" s="79">
        <v>59.0</v>
      </c>
      <c r="O57" s="83" t="s">
        <v>1285</v>
      </c>
      <c r="P57" s="80" t="s">
        <v>1286</v>
      </c>
      <c r="Q57" s="77" t="s">
        <v>1287</v>
      </c>
      <c r="R57" s="80" t="s">
        <v>1288</v>
      </c>
      <c r="S57" s="78" t="s">
        <v>1290</v>
      </c>
      <c r="T57" s="85" t="s">
        <v>1291</v>
      </c>
      <c r="U57" s="85" t="s">
        <v>1292</v>
      </c>
      <c r="V57" s="86" t="s">
        <v>1293</v>
      </c>
      <c r="W57" s="79" t="s">
        <v>309</v>
      </c>
      <c r="X57" s="79" t="s">
        <v>309</v>
      </c>
      <c r="Y57" s="79" t="s">
        <v>309</v>
      </c>
      <c r="Z57" s="119"/>
    </row>
    <row r="58" ht="15.75" customHeight="1">
      <c r="A58" s="76" t="s">
        <v>247</v>
      </c>
      <c r="B58" s="77" t="s">
        <v>511</v>
      </c>
      <c r="C58" s="80">
        <v>3.0595286189E10</v>
      </c>
      <c r="D58" s="79" t="s">
        <v>264</v>
      </c>
      <c r="E58" s="77" t="s">
        <v>1294</v>
      </c>
      <c r="F58" s="44">
        <v>1684.0</v>
      </c>
      <c r="G58" s="79" t="s">
        <v>175</v>
      </c>
      <c r="H58" s="80">
        <v>1657.0</v>
      </c>
      <c r="I58" s="79">
        <v>131300.0</v>
      </c>
      <c r="J58" s="74" t="s">
        <v>448</v>
      </c>
      <c r="K58" s="79" t="s">
        <v>1296</v>
      </c>
      <c r="L58" s="79"/>
      <c r="M58" s="79"/>
      <c r="N58" s="79">
        <v>48.0</v>
      </c>
      <c r="O58" s="129" t="s">
        <v>1297</v>
      </c>
      <c r="P58" s="78" t="s">
        <v>1298</v>
      </c>
      <c r="Q58" s="119" t="s">
        <v>1299</v>
      </c>
      <c r="R58" s="78" t="s">
        <v>1300</v>
      </c>
      <c r="S58" s="80" t="s">
        <v>1301</v>
      </c>
      <c r="T58" s="101" t="s">
        <v>1302</v>
      </c>
      <c r="U58" s="80" t="s">
        <v>1303</v>
      </c>
      <c r="V58" s="102" t="s">
        <v>1304</v>
      </c>
      <c r="W58" s="79" t="s">
        <v>309</v>
      </c>
      <c r="X58" s="79" t="s">
        <v>306</v>
      </c>
      <c r="Y58" s="79" t="s">
        <v>309</v>
      </c>
      <c r="Z58" s="79"/>
    </row>
    <row r="59" ht="15.75" customHeight="1">
      <c r="A59" s="76" t="s">
        <v>247</v>
      </c>
      <c r="B59" s="77" t="s">
        <v>1306</v>
      </c>
      <c r="C59" s="80">
        <v>3.06637677E10</v>
      </c>
      <c r="D59" s="79" t="s">
        <v>264</v>
      </c>
      <c r="E59" s="77" t="s">
        <v>266</v>
      </c>
      <c r="F59" s="44">
        <v>3711.0</v>
      </c>
      <c r="G59" s="79" t="s">
        <v>15</v>
      </c>
      <c r="H59" s="80">
        <v>1678.0</v>
      </c>
      <c r="I59" s="79">
        <v>329090.0</v>
      </c>
      <c r="J59" s="74" t="s">
        <v>347</v>
      </c>
      <c r="K59" s="77" t="s">
        <v>1307</v>
      </c>
      <c r="L59" s="79"/>
      <c r="M59" s="79"/>
      <c r="N59" s="79">
        <v>31.0</v>
      </c>
      <c r="O59" s="74"/>
      <c r="P59" s="80"/>
      <c r="Q59" s="79"/>
      <c r="R59" s="80"/>
      <c r="S59" s="78" t="s">
        <v>1309</v>
      </c>
      <c r="T59" s="85" t="s">
        <v>1310</v>
      </c>
      <c r="U59" s="78" t="s">
        <v>1311</v>
      </c>
      <c r="V59" s="102" t="s">
        <v>1312</v>
      </c>
      <c r="W59" s="79" t="s">
        <v>309</v>
      </c>
      <c r="X59" s="79" t="s">
        <v>309</v>
      </c>
      <c r="Y59" s="79" t="s">
        <v>309</v>
      </c>
      <c r="Z59" s="79"/>
    </row>
    <row r="60" ht="15.0" customHeight="1">
      <c r="A60" s="76" t="s">
        <v>247</v>
      </c>
      <c r="B60" s="77" t="s">
        <v>1313</v>
      </c>
      <c r="C60" s="80">
        <v>3.3712087949E10</v>
      </c>
      <c r="D60" s="144" t="s">
        <v>264</v>
      </c>
      <c r="E60" s="79" t="s">
        <v>1314</v>
      </c>
      <c r="F60" s="44">
        <v>5195.0</v>
      </c>
      <c r="G60" s="79" t="s">
        <v>15</v>
      </c>
      <c r="H60" s="80">
        <v>1678.0</v>
      </c>
      <c r="I60" s="79">
        <v>107110.0</v>
      </c>
      <c r="J60" s="74" t="s">
        <v>22</v>
      </c>
      <c r="K60" s="79" t="s">
        <v>1316</v>
      </c>
      <c r="L60" s="79"/>
      <c r="M60" s="79" t="s">
        <v>1317</v>
      </c>
      <c r="N60" s="79">
        <v>4.0</v>
      </c>
      <c r="O60" s="74" t="s">
        <v>1318</v>
      </c>
      <c r="P60" s="80"/>
      <c r="Q60" s="79"/>
      <c r="R60" s="80"/>
      <c r="S60" s="80" t="s">
        <v>1319</v>
      </c>
      <c r="T60" s="101"/>
      <c r="U60" s="80" t="s">
        <v>332</v>
      </c>
      <c r="V60" s="102" t="s">
        <v>429</v>
      </c>
      <c r="W60" s="79" t="s">
        <v>309</v>
      </c>
      <c r="X60" s="79" t="s">
        <v>309</v>
      </c>
      <c r="Y60" s="79" t="s">
        <v>309</v>
      </c>
      <c r="Z60" s="79"/>
    </row>
    <row r="61" ht="15.75" customHeight="1">
      <c r="A61" s="76" t="s">
        <v>247</v>
      </c>
      <c r="B61" s="77" t="s">
        <v>1322</v>
      </c>
      <c r="C61" s="80">
        <v>3.0712203338E10</v>
      </c>
      <c r="D61" s="144" t="s">
        <v>631</v>
      </c>
      <c r="E61" s="79" t="s">
        <v>1323</v>
      </c>
      <c r="F61" s="44">
        <v>4650.0</v>
      </c>
      <c r="G61" s="79" t="s">
        <v>15</v>
      </c>
      <c r="H61" s="80">
        <v>1678.0</v>
      </c>
      <c r="I61" s="79">
        <v>259200.0</v>
      </c>
      <c r="J61" s="74" t="s">
        <v>347</v>
      </c>
      <c r="K61" s="79" t="s">
        <v>1324</v>
      </c>
      <c r="L61" s="79" t="s">
        <v>453</v>
      </c>
      <c r="M61" s="79"/>
      <c r="N61" s="79">
        <v>0.0</v>
      </c>
      <c r="O61" s="74"/>
      <c r="P61" s="80"/>
      <c r="Q61" s="79"/>
      <c r="R61" s="80"/>
      <c r="S61" s="78" t="s">
        <v>1325</v>
      </c>
      <c r="T61" s="85" t="s">
        <v>1326</v>
      </c>
      <c r="U61" s="80" t="s">
        <v>332</v>
      </c>
      <c r="V61" s="102" t="s">
        <v>429</v>
      </c>
      <c r="W61" s="79" t="s">
        <v>306</v>
      </c>
      <c r="X61" s="79" t="s">
        <v>306</v>
      </c>
      <c r="Y61" s="79" t="s">
        <v>309</v>
      </c>
      <c r="Z61" s="79"/>
    </row>
    <row r="62" ht="15.75" customHeight="1">
      <c r="A62" s="103" t="s">
        <v>24</v>
      </c>
      <c r="B62" s="77" t="s">
        <v>1328</v>
      </c>
      <c r="C62" s="80">
        <v>3.0708330392E10</v>
      </c>
      <c r="D62" s="144" t="s">
        <v>631</v>
      </c>
      <c r="E62" s="79" t="s">
        <v>1079</v>
      </c>
      <c r="F62" s="44">
        <v>5188.0</v>
      </c>
      <c r="G62" s="79" t="s">
        <v>15</v>
      </c>
      <c r="H62" s="80">
        <v>1678.0</v>
      </c>
      <c r="I62" s="79">
        <v>259100.0</v>
      </c>
      <c r="J62" s="74" t="s">
        <v>347</v>
      </c>
      <c r="K62" s="79" t="s">
        <v>1329</v>
      </c>
      <c r="L62" s="79" t="s">
        <v>453</v>
      </c>
      <c r="M62" s="79"/>
      <c r="N62" s="79">
        <v>0.0</v>
      </c>
      <c r="O62" s="74"/>
      <c r="P62" s="80"/>
      <c r="Q62" s="79"/>
      <c r="R62" s="80"/>
      <c r="S62" s="80" t="s">
        <v>1331</v>
      </c>
      <c r="T62" s="101" t="s">
        <v>332</v>
      </c>
      <c r="U62" s="80" t="s">
        <v>332</v>
      </c>
      <c r="V62" s="102" t="s">
        <v>429</v>
      </c>
      <c r="W62" s="79" t="s">
        <v>306</v>
      </c>
      <c r="X62" s="79" t="s">
        <v>306</v>
      </c>
      <c r="Y62" s="79" t="s">
        <v>309</v>
      </c>
      <c r="Z62" s="79"/>
    </row>
    <row r="63" ht="15.75" customHeight="1">
      <c r="A63" s="103" t="s">
        <v>24</v>
      </c>
      <c r="B63" s="79" t="s">
        <v>1332</v>
      </c>
      <c r="C63" s="80">
        <v>3.066374422E10</v>
      </c>
      <c r="D63" s="144" t="s">
        <v>631</v>
      </c>
      <c r="E63" s="77" t="s">
        <v>1333</v>
      </c>
      <c r="F63" s="44">
        <v>4642.0</v>
      </c>
      <c r="G63" s="79" t="s">
        <v>15</v>
      </c>
      <c r="H63" s="80">
        <v>1678.0</v>
      </c>
      <c r="I63" s="79">
        <v>259301.0</v>
      </c>
      <c r="J63" s="74" t="s">
        <v>347</v>
      </c>
      <c r="K63" s="79" t="s">
        <v>1334</v>
      </c>
      <c r="L63" s="79"/>
      <c r="M63" s="79"/>
      <c r="N63" s="79">
        <v>0.0</v>
      </c>
      <c r="O63" s="74"/>
      <c r="P63" s="80"/>
      <c r="Q63" s="79"/>
      <c r="R63" s="80"/>
      <c r="S63" s="78" t="s">
        <v>1335</v>
      </c>
      <c r="T63" s="101" t="s">
        <v>332</v>
      </c>
      <c r="U63" s="80"/>
      <c r="V63" s="102" t="s">
        <v>429</v>
      </c>
      <c r="W63" s="79" t="s">
        <v>306</v>
      </c>
      <c r="X63" s="79" t="s">
        <v>306</v>
      </c>
      <c r="Y63" s="79" t="s">
        <v>309</v>
      </c>
      <c r="Z63" s="79"/>
    </row>
    <row r="64" ht="15.0" customHeight="1">
      <c r="A64" s="76" t="s">
        <v>247</v>
      </c>
      <c r="B64" s="77" t="s">
        <v>529</v>
      </c>
      <c r="C64" s="80">
        <v>3.0709636991E10</v>
      </c>
      <c r="D64" s="119" t="s">
        <v>264</v>
      </c>
      <c r="E64" s="79" t="s">
        <v>1336</v>
      </c>
      <c r="F64" s="44">
        <v>1658.0</v>
      </c>
      <c r="G64" s="79" t="s">
        <v>68</v>
      </c>
      <c r="H64" s="80">
        <v>1702.0</v>
      </c>
      <c r="I64" s="79">
        <v>281201.0</v>
      </c>
      <c r="J64" s="74" t="s">
        <v>347</v>
      </c>
      <c r="K64" s="77" t="s">
        <v>1338</v>
      </c>
      <c r="L64" s="79"/>
      <c r="M64" s="79"/>
      <c r="N64" s="79">
        <v>18.0</v>
      </c>
      <c r="O64" s="83" t="s">
        <v>1339</v>
      </c>
      <c r="P64" s="78" t="s">
        <v>1340</v>
      </c>
      <c r="Q64" s="79" t="s">
        <v>1341</v>
      </c>
      <c r="R64" s="78"/>
      <c r="S64" s="78" t="s">
        <v>1342</v>
      </c>
      <c r="T64" s="85" t="s">
        <v>1343</v>
      </c>
      <c r="U64" s="80"/>
      <c r="V64" s="102" t="s">
        <v>1344</v>
      </c>
      <c r="W64" s="79" t="s">
        <v>309</v>
      </c>
      <c r="X64" s="79" t="s">
        <v>309</v>
      </c>
      <c r="Y64" s="79" t="s">
        <v>309</v>
      </c>
      <c r="Z64" s="79"/>
    </row>
    <row r="65" ht="15.75" customHeight="1">
      <c r="A65" s="76" t="s">
        <v>247</v>
      </c>
      <c r="B65" s="191" t="s">
        <v>529</v>
      </c>
      <c r="C65" s="192">
        <v>3.0709636991E10</v>
      </c>
      <c r="D65" s="77" t="s">
        <v>264</v>
      </c>
      <c r="E65" s="77" t="s">
        <v>1347</v>
      </c>
      <c r="F65" s="193">
        <v>1658.0</v>
      </c>
      <c r="G65" s="194" t="s">
        <v>68</v>
      </c>
      <c r="H65" s="192">
        <v>1702.0</v>
      </c>
      <c r="I65" s="192">
        <v>281201.0</v>
      </c>
      <c r="J65" s="194" t="s">
        <v>347</v>
      </c>
      <c r="K65" s="195" t="s">
        <v>1348</v>
      </c>
      <c r="L65" s="79"/>
      <c r="M65" s="77" t="s">
        <v>1349</v>
      </c>
      <c r="N65" s="192">
        <v>18.0</v>
      </c>
      <c r="O65" s="194" t="s">
        <v>1350</v>
      </c>
      <c r="P65" s="196" t="s">
        <v>1351</v>
      </c>
      <c r="Q65" s="194" t="s">
        <v>1341</v>
      </c>
      <c r="R65" s="196" t="s">
        <v>1342</v>
      </c>
      <c r="S65" s="192" t="s">
        <v>1352</v>
      </c>
      <c r="T65" s="197" t="s">
        <v>1353</v>
      </c>
      <c r="U65" s="192" t="s">
        <v>1355</v>
      </c>
      <c r="V65" s="198" t="s">
        <v>1344</v>
      </c>
      <c r="W65" s="79"/>
      <c r="X65" s="79"/>
      <c r="Y65" s="79"/>
      <c r="Z65" s="79"/>
    </row>
    <row r="66" ht="15.75" customHeight="1">
      <c r="A66" s="103" t="s">
        <v>24</v>
      </c>
      <c r="B66" s="77" t="s">
        <v>1356</v>
      </c>
      <c r="C66" s="80">
        <v>3.0656718761E10</v>
      </c>
      <c r="D66" s="119" t="s">
        <v>264</v>
      </c>
      <c r="E66" s="79" t="s">
        <v>1357</v>
      </c>
      <c r="F66" s="44">
        <v>5445.0</v>
      </c>
      <c r="G66" s="79" t="s">
        <v>15</v>
      </c>
      <c r="H66" s="80">
        <v>1678.0</v>
      </c>
      <c r="I66" s="79">
        <v>321028.0</v>
      </c>
      <c r="J66" s="74" t="s">
        <v>448</v>
      </c>
      <c r="K66" s="79" t="s">
        <v>1359</v>
      </c>
      <c r="L66" s="79"/>
      <c r="M66" s="79"/>
      <c r="N66" s="79">
        <v>0.0</v>
      </c>
      <c r="O66" s="74"/>
      <c r="P66" s="80"/>
      <c r="Q66" s="79"/>
      <c r="R66" s="80"/>
      <c r="S66" s="80" t="s">
        <v>1361</v>
      </c>
      <c r="T66" s="101" t="s">
        <v>332</v>
      </c>
      <c r="U66" s="80" t="s">
        <v>332</v>
      </c>
      <c r="V66" s="102" t="s">
        <v>429</v>
      </c>
      <c r="W66" s="79" t="s">
        <v>306</v>
      </c>
      <c r="X66" s="79" t="s">
        <v>306</v>
      </c>
      <c r="Y66" s="79" t="s">
        <v>309</v>
      </c>
      <c r="Z66" s="79"/>
    </row>
    <row r="67" ht="15.75" customHeight="1">
      <c r="A67" s="103" t="s">
        <v>24</v>
      </c>
      <c r="B67" s="77" t="s">
        <v>1362</v>
      </c>
      <c r="C67" s="80">
        <v>3.0683370505E10</v>
      </c>
      <c r="D67" s="79" t="s">
        <v>264</v>
      </c>
      <c r="E67" s="79" t="s">
        <v>1363</v>
      </c>
      <c r="F67" s="44">
        <v>5476.0</v>
      </c>
      <c r="G67" s="79" t="s">
        <v>15</v>
      </c>
      <c r="H67" s="80">
        <v>1678.0</v>
      </c>
      <c r="I67" s="79">
        <v>153131.0</v>
      </c>
      <c r="J67" s="74" t="s">
        <v>22</v>
      </c>
      <c r="K67" s="77" t="s">
        <v>1364</v>
      </c>
      <c r="L67" s="79"/>
      <c r="M67" s="77" t="s">
        <v>1365</v>
      </c>
      <c r="N67" s="79">
        <v>2.0</v>
      </c>
      <c r="O67" s="74" t="s">
        <v>332</v>
      </c>
      <c r="P67" s="78"/>
      <c r="Q67" s="79"/>
      <c r="R67" s="80"/>
      <c r="S67" s="78" t="s">
        <v>1367</v>
      </c>
      <c r="T67" s="85" t="s">
        <v>1368</v>
      </c>
      <c r="U67" s="80" t="s">
        <v>332</v>
      </c>
      <c r="V67" s="102" t="s">
        <v>429</v>
      </c>
      <c r="W67" s="79" t="s">
        <v>306</v>
      </c>
      <c r="X67" s="79" t="s">
        <v>306</v>
      </c>
      <c r="Y67" s="79" t="s">
        <v>309</v>
      </c>
      <c r="Z67" s="79"/>
    </row>
    <row r="68" ht="15.0" customHeight="1">
      <c r="A68" s="103" t="s">
        <v>24</v>
      </c>
      <c r="B68" s="77" t="s">
        <v>585</v>
      </c>
      <c r="C68" s="80">
        <v>3.0714502367E10</v>
      </c>
      <c r="D68" s="119" t="s">
        <v>264</v>
      </c>
      <c r="E68" s="79" t="s">
        <v>1369</v>
      </c>
      <c r="F68" s="44">
        <v>1175.0</v>
      </c>
      <c r="G68" s="79" t="s">
        <v>249</v>
      </c>
      <c r="H68" s="80">
        <v>1676.0</v>
      </c>
      <c r="I68" s="79">
        <v>463199.0</v>
      </c>
      <c r="J68" s="74" t="s">
        <v>22</v>
      </c>
      <c r="K68" s="77" t="s">
        <v>1370</v>
      </c>
      <c r="L68" s="79" t="s">
        <v>453</v>
      </c>
      <c r="M68" s="79" t="s">
        <v>1371</v>
      </c>
      <c r="N68" s="79"/>
      <c r="O68" s="83" t="s">
        <v>1372</v>
      </c>
      <c r="P68" s="78">
        <v>1.155670353E9</v>
      </c>
      <c r="Q68" s="79"/>
      <c r="R68" s="80"/>
      <c r="S68" s="80"/>
      <c r="T68" s="101"/>
      <c r="U68" s="80"/>
      <c r="V68" s="102" t="s">
        <v>1373</v>
      </c>
      <c r="W68" s="79"/>
      <c r="X68" s="79"/>
      <c r="Y68" s="79"/>
      <c r="Z68" s="79"/>
    </row>
    <row r="69" ht="15.0" customHeight="1">
      <c r="A69" s="76" t="s">
        <v>247</v>
      </c>
      <c r="B69" s="79" t="s">
        <v>1375</v>
      </c>
      <c r="C69" s="80">
        <v>3.0708664762E10</v>
      </c>
      <c r="D69" s="119" t="s">
        <v>264</v>
      </c>
      <c r="E69" s="79" t="s">
        <v>1376</v>
      </c>
      <c r="F69" s="44">
        <v>2189.0</v>
      </c>
      <c r="G69" s="79" t="s">
        <v>68</v>
      </c>
      <c r="H69" s="80">
        <v>1702.0</v>
      </c>
      <c r="I69" s="79">
        <v>107991.0</v>
      </c>
      <c r="J69" s="74" t="s">
        <v>22</v>
      </c>
      <c r="K69" s="77" t="s">
        <v>1377</v>
      </c>
      <c r="L69" s="79"/>
      <c r="M69" s="79"/>
      <c r="N69" s="79"/>
      <c r="O69" s="74"/>
      <c r="P69" s="80"/>
      <c r="Q69" s="79"/>
      <c r="R69" s="80"/>
      <c r="S69" s="78" t="s">
        <v>1378</v>
      </c>
      <c r="T69" s="101" t="s">
        <v>1379</v>
      </c>
      <c r="U69" s="78" t="s">
        <v>1380</v>
      </c>
      <c r="V69" s="102" t="s">
        <v>1381</v>
      </c>
      <c r="W69" s="79"/>
      <c r="X69" s="79"/>
      <c r="Y69" s="79"/>
      <c r="Z69" s="79"/>
    </row>
    <row r="70" ht="13.5" customHeight="1">
      <c r="A70" s="76" t="s">
        <v>247</v>
      </c>
      <c r="B70" s="77" t="s">
        <v>616</v>
      </c>
      <c r="C70" s="80">
        <v>3.0661450602E10</v>
      </c>
      <c r="D70" s="119" t="s">
        <v>264</v>
      </c>
      <c r="E70" s="79" t="s">
        <v>1323</v>
      </c>
      <c r="F70" s="128" t="s">
        <v>1383</v>
      </c>
      <c r="G70" s="79" t="s">
        <v>15</v>
      </c>
      <c r="H70" s="80">
        <v>1678.0</v>
      </c>
      <c r="I70" s="79">
        <v>107999.0</v>
      </c>
      <c r="J70" s="74" t="s">
        <v>22</v>
      </c>
      <c r="K70" s="77" t="s">
        <v>1384</v>
      </c>
      <c r="L70" s="79"/>
      <c r="M70" s="79"/>
      <c r="N70" s="79">
        <v>25.0</v>
      </c>
      <c r="O70" s="74" t="s">
        <v>1385</v>
      </c>
      <c r="P70" s="78" t="s">
        <v>1386</v>
      </c>
      <c r="Q70" s="79" t="s">
        <v>1387</v>
      </c>
      <c r="R70" s="80"/>
      <c r="S70" s="80" t="s">
        <v>1388</v>
      </c>
      <c r="T70" s="101" t="s">
        <v>1389</v>
      </c>
      <c r="U70" s="80"/>
      <c r="V70" s="102" t="s">
        <v>1390</v>
      </c>
      <c r="W70" s="79" t="s">
        <v>309</v>
      </c>
      <c r="X70" s="79" t="s">
        <v>309</v>
      </c>
      <c r="Y70" s="79" t="s">
        <v>309</v>
      </c>
      <c r="Z70" s="79"/>
    </row>
    <row r="71" ht="15.0" customHeight="1">
      <c r="A71" s="76" t="s">
        <v>247</v>
      </c>
      <c r="B71" s="77" t="s">
        <v>643</v>
      </c>
      <c r="C71" s="80">
        <v>3.0583370028E10</v>
      </c>
      <c r="D71" s="119" t="s">
        <v>264</v>
      </c>
      <c r="E71" s="77" t="s">
        <v>943</v>
      </c>
      <c r="F71" s="44">
        <v>4497.0</v>
      </c>
      <c r="G71" s="79" t="s">
        <v>15</v>
      </c>
      <c r="H71" s="80">
        <v>1678.0</v>
      </c>
      <c r="I71" s="77">
        <v>107410.0</v>
      </c>
      <c r="J71" s="74" t="s">
        <v>22</v>
      </c>
      <c r="K71" s="79" t="s">
        <v>1392</v>
      </c>
      <c r="L71" s="79"/>
      <c r="M71" s="79"/>
      <c r="N71" s="79">
        <v>227.0</v>
      </c>
      <c r="O71" s="83" t="s">
        <v>1393</v>
      </c>
      <c r="P71" s="78" t="s">
        <v>1394</v>
      </c>
      <c r="Q71" s="79" t="s">
        <v>1395</v>
      </c>
      <c r="R71" s="78" t="s">
        <v>1396</v>
      </c>
      <c r="S71" s="78" t="s">
        <v>1397</v>
      </c>
      <c r="T71" s="85" t="s">
        <v>1399</v>
      </c>
      <c r="U71" s="78" t="s">
        <v>1400</v>
      </c>
      <c r="V71" s="102" t="s">
        <v>1401</v>
      </c>
      <c r="W71" s="79" t="s">
        <v>309</v>
      </c>
      <c r="X71" s="79" t="s">
        <v>309</v>
      </c>
      <c r="Y71" s="79" t="s">
        <v>309</v>
      </c>
      <c r="Z71" s="79"/>
    </row>
    <row r="72" ht="15.75" customHeight="1">
      <c r="A72" s="76" t="s">
        <v>247</v>
      </c>
      <c r="B72" s="77" t="s">
        <v>1402</v>
      </c>
      <c r="C72" s="80">
        <v>3.0710162669E10</v>
      </c>
      <c r="D72" s="79" t="s">
        <v>264</v>
      </c>
      <c r="E72" s="79" t="s">
        <v>1403</v>
      </c>
      <c r="F72" s="44">
        <v>1318.0</v>
      </c>
      <c r="G72" s="79" t="s">
        <v>269</v>
      </c>
      <c r="H72" s="80">
        <v>1682.0</v>
      </c>
      <c r="I72" s="79">
        <v>107992.0</v>
      </c>
      <c r="J72" s="74" t="s">
        <v>22</v>
      </c>
      <c r="K72" s="79" t="s">
        <v>1404</v>
      </c>
      <c r="L72" s="79" t="s">
        <v>453</v>
      </c>
      <c r="M72" s="79" t="s">
        <v>1406</v>
      </c>
      <c r="N72" s="79">
        <v>11.0</v>
      </c>
      <c r="O72" s="74" t="s">
        <v>1407</v>
      </c>
      <c r="P72" s="78" t="s">
        <v>1408</v>
      </c>
      <c r="Q72" s="77" t="s">
        <v>1409</v>
      </c>
      <c r="R72" s="78" t="s">
        <v>1410</v>
      </c>
      <c r="S72" s="78" t="s">
        <v>1411</v>
      </c>
      <c r="T72" s="101" t="s">
        <v>332</v>
      </c>
      <c r="U72" s="80" t="s">
        <v>332</v>
      </c>
      <c r="V72" s="102" t="s">
        <v>1412</v>
      </c>
      <c r="W72" s="79" t="s">
        <v>306</v>
      </c>
      <c r="X72" s="79" t="s">
        <v>306</v>
      </c>
      <c r="Y72" s="79" t="s">
        <v>309</v>
      </c>
      <c r="Z72" s="79"/>
    </row>
    <row r="73" ht="15.0" customHeight="1">
      <c r="A73" s="76" t="s">
        <v>247</v>
      </c>
      <c r="B73" s="77" t="s">
        <v>1413</v>
      </c>
      <c r="C73" s="80">
        <v>3.0711417776E10</v>
      </c>
      <c r="D73" s="119" t="s">
        <v>264</v>
      </c>
      <c r="E73" s="79" t="s">
        <v>1414</v>
      </c>
      <c r="F73" s="44">
        <v>3061.0</v>
      </c>
      <c r="G73" s="79" t="s">
        <v>68</v>
      </c>
      <c r="H73" s="80">
        <v>1702.0</v>
      </c>
      <c r="I73" s="79">
        <v>170990.0</v>
      </c>
      <c r="J73" s="74" t="s">
        <v>283</v>
      </c>
      <c r="K73" s="77" t="s">
        <v>284</v>
      </c>
      <c r="L73" s="79"/>
      <c r="M73" s="77" t="s">
        <v>1416</v>
      </c>
      <c r="N73" s="79">
        <v>22.0</v>
      </c>
      <c r="O73" s="74"/>
      <c r="P73" s="80"/>
      <c r="Q73" s="79"/>
      <c r="R73" s="80"/>
      <c r="S73" s="78" t="s">
        <v>1417</v>
      </c>
      <c r="T73" s="85" t="s">
        <v>1418</v>
      </c>
      <c r="U73" s="80" t="s">
        <v>1419</v>
      </c>
      <c r="V73" s="98" t="s">
        <v>1420</v>
      </c>
      <c r="W73" s="79" t="s">
        <v>309</v>
      </c>
      <c r="X73" s="79" t="s">
        <v>309</v>
      </c>
      <c r="Y73" s="79" t="s">
        <v>309</v>
      </c>
      <c r="Z73" s="79"/>
    </row>
    <row r="74" ht="15.75" customHeight="1">
      <c r="A74" s="103" t="s">
        <v>24</v>
      </c>
      <c r="B74" s="79" t="s">
        <v>1421</v>
      </c>
      <c r="C74" s="80">
        <v>2.0283057608E10</v>
      </c>
      <c r="D74" s="77" t="s">
        <v>631</v>
      </c>
      <c r="E74" s="119" t="s">
        <v>1422</v>
      </c>
      <c r="F74" s="44" t="s">
        <v>1423</v>
      </c>
      <c r="G74" s="79" t="s">
        <v>175</v>
      </c>
      <c r="H74" s="80">
        <v>1657.0</v>
      </c>
      <c r="I74" s="79">
        <v>614010.0</v>
      </c>
      <c r="J74" s="74" t="s">
        <v>433</v>
      </c>
      <c r="K74" s="77" t="s">
        <v>1424</v>
      </c>
      <c r="L74" s="79"/>
      <c r="M74" s="79"/>
      <c r="N74" s="79"/>
      <c r="O74" s="74"/>
      <c r="P74" s="80"/>
      <c r="Q74" s="79"/>
      <c r="R74" s="80"/>
      <c r="S74" s="78" t="s">
        <v>1425</v>
      </c>
      <c r="T74" s="101"/>
      <c r="U74" s="80"/>
      <c r="V74" s="102" t="s">
        <v>429</v>
      </c>
      <c r="W74" s="79"/>
      <c r="X74" s="79"/>
      <c r="Y74" s="79"/>
      <c r="Z74" s="79"/>
    </row>
    <row r="75" ht="15.75" customHeight="1">
      <c r="A75" s="76" t="s">
        <v>247</v>
      </c>
      <c r="B75" s="77" t="s">
        <v>672</v>
      </c>
      <c r="C75" s="80">
        <v>3.0711181551E10</v>
      </c>
      <c r="D75" s="119" t="s">
        <v>264</v>
      </c>
      <c r="E75" s="77" t="s">
        <v>1427</v>
      </c>
      <c r="F75" s="44">
        <v>3863.0</v>
      </c>
      <c r="G75" s="79" t="s">
        <v>15</v>
      </c>
      <c r="H75" s="80">
        <v>1678.0</v>
      </c>
      <c r="I75" s="79">
        <v>323001.0</v>
      </c>
      <c r="J75" s="74" t="s">
        <v>347</v>
      </c>
      <c r="K75" s="79" t="s">
        <v>1428</v>
      </c>
      <c r="L75" s="79"/>
      <c r="M75" s="79" t="s">
        <v>1429</v>
      </c>
      <c r="N75" s="79">
        <v>4.0</v>
      </c>
      <c r="O75" s="83" t="s">
        <v>1430</v>
      </c>
      <c r="P75" s="153" t="s">
        <v>1431</v>
      </c>
      <c r="Q75" s="79"/>
      <c r="R75" s="80"/>
      <c r="S75" s="78" t="s">
        <v>1432</v>
      </c>
      <c r="T75" s="85" t="s">
        <v>1433</v>
      </c>
      <c r="U75" s="78" t="s">
        <v>1432</v>
      </c>
      <c r="V75" s="102" t="s">
        <v>1434</v>
      </c>
      <c r="W75" s="79" t="s">
        <v>306</v>
      </c>
      <c r="X75" s="79" t="s">
        <v>306</v>
      </c>
      <c r="Y75" s="79" t="s">
        <v>309</v>
      </c>
      <c r="Z75" s="79"/>
    </row>
    <row r="76" ht="15.75" customHeight="1">
      <c r="A76" s="103" t="s">
        <v>24</v>
      </c>
      <c r="B76" s="79" t="s">
        <v>1436</v>
      </c>
      <c r="C76" s="80">
        <v>3.0663765724E10</v>
      </c>
      <c r="D76" s="119" t="s">
        <v>264</v>
      </c>
      <c r="E76" s="77" t="s">
        <v>1437</v>
      </c>
      <c r="F76" s="44">
        <v>1848.0</v>
      </c>
      <c r="G76" s="79" t="s">
        <v>119</v>
      </c>
      <c r="H76" s="80">
        <v>1657.0</v>
      </c>
      <c r="I76" s="79">
        <v>361010.0</v>
      </c>
      <c r="J76" s="74" t="s">
        <v>313</v>
      </c>
      <c r="K76" s="77" t="s">
        <v>1438</v>
      </c>
      <c r="L76" s="79" t="s">
        <v>1122</v>
      </c>
      <c r="M76" s="79"/>
      <c r="N76" s="79">
        <v>2.0</v>
      </c>
      <c r="O76" s="74"/>
      <c r="P76" s="80"/>
      <c r="Q76" s="79"/>
      <c r="R76" s="80"/>
      <c r="S76" s="80" t="s">
        <v>1439</v>
      </c>
      <c r="T76" s="101" t="s">
        <v>332</v>
      </c>
      <c r="U76" s="80" t="s">
        <v>332</v>
      </c>
      <c r="V76" s="102" t="s">
        <v>429</v>
      </c>
      <c r="W76" s="79" t="s">
        <v>306</v>
      </c>
      <c r="X76" s="79" t="s">
        <v>306</v>
      </c>
      <c r="Y76" s="79" t="s">
        <v>309</v>
      </c>
      <c r="Z76" s="79"/>
    </row>
    <row r="77" ht="15.75" customHeight="1">
      <c r="A77" s="103" t="s">
        <v>24</v>
      </c>
      <c r="B77" s="79" t="s">
        <v>1441</v>
      </c>
      <c r="C77" s="79">
        <v>3.3504483539E10</v>
      </c>
      <c r="D77" s="77" t="s">
        <v>264</v>
      </c>
      <c r="E77" s="79" t="s">
        <v>1442</v>
      </c>
      <c r="F77" s="44">
        <v>3661.0</v>
      </c>
      <c r="G77" s="79" t="s">
        <v>68</v>
      </c>
      <c r="H77" s="80">
        <v>1702.0</v>
      </c>
      <c r="I77" s="79">
        <v>369999.0</v>
      </c>
      <c r="J77" s="83" t="s">
        <v>327</v>
      </c>
      <c r="K77" s="77" t="s">
        <v>1443</v>
      </c>
      <c r="L77" s="79"/>
      <c r="M77" s="79"/>
      <c r="N77" s="79">
        <v>0.0</v>
      </c>
      <c r="O77" s="74"/>
      <c r="P77" s="80"/>
      <c r="Q77" s="79"/>
      <c r="R77" s="80"/>
      <c r="S77" s="80" t="s">
        <v>1444</v>
      </c>
      <c r="T77" s="101" t="s">
        <v>1445</v>
      </c>
      <c r="U77" s="80" t="s">
        <v>1446</v>
      </c>
      <c r="V77" s="102" t="s">
        <v>429</v>
      </c>
      <c r="W77" s="79" t="s">
        <v>306</v>
      </c>
      <c r="X77" s="79" t="s">
        <v>306</v>
      </c>
      <c r="Y77" s="79" t="s">
        <v>309</v>
      </c>
      <c r="Z77" s="79"/>
    </row>
    <row r="78" ht="15.75" customHeight="1">
      <c r="A78" s="76" t="s">
        <v>247</v>
      </c>
      <c r="B78" s="77" t="s">
        <v>1448</v>
      </c>
      <c r="C78" s="80">
        <v>2.0253587718E10</v>
      </c>
      <c r="D78" s="77" t="s">
        <v>631</v>
      </c>
      <c r="E78" s="79" t="s">
        <v>1449</v>
      </c>
      <c r="F78" s="128" t="s">
        <v>1450</v>
      </c>
      <c r="G78" s="79" t="s">
        <v>68</v>
      </c>
      <c r="H78" s="80">
        <v>1702.0</v>
      </c>
      <c r="I78" s="79">
        <v>259993.0</v>
      </c>
      <c r="J78" s="74" t="s">
        <v>337</v>
      </c>
      <c r="K78" s="129" t="s">
        <v>638</v>
      </c>
      <c r="L78" s="79" t="s">
        <v>453</v>
      </c>
      <c r="M78" s="79"/>
      <c r="N78" s="79"/>
      <c r="O78" s="74"/>
      <c r="P78" s="80"/>
      <c r="Q78" s="79"/>
      <c r="R78" s="80"/>
      <c r="S78" s="85" t="s">
        <v>1451</v>
      </c>
      <c r="T78" s="101"/>
      <c r="U78" s="80"/>
      <c r="V78" s="102" t="s">
        <v>429</v>
      </c>
      <c r="W78" s="79"/>
      <c r="X78" s="79"/>
      <c r="Y78" s="79"/>
      <c r="Z78" s="79"/>
    </row>
    <row r="79" ht="15.75" customHeight="1">
      <c r="A79" s="76" t="s">
        <v>247</v>
      </c>
      <c r="B79" s="77" t="s">
        <v>1453</v>
      </c>
      <c r="C79" s="80">
        <v>3.0503248405E10</v>
      </c>
      <c r="D79" s="119" t="s">
        <v>264</v>
      </c>
      <c r="E79" s="79" t="s">
        <v>1454</v>
      </c>
      <c r="F79" s="44">
        <v>3761.0</v>
      </c>
      <c r="G79" s="79" t="s">
        <v>68</v>
      </c>
      <c r="H79" s="80">
        <v>1702.0</v>
      </c>
      <c r="I79" s="79">
        <v>281201.0</v>
      </c>
      <c r="J79" s="74" t="s">
        <v>347</v>
      </c>
      <c r="K79" s="77" t="s">
        <v>1348</v>
      </c>
      <c r="L79" s="79"/>
      <c r="M79" s="79"/>
      <c r="N79" s="79">
        <v>2.0</v>
      </c>
      <c r="O79" s="74"/>
      <c r="P79" s="80"/>
      <c r="Q79" s="79"/>
      <c r="R79" s="80"/>
      <c r="S79" s="80" t="s">
        <v>1455</v>
      </c>
      <c r="T79" s="101" t="s">
        <v>1456</v>
      </c>
      <c r="U79" s="80" t="s">
        <v>332</v>
      </c>
      <c r="V79" s="102" t="s">
        <v>429</v>
      </c>
      <c r="W79" s="79" t="s">
        <v>306</v>
      </c>
      <c r="X79" s="79" t="s">
        <v>306</v>
      </c>
      <c r="Y79" s="79" t="s">
        <v>309</v>
      </c>
      <c r="Z79" s="79"/>
    </row>
    <row r="80" ht="15.0" customHeight="1">
      <c r="A80" s="76" t="s">
        <v>247</v>
      </c>
      <c r="B80" s="77" t="s">
        <v>701</v>
      </c>
      <c r="C80" s="80">
        <v>3.0708138246E10</v>
      </c>
      <c r="D80" s="119" t="s">
        <v>264</v>
      </c>
      <c r="E80" s="77" t="s">
        <v>1458</v>
      </c>
      <c r="F80" s="44">
        <v>4848.0</v>
      </c>
      <c r="G80" s="79" t="s">
        <v>15</v>
      </c>
      <c r="H80" s="80">
        <v>1678.0</v>
      </c>
      <c r="I80" s="79">
        <v>170202.0</v>
      </c>
      <c r="J80" s="74" t="s">
        <v>283</v>
      </c>
      <c r="K80" s="79" t="s">
        <v>1459</v>
      </c>
      <c r="L80" s="79"/>
      <c r="M80" s="77" t="s">
        <v>1460</v>
      </c>
      <c r="N80" s="79">
        <v>20.0</v>
      </c>
      <c r="O80" s="74" t="s">
        <v>1461</v>
      </c>
      <c r="P80" s="78" t="s">
        <v>1462</v>
      </c>
      <c r="Q80" s="79"/>
      <c r="R80" s="80"/>
      <c r="S80" s="78" t="s">
        <v>1463</v>
      </c>
      <c r="T80" s="101" t="s">
        <v>1464</v>
      </c>
      <c r="U80" s="80" t="s">
        <v>1465</v>
      </c>
      <c r="V80" s="102" t="s">
        <v>1467</v>
      </c>
      <c r="W80" s="79" t="s">
        <v>309</v>
      </c>
      <c r="X80" s="79" t="s">
        <v>309</v>
      </c>
      <c r="Y80" s="79" t="s">
        <v>309</v>
      </c>
      <c r="Z80" s="79"/>
    </row>
    <row r="81" ht="15.75" customHeight="1">
      <c r="A81" s="103" t="s">
        <v>24</v>
      </c>
      <c r="B81" s="77" t="s">
        <v>1468</v>
      </c>
      <c r="C81" s="80">
        <v>3.3711684099E10</v>
      </c>
      <c r="D81" s="119" t="s">
        <v>264</v>
      </c>
      <c r="E81" s="77" t="s">
        <v>1469</v>
      </c>
      <c r="F81" s="44">
        <v>957.0</v>
      </c>
      <c r="G81" s="79" t="s">
        <v>119</v>
      </c>
      <c r="H81" s="80">
        <v>1657.0</v>
      </c>
      <c r="I81" s="79">
        <v>152011.0</v>
      </c>
      <c r="J81" s="74" t="s">
        <v>73</v>
      </c>
      <c r="K81" s="79" t="s">
        <v>1471</v>
      </c>
      <c r="L81" s="79"/>
      <c r="M81" s="79"/>
      <c r="N81" s="79">
        <v>8.0</v>
      </c>
      <c r="O81" s="74"/>
      <c r="P81" s="80"/>
      <c r="Q81" s="79"/>
      <c r="R81" s="80"/>
      <c r="S81" s="80" t="s">
        <v>1472</v>
      </c>
      <c r="T81" s="101" t="s">
        <v>332</v>
      </c>
      <c r="U81" s="80" t="s">
        <v>332</v>
      </c>
      <c r="V81" s="102" t="s">
        <v>429</v>
      </c>
      <c r="W81" s="79" t="s">
        <v>306</v>
      </c>
      <c r="X81" s="79" t="s">
        <v>306</v>
      </c>
      <c r="Y81" s="79" t="s">
        <v>309</v>
      </c>
      <c r="Z81" s="79"/>
    </row>
    <row r="82" ht="15.75" customHeight="1">
      <c r="A82" s="103" t="s">
        <v>24</v>
      </c>
      <c r="B82" s="77" t="s">
        <v>1474</v>
      </c>
      <c r="C82" s="80">
        <v>3.0708397349E10</v>
      </c>
      <c r="D82" s="119" t="s">
        <v>264</v>
      </c>
      <c r="E82" s="79" t="s">
        <v>1475</v>
      </c>
      <c r="F82" s="44">
        <v>795.0</v>
      </c>
      <c r="G82" s="79" t="s">
        <v>68</v>
      </c>
      <c r="H82" s="80">
        <v>1702.0</v>
      </c>
      <c r="I82" s="79">
        <v>343000.0</v>
      </c>
      <c r="J82" s="83" t="s">
        <v>37</v>
      </c>
      <c r="K82" s="77" t="s">
        <v>1476</v>
      </c>
      <c r="L82" s="79"/>
      <c r="M82" s="79"/>
      <c r="N82" s="79">
        <v>0.0</v>
      </c>
      <c r="O82" s="74"/>
      <c r="P82" s="80"/>
      <c r="Q82" s="79"/>
      <c r="R82" s="80"/>
      <c r="S82" s="80" t="s">
        <v>1477</v>
      </c>
      <c r="T82" s="101" t="s">
        <v>332</v>
      </c>
      <c r="U82" s="80" t="s">
        <v>332</v>
      </c>
      <c r="V82" s="102" t="s">
        <v>429</v>
      </c>
      <c r="W82" s="79" t="s">
        <v>309</v>
      </c>
      <c r="X82" s="79" t="s">
        <v>309</v>
      </c>
      <c r="Y82" s="79" t="s">
        <v>309</v>
      </c>
      <c r="Z82" s="79"/>
    </row>
    <row r="83" ht="15.75" customHeight="1">
      <c r="A83" s="76" t="s">
        <v>247</v>
      </c>
      <c r="B83" s="77" t="s">
        <v>1479</v>
      </c>
      <c r="C83" s="80">
        <v>3.0568774783E10</v>
      </c>
      <c r="D83" s="144" t="s">
        <v>264</v>
      </c>
      <c r="E83" s="79" t="s">
        <v>678</v>
      </c>
      <c r="F83" s="44">
        <v>5579.0</v>
      </c>
      <c r="G83" s="79" t="s">
        <v>269</v>
      </c>
      <c r="H83" s="80">
        <v>1682.0</v>
      </c>
      <c r="I83" s="79">
        <v>241009.0</v>
      </c>
      <c r="J83" s="74" t="s">
        <v>347</v>
      </c>
      <c r="K83" s="77" t="s">
        <v>1480</v>
      </c>
      <c r="L83" s="79"/>
      <c r="M83" s="79"/>
      <c r="N83" s="79">
        <v>3.0</v>
      </c>
      <c r="O83" s="74"/>
      <c r="P83" s="80"/>
      <c r="Q83" s="79"/>
      <c r="R83" s="80"/>
      <c r="S83" s="80" t="s">
        <v>1481</v>
      </c>
      <c r="T83" s="85" t="s">
        <v>1482</v>
      </c>
      <c r="U83" s="80" t="s">
        <v>332</v>
      </c>
      <c r="V83" s="102" t="s">
        <v>429</v>
      </c>
      <c r="W83" s="79" t="s">
        <v>306</v>
      </c>
      <c r="X83" s="79" t="s">
        <v>306</v>
      </c>
      <c r="Y83" s="79" t="s">
        <v>309</v>
      </c>
      <c r="Z83" s="79"/>
    </row>
    <row r="84" ht="15.75" customHeight="1">
      <c r="A84" s="76" t="s">
        <v>247</v>
      </c>
      <c r="B84" s="77" t="s">
        <v>739</v>
      </c>
      <c r="C84" s="80">
        <v>3.0701152715E10</v>
      </c>
      <c r="D84" s="119" t="s">
        <v>264</v>
      </c>
      <c r="E84" s="79" t="s">
        <v>1485</v>
      </c>
      <c r="F84" s="44">
        <v>2534.0</v>
      </c>
      <c r="G84" s="79" t="s">
        <v>68</v>
      </c>
      <c r="H84" s="80">
        <v>1702.0</v>
      </c>
      <c r="I84" s="79">
        <v>251101.0</v>
      </c>
      <c r="J84" s="74" t="s">
        <v>347</v>
      </c>
      <c r="K84" s="77" t="s">
        <v>1486</v>
      </c>
      <c r="L84" s="79" t="s">
        <v>453</v>
      </c>
      <c r="M84" s="77" t="s">
        <v>1487</v>
      </c>
      <c r="N84" s="79">
        <v>15.0</v>
      </c>
      <c r="O84" s="83" t="s">
        <v>1488</v>
      </c>
      <c r="P84" s="78" t="s">
        <v>1489</v>
      </c>
      <c r="Q84" s="79"/>
      <c r="R84" s="80"/>
      <c r="S84" s="78" t="s">
        <v>1489</v>
      </c>
      <c r="T84" s="85" t="s">
        <v>1490</v>
      </c>
      <c r="U84" s="80" t="s">
        <v>332</v>
      </c>
      <c r="V84" s="98" t="s">
        <v>1491</v>
      </c>
      <c r="W84" s="79" t="s">
        <v>309</v>
      </c>
      <c r="X84" s="79" t="s">
        <v>309</v>
      </c>
      <c r="Y84" s="79" t="s">
        <v>309</v>
      </c>
      <c r="Z84" s="79"/>
    </row>
    <row r="85" ht="15.0" customHeight="1">
      <c r="A85" s="76" t="s">
        <v>247</v>
      </c>
      <c r="B85" s="77" t="s">
        <v>773</v>
      </c>
      <c r="C85" s="80">
        <v>3.0710800231E10</v>
      </c>
      <c r="D85" s="79" t="s">
        <v>264</v>
      </c>
      <c r="E85" s="79" t="s">
        <v>1494</v>
      </c>
      <c r="F85" s="128">
        <v>967.0</v>
      </c>
      <c r="G85" s="79" t="s">
        <v>269</v>
      </c>
      <c r="H85" s="80">
        <v>1682.0</v>
      </c>
      <c r="I85" s="79">
        <v>259302.0</v>
      </c>
      <c r="J85" s="74" t="s">
        <v>347</v>
      </c>
      <c r="K85" s="79" t="s">
        <v>1495</v>
      </c>
      <c r="L85" s="79" t="s">
        <v>369</v>
      </c>
      <c r="M85" s="79" t="s">
        <v>1496</v>
      </c>
      <c r="N85" s="79">
        <v>18.0</v>
      </c>
      <c r="O85" s="74" t="s">
        <v>1497</v>
      </c>
      <c r="P85" s="78" t="s">
        <v>1498</v>
      </c>
      <c r="Q85" s="79"/>
      <c r="R85" s="80"/>
      <c r="S85" s="78" t="s">
        <v>1499</v>
      </c>
      <c r="T85" s="85" t="s">
        <v>1500</v>
      </c>
      <c r="U85" s="80"/>
      <c r="V85" s="102" t="s">
        <v>1501</v>
      </c>
      <c r="W85" s="79" t="s">
        <v>309</v>
      </c>
      <c r="X85" s="79" t="s">
        <v>309</v>
      </c>
      <c r="Y85" s="79" t="s">
        <v>309</v>
      </c>
      <c r="Z85" s="79"/>
    </row>
    <row r="86" ht="15.75" customHeight="1">
      <c r="A86" s="76" t="s">
        <v>247</v>
      </c>
      <c r="B86" s="77" t="s">
        <v>1503</v>
      </c>
      <c r="C86" s="80">
        <v>3.0556285965E10</v>
      </c>
      <c r="D86" s="79" t="s">
        <v>264</v>
      </c>
      <c r="E86" s="77" t="s">
        <v>1114</v>
      </c>
      <c r="F86" s="128">
        <v>3646.0</v>
      </c>
      <c r="G86" s="79" t="s">
        <v>68</v>
      </c>
      <c r="H86" s="80">
        <v>1702.0</v>
      </c>
      <c r="I86" s="77">
        <v>251101.0</v>
      </c>
      <c r="J86" s="83" t="s">
        <v>347</v>
      </c>
      <c r="K86" s="77" t="s">
        <v>1504</v>
      </c>
      <c r="L86" s="79" t="s">
        <v>453</v>
      </c>
      <c r="M86" s="77" t="s">
        <v>1505</v>
      </c>
      <c r="N86" s="79">
        <v>28.0</v>
      </c>
      <c r="O86" s="83" t="s">
        <v>1506</v>
      </c>
      <c r="P86" s="78" t="s">
        <v>1507</v>
      </c>
      <c r="Q86" s="79" t="s">
        <v>1508</v>
      </c>
      <c r="R86" s="78" t="s">
        <v>1509</v>
      </c>
      <c r="S86" s="78" t="s">
        <v>1510</v>
      </c>
      <c r="T86" s="85" t="s">
        <v>1511</v>
      </c>
      <c r="U86" s="80"/>
      <c r="V86" s="102" t="s">
        <v>1512</v>
      </c>
      <c r="W86" s="79" t="s">
        <v>309</v>
      </c>
      <c r="X86" s="79" t="s">
        <v>309</v>
      </c>
      <c r="Y86" s="79" t="s">
        <v>309</v>
      </c>
      <c r="Z86" s="79"/>
    </row>
    <row r="87" ht="15.0" customHeight="1">
      <c r="A87" s="76" t="s">
        <v>247</v>
      </c>
      <c r="B87" s="77" t="s">
        <v>1514</v>
      </c>
      <c r="C87" s="80">
        <v>2.0148682195E10</v>
      </c>
      <c r="D87" s="144" t="s">
        <v>631</v>
      </c>
      <c r="E87" s="79" t="s">
        <v>1376</v>
      </c>
      <c r="F87" s="44">
        <v>1540.0</v>
      </c>
      <c r="G87" s="79" t="s">
        <v>68</v>
      </c>
      <c r="H87" s="80">
        <v>1702.0</v>
      </c>
      <c r="I87" s="77">
        <v>310010.0</v>
      </c>
      <c r="J87" s="74" t="s">
        <v>313</v>
      </c>
      <c r="K87" s="79" t="s">
        <v>1515</v>
      </c>
      <c r="L87" s="79" t="s">
        <v>286</v>
      </c>
      <c r="M87" s="79" t="s">
        <v>1516</v>
      </c>
      <c r="N87" s="79"/>
      <c r="O87" s="74"/>
      <c r="P87" s="80"/>
      <c r="Q87" s="79"/>
      <c r="R87" s="80"/>
      <c r="S87" s="80" t="s">
        <v>1518</v>
      </c>
      <c r="T87" s="85" t="s">
        <v>1519</v>
      </c>
      <c r="U87" s="80"/>
      <c r="V87" s="102" t="s">
        <v>429</v>
      </c>
      <c r="W87" s="79"/>
      <c r="X87" s="79"/>
      <c r="Y87" s="79" t="s">
        <v>309</v>
      </c>
      <c r="Z87" s="79"/>
    </row>
    <row r="88" ht="15.75" customHeight="1">
      <c r="A88" s="103" t="s">
        <v>24</v>
      </c>
      <c r="B88" s="119" t="s">
        <v>1520</v>
      </c>
      <c r="C88" s="101">
        <v>3.3601022309E10</v>
      </c>
      <c r="D88" s="119" t="s">
        <v>264</v>
      </c>
      <c r="E88" s="79" t="s">
        <v>564</v>
      </c>
      <c r="F88" s="44">
        <v>4630.0</v>
      </c>
      <c r="G88" s="79" t="s">
        <v>68</v>
      </c>
      <c r="H88" s="101">
        <v>1702.0</v>
      </c>
      <c r="I88" s="119">
        <v>269301.0</v>
      </c>
      <c r="J88" s="74" t="s">
        <v>125</v>
      </c>
      <c r="K88" s="119" t="s">
        <v>1521</v>
      </c>
      <c r="L88" s="79" t="s">
        <v>453</v>
      </c>
      <c r="M88" s="119"/>
      <c r="N88" s="79">
        <v>0.0</v>
      </c>
      <c r="O88" s="126"/>
      <c r="P88" s="101"/>
      <c r="Q88" s="119"/>
      <c r="R88" s="101"/>
      <c r="S88" s="200" t="s">
        <v>1523</v>
      </c>
      <c r="T88" s="101" t="s">
        <v>332</v>
      </c>
      <c r="U88" s="101" t="s">
        <v>332</v>
      </c>
      <c r="V88" s="102" t="s">
        <v>429</v>
      </c>
      <c r="W88" s="119" t="s">
        <v>306</v>
      </c>
      <c r="X88" s="119" t="s">
        <v>306</v>
      </c>
      <c r="Y88" s="119" t="s">
        <v>309</v>
      </c>
      <c r="Z88" s="79"/>
    </row>
    <row r="89" ht="15.75" customHeight="1">
      <c r="A89" s="76" t="s">
        <v>247</v>
      </c>
      <c r="B89" s="79" t="s">
        <v>1524</v>
      </c>
      <c r="C89" s="80">
        <v>3.0625688651E10</v>
      </c>
      <c r="D89" s="144" t="s">
        <v>264</v>
      </c>
      <c r="E89" s="79" t="s">
        <v>1525</v>
      </c>
      <c r="F89" s="44">
        <v>2650.0</v>
      </c>
      <c r="G89" s="79" t="s">
        <v>97</v>
      </c>
      <c r="H89" s="80">
        <v>1702.0</v>
      </c>
      <c r="I89" s="77">
        <v>275099.0</v>
      </c>
      <c r="J89" s="74" t="s">
        <v>337</v>
      </c>
      <c r="K89" s="77" t="s">
        <v>1527</v>
      </c>
      <c r="L89" s="79"/>
      <c r="M89" s="79" t="s">
        <v>1528</v>
      </c>
      <c r="N89" s="79">
        <v>0.0</v>
      </c>
      <c r="O89" s="74" t="s">
        <v>332</v>
      </c>
      <c r="P89" s="80"/>
      <c r="Q89" s="79"/>
      <c r="R89" s="80"/>
      <c r="S89" s="101" t="s">
        <v>1523</v>
      </c>
      <c r="T89" s="85" t="s">
        <v>1529</v>
      </c>
      <c r="U89" s="78" t="s">
        <v>1530</v>
      </c>
      <c r="V89" s="102" t="s">
        <v>1531</v>
      </c>
      <c r="W89" s="79" t="s">
        <v>306</v>
      </c>
      <c r="X89" s="79" t="s">
        <v>306</v>
      </c>
      <c r="Y89" s="79" t="s">
        <v>309</v>
      </c>
      <c r="Z89" s="79"/>
    </row>
    <row r="90" ht="15.75" customHeight="1">
      <c r="A90" s="103" t="s">
        <v>24</v>
      </c>
      <c r="B90" s="77" t="s">
        <v>1533</v>
      </c>
      <c r="C90" s="80">
        <v>3.0685324861E10</v>
      </c>
      <c r="D90" s="119" t="s">
        <v>264</v>
      </c>
      <c r="E90" s="79" t="s">
        <v>1240</v>
      </c>
      <c r="F90" s="44">
        <v>3089.0</v>
      </c>
      <c r="G90" s="77" t="s">
        <v>47</v>
      </c>
      <c r="H90" s="80">
        <v>1684.0</v>
      </c>
      <c r="I90" s="79">
        <v>452100.0</v>
      </c>
      <c r="J90" s="74" t="s">
        <v>125</v>
      </c>
      <c r="K90" s="79" t="s">
        <v>1534</v>
      </c>
      <c r="L90" s="79" t="s">
        <v>453</v>
      </c>
      <c r="M90" s="79"/>
      <c r="N90" s="79">
        <v>0.0</v>
      </c>
      <c r="O90" s="74" t="s">
        <v>332</v>
      </c>
      <c r="P90" s="80"/>
      <c r="Q90" s="79"/>
      <c r="R90" s="80"/>
      <c r="S90" s="80" t="s">
        <v>1535</v>
      </c>
      <c r="T90" s="101" t="s">
        <v>1536</v>
      </c>
      <c r="U90" s="80" t="s">
        <v>1537</v>
      </c>
      <c r="V90" s="102" t="s">
        <v>429</v>
      </c>
      <c r="W90" s="79" t="s">
        <v>306</v>
      </c>
      <c r="X90" s="79" t="s">
        <v>306</v>
      </c>
      <c r="Y90" s="79" t="s">
        <v>309</v>
      </c>
      <c r="Z90" s="79"/>
    </row>
    <row r="91" ht="15.75" customHeight="1">
      <c r="A91" s="103" t="s">
        <v>24</v>
      </c>
      <c r="B91" s="77" t="s">
        <v>1539</v>
      </c>
      <c r="C91" s="80">
        <v>3.071134638E10</v>
      </c>
      <c r="D91" s="119" t="s">
        <v>264</v>
      </c>
      <c r="E91" s="77" t="s">
        <v>1540</v>
      </c>
      <c r="F91" s="44">
        <v>4266.0</v>
      </c>
      <c r="G91" s="79" t="s">
        <v>249</v>
      </c>
      <c r="H91" s="80">
        <v>1676.0</v>
      </c>
      <c r="I91" s="79">
        <v>410021.0</v>
      </c>
      <c r="J91" s="74" t="s">
        <v>125</v>
      </c>
      <c r="K91" s="77" t="s">
        <v>1541</v>
      </c>
      <c r="L91" s="79" t="s">
        <v>453</v>
      </c>
      <c r="M91" s="79"/>
      <c r="N91" s="79">
        <v>0.0</v>
      </c>
      <c r="O91" s="74" t="s">
        <v>332</v>
      </c>
      <c r="P91" s="80"/>
      <c r="Q91" s="79"/>
      <c r="R91" s="80"/>
      <c r="S91" s="80" t="s">
        <v>1542</v>
      </c>
      <c r="T91" s="101" t="s">
        <v>1543</v>
      </c>
      <c r="U91" s="80" t="s">
        <v>332</v>
      </c>
      <c r="V91" s="102" t="s">
        <v>429</v>
      </c>
      <c r="W91" s="79" t="s">
        <v>306</v>
      </c>
      <c r="X91" s="79" t="s">
        <v>306</v>
      </c>
      <c r="Y91" s="79" t="s">
        <v>309</v>
      </c>
      <c r="Z91" s="79"/>
    </row>
    <row r="92" ht="15.75" customHeight="1">
      <c r="A92" s="76" t="s">
        <v>247</v>
      </c>
      <c r="B92" s="77" t="s">
        <v>802</v>
      </c>
      <c r="C92" s="80">
        <v>3.0654784082E10</v>
      </c>
      <c r="D92" s="119" t="s">
        <v>264</v>
      </c>
      <c r="E92" s="79" t="s">
        <v>359</v>
      </c>
      <c r="F92" s="44">
        <v>4293.0</v>
      </c>
      <c r="G92" s="79" t="s">
        <v>15</v>
      </c>
      <c r="H92" s="80">
        <v>1678.0</v>
      </c>
      <c r="I92" s="79">
        <v>181109.0</v>
      </c>
      <c r="J92" s="83" t="s">
        <v>238</v>
      </c>
      <c r="K92" s="77" t="s">
        <v>1545</v>
      </c>
      <c r="L92" s="79"/>
      <c r="M92" s="79" t="s">
        <v>1546</v>
      </c>
      <c r="N92" s="79">
        <v>14.0</v>
      </c>
      <c r="O92" s="126" t="s">
        <v>1547</v>
      </c>
      <c r="P92" s="85" t="s">
        <v>1548</v>
      </c>
      <c r="Q92" s="77" t="s">
        <v>1549</v>
      </c>
      <c r="R92" s="78">
        <v>1.121581117E9</v>
      </c>
      <c r="S92" s="78" t="s">
        <v>1550</v>
      </c>
      <c r="T92" s="85" t="s">
        <v>1551</v>
      </c>
      <c r="U92" s="78"/>
      <c r="V92" s="98" t="s">
        <v>1552</v>
      </c>
      <c r="W92" s="79" t="s">
        <v>306</v>
      </c>
      <c r="X92" s="79" t="s">
        <v>306</v>
      </c>
      <c r="Y92" s="79" t="s">
        <v>309</v>
      </c>
      <c r="Z92" s="79"/>
    </row>
    <row r="93" ht="15.0" customHeight="1">
      <c r="A93" s="103" t="s">
        <v>24</v>
      </c>
      <c r="B93" s="77" t="s">
        <v>1554</v>
      </c>
      <c r="C93" s="80">
        <v>3.0715160486E10</v>
      </c>
      <c r="D93" s="119" t="s">
        <v>264</v>
      </c>
      <c r="E93" s="79" t="s">
        <v>1555</v>
      </c>
      <c r="F93" s="44">
        <v>2124.0</v>
      </c>
      <c r="G93" s="79" t="s">
        <v>249</v>
      </c>
      <c r="H93" s="80">
        <v>1676.0</v>
      </c>
      <c r="I93" s="79">
        <v>429090.0</v>
      </c>
      <c r="J93" s="74" t="s">
        <v>125</v>
      </c>
      <c r="K93" s="77" t="s">
        <v>1556</v>
      </c>
      <c r="L93" s="79" t="s">
        <v>453</v>
      </c>
      <c r="M93" s="79"/>
      <c r="N93" s="79">
        <v>0.0</v>
      </c>
      <c r="O93" s="74" t="s">
        <v>1557</v>
      </c>
      <c r="P93" s="78" t="s">
        <v>1559</v>
      </c>
      <c r="Q93" s="79"/>
      <c r="R93" s="80"/>
      <c r="S93" s="80" t="s">
        <v>1560</v>
      </c>
      <c r="T93" s="101" t="s">
        <v>332</v>
      </c>
      <c r="U93" s="80" t="s">
        <v>332</v>
      </c>
      <c r="V93" s="102" t="s">
        <v>429</v>
      </c>
      <c r="W93" s="79" t="s">
        <v>306</v>
      </c>
      <c r="X93" s="79" t="s">
        <v>306</v>
      </c>
      <c r="Y93" s="79" t="s">
        <v>309</v>
      </c>
      <c r="Z93" s="79"/>
    </row>
    <row r="94">
      <c r="A94" s="76" t="s">
        <v>247</v>
      </c>
      <c r="B94" s="77" t="s">
        <v>1561</v>
      </c>
      <c r="C94" s="80">
        <v>2.7925199759E10</v>
      </c>
      <c r="D94" s="144" t="s">
        <v>631</v>
      </c>
      <c r="E94" s="79" t="s">
        <v>1563</v>
      </c>
      <c r="F94" s="44">
        <v>4638.0</v>
      </c>
      <c r="G94" s="79" t="s">
        <v>15</v>
      </c>
      <c r="H94" s="80">
        <v>1678.0</v>
      </c>
      <c r="I94" s="119">
        <v>141130.0</v>
      </c>
      <c r="J94" s="74" t="s">
        <v>313</v>
      </c>
      <c r="K94" s="77" t="s">
        <v>1564</v>
      </c>
      <c r="L94" s="79"/>
      <c r="M94" s="79"/>
      <c r="N94" s="79">
        <v>2.0</v>
      </c>
      <c r="O94" s="74"/>
      <c r="P94" s="80"/>
      <c r="Q94" s="79"/>
      <c r="R94" s="80"/>
      <c r="S94" s="78" t="s">
        <v>1565</v>
      </c>
      <c r="T94" s="101"/>
      <c r="U94" s="80"/>
      <c r="V94" s="102" t="s">
        <v>1566</v>
      </c>
      <c r="W94" s="79"/>
      <c r="X94" s="79"/>
      <c r="Y94" s="79" t="s">
        <v>309</v>
      </c>
      <c r="Z94" s="79"/>
    </row>
    <row r="95" ht="15.0" customHeight="1">
      <c r="A95" s="76" t="s">
        <v>247</v>
      </c>
      <c r="B95" s="77" t="s">
        <v>1568</v>
      </c>
      <c r="C95" s="80">
        <v>3.0691156377E10</v>
      </c>
      <c r="D95" s="119" t="s">
        <v>264</v>
      </c>
      <c r="E95" s="79" t="s">
        <v>1569</v>
      </c>
      <c r="F95" s="128">
        <v>4743.0</v>
      </c>
      <c r="G95" s="79" t="s">
        <v>68</v>
      </c>
      <c r="H95" s="80">
        <v>1702.0</v>
      </c>
      <c r="I95" s="79">
        <v>107309.0</v>
      </c>
      <c r="J95" s="74" t="s">
        <v>22</v>
      </c>
      <c r="K95" s="77" t="s">
        <v>1570</v>
      </c>
      <c r="L95" s="79"/>
      <c r="M95" s="77" t="s">
        <v>1571</v>
      </c>
      <c r="N95" s="79">
        <v>30.0</v>
      </c>
      <c r="O95" s="83" t="s">
        <v>1572</v>
      </c>
      <c r="P95" s="78">
        <v>1.167515385E9</v>
      </c>
      <c r="Q95" s="79" t="s">
        <v>1572</v>
      </c>
      <c r="R95" s="78" t="s">
        <v>1574</v>
      </c>
      <c r="S95" s="78" t="s">
        <v>1575</v>
      </c>
      <c r="T95" s="85"/>
      <c r="U95" s="80"/>
      <c r="V95" s="102" t="s">
        <v>1576</v>
      </c>
      <c r="W95" s="79" t="s">
        <v>309</v>
      </c>
      <c r="X95" s="79" t="s">
        <v>309</v>
      </c>
      <c r="Y95" s="79" t="s">
        <v>309</v>
      </c>
      <c r="Z95" s="79"/>
    </row>
    <row r="96" ht="15.75" customHeight="1">
      <c r="A96" s="76" t="s">
        <v>247</v>
      </c>
      <c r="B96" s="77" t="s">
        <v>1577</v>
      </c>
      <c r="C96" s="78">
        <v>3.0715720244E10</v>
      </c>
      <c r="D96" s="119" t="s">
        <v>264</v>
      </c>
      <c r="E96" s="77" t="s">
        <v>1578</v>
      </c>
      <c r="F96" s="44">
        <v>1465.0</v>
      </c>
      <c r="G96" s="79" t="s">
        <v>175</v>
      </c>
      <c r="H96" s="80">
        <v>1657.0</v>
      </c>
      <c r="I96" s="79">
        <v>310010.0</v>
      </c>
      <c r="J96" s="74" t="s">
        <v>313</v>
      </c>
      <c r="K96" s="79" t="s">
        <v>1438</v>
      </c>
      <c r="L96" s="79" t="s">
        <v>286</v>
      </c>
      <c r="M96" s="77" t="s">
        <v>1580</v>
      </c>
      <c r="N96" s="79">
        <v>3.0</v>
      </c>
      <c r="O96" s="74" t="s">
        <v>1581</v>
      </c>
      <c r="P96" s="80"/>
      <c r="Q96" s="79"/>
      <c r="R96" s="80"/>
      <c r="S96" s="80" t="s">
        <v>1582</v>
      </c>
      <c r="T96" s="101" t="s">
        <v>1583</v>
      </c>
      <c r="U96" s="80" t="s">
        <v>332</v>
      </c>
      <c r="V96" s="102" t="s">
        <v>1584</v>
      </c>
      <c r="W96" s="79" t="s">
        <v>306</v>
      </c>
      <c r="X96" s="79" t="s">
        <v>306</v>
      </c>
      <c r="Y96" s="79" t="s">
        <v>309</v>
      </c>
      <c r="Z96" s="79"/>
    </row>
    <row r="97" ht="15.75" customHeight="1">
      <c r="A97" s="76" t="s">
        <v>247</v>
      </c>
      <c r="B97" s="77" t="s">
        <v>1586</v>
      </c>
      <c r="C97" s="80">
        <v>3.0708976101E10</v>
      </c>
      <c r="D97" s="119" t="s">
        <v>264</v>
      </c>
      <c r="E97" s="79" t="s">
        <v>1587</v>
      </c>
      <c r="F97" s="44">
        <v>747.0</v>
      </c>
      <c r="G97" s="79" t="s">
        <v>68</v>
      </c>
      <c r="H97" s="80">
        <v>1702.0</v>
      </c>
      <c r="I97" s="79">
        <v>310010.0</v>
      </c>
      <c r="J97" s="74" t="s">
        <v>313</v>
      </c>
      <c r="K97" s="79" t="s">
        <v>1438</v>
      </c>
      <c r="L97" s="79" t="s">
        <v>1122</v>
      </c>
      <c r="M97" s="77" t="s">
        <v>1588</v>
      </c>
      <c r="N97" s="79">
        <v>11.0</v>
      </c>
      <c r="O97" s="74" t="s">
        <v>1589</v>
      </c>
      <c r="P97" s="80"/>
      <c r="Q97" s="79"/>
      <c r="R97" s="80"/>
      <c r="S97" s="78" t="s">
        <v>1591</v>
      </c>
      <c r="T97" s="85" t="s">
        <v>1592</v>
      </c>
      <c r="U97" s="80" t="s">
        <v>332</v>
      </c>
      <c r="V97" s="102" t="s">
        <v>1593</v>
      </c>
      <c r="W97" s="79" t="s">
        <v>306</v>
      </c>
      <c r="X97" s="79" t="s">
        <v>306</v>
      </c>
      <c r="Y97" s="79" t="s">
        <v>309</v>
      </c>
      <c r="Z97" s="79"/>
    </row>
    <row r="98" ht="15.75" customHeight="1">
      <c r="A98" s="76" t="s">
        <v>247</v>
      </c>
      <c r="B98" s="77" t="s">
        <v>1595</v>
      </c>
      <c r="C98" s="80">
        <v>3.0685268767E10</v>
      </c>
      <c r="D98" s="119" t="s">
        <v>264</v>
      </c>
      <c r="E98" s="77" t="s">
        <v>1596</v>
      </c>
      <c r="F98" s="44">
        <v>4426.0</v>
      </c>
      <c r="G98" s="79" t="s">
        <v>15</v>
      </c>
      <c r="H98" s="80">
        <v>1678.0</v>
      </c>
      <c r="I98" s="79">
        <v>310010.0</v>
      </c>
      <c r="J98" s="74" t="s">
        <v>313</v>
      </c>
      <c r="K98" s="79" t="s">
        <v>1438</v>
      </c>
      <c r="L98" s="79" t="s">
        <v>1122</v>
      </c>
      <c r="M98" s="79"/>
      <c r="N98" s="79">
        <v>6.0</v>
      </c>
      <c r="O98" s="74" t="s">
        <v>332</v>
      </c>
      <c r="P98" s="80"/>
      <c r="Q98" s="79"/>
      <c r="R98" s="80"/>
      <c r="S98" s="80" t="s">
        <v>1598</v>
      </c>
      <c r="T98" s="101"/>
      <c r="U98" s="80"/>
      <c r="V98" s="102" t="s">
        <v>429</v>
      </c>
      <c r="W98" s="79" t="s">
        <v>306</v>
      </c>
      <c r="X98" s="79" t="s">
        <v>306</v>
      </c>
      <c r="Y98" s="79" t="s">
        <v>309</v>
      </c>
      <c r="Z98" s="79"/>
    </row>
    <row r="99" ht="15.75" customHeight="1">
      <c r="A99" s="103" t="s">
        <v>24</v>
      </c>
      <c r="B99" s="79" t="s">
        <v>1600</v>
      </c>
      <c r="C99" s="101">
        <v>3.3715900829E10</v>
      </c>
      <c r="D99" s="79" t="s">
        <v>264</v>
      </c>
      <c r="E99" s="126" t="s">
        <v>985</v>
      </c>
      <c r="F99" s="44">
        <v>4135.0</v>
      </c>
      <c r="G99" s="79" t="s">
        <v>15</v>
      </c>
      <c r="H99" s="80">
        <v>1678.0</v>
      </c>
      <c r="I99" s="79">
        <v>259999.0</v>
      </c>
      <c r="J99" s="74" t="s">
        <v>347</v>
      </c>
      <c r="K99" s="144" t="s">
        <v>839</v>
      </c>
      <c r="L99" s="79"/>
      <c r="M99" s="79"/>
      <c r="N99" s="79"/>
      <c r="O99" s="79"/>
      <c r="P99" s="80"/>
      <c r="Q99" s="79"/>
      <c r="R99" s="80"/>
      <c r="S99" s="85" t="s">
        <v>1601</v>
      </c>
      <c r="T99" s="85" t="s">
        <v>1602</v>
      </c>
      <c r="U99" s="85" t="s">
        <v>1603</v>
      </c>
      <c r="V99" s="102" t="s">
        <v>1604</v>
      </c>
      <c r="W99" s="79"/>
      <c r="X99" s="79"/>
      <c r="Y99" s="79"/>
      <c r="Z99" s="79"/>
    </row>
    <row r="100" ht="15.75" customHeight="1">
      <c r="A100" s="103" t="s">
        <v>24</v>
      </c>
      <c r="B100" s="77" t="s">
        <v>1606</v>
      </c>
      <c r="C100" s="80">
        <v>3.0649713045E10</v>
      </c>
      <c r="D100" s="144" t="s">
        <v>631</v>
      </c>
      <c r="E100" s="79" t="s">
        <v>1607</v>
      </c>
      <c r="F100" s="44">
        <v>5157.0</v>
      </c>
      <c r="G100" s="79" t="s">
        <v>15</v>
      </c>
      <c r="H100" s="80">
        <v>1678.0</v>
      </c>
      <c r="I100" s="79">
        <v>324019.0</v>
      </c>
      <c r="J100" s="74" t="s">
        <v>73</v>
      </c>
      <c r="K100" s="79" t="s">
        <v>1608</v>
      </c>
      <c r="L100" s="79"/>
      <c r="M100" s="79"/>
      <c r="N100" s="79">
        <v>0.0</v>
      </c>
      <c r="O100" s="74" t="s">
        <v>332</v>
      </c>
      <c r="P100" s="80"/>
      <c r="Q100" s="79"/>
      <c r="R100" s="80"/>
      <c r="S100" s="78" t="s">
        <v>1610</v>
      </c>
      <c r="T100" s="101" t="s">
        <v>332</v>
      </c>
      <c r="U100" s="80" t="s">
        <v>332</v>
      </c>
      <c r="V100" s="102" t="s">
        <v>429</v>
      </c>
      <c r="W100" s="79" t="s">
        <v>306</v>
      </c>
      <c r="X100" s="79" t="s">
        <v>306</v>
      </c>
      <c r="Y100" s="79" t="s">
        <v>309</v>
      </c>
      <c r="Z100" s="79"/>
    </row>
    <row r="101" ht="15.75" customHeight="1">
      <c r="A101" s="76" t="s">
        <v>247</v>
      </c>
      <c r="B101" s="77" t="s">
        <v>844</v>
      </c>
      <c r="C101" s="80">
        <v>3.0707831002E10</v>
      </c>
      <c r="D101" s="119" t="s">
        <v>264</v>
      </c>
      <c r="E101" s="79" t="s">
        <v>826</v>
      </c>
      <c r="F101" s="44">
        <v>10360.0</v>
      </c>
      <c r="G101" s="79" t="s">
        <v>175</v>
      </c>
      <c r="H101" s="80">
        <v>1689.0</v>
      </c>
      <c r="I101" s="79">
        <v>251102.0</v>
      </c>
      <c r="J101" s="74" t="s">
        <v>347</v>
      </c>
      <c r="K101" s="77" t="s">
        <v>1611</v>
      </c>
      <c r="L101" s="79" t="s">
        <v>453</v>
      </c>
      <c r="M101" s="77" t="s">
        <v>1612</v>
      </c>
      <c r="N101" s="79">
        <v>25.0</v>
      </c>
      <c r="O101" s="83" t="s">
        <v>1613</v>
      </c>
      <c r="P101" s="78" t="s">
        <v>1615</v>
      </c>
      <c r="Q101" s="79" t="s">
        <v>1616</v>
      </c>
      <c r="R101" s="78" t="s">
        <v>1617</v>
      </c>
      <c r="S101" s="78" t="s">
        <v>1618</v>
      </c>
      <c r="T101" s="85" t="s">
        <v>1619</v>
      </c>
      <c r="U101" s="78" t="s">
        <v>1617</v>
      </c>
      <c r="V101" s="102" t="s">
        <v>1620</v>
      </c>
      <c r="W101" s="79" t="s">
        <v>309</v>
      </c>
      <c r="X101" s="79"/>
      <c r="Y101" s="79"/>
      <c r="Z101" s="79"/>
    </row>
    <row r="102" ht="15.75" customHeight="1">
      <c r="A102" s="103" t="s">
        <v>24</v>
      </c>
      <c r="B102" s="77" t="s">
        <v>1621</v>
      </c>
      <c r="C102" s="80">
        <v>3.3567967609E10</v>
      </c>
      <c r="D102" s="119" t="s">
        <v>264</v>
      </c>
      <c r="E102" s="79" t="s">
        <v>1622</v>
      </c>
      <c r="F102" s="44">
        <v>801.0</v>
      </c>
      <c r="G102" s="79" t="s">
        <v>68</v>
      </c>
      <c r="H102" s="80">
        <v>1702.0</v>
      </c>
      <c r="I102" s="79">
        <v>312193.0</v>
      </c>
      <c r="J102" s="74" t="s">
        <v>22</v>
      </c>
      <c r="K102" s="77" t="s">
        <v>1623</v>
      </c>
      <c r="L102" s="79"/>
      <c r="M102" s="79"/>
      <c r="N102" s="79">
        <v>0.0</v>
      </c>
      <c r="O102" s="74" t="s">
        <v>332</v>
      </c>
      <c r="P102" s="80"/>
      <c r="Q102" s="79"/>
      <c r="R102" s="80"/>
      <c r="S102" s="78" t="s">
        <v>1626</v>
      </c>
      <c r="T102" s="101" t="s">
        <v>332</v>
      </c>
      <c r="U102" s="80" t="s">
        <v>332</v>
      </c>
      <c r="V102" s="102" t="s">
        <v>429</v>
      </c>
      <c r="W102" s="79" t="s">
        <v>306</v>
      </c>
      <c r="X102" s="79" t="s">
        <v>306</v>
      </c>
      <c r="Y102" s="79" t="s">
        <v>309</v>
      </c>
      <c r="Z102" s="79"/>
    </row>
    <row r="103" ht="15.75" customHeight="1">
      <c r="A103" s="76" t="s">
        <v>247</v>
      </c>
      <c r="B103" s="77" t="s">
        <v>1628</v>
      </c>
      <c r="C103" s="80">
        <v>3.0516414169E10</v>
      </c>
      <c r="D103" s="79" t="s">
        <v>264</v>
      </c>
      <c r="E103" s="79" t="s">
        <v>1629</v>
      </c>
      <c r="F103" s="44">
        <v>948.0</v>
      </c>
      <c r="G103" s="79" t="s">
        <v>269</v>
      </c>
      <c r="H103" s="80">
        <v>1682.0</v>
      </c>
      <c r="I103" s="79">
        <v>107121.0</v>
      </c>
      <c r="J103" s="74" t="s">
        <v>22</v>
      </c>
      <c r="K103" s="79" t="s">
        <v>1392</v>
      </c>
      <c r="L103" s="79"/>
      <c r="M103" s="79" t="s">
        <v>1630</v>
      </c>
      <c r="N103" s="79">
        <v>5.0</v>
      </c>
      <c r="O103" s="74" t="s">
        <v>1631</v>
      </c>
      <c r="P103" s="78" t="s">
        <v>1632</v>
      </c>
      <c r="Q103" s="79"/>
      <c r="R103" s="80"/>
      <c r="S103" s="78" t="s">
        <v>1633</v>
      </c>
      <c r="T103" s="78" t="s">
        <v>1634</v>
      </c>
      <c r="U103" s="78" t="s">
        <v>1635</v>
      </c>
      <c r="V103" s="102" t="s">
        <v>1636</v>
      </c>
      <c r="W103" s="79" t="s">
        <v>309</v>
      </c>
      <c r="X103" s="79" t="s">
        <v>309</v>
      </c>
      <c r="Y103" s="79" t="s">
        <v>309</v>
      </c>
      <c r="Z103" s="79"/>
    </row>
    <row r="104" ht="15.75" customHeight="1">
      <c r="A104" s="103" t="s">
        <v>24</v>
      </c>
      <c r="B104" s="77" t="s">
        <v>1638</v>
      </c>
      <c r="C104" s="80">
        <v>3.3614479499E10</v>
      </c>
      <c r="D104" s="119" t="s">
        <v>264</v>
      </c>
      <c r="E104" s="79" t="s">
        <v>1639</v>
      </c>
      <c r="F104" s="44">
        <v>1481.0</v>
      </c>
      <c r="G104" s="79" t="s">
        <v>269</v>
      </c>
      <c r="H104" s="80">
        <v>1682.0</v>
      </c>
      <c r="I104" s="79">
        <v>289993.0</v>
      </c>
      <c r="J104" s="74" t="s">
        <v>347</v>
      </c>
      <c r="K104" s="129" t="s">
        <v>638</v>
      </c>
      <c r="L104" s="79" t="s">
        <v>453</v>
      </c>
      <c r="M104" s="79"/>
      <c r="N104" s="79">
        <v>0.0</v>
      </c>
      <c r="O104" s="74" t="s">
        <v>332</v>
      </c>
      <c r="P104" s="80"/>
      <c r="Q104" s="79"/>
      <c r="R104" s="80"/>
      <c r="S104" s="78" t="s">
        <v>1640</v>
      </c>
      <c r="T104" s="85" t="s">
        <v>1641</v>
      </c>
      <c r="U104" s="80" t="s">
        <v>332</v>
      </c>
      <c r="V104" s="102" t="s">
        <v>429</v>
      </c>
      <c r="W104" s="79" t="s">
        <v>306</v>
      </c>
      <c r="X104" s="79" t="s">
        <v>306</v>
      </c>
      <c r="Y104" s="79" t="s">
        <v>309</v>
      </c>
      <c r="Z104" s="79"/>
    </row>
    <row r="105" ht="15.75" customHeight="1">
      <c r="A105" s="103" t="s">
        <v>24</v>
      </c>
      <c r="B105" s="77" t="s">
        <v>1643</v>
      </c>
      <c r="C105" s="80">
        <v>3.0714164321E10</v>
      </c>
      <c r="D105" s="119" t="s">
        <v>264</v>
      </c>
      <c r="E105" s="79" t="s">
        <v>1644</v>
      </c>
      <c r="F105" s="44">
        <v>2260.0</v>
      </c>
      <c r="G105" s="79" t="s">
        <v>175</v>
      </c>
      <c r="H105" s="80">
        <v>1657.0</v>
      </c>
      <c r="I105" s="79">
        <v>275099.0</v>
      </c>
      <c r="J105" s="83" t="s">
        <v>207</v>
      </c>
      <c r="K105" s="77" t="s">
        <v>1527</v>
      </c>
      <c r="L105" s="79"/>
      <c r="M105" s="79"/>
      <c r="N105" s="79">
        <v>0.0</v>
      </c>
      <c r="O105" s="74" t="s">
        <v>332</v>
      </c>
      <c r="P105" s="80"/>
      <c r="Q105" s="79"/>
      <c r="R105" s="80"/>
      <c r="S105" s="80" t="s">
        <v>1645</v>
      </c>
      <c r="T105" s="101" t="s">
        <v>332</v>
      </c>
      <c r="U105" s="80" t="s">
        <v>332</v>
      </c>
      <c r="V105" s="102" t="s">
        <v>429</v>
      </c>
      <c r="W105" s="79" t="s">
        <v>306</v>
      </c>
      <c r="X105" s="79" t="s">
        <v>306</v>
      </c>
      <c r="Y105" s="79" t="s">
        <v>309</v>
      </c>
      <c r="Z105" s="79"/>
    </row>
    <row r="106" ht="15.75" customHeight="1">
      <c r="A106" s="76" t="s">
        <v>247</v>
      </c>
      <c r="B106" s="77" t="s">
        <v>1647</v>
      </c>
      <c r="C106" s="80">
        <v>3.0708268565E10</v>
      </c>
      <c r="D106" s="119" t="s">
        <v>264</v>
      </c>
      <c r="E106" s="79" t="s">
        <v>1648</v>
      </c>
      <c r="F106" s="44">
        <v>243.0</v>
      </c>
      <c r="G106" s="77" t="s">
        <v>226</v>
      </c>
      <c r="H106" s="80">
        <v>1674.0</v>
      </c>
      <c r="I106" s="79">
        <v>439100.0</v>
      </c>
      <c r="J106" s="74" t="s">
        <v>125</v>
      </c>
      <c r="K106" s="79" t="s">
        <v>1649</v>
      </c>
      <c r="L106" s="79" t="s">
        <v>453</v>
      </c>
      <c r="M106" s="79" t="s">
        <v>1650</v>
      </c>
      <c r="N106" s="79">
        <v>32.0</v>
      </c>
      <c r="O106" s="74" t="s">
        <v>1651</v>
      </c>
      <c r="P106" s="80"/>
      <c r="Q106" s="79" t="s">
        <v>1652</v>
      </c>
      <c r="R106" s="80"/>
      <c r="S106" s="78" t="s">
        <v>1654</v>
      </c>
      <c r="T106" s="85" t="s">
        <v>1655</v>
      </c>
      <c r="U106" s="80" t="s">
        <v>1656</v>
      </c>
      <c r="V106" s="102" t="s">
        <v>1657</v>
      </c>
      <c r="W106" s="79" t="s">
        <v>309</v>
      </c>
      <c r="X106" s="79" t="s">
        <v>309</v>
      </c>
      <c r="Y106" s="79" t="s">
        <v>309</v>
      </c>
      <c r="Z106" s="79"/>
    </row>
    <row r="107" ht="15.75" customHeight="1">
      <c r="A107" s="76" t="s">
        <v>247</v>
      </c>
      <c r="B107" s="77" t="s">
        <v>1659</v>
      </c>
      <c r="C107" s="80">
        <v>3.0606528961E10</v>
      </c>
      <c r="D107" s="119" t="s">
        <v>264</v>
      </c>
      <c r="E107" s="77" t="s">
        <v>1648</v>
      </c>
      <c r="F107" s="128">
        <v>243.0</v>
      </c>
      <c r="G107" s="77" t="s">
        <v>226</v>
      </c>
      <c r="H107" s="80">
        <v>1678.0</v>
      </c>
      <c r="I107" s="79">
        <v>383961.0</v>
      </c>
      <c r="J107" s="83" t="s">
        <v>347</v>
      </c>
      <c r="K107" s="77" t="s">
        <v>596</v>
      </c>
      <c r="L107" s="79"/>
      <c r="M107" s="77" t="s">
        <v>1660</v>
      </c>
      <c r="N107" s="79">
        <v>0.0</v>
      </c>
      <c r="O107" s="74" t="s">
        <v>332</v>
      </c>
      <c r="P107" s="80"/>
      <c r="Q107" s="79"/>
      <c r="R107" s="80"/>
      <c r="S107" s="78" t="s">
        <v>1661</v>
      </c>
      <c r="T107" s="101" t="s">
        <v>1662</v>
      </c>
      <c r="U107" s="80"/>
      <c r="V107" s="86" t="s">
        <v>1663</v>
      </c>
      <c r="W107" s="79" t="s">
        <v>306</v>
      </c>
      <c r="X107" s="79" t="s">
        <v>306</v>
      </c>
      <c r="Y107" s="79" t="s">
        <v>309</v>
      </c>
      <c r="Z107" s="79"/>
    </row>
    <row r="108" ht="15.75" customHeight="1">
      <c r="A108" s="76" t="s">
        <v>247</v>
      </c>
      <c r="B108" s="77" t="s">
        <v>1665</v>
      </c>
      <c r="C108" s="80">
        <v>3.0685308629E10</v>
      </c>
      <c r="D108" s="144" t="s">
        <v>631</v>
      </c>
      <c r="E108" s="79" t="s">
        <v>1666</v>
      </c>
      <c r="F108" s="44">
        <v>3532.0</v>
      </c>
      <c r="G108" s="79" t="s">
        <v>15</v>
      </c>
      <c r="H108" s="80">
        <v>1678.0</v>
      </c>
      <c r="I108" s="79">
        <v>293090.0</v>
      </c>
      <c r="J108" s="74" t="s">
        <v>347</v>
      </c>
      <c r="K108" s="77" t="s">
        <v>407</v>
      </c>
      <c r="L108" s="79"/>
      <c r="M108" s="79"/>
      <c r="N108" s="79">
        <v>2.0</v>
      </c>
      <c r="O108" s="74" t="s">
        <v>332</v>
      </c>
      <c r="P108" s="80"/>
      <c r="Q108" s="77" t="s">
        <v>1667</v>
      </c>
      <c r="R108" s="80"/>
      <c r="S108" s="80" t="s">
        <v>1668</v>
      </c>
      <c r="T108" s="101" t="s">
        <v>332</v>
      </c>
      <c r="U108" s="80" t="s">
        <v>332</v>
      </c>
      <c r="V108" s="102" t="s">
        <v>429</v>
      </c>
      <c r="W108" s="79" t="s">
        <v>306</v>
      </c>
      <c r="X108" s="79" t="s">
        <v>306</v>
      </c>
      <c r="Y108" s="79" t="s">
        <v>309</v>
      </c>
      <c r="Z108" s="79"/>
    </row>
    <row r="109" ht="15.75" customHeight="1">
      <c r="A109" s="76" t="s">
        <v>247</v>
      </c>
      <c r="B109" s="77" t="s">
        <v>1670</v>
      </c>
      <c r="C109" s="80">
        <v>3.0712372733E10</v>
      </c>
      <c r="D109" s="119" t="s">
        <v>264</v>
      </c>
      <c r="E109" s="126" t="s">
        <v>696</v>
      </c>
      <c r="F109" s="44">
        <v>5564.0</v>
      </c>
      <c r="G109" s="79" t="s">
        <v>15</v>
      </c>
      <c r="H109" s="80">
        <v>1678.0</v>
      </c>
      <c r="I109" s="79">
        <v>259200.0</v>
      </c>
      <c r="J109" s="74" t="s">
        <v>347</v>
      </c>
      <c r="K109" s="79" t="s">
        <v>1324</v>
      </c>
      <c r="L109" s="79" t="s">
        <v>453</v>
      </c>
      <c r="M109" s="77" t="s">
        <v>1671</v>
      </c>
      <c r="N109" s="79">
        <v>3.0</v>
      </c>
      <c r="O109" s="74" t="s">
        <v>332</v>
      </c>
      <c r="P109" s="80"/>
      <c r="Q109" s="79"/>
      <c r="R109" s="80"/>
      <c r="S109" s="78" t="s">
        <v>1673</v>
      </c>
      <c r="T109" s="85" t="s">
        <v>1674</v>
      </c>
      <c r="U109" s="80" t="s">
        <v>332</v>
      </c>
      <c r="V109" s="98" t="s">
        <v>1675</v>
      </c>
      <c r="W109" s="79" t="s">
        <v>306</v>
      </c>
      <c r="X109" s="79" t="s">
        <v>306</v>
      </c>
      <c r="Y109" s="79" t="s">
        <v>309</v>
      </c>
      <c r="Z109" s="79"/>
    </row>
    <row r="110" ht="15.75" customHeight="1">
      <c r="A110" s="76" t="s">
        <v>247</v>
      </c>
      <c r="B110" s="77" t="s">
        <v>1676</v>
      </c>
      <c r="C110" s="80">
        <v>3.0710111428E10</v>
      </c>
      <c r="D110" s="119" t="s">
        <v>264</v>
      </c>
      <c r="E110" s="79" t="s">
        <v>1136</v>
      </c>
      <c r="F110" s="44">
        <v>2946.0</v>
      </c>
      <c r="G110" s="79" t="s">
        <v>68</v>
      </c>
      <c r="H110" s="80">
        <v>1702.0</v>
      </c>
      <c r="I110" s="79">
        <v>259200.0</v>
      </c>
      <c r="J110" s="74" t="s">
        <v>347</v>
      </c>
      <c r="K110" s="79" t="s">
        <v>1324</v>
      </c>
      <c r="L110" s="79" t="s">
        <v>453</v>
      </c>
      <c r="M110" s="79"/>
      <c r="N110" s="79">
        <v>13.0</v>
      </c>
      <c r="O110" s="83" t="s">
        <v>1678</v>
      </c>
      <c r="P110" s="80"/>
      <c r="Q110" s="79"/>
      <c r="R110" s="80"/>
      <c r="S110" s="80" t="s">
        <v>1679</v>
      </c>
      <c r="T110" s="101" t="s">
        <v>1680</v>
      </c>
      <c r="U110" s="80" t="s">
        <v>332</v>
      </c>
      <c r="V110" s="102" t="s">
        <v>429</v>
      </c>
      <c r="W110" s="79"/>
      <c r="X110" s="79"/>
      <c r="Y110" s="79" t="s">
        <v>309</v>
      </c>
      <c r="Z110" s="79"/>
    </row>
    <row r="111" ht="15.75" customHeight="1">
      <c r="A111" s="103" t="s">
        <v>24</v>
      </c>
      <c r="B111" s="77" t="s">
        <v>1682</v>
      </c>
      <c r="C111" s="80">
        <v>3.0644881349E10</v>
      </c>
      <c r="D111" s="119" t="s">
        <v>264</v>
      </c>
      <c r="E111" s="77" t="s">
        <v>1683</v>
      </c>
      <c r="F111" s="44">
        <v>3293.0</v>
      </c>
      <c r="G111" s="79" t="s">
        <v>15</v>
      </c>
      <c r="H111" s="80">
        <v>1678.0</v>
      </c>
      <c r="I111" s="77">
        <v>203000.0</v>
      </c>
      <c r="J111" s="74" t="s">
        <v>448</v>
      </c>
      <c r="K111" s="77" t="s">
        <v>1684</v>
      </c>
      <c r="L111" s="79"/>
      <c r="M111" s="79"/>
      <c r="N111" s="79">
        <v>0.0</v>
      </c>
      <c r="O111" s="74" t="s">
        <v>332</v>
      </c>
      <c r="P111" s="80"/>
      <c r="Q111" s="79"/>
      <c r="R111" s="80"/>
      <c r="S111" s="80" t="s">
        <v>1685</v>
      </c>
      <c r="T111" s="101" t="s">
        <v>332</v>
      </c>
      <c r="U111" s="80" t="s">
        <v>332</v>
      </c>
      <c r="V111" s="102" t="s">
        <v>429</v>
      </c>
      <c r="W111" s="79" t="s">
        <v>309</v>
      </c>
      <c r="X111" s="79" t="s">
        <v>309</v>
      </c>
      <c r="Y111" s="79" t="s">
        <v>309</v>
      </c>
      <c r="Z111" s="79"/>
    </row>
    <row r="112" ht="15.75" customHeight="1">
      <c r="A112" s="103" t="s">
        <v>24</v>
      </c>
      <c r="B112" s="77" t="s">
        <v>1687</v>
      </c>
      <c r="C112" s="80">
        <v>3.0632142869E10</v>
      </c>
      <c r="D112" s="119" t="s">
        <v>264</v>
      </c>
      <c r="E112" s="79" t="s">
        <v>1689</v>
      </c>
      <c r="F112" s="44">
        <v>5864.0</v>
      </c>
      <c r="G112" s="79" t="s">
        <v>119</v>
      </c>
      <c r="H112" s="80">
        <v>1657.0</v>
      </c>
      <c r="I112" s="79">
        <v>343000.0</v>
      </c>
      <c r="J112" s="74" t="s">
        <v>347</v>
      </c>
      <c r="K112" s="77" t="s">
        <v>1476</v>
      </c>
      <c r="L112" s="79"/>
      <c r="M112" s="79"/>
      <c r="N112" s="79">
        <v>0.0</v>
      </c>
      <c r="O112" s="74" t="s">
        <v>332</v>
      </c>
      <c r="P112" s="80"/>
      <c r="Q112" s="79"/>
      <c r="R112" s="80"/>
      <c r="S112" s="78" t="s">
        <v>1690</v>
      </c>
      <c r="T112" s="101"/>
      <c r="U112" s="80"/>
      <c r="V112" s="102" t="s">
        <v>429</v>
      </c>
      <c r="W112" s="79" t="s">
        <v>309</v>
      </c>
      <c r="X112" s="79" t="s">
        <v>306</v>
      </c>
      <c r="Y112" s="79" t="s">
        <v>309</v>
      </c>
      <c r="Z112" s="79"/>
    </row>
    <row r="113" ht="15.75" customHeight="1">
      <c r="A113" s="76" t="s">
        <v>247</v>
      </c>
      <c r="B113" s="77" t="s">
        <v>1691</v>
      </c>
      <c r="C113" s="80">
        <v>3.0708830832E10</v>
      </c>
      <c r="D113" s="119" t="s">
        <v>264</v>
      </c>
      <c r="E113" s="77" t="s">
        <v>1070</v>
      </c>
      <c r="F113" s="44">
        <v>556.0</v>
      </c>
      <c r="G113" s="79" t="s">
        <v>68</v>
      </c>
      <c r="H113" s="80">
        <v>1702.0</v>
      </c>
      <c r="I113" s="77">
        <v>152021.0</v>
      </c>
      <c r="J113" s="74" t="s">
        <v>73</v>
      </c>
      <c r="K113" s="77" t="s">
        <v>1693</v>
      </c>
      <c r="L113" s="79" t="s">
        <v>453</v>
      </c>
      <c r="M113" s="79" t="s">
        <v>1694</v>
      </c>
      <c r="N113" s="79"/>
      <c r="O113" s="83" t="s">
        <v>1695</v>
      </c>
      <c r="P113" s="80"/>
      <c r="Q113" s="79"/>
      <c r="R113" s="80"/>
      <c r="S113" s="80"/>
      <c r="T113" s="101" t="s">
        <v>1696</v>
      </c>
      <c r="U113" s="80"/>
      <c r="V113" s="102" t="s">
        <v>429</v>
      </c>
      <c r="W113" s="79"/>
      <c r="X113" s="79"/>
      <c r="Y113" s="79" t="s">
        <v>309</v>
      </c>
      <c r="Z113" s="79"/>
    </row>
    <row r="114" ht="15.0" customHeight="1">
      <c r="A114" s="103" t="s">
        <v>24</v>
      </c>
      <c r="B114" s="77" t="s">
        <v>1697</v>
      </c>
      <c r="C114" s="80">
        <v>3.0647318491E10</v>
      </c>
      <c r="D114" s="144" t="s">
        <v>631</v>
      </c>
      <c r="E114" s="79" t="s">
        <v>1095</v>
      </c>
      <c r="F114" s="44">
        <v>2717.0</v>
      </c>
      <c r="G114" s="79" t="s">
        <v>15</v>
      </c>
      <c r="H114" s="80">
        <v>1678.0</v>
      </c>
      <c r="I114" s="79">
        <v>952100.0</v>
      </c>
      <c r="J114" s="74" t="s">
        <v>433</v>
      </c>
      <c r="K114" s="202" t="s">
        <v>1699</v>
      </c>
      <c r="L114" s="79"/>
      <c r="M114" s="79"/>
      <c r="N114" s="79">
        <v>0.0</v>
      </c>
      <c r="O114" s="74" t="s">
        <v>332</v>
      </c>
      <c r="P114" s="80"/>
      <c r="Q114" s="79"/>
      <c r="R114" s="80"/>
      <c r="S114" s="80" t="s">
        <v>1700</v>
      </c>
      <c r="T114" s="101" t="s">
        <v>332</v>
      </c>
      <c r="U114" s="80" t="s">
        <v>332</v>
      </c>
      <c r="V114" s="102" t="s">
        <v>429</v>
      </c>
      <c r="W114" s="79" t="s">
        <v>306</v>
      </c>
      <c r="X114" s="79" t="s">
        <v>306</v>
      </c>
      <c r="Y114" s="79" t="s">
        <v>309</v>
      </c>
      <c r="Z114" s="79"/>
    </row>
    <row r="115" ht="15.0" customHeight="1">
      <c r="A115" s="103" t="s">
        <v>24</v>
      </c>
      <c r="B115" s="79" t="s">
        <v>1701</v>
      </c>
      <c r="C115" s="80">
        <v>3.0647709563E10</v>
      </c>
      <c r="D115" s="144" t="s">
        <v>631</v>
      </c>
      <c r="E115" s="79" t="s">
        <v>564</v>
      </c>
      <c r="F115" s="44">
        <v>4630.0</v>
      </c>
      <c r="G115" s="79" t="s">
        <v>68</v>
      </c>
      <c r="H115" s="80">
        <v>1702.0</v>
      </c>
      <c r="I115" s="79">
        <v>269301.0</v>
      </c>
      <c r="J115" s="74" t="s">
        <v>125</v>
      </c>
      <c r="K115" s="79" t="s">
        <v>1521</v>
      </c>
      <c r="L115" s="79" t="s">
        <v>453</v>
      </c>
      <c r="M115" s="79"/>
      <c r="N115" s="79">
        <v>0.0</v>
      </c>
      <c r="O115" s="74" t="s">
        <v>332</v>
      </c>
      <c r="P115" s="80"/>
      <c r="Q115" s="79"/>
      <c r="R115" s="80"/>
      <c r="S115" s="80" t="s">
        <v>1703</v>
      </c>
      <c r="T115" s="101" t="s">
        <v>332</v>
      </c>
      <c r="U115" s="80" t="s">
        <v>332</v>
      </c>
      <c r="V115" s="102" t="s">
        <v>429</v>
      </c>
      <c r="W115" s="79" t="s">
        <v>306</v>
      </c>
      <c r="X115" s="79" t="s">
        <v>306</v>
      </c>
      <c r="Y115" s="79" t="s">
        <v>309</v>
      </c>
      <c r="Z115" s="79"/>
    </row>
    <row r="116" ht="15.75" customHeight="1">
      <c r="A116" s="103" t="s">
        <v>24</v>
      </c>
      <c r="B116" s="79" t="s">
        <v>1704</v>
      </c>
      <c r="C116" s="80">
        <v>3.0613506833E10</v>
      </c>
      <c r="D116" s="144" t="s">
        <v>631</v>
      </c>
      <c r="E116" s="79" t="s">
        <v>1705</v>
      </c>
      <c r="F116" s="44">
        <v>565.0</v>
      </c>
      <c r="G116" s="79" t="s">
        <v>68</v>
      </c>
      <c r="H116" s="80">
        <v>1702.0</v>
      </c>
      <c r="I116" s="79">
        <v>381993.0</v>
      </c>
      <c r="J116" s="74" t="s">
        <v>347</v>
      </c>
      <c r="K116" s="77" t="s">
        <v>1707</v>
      </c>
      <c r="L116" s="79" t="s">
        <v>453</v>
      </c>
      <c r="M116" s="79"/>
      <c r="N116" s="79">
        <v>0.0</v>
      </c>
      <c r="O116" s="74" t="s">
        <v>332</v>
      </c>
      <c r="P116" s="80"/>
      <c r="Q116" s="79"/>
      <c r="R116" s="80"/>
      <c r="S116" s="78" t="s">
        <v>1709</v>
      </c>
      <c r="T116" s="101" t="s">
        <v>332</v>
      </c>
      <c r="U116" s="80" t="s">
        <v>332</v>
      </c>
      <c r="V116" s="102" t="s">
        <v>429</v>
      </c>
      <c r="W116" s="79" t="s">
        <v>306</v>
      </c>
      <c r="X116" s="79" t="s">
        <v>306</v>
      </c>
      <c r="Y116" s="79" t="s">
        <v>309</v>
      </c>
      <c r="Z116" s="79"/>
    </row>
    <row r="117" ht="15.0" customHeight="1">
      <c r="A117" s="76" t="s">
        <v>247</v>
      </c>
      <c r="B117" s="77" t="s">
        <v>1710</v>
      </c>
      <c r="C117" s="80">
        <v>3.0662085746E10</v>
      </c>
      <c r="D117" s="79" t="s">
        <v>264</v>
      </c>
      <c r="E117" s="79" t="s">
        <v>1711</v>
      </c>
      <c r="F117" s="44">
        <v>5173.0</v>
      </c>
      <c r="G117" s="79" t="s">
        <v>15</v>
      </c>
      <c r="H117" s="80">
        <v>1678.0</v>
      </c>
      <c r="I117" s="79">
        <v>141120.0</v>
      </c>
      <c r="J117" s="74" t="s">
        <v>448</v>
      </c>
      <c r="K117" s="79" t="s">
        <v>1712</v>
      </c>
      <c r="L117" s="79" t="s">
        <v>369</v>
      </c>
      <c r="M117" s="77" t="s">
        <v>1713</v>
      </c>
      <c r="N117" s="79">
        <v>17.0</v>
      </c>
      <c r="O117" s="126" t="s">
        <v>1714</v>
      </c>
      <c r="P117" s="78" t="s">
        <v>1715</v>
      </c>
      <c r="Q117" s="79"/>
      <c r="R117" s="80"/>
      <c r="S117" s="78" t="s">
        <v>1716</v>
      </c>
      <c r="T117" s="85" t="s">
        <v>1717</v>
      </c>
      <c r="U117" s="80"/>
      <c r="V117" s="98" t="s">
        <v>1718</v>
      </c>
      <c r="W117" s="79" t="s">
        <v>306</v>
      </c>
      <c r="X117" s="79" t="s">
        <v>306</v>
      </c>
      <c r="Y117" s="79" t="s">
        <v>309</v>
      </c>
      <c r="Z117" s="79"/>
    </row>
    <row r="118" ht="15.0" customHeight="1">
      <c r="A118" s="76" t="s">
        <v>247</v>
      </c>
      <c r="B118" s="79" t="s">
        <v>1720</v>
      </c>
      <c r="C118" s="80">
        <v>3.0516094857E10</v>
      </c>
      <c r="D118" s="119" t="s">
        <v>264</v>
      </c>
      <c r="E118" s="77" t="s">
        <v>1721</v>
      </c>
      <c r="F118" s="44">
        <v>217.0</v>
      </c>
      <c r="G118" s="79" t="s">
        <v>68</v>
      </c>
      <c r="H118" s="80">
        <v>1702.0</v>
      </c>
      <c r="I118" s="79">
        <v>289309.0</v>
      </c>
      <c r="J118" s="74" t="s">
        <v>347</v>
      </c>
      <c r="K118" s="77" t="s">
        <v>1121</v>
      </c>
      <c r="L118" s="79"/>
      <c r="M118" s="79"/>
      <c r="N118" s="79">
        <v>0.0</v>
      </c>
      <c r="O118" s="74" t="s">
        <v>332</v>
      </c>
      <c r="P118" s="80"/>
      <c r="Q118" s="79"/>
      <c r="R118" s="80"/>
      <c r="S118" s="80" t="s">
        <v>1724</v>
      </c>
      <c r="T118" s="101" t="s">
        <v>332</v>
      </c>
      <c r="U118" s="80" t="s">
        <v>332</v>
      </c>
      <c r="V118" s="102" t="s">
        <v>429</v>
      </c>
      <c r="W118" s="79" t="s">
        <v>306</v>
      </c>
      <c r="X118" s="79" t="s">
        <v>306</v>
      </c>
      <c r="Y118" s="79" t="s">
        <v>309</v>
      </c>
      <c r="Z118" s="79"/>
    </row>
    <row r="119" ht="15.75" customHeight="1">
      <c r="A119" s="103" t="s">
        <v>24</v>
      </c>
      <c r="B119" s="79" t="s">
        <v>1725</v>
      </c>
      <c r="C119" s="80">
        <v>3.0518686735E10</v>
      </c>
      <c r="D119" s="144" t="s">
        <v>631</v>
      </c>
      <c r="E119" s="79" t="s">
        <v>1726</v>
      </c>
      <c r="F119" s="44">
        <v>2978.0</v>
      </c>
      <c r="G119" s="79" t="s">
        <v>15</v>
      </c>
      <c r="H119" s="80">
        <v>1678.0</v>
      </c>
      <c r="I119" s="79">
        <v>930990.0</v>
      </c>
      <c r="J119" s="74" t="s">
        <v>433</v>
      </c>
      <c r="K119" s="77" t="s">
        <v>1727</v>
      </c>
      <c r="L119" s="79"/>
      <c r="M119" s="79"/>
      <c r="N119" s="79">
        <v>0.0</v>
      </c>
      <c r="O119" s="74" t="s">
        <v>332</v>
      </c>
      <c r="P119" s="80"/>
      <c r="Q119" s="79"/>
      <c r="R119" s="80"/>
      <c r="S119" s="80" t="s">
        <v>1729</v>
      </c>
      <c r="T119" s="101" t="s">
        <v>332</v>
      </c>
      <c r="U119" s="80" t="s">
        <v>332</v>
      </c>
      <c r="V119" s="102" t="s">
        <v>429</v>
      </c>
      <c r="W119" s="79" t="s">
        <v>306</v>
      </c>
      <c r="X119" s="79" t="s">
        <v>306</v>
      </c>
      <c r="Y119" s="79" t="s">
        <v>309</v>
      </c>
      <c r="Z119" s="79"/>
    </row>
    <row r="120" ht="15.75" customHeight="1">
      <c r="A120" s="76" t="s">
        <v>247</v>
      </c>
      <c r="B120" s="77" t="s">
        <v>880</v>
      </c>
      <c r="C120" s="80">
        <v>3.0505166414E10</v>
      </c>
      <c r="D120" s="79" t="s">
        <v>264</v>
      </c>
      <c r="E120" s="77" t="s">
        <v>1730</v>
      </c>
      <c r="F120" s="128">
        <v>5776.0</v>
      </c>
      <c r="G120" s="79" t="s">
        <v>119</v>
      </c>
      <c r="H120" s="80">
        <v>1657.0</v>
      </c>
      <c r="I120" s="79">
        <v>259999.0</v>
      </c>
      <c r="J120" s="74" t="s">
        <v>347</v>
      </c>
      <c r="K120" s="77" t="s">
        <v>839</v>
      </c>
      <c r="L120" s="79" t="s">
        <v>453</v>
      </c>
      <c r="M120" s="77" t="s">
        <v>1731</v>
      </c>
      <c r="N120" s="79">
        <v>29.0</v>
      </c>
      <c r="O120" s="74" t="s">
        <v>1732</v>
      </c>
      <c r="P120" s="80"/>
      <c r="Q120" s="79" t="s">
        <v>1733</v>
      </c>
      <c r="R120" s="80"/>
      <c r="S120" s="78" t="s">
        <v>1734</v>
      </c>
      <c r="T120" s="85" t="s">
        <v>1735</v>
      </c>
      <c r="U120" s="80"/>
      <c r="V120" s="102" t="s">
        <v>1737</v>
      </c>
      <c r="W120" s="79" t="s">
        <v>309</v>
      </c>
      <c r="X120" s="79" t="s">
        <v>309</v>
      </c>
      <c r="Y120" s="79" t="s">
        <v>309</v>
      </c>
      <c r="Z120" s="79"/>
    </row>
    <row r="121" ht="15.75" customHeight="1">
      <c r="A121" s="103" t="s">
        <v>24</v>
      </c>
      <c r="B121" s="77" t="s">
        <v>1738</v>
      </c>
      <c r="C121" s="80">
        <v>3.0679437484E10</v>
      </c>
      <c r="D121" s="119" t="s">
        <v>264</v>
      </c>
      <c r="E121" s="79" t="s">
        <v>1525</v>
      </c>
      <c r="F121" s="44">
        <v>4230.0</v>
      </c>
      <c r="G121" s="79" t="s">
        <v>68</v>
      </c>
      <c r="H121" s="80">
        <v>1702.0</v>
      </c>
      <c r="I121" s="77">
        <v>422200.0</v>
      </c>
      <c r="J121" s="74" t="s">
        <v>125</v>
      </c>
      <c r="K121" s="77" t="s">
        <v>1740</v>
      </c>
      <c r="L121" s="79" t="s">
        <v>453</v>
      </c>
      <c r="M121" s="79"/>
      <c r="N121" s="79">
        <v>164.0</v>
      </c>
      <c r="O121" s="74" t="s">
        <v>332</v>
      </c>
      <c r="P121" s="80"/>
      <c r="Q121" s="79"/>
      <c r="R121" s="80"/>
      <c r="S121" s="203" t="s">
        <v>1741</v>
      </c>
      <c r="T121" s="101"/>
      <c r="U121" s="80" t="s">
        <v>332</v>
      </c>
      <c r="V121" s="102" t="s">
        <v>1742</v>
      </c>
      <c r="W121" s="79" t="s">
        <v>306</v>
      </c>
      <c r="X121" s="79" t="s">
        <v>306</v>
      </c>
      <c r="Y121" s="79" t="s">
        <v>309</v>
      </c>
      <c r="Z121" s="79"/>
    </row>
    <row r="122" ht="15.75" customHeight="1">
      <c r="A122" s="76" t="s">
        <v>247</v>
      </c>
      <c r="B122" s="77" t="s">
        <v>1744</v>
      </c>
      <c r="C122" s="80">
        <v>3.0707082301E10</v>
      </c>
      <c r="D122" s="119" t="s">
        <v>264</v>
      </c>
      <c r="E122" s="79" t="s">
        <v>1363</v>
      </c>
      <c r="F122" s="44">
        <v>5362.0</v>
      </c>
      <c r="G122" s="79" t="s">
        <v>15</v>
      </c>
      <c r="H122" s="80">
        <v>1678.0</v>
      </c>
      <c r="I122" s="79">
        <v>259999.0</v>
      </c>
      <c r="J122" s="74" t="s">
        <v>347</v>
      </c>
      <c r="K122" s="77" t="s">
        <v>839</v>
      </c>
      <c r="L122" s="79" t="s">
        <v>453</v>
      </c>
      <c r="M122" s="77" t="s">
        <v>1746</v>
      </c>
      <c r="N122" s="79">
        <v>13.0</v>
      </c>
      <c r="O122" s="83" t="s">
        <v>1747</v>
      </c>
      <c r="P122" s="80"/>
      <c r="Q122" s="77" t="s">
        <v>1748</v>
      </c>
      <c r="R122" s="78" t="s">
        <v>1749</v>
      </c>
      <c r="S122" s="78" t="s">
        <v>1750</v>
      </c>
      <c r="T122" s="80" t="s">
        <v>1751</v>
      </c>
      <c r="U122" s="80" t="s">
        <v>332</v>
      </c>
      <c r="V122" s="86" t="s">
        <v>1752</v>
      </c>
      <c r="W122" s="79" t="s">
        <v>309</v>
      </c>
      <c r="X122" s="79" t="s">
        <v>309</v>
      </c>
      <c r="Y122" s="79" t="s">
        <v>309</v>
      </c>
      <c r="Z122" s="79"/>
    </row>
    <row r="123" ht="15.75" customHeight="1">
      <c r="A123" s="103" t="s">
        <v>24</v>
      </c>
      <c r="B123" s="77" t="s">
        <v>1753</v>
      </c>
      <c r="C123" s="80">
        <v>3.0648500293E10</v>
      </c>
      <c r="D123" s="119" t="s">
        <v>264</v>
      </c>
      <c r="E123" s="79" t="s">
        <v>1755</v>
      </c>
      <c r="F123" s="44">
        <v>3051.0</v>
      </c>
      <c r="G123" s="79" t="s">
        <v>15</v>
      </c>
      <c r="H123" s="80">
        <v>1678.0</v>
      </c>
      <c r="I123" s="79">
        <v>312193.0</v>
      </c>
      <c r="J123" s="74" t="s">
        <v>22</v>
      </c>
      <c r="K123" s="79" t="s">
        <v>1756</v>
      </c>
      <c r="L123" s="79"/>
      <c r="M123" s="79"/>
      <c r="N123" s="79">
        <v>0.0</v>
      </c>
      <c r="O123" s="74" t="s">
        <v>332</v>
      </c>
      <c r="P123" s="80"/>
      <c r="Q123" s="79"/>
      <c r="R123" s="80"/>
      <c r="S123" s="204" t="s">
        <v>1757</v>
      </c>
      <c r="T123" s="101" t="s">
        <v>332</v>
      </c>
      <c r="U123" s="80" t="s">
        <v>332</v>
      </c>
      <c r="V123" s="102" t="s">
        <v>429</v>
      </c>
      <c r="W123" s="79" t="s">
        <v>309</v>
      </c>
      <c r="X123" s="79" t="s">
        <v>306</v>
      </c>
      <c r="Y123" s="79" t="s">
        <v>309</v>
      </c>
      <c r="Z123" s="79"/>
    </row>
    <row r="124" ht="15.75" customHeight="1">
      <c r="A124" s="103" t="s">
        <v>24</v>
      </c>
      <c r="B124" s="77" t="s">
        <v>1758</v>
      </c>
      <c r="C124" s="80">
        <v>3.071080662E10</v>
      </c>
      <c r="D124" s="119" t="s">
        <v>264</v>
      </c>
      <c r="E124" s="79" t="s">
        <v>1607</v>
      </c>
      <c r="F124" s="44">
        <v>4852.0</v>
      </c>
      <c r="G124" s="79" t="s">
        <v>15</v>
      </c>
      <c r="H124" s="80">
        <v>1678.0</v>
      </c>
      <c r="I124" s="79">
        <v>139900.0</v>
      </c>
      <c r="J124" s="74" t="s">
        <v>448</v>
      </c>
      <c r="K124" s="77" t="s">
        <v>1760</v>
      </c>
      <c r="L124" s="79"/>
      <c r="M124" s="79"/>
      <c r="N124" s="79">
        <v>14.0</v>
      </c>
      <c r="O124" s="74" t="s">
        <v>1761</v>
      </c>
      <c r="P124" s="80"/>
      <c r="Q124" s="79"/>
      <c r="R124" s="80"/>
      <c r="S124" s="78" t="s">
        <v>1762</v>
      </c>
      <c r="T124" s="101" t="s">
        <v>332</v>
      </c>
      <c r="U124" s="80" t="s">
        <v>332</v>
      </c>
      <c r="V124" s="102" t="s">
        <v>429</v>
      </c>
      <c r="W124" s="79" t="s">
        <v>306</v>
      </c>
      <c r="X124" s="79" t="s">
        <v>306</v>
      </c>
      <c r="Y124" s="79" t="s">
        <v>309</v>
      </c>
      <c r="Z124" s="79"/>
    </row>
    <row r="125" ht="15.75" customHeight="1">
      <c r="A125" s="76" t="s">
        <v>247</v>
      </c>
      <c r="B125" s="77" t="s">
        <v>1763</v>
      </c>
      <c r="C125" s="80">
        <v>3.3605211459E10</v>
      </c>
      <c r="D125" s="119" t="s">
        <v>264</v>
      </c>
      <c r="E125" s="77" t="s">
        <v>1765</v>
      </c>
      <c r="F125" s="44">
        <v>3509.0</v>
      </c>
      <c r="G125" s="79" t="s">
        <v>15</v>
      </c>
      <c r="H125" s="80">
        <v>1678.0</v>
      </c>
      <c r="I125" s="79">
        <v>242909.0</v>
      </c>
      <c r="J125" s="74" t="s">
        <v>316</v>
      </c>
      <c r="K125" s="77" t="s">
        <v>1766</v>
      </c>
      <c r="L125" s="79"/>
      <c r="M125" s="79"/>
      <c r="N125" s="79">
        <v>0.0</v>
      </c>
      <c r="O125" s="74" t="s">
        <v>332</v>
      </c>
      <c r="P125" s="80"/>
      <c r="Q125" s="79"/>
      <c r="R125" s="78">
        <v>1.153015524E9</v>
      </c>
      <c r="S125" s="78" t="s">
        <v>1767</v>
      </c>
      <c r="T125" s="85" t="s">
        <v>1768</v>
      </c>
      <c r="U125" s="80" t="s">
        <v>332</v>
      </c>
      <c r="V125" s="102" t="s">
        <v>429</v>
      </c>
      <c r="W125" s="79" t="s">
        <v>306</v>
      </c>
      <c r="X125" s="79" t="s">
        <v>306</v>
      </c>
      <c r="Y125" s="79" t="s">
        <v>309</v>
      </c>
      <c r="Z125" s="79"/>
    </row>
    <row r="126" ht="15.75" customHeight="1">
      <c r="A126" s="76" t="s">
        <v>247</v>
      </c>
      <c r="B126" s="144" t="s">
        <v>905</v>
      </c>
      <c r="C126" s="101">
        <v>3.071160334E10</v>
      </c>
      <c r="D126" s="119" t="s">
        <v>264</v>
      </c>
      <c r="E126" s="119" t="s">
        <v>1770</v>
      </c>
      <c r="F126" s="44">
        <v>8240.0</v>
      </c>
      <c r="G126" s="79" t="s">
        <v>119</v>
      </c>
      <c r="H126" s="101">
        <v>1657.0</v>
      </c>
      <c r="I126" s="119">
        <v>141140.0</v>
      </c>
      <c r="J126" s="126" t="s">
        <v>448</v>
      </c>
      <c r="K126" s="119" t="s">
        <v>1771</v>
      </c>
      <c r="L126" s="79" t="s">
        <v>369</v>
      </c>
      <c r="M126" s="144" t="s">
        <v>1772</v>
      </c>
      <c r="N126" s="119">
        <v>40.0</v>
      </c>
      <c r="O126" s="126" t="s">
        <v>1773</v>
      </c>
      <c r="P126" s="85" t="s">
        <v>1774</v>
      </c>
      <c r="Q126" s="79" t="s">
        <v>1775</v>
      </c>
      <c r="R126" s="85" t="s">
        <v>1776</v>
      </c>
      <c r="S126" s="85" t="s">
        <v>1777</v>
      </c>
      <c r="T126" s="85"/>
      <c r="U126" s="85"/>
      <c r="V126" s="102" t="s">
        <v>1779</v>
      </c>
      <c r="W126" s="119" t="s">
        <v>306</v>
      </c>
      <c r="X126" s="119" t="s">
        <v>306</v>
      </c>
      <c r="Y126" s="119" t="s">
        <v>309</v>
      </c>
      <c r="Z126" s="79"/>
    </row>
    <row r="127" ht="15.75" customHeight="1">
      <c r="A127" s="76" t="s">
        <v>247</v>
      </c>
      <c r="B127" s="77" t="s">
        <v>1780</v>
      </c>
      <c r="C127" s="80">
        <v>3.0708913142E10</v>
      </c>
      <c r="D127" s="119" t="s">
        <v>264</v>
      </c>
      <c r="E127" s="79" t="s">
        <v>1781</v>
      </c>
      <c r="F127" s="44">
        <v>1491.0</v>
      </c>
      <c r="G127" s="79" t="s">
        <v>119</v>
      </c>
      <c r="H127" s="80">
        <v>1657.0</v>
      </c>
      <c r="I127" s="79">
        <v>222010.0</v>
      </c>
      <c r="J127" s="83" t="s">
        <v>568</v>
      </c>
      <c r="K127" s="79" t="s">
        <v>1170</v>
      </c>
      <c r="L127" s="79" t="s">
        <v>453</v>
      </c>
      <c r="M127" s="79"/>
      <c r="N127" s="79">
        <v>18.0</v>
      </c>
      <c r="O127" s="74" t="s">
        <v>332</v>
      </c>
      <c r="P127" s="80"/>
      <c r="Q127" s="79"/>
      <c r="R127" s="80"/>
      <c r="S127" s="80" t="s">
        <v>1783</v>
      </c>
      <c r="T127" s="85" t="s">
        <v>1783</v>
      </c>
      <c r="U127" s="80" t="s">
        <v>332</v>
      </c>
      <c r="V127" s="102" t="s">
        <v>429</v>
      </c>
      <c r="W127" s="79" t="s">
        <v>306</v>
      </c>
      <c r="X127" s="79" t="s">
        <v>306</v>
      </c>
      <c r="Y127" s="79" t="s">
        <v>309</v>
      </c>
      <c r="Z127" s="79"/>
    </row>
    <row r="128" ht="17.25" customHeight="1">
      <c r="A128" s="76" t="s">
        <v>247</v>
      </c>
      <c r="B128" s="79" t="s">
        <v>942</v>
      </c>
      <c r="C128" s="80">
        <v>3.0663821993E10</v>
      </c>
      <c r="D128" s="77" t="s">
        <v>631</v>
      </c>
      <c r="E128" s="79" t="s">
        <v>1785</v>
      </c>
      <c r="F128" s="44">
        <v>3963.0</v>
      </c>
      <c r="G128" s="79" t="s">
        <v>68</v>
      </c>
      <c r="H128" s="80">
        <v>1702.0</v>
      </c>
      <c r="I128" s="79">
        <v>239510.0</v>
      </c>
      <c r="J128" s="74" t="s">
        <v>125</v>
      </c>
      <c r="K128" s="79" t="s">
        <v>1786</v>
      </c>
      <c r="L128" s="79" t="s">
        <v>286</v>
      </c>
      <c r="M128" s="79" t="s">
        <v>1787</v>
      </c>
      <c r="N128" s="79">
        <v>0.0</v>
      </c>
      <c r="O128" s="74" t="s">
        <v>332</v>
      </c>
      <c r="P128" s="78" t="s">
        <v>1788</v>
      </c>
      <c r="Q128" s="79"/>
      <c r="R128" s="80"/>
      <c r="S128" s="80" t="s">
        <v>1789</v>
      </c>
      <c r="T128" s="101" t="s">
        <v>1790</v>
      </c>
      <c r="U128" s="80" t="s">
        <v>332</v>
      </c>
      <c r="V128" s="102" t="s">
        <v>429</v>
      </c>
      <c r="W128" s="79" t="s">
        <v>306</v>
      </c>
      <c r="X128" s="79" t="s">
        <v>306</v>
      </c>
      <c r="Y128" s="79" t="s">
        <v>309</v>
      </c>
      <c r="Z128" s="79"/>
    </row>
    <row r="129" ht="15.75" customHeight="1">
      <c r="A129" s="76" t="s">
        <v>247</v>
      </c>
      <c r="B129" s="77" t="s">
        <v>976</v>
      </c>
      <c r="C129" s="80">
        <v>3.0703245184E10</v>
      </c>
      <c r="D129" s="119" t="s">
        <v>264</v>
      </c>
      <c r="E129" s="79" t="s">
        <v>1136</v>
      </c>
      <c r="F129" s="128">
        <v>2778.0</v>
      </c>
      <c r="G129" s="79" t="s">
        <v>97</v>
      </c>
      <c r="H129" s="80">
        <v>1702.0</v>
      </c>
      <c r="I129" s="79">
        <v>107121.0</v>
      </c>
      <c r="J129" s="74" t="s">
        <v>22</v>
      </c>
      <c r="K129" s="79" t="s">
        <v>1392</v>
      </c>
      <c r="L129" s="79"/>
      <c r="M129" s="79"/>
      <c r="N129" s="79">
        <v>26.0</v>
      </c>
      <c r="O129" s="74" t="s">
        <v>1792</v>
      </c>
      <c r="P129" s="78" t="s">
        <v>1793</v>
      </c>
      <c r="Q129" s="77" t="s">
        <v>1794</v>
      </c>
      <c r="R129" s="80" t="s">
        <v>1796</v>
      </c>
      <c r="S129" s="78" t="s">
        <v>1797</v>
      </c>
      <c r="T129" s="101" t="s">
        <v>332</v>
      </c>
      <c r="U129" s="80" t="s">
        <v>332</v>
      </c>
      <c r="V129" s="102" t="s">
        <v>1798</v>
      </c>
      <c r="W129" s="79" t="s">
        <v>309</v>
      </c>
      <c r="X129" s="79" t="s">
        <v>309</v>
      </c>
      <c r="Y129" s="79" t="s">
        <v>309</v>
      </c>
      <c r="Z129" s="79"/>
    </row>
    <row r="130" ht="15.0" customHeight="1">
      <c r="A130" s="103" t="s">
        <v>24</v>
      </c>
      <c r="B130" s="79" t="s">
        <v>1799</v>
      </c>
      <c r="C130" s="80">
        <v>3.0647337224E10</v>
      </c>
      <c r="D130" s="144" t="s">
        <v>631</v>
      </c>
      <c r="E130" s="79" t="s">
        <v>1801</v>
      </c>
      <c r="F130" s="44">
        <v>2713.0</v>
      </c>
      <c r="G130" s="79" t="s">
        <v>97</v>
      </c>
      <c r="H130" s="80">
        <v>1702.0</v>
      </c>
      <c r="I130" s="79">
        <v>321087.0</v>
      </c>
      <c r="J130" s="74" t="s">
        <v>448</v>
      </c>
      <c r="K130" s="79" t="s">
        <v>1802</v>
      </c>
      <c r="L130" s="79"/>
      <c r="M130" s="79"/>
      <c r="N130" s="79">
        <v>0.0</v>
      </c>
      <c r="O130" s="74" t="s">
        <v>332</v>
      </c>
      <c r="P130" s="114"/>
      <c r="Q130" s="79"/>
      <c r="R130" s="80"/>
      <c r="S130" s="80" t="s">
        <v>1803</v>
      </c>
      <c r="T130" s="101" t="s">
        <v>332</v>
      </c>
      <c r="U130" s="80" t="s">
        <v>332</v>
      </c>
      <c r="V130" s="102" t="s">
        <v>429</v>
      </c>
      <c r="W130" s="79" t="s">
        <v>306</v>
      </c>
      <c r="X130" s="79" t="s">
        <v>306</v>
      </c>
      <c r="Y130" s="79" t="s">
        <v>309</v>
      </c>
      <c r="Z130" s="79"/>
    </row>
    <row r="131" ht="15.0" customHeight="1">
      <c r="A131" s="103" t="s">
        <v>24</v>
      </c>
      <c r="B131" s="77" t="s">
        <v>1804</v>
      </c>
      <c r="C131" s="80">
        <v>3.0708413026E10</v>
      </c>
      <c r="D131" s="119" t="s">
        <v>264</v>
      </c>
      <c r="E131" s="77" t="s">
        <v>1806</v>
      </c>
      <c r="F131" s="44">
        <v>3863.0</v>
      </c>
      <c r="G131" s="79" t="s">
        <v>15</v>
      </c>
      <c r="H131" s="80">
        <v>1678.0</v>
      </c>
      <c r="I131" s="79">
        <v>310010.0</v>
      </c>
      <c r="J131" s="74" t="s">
        <v>313</v>
      </c>
      <c r="K131" s="79" t="s">
        <v>1438</v>
      </c>
      <c r="L131" s="79" t="s">
        <v>1122</v>
      </c>
      <c r="M131" s="79"/>
      <c r="N131" s="79">
        <v>2.0</v>
      </c>
      <c r="O131" s="74" t="s">
        <v>332</v>
      </c>
      <c r="P131" s="80"/>
      <c r="Q131" s="79"/>
      <c r="R131" s="80"/>
      <c r="S131" s="80" t="s">
        <v>1807</v>
      </c>
      <c r="T131" s="101" t="s">
        <v>332</v>
      </c>
      <c r="U131" s="80" t="s">
        <v>332</v>
      </c>
      <c r="V131" s="102" t="s">
        <v>429</v>
      </c>
      <c r="W131" s="79" t="s">
        <v>306</v>
      </c>
      <c r="X131" s="79" t="s">
        <v>306</v>
      </c>
      <c r="Y131" s="79" t="s">
        <v>309</v>
      </c>
      <c r="Z131" s="79"/>
    </row>
    <row r="132" ht="15.0" customHeight="1">
      <c r="A132" s="76" t="s">
        <v>247</v>
      </c>
      <c r="B132" s="77" t="s">
        <v>1809</v>
      </c>
      <c r="C132" s="85">
        <v>3.0519195484E10</v>
      </c>
      <c r="D132" s="77" t="s">
        <v>264</v>
      </c>
      <c r="E132" s="77" t="s">
        <v>1810</v>
      </c>
      <c r="F132" s="128">
        <v>4146.0</v>
      </c>
      <c r="G132" s="77" t="s">
        <v>15</v>
      </c>
      <c r="H132" s="78">
        <v>1678.0</v>
      </c>
      <c r="I132" s="78">
        <v>201130.0</v>
      </c>
      <c r="J132" s="83" t="s">
        <v>316</v>
      </c>
      <c r="K132" s="129" t="s">
        <v>1811</v>
      </c>
      <c r="L132" s="79"/>
      <c r="M132" s="77" t="s">
        <v>1812</v>
      </c>
      <c r="N132" s="77">
        <v>101.0</v>
      </c>
      <c r="O132" s="77" t="s">
        <v>1813</v>
      </c>
      <c r="P132" s="80"/>
      <c r="Q132" s="79"/>
      <c r="R132" s="80"/>
      <c r="S132" s="78" t="s">
        <v>1814</v>
      </c>
      <c r="T132" s="101"/>
      <c r="U132" s="80"/>
      <c r="V132" s="102" t="s">
        <v>1816</v>
      </c>
      <c r="W132" s="79"/>
      <c r="X132" s="79"/>
      <c r="Y132" s="79"/>
      <c r="Z132" s="79"/>
    </row>
    <row r="133" ht="15.0" customHeight="1">
      <c r="A133" s="76" t="s">
        <v>247</v>
      </c>
      <c r="B133" s="77" t="s">
        <v>1818</v>
      </c>
      <c r="C133" s="101">
        <v>2.0253662639E10</v>
      </c>
      <c r="D133" s="77" t="s">
        <v>631</v>
      </c>
      <c r="E133" s="77" t="s">
        <v>1819</v>
      </c>
      <c r="F133" s="128">
        <v>2691.0</v>
      </c>
      <c r="G133" s="79" t="s">
        <v>97</v>
      </c>
      <c r="H133" s="80">
        <v>1703.0</v>
      </c>
      <c r="I133" s="79">
        <v>293090.0</v>
      </c>
      <c r="J133" s="74" t="s">
        <v>337</v>
      </c>
      <c r="K133" s="77" t="s">
        <v>407</v>
      </c>
      <c r="L133" s="79" t="s">
        <v>453</v>
      </c>
      <c r="M133" s="79" t="s">
        <v>1821</v>
      </c>
      <c r="N133" s="79"/>
      <c r="O133" s="74"/>
      <c r="P133" s="78" t="s">
        <v>1822</v>
      </c>
      <c r="Q133" s="79"/>
      <c r="R133" s="80"/>
      <c r="S133" s="78" t="s">
        <v>1823</v>
      </c>
      <c r="T133" s="85" t="s">
        <v>1824</v>
      </c>
      <c r="U133" s="80"/>
      <c r="V133" s="102" t="s">
        <v>1825</v>
      </c>
      <c r="W133" s="79"/>
      <c r="X133" s="79" t="s">
        <v>309</v>
      </c>
      <c r="Y133" s="79" t="s">
        <v>309</v>
      </c>
      <c r="Z133" s="79"/>
    </row>
    <row r="134" ht="15.0" customHeight="1">
      <c r="A134" s="103" t="s">
        <v>24</v>
      </c>
      <c r="B134" s="77" t="s">
        <v>1827</v>
      </c>
      <c r="C134" s="80">
        <v>3.0711177279E10</v>
      </c>
      <c r="D134" s="119" t="s">
        <v>264</v>
      </c>
      <c r="E134" s="77" t="s">
        <v>1828</v>
      </c>
      <c r="F134" s="44">
        <v>603.0</v>
      </c>
      <c r="G134" s="77" t="s">
        <v>226</v>
      </c>
      <c r="H134" s="80">
        <v>1674.0</v>
      </c>
      <c r="I134" s="79">
        <v>410011.0</v>
      </c>
      <c r="J134" s="74" t="s">
        <v>125</v>
      </c>
      <c r="K134" s="79" t="s">
        <v>1829</v>
      </c>
      <c r="L134" s="79" t="s">
        <v>453</v>
      </c>
      <c r="M134" s="79"/>
      <c r="N134" s="79">
        <v>0.0</v>
      </c>
      <c r="O134" s="74" t="s">
        <v>332</v>
      </c>
      <c r="P134" s="80"/>
      <c r="Q134" s="79"/>
      <c r="R134" s="80"/>
      <c r="S134" s="80" t="s">
        <v>1830</v>
      </c>
      <c r="T134" s="101" t="s">
        <v>332</v>
      </c>
      <c r="U134" s="80" t="s">
        <v>332</v>
      </c>
      <c r="V134" s="102" t="s">
        <v>429</v>
      </c>
      <c r="W134" s="79" t="s">
        <v>306</v>
      </c>
      <c r="X134" s="79" t="s">
        <v>306</v>
      </c>
      <c r="Y134" s="79" t="s">
        <v>309</v>
      </c>
      <c r="Z134" s="79"/>
    </row>
    <row r="135" ht="15.0" customHeight="1">
      <c r="A135" s="76" t="s">
        <v>247</v>
      </c>
      <c r="B135" s="77" t="s">
        <v>1831</v>
      </c>
      <c r="C135" s="80">
        <v>2.0150276129E10</v>
      </c>
      <c r="D135" s="144" t="s">
        <v>631</v>
      </c>
      <c r="E135" s="79" t="s">
        <v>1563</v>
      </c>
      <c r="F135" s="44">
        <v>3970.0</v>
      </c>
      <c r="G135" s="79" t="s">
        <v>15</v>
      </c>
      <c r="H135" s="80">
        <v>1678.0</v>
      </c>
      <c r="I135" s="77">
        <v>181200.0</v>
      </c>
      <c r="J135" s="83" t="s">
        <v>433</v>
      </c>
      <c r="K135" s="77" t="s">
        <v>1833</v>
      </c>
      <c r="L135" s="79" t="s">
        <v>453</v>
      </c>
      <c r="M135" s="79" t="s">
        <v>1834</v>
      </c>
      <c r="N135" s="79"/>
      <c r="O135" s="74"/>
      <c r="P135" s="80"/>
      <c r="Q135" s="79"/>
      <c r="R135" s="80"/>
      <c r="S135" s="78" t="s">
        <v>1835</v>
      </c>
      <c r="T135" s="101"/>
      <c r="U135" s="80"/>
      <c r="V135" s="102" t="s">
        <v>1836</v>
      </c>
      <c r="W135" s="79"/>
      <c r="X135" s="79"/>
      <c r="Y135" s="79"/>
      <c r="Z135" s="79"/>
    </row>
    <row r="136" ht="15.0" customHeight="1">
      <c r="A136" s="103" t="s">
        <v>24</v>
      </c>
      <c r="B136" s="77" t="s">
        <v>1838</v>
      </c>
      <c r="C136" s="80">
        <v>3.0619197182E10</v>
      </c>
      <c r="D136" s="119" t="s">
        <v>264</v>
      </c>
      <c r="E136" s="79" t="s">
        <v>1240</v>
      </c>
      <c r="F136" s="44">
        <v>2453.0</v>
      </c>
      <c r="G136" s="77" t="s">
        <v>47</v>
      </c>
      <c r="H136" s="80">
        <v>1684.0</v>
      </c>
      <c r="I136" s="79">
        <v>142900.0</v>
      </c>
      <c r="J136" s="74" t="s">
        <v>347</v>
      </c>
      <c r="K136" s="77" t="s">
        <v>1839</v>
      </c>
      <c r="L136" s="79"/>
      <c r="M136" s="79"/>
      <c r="N136" s="79">
        <v>5.0</v>
      </c>
      <c r="O136" s="74" t="s">
        <v>332</v>
      </c>
      <c r="P136" s="80"/>
      <c r="Q136" s="79"/>
      <c r="R136" s="80"/>
      <c r="S136" s="80"/>
      <c r="T136" s="101" t="s">
        <v>332</v>
      </c>
      <c r="U136" s="80" t="s">
        <v>332</v>
      </c>
      <c r="V136" s="102" t="s">
        <v>429</v>
      </c>
      <c r="W136" s="79" t="s">
        <v>309</v>
      </c>
      <c r="X136" s="79" t="s">
        <v>309</v>
      </c>
      <c r="Y136" s="79" t="s">
        <v>309</v>
      </c>
      <c r="Z136" s="79"/>
    </row>
    <row r="137" ht="15.0" customHeight="1">
      <c r="A137" s="103" t="s">
        <v>24</v>
      </c>
      <c r="B137" s="77" t="s">
        <v>1840</v>
      </c>
      <c r="C137" s="80">
        <v>3.071209595E10</v>
      </c>
      <c r="D137" s="119" t="s">
        <v>264</v>
      </c>
      <c r="E137" s="119" t="s">
        <v>1422</v>
      </c>
      <c r="F137" s="44">
        <v>1235.0</v>
      </c>
      <c r="G137" s="79" t="s">
        <v>119</v>
      </c>
      <c r="H137" s="80">
        <v>1657.0</v>
      </c>
      <c r="I137" s="79">
        <v>523090.0</v>
      </c>
      <c r="J137" s="74" t="s">
        <v>433</v>
      </c>
      <c r="K137" s="77" t="s">
        <v>1842</v>
      </c>
      <c r="L137" s="79"/>
      <c r="M137" s="79"/>
      <c r="N137" s="79">
        <v>5.0</v>
      </c>
      <c r="O137" s="74" t="s">
        <v>332</v>
      </c>
      <c r="P137" s="80"/>
      <c r="Q137" s="79"/>
      <c r="R137" s="80"/>
      <c r="S137" s="80" t="s">
        <v>1843</v>
      </c>
      <c r="T137" s="101" t="s">
        <v>1844</v>
      </c>
      <c r="U137" s="80" t="s">
        <v>332</v>
      </c>
      <c r="V137" s="102" t="s">
        <v>429</v>
      </c>
      <c r="W137" s="79" t="s">
        <v>306</v>
      </c>
      <c r="X137" s="79" t="s">
        <v>306</v>
      </c>
      <c r="Y137" s="79" t="s">
        <v>309</v>
      </c>
      <c r="Z137" s="79"/>
    </row>
    <row r="138" ht="15.0" customHeight="1">
      <c r="A138" s="76" t="s">
        <v>247</v>
      </c>
      <c r="B138" s="77" t="s">
        <v>1846</v>
      </c>
      <c r="C138" s="80">
        <v>3.0709023728E10</v>
      </c>
      <c r="D138" s="119" t="s">
        <v>264</v>
      </c>
      <c r="E138" s="79" t="s">
        <v>1485</v>
      </c>
      <c r="F138" s="44">
        <v>2637.0</v>
      </c>
      <c r="G138" s="79" t="s">
        <v>97</v>
      </c>
      <c r="H138" s="80">
        <v>1702.0</v>
      </c>
      <c r="I138" s="79">
        <v>259100.0</v>
      </c>
      <c r="J138" s="74" t="s">
        <v>347</v>
      </c>
      <c r="K138" s="79" t="s">
        <v>1329</v>
      </c>
      <c r="L138" s="79" t="s">
        <v>453</v>
      </c>
      <c r="M138" s="79"/>
      <c r="N138" s="79">
        <v>4.0</v>
      </c>
      <c r="O138" s="74" t="s">
        <v>332</v>
      </c>
      <c r="P138" s="80"/>
      <c r="Q138" s="79"/>
      <c r="R138" s="80"/>
      <c r="S138" s="80" t="s">
        <v>1847</v>
      </c>
      <c r="T138" s="101" t="s">
        <v>1848</v>
      </c>
      <c r="U138" s="101" t="s">
        <v>1849</v>
      </c>
      <c r="V138" s="206" t="s">
        <v>1851</v>
      </c>
      <c r="W138" s="79" t="s">
        <v>306</v>
      </c>
      <c r="X138" s="79" t="s">
        <v>306</v>
      </c>
      <c r="Y138" s="79" t="s">
        <v>309</v>
      </c>
      <c r="Z138" s="79"/>
    </row>
    <row r="139" ht="15.0" customHeight="1">
      <c r="A139" s="76" t="s">
        <v>247</v>
      </c>
      <c r="B139" s="77" t="s">
        <v>1852</v>
      </c>
      <c r="C139" s="80">
        <v>3.0708732946E10</v>
      </c>
      <c r="D139" s="119" t="s">
        <v>264</v>
      </c>
      <c r="E139" s="79" t="s">
        <v>1357</v>
      </c>
      <c r="F139" s="44">
        <v>5261.0</v>
      </c>
      <c r="G139" s="79" t="s">
        <v>15</v>
      </c>
      <c r="H139" s="80">
        <v>1678.0</v>
      </c>
      <c r="I139" s="79">
        <v>202908.0</v>
      </c>
      <c r="J139" s="74" t="s">
        <v>316</v>
      </c>
      <c r="K139" s="77" t="s">
        <v>1153</v>
      </c>
      <c r="L139" s="79"/>
      <c r="M139" s="79"/>
      <c r="N139" s="79">
        <v>16.0</v>
      </c>
      <c r="O139" s="74" t="s">
        <v>332</v>
      </c>
      <c r="P139" s="80"/>
      <c r="Q139" s="79"/>
      <c r="R139" s="80"/>
      <c r="S139" s="80" t="s">
        <v>1854</v>
      </c>
      <c r="T139" s="101" t="s">
        <v>1855</v>
      </c>
      <c r="U139" s="78" t="s">
        <v>1857</v>
      </c>
      <c r="V139" s="102" t="s">
        <v>1858</v>
      </c>
      <c r="W139" s="79" t="s">
        <v>306</v>
      </c>
      <c r="X139" s="79" t="s">
        <v>306</v>
      </c>
      <c r="Y139" s="79" t="s">
        <v>309</v>
      </c>
      <c r="Z139" s="79"/>
    </row>
    <row r="140" ht="15.0" customHeight="1">
      <c r="A140" s="103" t="s">
        <v>24</v>
      </c>
      <c r="B140" s="77" t="s">
        <v>1859</v>
      </c>
      <c r="C140" s="80">
        <v>3.0701140326E10</v>
      </c>
      <c r="D140" s="119" t="s">
        <v>264</v>
      </c>
      <c r="E140" s="79" t="s">
        <v>1860</v>
      </c>
      <c r="F140" s="44">
        <v>3457.0</v>
      </c>
      <c r="G140" s="79" t="s">
        <v>15</v>
      </c>
      <c r="H140" s="80">
        <v>1678.0</v>
      </c>
      <c r="I140" s="79">
        <v>293090.0</v>
      </c>
      <c r="J140" s="74" t="s">
        <v>347</v>
      </c>
      <c r="K140" s="77" t="s">
        <v>407</v>
      </c>
      <c r="L140" s="79"/>
      <c r="M140" s="79"/>
      <c r="N140" s="79">
        <v>16.0</v>
      </c>
      <c r="O140" s="74" t="s">
        <v>1862</v>
      </c>
      <c r="P140" s="80"/>
      <c r="Q140" s="79"/>
      <c r="R140" s="80"/>
      <c r="S140" s="80" t="s">
        <v>1863</v>
      </c>
      <c r="T140" s="101"/>
      <c r="U140" s="80" t="s">
        <v>332</v>
      </c>
      <c r="V140" s="102" t="s">
        <v>429</v>
      </c>
      <c r="W140" s="79" t="s">
        <v>309</v>
      </c>
      <c r="X140" s="79" t="s">
        <v>309</v>
      </c>
      <c r="Y140" s="79" t="s">
        <v>306</v>
      </c>
      <c r="Z140" s="79"/>
    </row>
    <row r="141" ht="15.0" customHeight="1">
      <c r="A141" s="76" t="s">
        <v>247</v>
      </c>
      <c r="B141" s="77" t="s">
        <v>1865</v>
      </c>
      <c r="C141" s="80">
        <v>3.0680721021E10</v>
      </c>
      <c r="D141" s="119" t="s">
        <v>264</v>
      </c>
      <c r="E141" s="77" t="s">
        <v>1866</v>
      </c>
      <c r="F141" s="44">
        <v>1091.0</v>
      </c>
      <c r="G141" s="79" t="s">
        <v>269</v>
      </c>
      <c r="H141" s="80">
        <v>1682.0</v>
      </c>
      <c r="I141" s="79">
        <v>107999.0</v>
      </c>
      <c r="J141" s="74" t="s">
        <v>22</v>
      </c>
      <c r="K141" s="77" t="s">
        <v>1384</v>
      </c>
      <c r="L141" s="79"/>
      <c r="M141" s="79" t="s">
        <v>1867</v>
      </c>
      <c r="N141" s="79">
        <v>17.0</v>
      </c>
      <c r="O141" s="74" t="s">
        <v>1868</v>
      </c>
      <c r="P141" s="80"/>
      <c r="Q141" s="79"/>
      <c r="R141" s="80"/>
      <c r="S141" s="78" t="s">
        <v>1869</v>
      </c>
      <c r="T141" s="101" t="s">
        <v>1871</v>
      </c>
      <c r="U141" s="114"/>
      <c r="V141" s="86" t="s">
        <v>1872</v>
      </c>
      <c r="W141" s="79" t="s">
        <v>309</v>
      </c>
      <c r="X141" s="79" t="s">
        <v>309</v>
      </c>
      <c r="Y141" s="79" t="s">
        <v>309</v>
      </c>
      <c r="Z141" s="79"/>
    </row>
    <row r="142" ht="15.0" customHeight="1">
      <c r="A142" s="76" t="s">
        <v>247</v>
      </c>
      <c r="B142" s="77" t="s">
        <v>1006</v>
      </c>
      <c r="C142" s="80">
        <v>3.0690604562E10</v>
      </c>
      <c r="D142" s="79" t="s">
        <v>264</v>
      </c>
      <c r="E142" s="79" t="s">
        <v>1369</v>
      </c>
      <c r="F142" s="44">
        <v>1836.0</v>
      </c>
      <c r="G142" s="79" t="s">
        <v>97</v>
      </c>
      <c r="H142" s="80">
        <v>1703.0</v>
      </c>
      <c r="I142" s="101">
        <v>202908.0</v>
      </c>
      <c r="J142" s="74" t="s">
        <v>316</v>
      </c>
      <c r="K142" s="77" t="s">
        <v>1873</v>
      </c>
      <c r="L142" s="79"/>
      <c r="M142" s="77" t="s">
        <v>1874</v>
      </c>
      <c r="N142" s="79"/>
      <c r="O142" s="74" t="s">
        <v>1876</v>
      </c>
      <c r="P142" s="78" t="s">
        <v>1877</v>
      </c>
      <c r="Q142" s="79"/>
      <c r="R142" s="80"/>
      <c r="S142" s="80" t="s">
        <v>1878</v>
      </c>
      <c r="T142" s="101"/>
      <c r="U142" s="80"/>
      <c r="V142" s="102" t="s">
        <v>1879</v>
      </c>
      <c r="W142" s="79"/>
      <c r="X142" s="79"/>
      <c r="Y142" s="79"/>
      <c r="Z142" s="79"/>
    </row>
    <row r="143" ht="15.0" customHeight="1">
      <c r="A143" s="76" t="s">
        <v>247</v>
      </c>
      <c r="B143" s="77" t="s">
        <v>1881</v>
      </c>
      <c r="C143" s="80">
        <v>3.0701171167E10</v>
      </c>
      <c r="D143" s="119" t="s">
        <v>264</v>
      </c>
      <c r="E143" s="79" t="s">
        <v>1882</v>
      </c>
      <c r="F143" s="44">
        <v>4850.0</v>
      </c>
      <c r="G143" s="79" t="s">
        <v>15</v>
      </c>
      <c r="H143" s="80">
        <v>1678.0</v>
      </c>
      <c r="I143" s="79">
        <v>222010.0</v>
      </c>
      <c r="J143" s="83" t="s">
        <v>568</v>
      </c>
      <c r="K143" s="79" t="s">
        <v>1170</v>
      </c>
      <c r="L143" s="79" t="s">
        <v>453</v>
      </c>
      <c r="M143" s="77" t="s">
        <v>1884</v>
      </c>
      <c r="N143" s="79">
        <v>11.0</v>
      </c>
      <c r="O143" s="74" t="s">
        <v>1886</v>
      </c>
      <c r="P143" s="80"/>
      <c r="Q143" s="79"/>
      <c r="R143" s="80"/>
      <c r="S143" s="78" t="s">
        <v>1887</v>
      </c>
      <c r="T143" s="101" t="s">
        <v>332</v>
      </c>
      <c r="U143" s="80"/>
      <c r="V143" s="102" t="s">
        <v>1888</v>
      </c>
      <c r="W143" s="79" t="s">
        <v>309</v>
      </c>
      <c r="X143" s="79" t="s">
        <v>309</v>
      </c>
      <c r="Y143" s="79" t="s">
        <v>309</v>
      </c>
      <c r="Z143" s="79"/>
    </row>
    <row r="144" ht="15.0" customHeight="1">
      <c r="A144" s="76" t="s">
        <v>247</v>
      </c>
      <c r="B144" s="77" t="s">
        <v>1889</v>
      </c>
      <c r="C144" s="80">
        <v>3.0711468699E10</v>
      </c>
      <c r="D144" s="119" t="s">
        <v>264</v>
      </c>
      <c r="E144" s="77" t="s">
        <v>1683</v>
      </c>
      <c r="F144" s="44">
        <v>3432.0</v>
      </c>
      <c r="G144" s="79" t="s">
        <v>15</v>
      </c>
      <c r="H144" s="80">
        <v>1678.0</v>
      </c>
      <c r="I144" s="79">
        <v>243200.0</v>
      </c>
      <c r="J144" s="74" t="s">
        <v>347</v>
      </c>
      <c r="K144" s="79" t="s">
        <v>1277</v>
      </c>
      <c r="L144" s="79" t="s">
        <v>453</v>
      </c>
      <c r="M144" s="79"/>
      <c r="N144" s="79">
        <v>9.0</v>
      </c>
      <c r="O144" s="74" t="s">
        <v>332</v>
      </c>
      <c r="P144" s="80"/>
      <c r="Q144" s="79"/>
      <c r="R144" s="114"/>
      <c r="S144" s="80" t="s">
        <v>1891</v>
      </c>
      <c r="T144" s="101" t="s">
        <v>1892</v>
      </c>
      <c r="U144" s="80" t="s">
        <v>1893</v>
      </c>
      <c r="V144" s="102" t="s">
        <v>429</v>
      </c>
      <c r="W144" s="79" t="s">
        <v>309</v>
      </c>
      <c r="X144" s="79" t="s">
        <v>309</v>
      </c>
      <c r="Y144" s="79" t="s">
        <v>309</v>
      </c>
      <c r="Z144" s="79"/>
    </row>
    <row r="145" ht="15.0" customHeight="1">
      <c r="A145" s="76" t="s">
        <v>247</v>
      </c>
      <c r="B145" s="77" t="s">
        <v>1894</v>
      </c>
      <c r="C145" s="80">
        <v>2.3265661939E10</v>
      </c>
      <c r="D145" s="144" t="s">
        <v>631</v>
      </c>
      <c r="E145" s="79" t="s">
        <v>1896</v>
      </c>
      <c r="F145" s="44">
        <v>2047.0</v>
      </c>
      <c r="G145" s="79" t="s">
        <v>175</v>
      </c>
      <c r="H145" s="80">
        <v>1657.0</v>
      </c>
      <c r="I145" s="79">
        <v>433010.0</v>
      </c>
      <c r="J145" s="74" t="s">
        <v>125</v>
      </c>
      <c r="K145" s="77" t="s">
        <v>1897</v>
      </c>
      <c r="L145" s="79" t="s">
        <v>453</v>
      </c>
      <c r="M145" s="79"/>
      <c r="N145" s="79"/>
      <c r="O145" s="74"/>
      <c r="P145" s="80"/>
      <c r="Q145" s="79"/>
      <c r="R145" s="80"/>
      <c r="S145" s="80"/>
      <c r="T145" s="85" t="s">
        <v>1898</v>
      </c>
      <c r="U145" s="80"/>
      <c r="V145" s="102" t="s">
        <v>429</v>
      </c>
      <c r="W145" s="79"/>
      <c r="X145" s="79"/>
      <c r="Y145" s="79"/>
      <c r="Z145" s="79"/>
    </row>
    <row r="146" ht="15.0" customHeight="1">
      <c r="A146" s="103" t="s">
        <v>24</v>
      </c>
      <c r="B146" s="79" t="s">
        <v>1899</v>
      </c>
      <c r="C146" s="80">
        <v>3.0685289578E10</v>
      </c>
      <c r="D146" s="144" t="s">
        <v>631</v>
      </c>
      <c r="E146" s="119" t="s">
        <v>1770</v>
      </c>
      <c r="F146" s="44">
        <v>9390.0</v>
      </c>
      <c r="G146" s="79" t="s">
        <v>119</v>
      </c>
      <c r="H146" s="80">
        <v>1657.0</v>
      </c>
      <c r="I146" s="79">
        <v>289999.0</v>
      </c>
      <c r="J146" s="74" t="s">
        <v>347</v>
      </c>
      <c r="K146" s="77" t="s">
        <v>1901</v>
      </c>
      <c r="L146" s="79" t="s">
        <v>453</v>
      </c>
      <c r="M146" s="79"/>
      <c r="N146" s="79">
        <v>0.0</v>
      </c>
      <c r="O146" s="74" t="s">
        <v>332</v>
      </c>
      <c r="P146" s="80"/>
      <c r="Q146" s="79"/>
      <c r="R146" s="80"/>
      <c r="S146" s="80" t="s">
        <v>1902</v>
      </c>
      <c r="T146" s="101" t="s">
        <v>332</v>
      </c>
      <c r="U146" s="80" t="s">
        <v>332</v>
      </c>
      <c r="V146" s="102" t="s">
        <v>429</v>
      </c>
      <c r="W146" s="79" t="s">
        <v>306</v>
      </c>
      <c r="X146" s="79" t="s">
        <v>306</v>
      </c>
      <c r="Y146" s="79" t="s">
        <v>309</v>
      </c>
      <c r="Z146" s="79"/>
    </row>
    <row r="147" ht="15.0" customHeight="1">
      <c r="A147" s="103" t="s">
        <v>24</v>
      </c>
      <c r="B147" s="77" t="s">
        <v>1903</v>
      </c>
      <c r="C147" s="80">
        <v>3.0709626325E10</v>
      </c>
      <c r="D147" s="119" t="s">
        <v>264</v>
      </c>
      <c r="E147" s="79" t="s">
        <v>1904</v>
      </c>
      <c r="F147" s="44">
        <v>3695.0</v>
      </c>
      <c r="G147" s="79" t="s">
        <v>15</v>
      </c>
      <c r="H147" s="80">
        <v>1678.0</v>
      </c>
      <c r="I147" s="79">
        <v>289999.0</v>
      </c>
      <c r="J147" s="74" t="s">
        <v>347</v>
      </c>
      <c r="K147" s="77" t="s">
        <v>1906</v>
      </c>
      <c r="L147" s="79" t="s">
        <v>453</v>
      </c>
      <c r="M147" s="79"/>
      <c r="N147" s="79">
        <v>1.0</v>
      </c>
      <c r="O147" s="129" t="s">
        <v>1907</v>
      </c>
      <c r="P147" s="80"/>
      <c r="Q147" s="79"/>
      <c r="R147" s="80"/>
      <c r="S147" s="78" t="s">
        <v>1908</v>
      </c>
      <c r="T147" s="85" t="s">
        <v>1909</v>
      </c>
      <c r="U147" s="80" t="s">
        <v>332</v>
      </c>
      <c r="V147" s="102" t="s">
        <v>429</v>
      </c>
      <c r="W147" s="79" t="s">
        <v>309</v>
      </c>
      <c r="X147" s="79" t="s">
        <v>309</v>
      </c>
      <c r="Y147" s="79" t="s">
        <v>309</v>
      </c>
      <c r="Z147" s="79"/>
    </row>
    <row r="148" ht="15.0" customHeight="1">
      <c r="A148" s="103" t="s">
        <v>24</v>
      </c>
      <c r="B148" s="79" t="s">
        <v>1910</v>
      </c>
      <c r="C148" s="80">
        <v>3.0612190301E10</v>
      </c>
      <c r="D148" s="144" t="s">
        <v>631</v>
      </c>
      <c r="E148" s="79" t="s">
        <v>1911</v>
      </c>
      <c r="F148" s="44">
        <v>4325.0</v>
      </c>
      <c r="G148" s="79" t="s">
        <v>68</v>
      </c>
      <c r="H148" s="80">
        <v>1702.0</v>
      </c>
      <c r="I148" s="79">
        <v>251901.0</v>
      </c>
      <c r="J148" s="74" t="s">
        <v>347</v>
      </c>
      <c r="K148" s="77" t="s">
        <v>1913</v>
      </c>
      <c r="L148" s="79"/>
      <c r="M148" s="79"/>
      <c r="N148" s="79">
        <v>0.0</v>
      </c>
      <c r="O148" s="74" t="s">
        <v>332</v>
      </c>
      <c r="P148" s="80"/>
      <c r="Q148" s="79"/>
      <c r="R148" s="80"/>
      <c r="S148" s="80" t="s">
        <v>1914</v>
      </c>
      <c r="T148" s="101" t="s">
        <v>332</v>
      </c>
      <c r="U148" s="80" t="s">
        <v>332</v>
      </c>
      <c r="V148" s="102" t="s">
        <v>429</v>
      </c>
      <c r="W148" s="79" t="s">
        <v>306</v>
      </c>
      <c r="X148" s="79" t="s">
        <v>306</v>
      </c>
      <c r="Y148" s="79" t="s">
        <v>309</v>
      </c>
      <c r="Z148" s="79"/>
    </row>
    <row r="149" ht="15.0" customHeight="1">
      <c r="A149" s="103" t="s">
        <v>24</v>
      </c>
      <c r="B149" s="77" t="s">
        <v>1915</v>
      </c>
      <c r="C149" s="80">
        <v>3.0685787543E10</v>
      </c>
      <c r="D149" s="119" t="s">
        <v>264</v>
      </c>
      <c r="E149" s="79" t="s">
        <v>1916</v>
      </c>
      <c r="F149" s="44">
        <v>1351.0</v>
      </c>
      <c r="G149" s="79" t="s">
        <v>249</v>
      </c>
      <c r="H149" s="80">
        <v>1676.0</v>
      </c>
      <c r="I149" s="79">
        <v>289993.0</v>
      </c>
      <c r="J149" s="74" t="s">
        <v>347</v>
      </c>
      <c r="K149" s="129" t="s">
        <v>638</v>
      </c>
      <c r="L149" s="79" t="s">
        <v>453</v>
      </c>
      <c r="M149" s="79"/>
      <c r="N149" s="79">
        <v>2.0</v>
      </c>
      <c r="O149" s="74" t="s">
        <v>332</v>
      </c>
      <c r="P149" s="80"/>
      <c r="Q149" s="79"/>
      <c r="R149" s="80"/>
      <c r="S149" s="78" t="s">
        <v>1918</v>
      </c>
      <c r="T149" s="101" t="s">
        <v>332</v>
      </c>
      <c r="U149" s="80" t="s">
        <v>332</v>
      </c>
      <c r="V149" s="102" t="s">
        <v>429</v>
      </c>
      <c r="W149" s="79" t="s">
        <v>306</v>
      </c>
      <c r="X149" s="79" t="s">
        <v>306</v>
      </c>
      <c r="Y149" s="79" t="s">
        <v>309</v>
      </c>
      <c r="Z149" s="79"/>
    </row>
    <row r="150" ht="15.0" customHeight="1">
      <c r="A150" s="76" t="s">
        <v>247</v>
      </c>
      <c r="B150" s="77" t="s">
        <v>1021</v>
      </c>
      <c r="C150" s="80">
        <v>3.068531704E10</v>
      </c>
      <c r="D150" s="79" t="s">
        <v>264</v>
      </c>
      <c r="E150" s="79" t="s">
        <v>723</v>
      </c>
      <c r="F150" s="44">
        <v>5142.0</v>
      </c>
      <c r="G150" s="79" t="s">
        <v>15</v>
      </c>
      <c r="H150" s="80">
        <v>1678.0</v>
      </c>
      <c r="I150" s="79">
        <v>152021.0</v>
      </c>
      <c r="J150" s="74" t="s">
        <v>73</v>
      </c>
      <c r="K150" s="77" t="s">
        <v>1920</v>
      </c>
      <c r="L150" s="79"/>
      <c r="M150" s="79"/>
      <c r="N150" s="79">
        <v>38.0</v>
      </c>
      <c r="O150" s="74" t="s">
        <v>1921</v>
      </c>
      <c r="P150" s="78" t="s">
        <v>1922</v>
      </c>
      <c r="Q150" s="79"/>
      <c r="R150" s="80"/>
      <c r="S150" s="80" t="s">
        <v>1923</v>
      </c>
      <c r="T150" s="101" t="s">
        <v>1924</v>
      </c>
      <c r="U150" s="114"/>
      <c r="V150" s="102" t="s">
        <v>1925</v>
      </c>
      <c r="W150" s="79" t="s">
        <v>309</v>
      </c>
      <c r="X150" s="79" t="s">
        <v>309</v>
      </c>
      <c r="Y150" s="79" t="s">
        <v>309</v>
      </c>
      <c r="Z150" s="79"/>
    </row>
    <row r="151" ht="15.0" customHeight="1">
      <c r="A151" s="76" t="s">
        <v>247</v>
      </c>
      <c r="B151" s="77" t="s">
        <v>1040</v>
      </c>
      <c r="C151" s="80">
        <v>3.3707830889E10</v>
      </c>
      <c r="D151" s="119" t="s">
        <v>264</v>
      </c>
      <c r="E151" s="77" t="s">
        <v>1927</v>
      </c>
      <c r="F151" s="44">
        <v>1894.0</v>
      </c>
      <c r="G151" s="79" t="s">
        <v>97</v>
      </c>
      <c r="H151" s="80">
        <v>1702.0</v>
      </c>
      <c r="I151" s="79">
        <v>562010.0</v>
      </c>
      <c r="J151" s="74" t="s">
        <v>433</v>
      </c>
      <c r="K151" s="79" t="s">
        <v>1929</v>
      </c>
      <c r="L151" s="79"/>
      <c r="M151" s="79"/>
      <c r="N151" s="79">
        <v>339.0</v>
      </c>
      <c r="O151" s="74" t="s">
        <v>1930</v>
      </c>
      <c r="P151" s="80"/>
      <c r="Q151" s="79" t="s">
        <v>1931</v>
      </c>
      <c r="R151" s="80"/>
      <c r="S151" s="80" t="s">
        <v>1932</v>
      </c>
      <c r="T151" s="85" t="s">
        <v>1933</v>
      </c>
      <c r="U151" s="78" t="s">
        <v>1934</v>
      </c>
      <c r="V151" s="102" t="s">
        <v>429</v>
      </c>
      <c r="W151" s="79" t="s">
        <v>306</v>
      </c>
      <c r="X151" s="79" t="s">
        <v>306</v>
      </c>
      <c r="Y151" s="79" t="s">
        <v>309</v>
      </c>
      <c r="Z151" s="79"/>
    </row>
    <row r="152" ht="15.0" customHeight="1">
      <c r="A152" s="76" t="s">
        <v>247</v>
      </c>
      <c r="B152" s="77" t="s">
        <v>1935</v>
      </c>
      <c r="C152" s="80">
        <v>3.050051393E10</v>
      </c>
      <c r="D152" s="119" t="s">
        <v>264</v>
      </c>
      <c r="E152" s="77" t="s">
        <v>1936</v>
      </c>
      <c r="F152" s="128">
        <v>4278.0</v>
      </c>
      <c r="G152" s="79" t="s">
        <v>68</v>
      </c>
      <c r="H152" s="80">
        <v>1702.0</v>
      </c>
      <c r="I152" s="79">
        <v>259999.0</v>
      </c>
      <c r="J152" s="74" t="s">
        <v>347</v>
      </c>
      <c r="K152" s="77" t="s">
        <v>839</v>
      </c>
      <c r="L152" s="79" t="s">
        <v>453</v>
      </c>
      <c r="M152" s="77" t="s">
        <v>1938</v>
      </c>
      <c r="N152" s="79">
        <v>7.0</v>
      </c>
      <c r="O152" s="74" t="s">
        <v>332</v>
      </c>
      <c r="P152" s="80"/>
      <c r="Q152" s="79"/>
      <c r="R152" s="80"/>
      <c r="S152" s="78" t="s">
        <v>1939</v>
      </c>
      <c r="T152" s="85" t="s">
        <v>1940</v>
      </c>
      <c r="U152" s="80" t="s">
        <v>332</v>
      </c>
      <c r="V152" s="102" t="s">
        <v>1941</v>
      </c>
      <c r="W152" s="79" t="s">
        <v>309</v>
      </c>
      <c r="X152" s="79" t="s">
        <v>309</v>
      </c>
      <c r="Y152" s="79" t="s">
        <v>309</v>
      </c>
      <c r="Z152" s="79"/>
    </row>
    <row r="153" ht="15.0" customHeight="1">
      <c r="A153" s="76" t="s">
        <v>247</v>
      </c>
      <c r="B153" s="77" t="s">
        <v>1943</v>
      </c>
      <c r="C153" s="80">
        <v>3.0707030468E10</v>
      </c>
      <c r="D153" s="119" t="s">
        <v>264</v>
      </c>
      <c r="E153" s="79" t="s">
        <v>1944</v>
      </c>
      <c r="F153" s="44">
        <v>668.0</v>
      </c>
      <c r="G153" s="79" t="s">
        <v>68</v>
      </c>
      <c r="H153" s="80">
        <v>1702.0</v>
      </c>
      <c r="I153" s="79">
        <v>251102.0</v>
      </c>
      <c r="J153" s="74" t="s">
        <v>347</v>
      </c>
      <c r="K153" s="79" t="s">
        <v>1611</v>
      </c>
      <c r="L153" s="79" t="s">
        <v>453</v>
      </c>
      <c r="M153" s="77" t="s">
        <v>1945</v>
      </c>
      <c r="N153" s="79">
        <v>39.0</v>
      </c>
      <c r="O153" s="74" t="s">
        <v>332</v>
      </c>
      <c r="P153" s="80"/>
      <c r="Q153" s="79"/>
      <c r="R153" s="80"/>
      <c r="S153" s="78" t="s">
        <v>1947</v>
      </c>
      <c r="T153" s="101" t="s">
        <v>1948</v>
      </c>
      <c r="U153" s="80" t="s">
        <v>332</v>
      </c>
      <c r="V153" s="102" t="s">
        <v>1949</v>
      </c>
      <c r="W153" s="79" t="s">
        <v>309</v>
      </c>
      <c r="X153" s="79" t="s">
        <v>309</v>
      </c>
      <c r="Y153" s="79" t="s">
        <v>309</v>
      </c>
      <c r="Z153" s="79"/>
    </row>
    <row r="154" ht="15.0" customHeight="1">
      <c r="A154" s="76" t="s">
        <v>247</v>
      </c>
      <c r="B154" s="77" t="s">
        <v>1048</v>
      </c>
      <c r="C154" s="80">
        <v>3.0715206583E10</v>
      </c>
      <c r="D154" s="119" t="s">
        <v>264</v>
      </c>
      <c r="E154" s="77" t="s">
        <v>1196</v>
      </c>
      <c r="F154" s="128">
        <v>4626.0</v>
      </c>
      <c r="G154" s="79" t="s">
        <v>15</v>
      </c>
      <c r="H154" s="80">
        <v>1678.0</v>
      </c>
      <c r="I154" s="79">
        <v>259999.0</v>
      </c>
      <c r="J154" s="74" t="s">
        <v>347</v>
      </c>
      <c r="K154" s="77" t="s">
        <v>839</v>
      </c>
      <c r="L154" s="79" t="s">
        <v>453</v>
      </c>
      <c r="M154" s="79"/>
      <c r="N154" s="79">
        <v>0.0</v>
      </c>
      <c r="O154" s="74" t="s">
        <v>1201</v>
      </c>
      <c r="P154" s="80"/>
      <c r="Q154" s="79" t="s">
        <v>1951</v>
      </c>
      <c r="R154" s="80" t="s">
        <v>1952</v>
      </c>
      <c r="S154" s="78" t="s">
        <v>1204</v>
      </c>
      <c r="T154" s="85" t="s">
        <v>1203</v>
      </c>
      <c r="U154" s="78" t="s">
        <v>1953</v>
      </c>
      <c r="V154" s="102" t="s">
        <v>1206</v>
      </c>
      <c r="W154" s="79" t="s">
        <v>306</v>
      </c>
      <c r="X154" s="79" t="s">
        <v>306</v>
      </c>
      <c r="Y154" s="79" t="s">
        <v>309</v>
      </c>
      <c r="Z154" s="79"/>
    </row>
    <row r="155">
      <c r="A155" s="76" t="s">
        <v>247</v>
      </c>
      <c r="B155" s="77" t="s">
        <v>1057</v>
      </c>
      <c r="C155" s="80">
        <v>3.0652774942E10</v>
      </c>
      <c r="D155" s="119" t="s">
        <v>264</v>
      </c>
      <c r="E155" s="77" t="s">
        <v>1955</v>
      </c>
      <c r="F155" s="128">
        <v>2932.0</v>
      </c>
      <c r="G155" s="79" t="s">
        <v>68</v>
      </c>
      <c r="H155" s="80">
        <v>1702.0</v>
      </c>
      <c r="I155" s="77">
        <v>202908.0</v>
      </c>
      <c r="J155" s="74" t="s">
        <v>316</v>
      </c>
      <c r="K155" s="77" t="s">
        <v>1766</v>
      </c>
      <c r="L155" s="79"/>
      <c r="M155" s="77" t="s">
        <v>1956</v>
      </c>
      <c r="N155" s="79">
        <v>3.0</v>
      </c>
      <c r="O155" s="74" t="s">
        <v>1957</v>
      </c>
      <c r="P155" s="207" t="s">
        <v>1958</v>
      </c>
      <c r="Q155" s="79"/>
      <c r="R155" s="80"/>
      <c r="S155" s="78" t="s">
        <v>1959</v>
      </c>
      <c r="T155" s="85" t="s">
        <v>1960</v>
      </c>
      <c r="U155" s="80" t="s">
        <v>332</v>
      </c>
      <c r="V155" s="102" t="s">
        <v>1961</v>
      </c>
      <c r="W155" s="79" t="s">
        <v>1963</v>
      </c>
      <c r="X155" s="79" t="s">
        <v>1963</v>
      </c>
      <c r="Y155" s="79" t="s">
        <v>309</v>
      </c>
      <c r="Z155" s="79"/>
    </row>
    <row r="156" ht="15.0" customHeight="1">
      <c r="A156" s="76" t="s">
        <v>247</v>
      </c>
      <c r="B156" s="77" t="s">
        <v>1964</v>
      </c>
      <c r="C156" s="80">
        <v>3.0708579889E10</v>
      </c>
      <c r="D156" s="119" t="s">
        <v>264</v>
      </c>
      <c r="E156" s="79" t="s">
        <v>1965</v>
      </c>
      <c r="F156" s="44">
        <v>5157.0</v>
      </c>
      <c r="G156" s="79" t="s">
        <v>15</v>
      </c>
      <c r="H156" s="80">
        <v>1678.0</v>
      </c>
      <c r="I156" s="79">
        <v>310010.0</v>
      </c>
      <c r="J156" s="74" t="s">
        <v>313</v>
      </c>
      <c r="K156" s="79" t="s">
        <v>1438</v>
      </c>
      <c r="L156" s="79" t="s">
        <v>1122</v>
      </c>
      <c r="M156" s="79"/>
      <c r="N156" s="79">
        <v>5.0</v>
      </c>
      <c r="O156" s="74" t="s">
        <v>332</v>
      </c>
      <c r="P156" s="80"/>
      <c r="Q156" s="79"/>
      <c r="R156" s="80"/>
      <c r="S156" s="80" t="s">
        <v>1967</v>
      </c>
      <c r="T156" s="101" t="s">
        <v>332</v>
      </c>
      <c r="U156" s="80" t="s">
        <v>332</v>
      </c>
      <c r="V156" s="86" t="s">
        <v>1968</v>
      </c>
      <c r="W156" s="79" t="s">
        <v>309</v>
      </c>
      <c r="X156" s="79" t="s">
        <v>309</v>
      </c>
      <c r="Y156" s="79" t="s">
        <v>309</v>
      </c>
      <c r="Z156" s="79"/>
    </row>
    <row r="157" ht="15.0" customHeight="1">
      <c r="A157" s="76" t="s">
        <v>247</v>
      </c>
      <c r="B157" s="77" t="s">
        <v>1969</v>
      </c>
      <c r="C157" s="80">
        <v>3.0711387524E10</v>
      </c>
      <c r="D157" s="119" t="s">
        <v>264</v>
      </c>
      <c r="E157" s="119" t="s">
        <v>1422</v>
      </c>
      <c r="F157" s="44">
        <v>2166.0</v>
      </c>
      <c r="G157" s="79" t="s">
        <v>134</v>
      </c>
      <c r="H157" s="80">
        <v>1682.0</v>
      </c>
      <c r="I157" s="79">
        <v>410011.0</v>
      </c>
      <c r="J157" s="74" t="s">
        <v>125</v>
      </c>
      <c r="K157" s="79" t="s">
        <v>1829</v>
      </c>
      <c r="L157" s="79" t="s">
        <v>453</v>
      </c>
      <c r="M157" s="79"/>
      <c r="N157" s="79">
        <v>24.0</v>
      </c>
      <c r="O157" s="74" t="s">
        <v>332</v>
      </c>
      <c r="P157" s="80"/>
      <c r="Q157" s="79"/>
      <c r="R157" s="80"/>
      <c r="S157" s="78" t="s">
        <v>1971</v>
      </c>
      <c r="T157" s="101" t="s">
        <v>332</v>
      </c>
      <c r="U157" s="80" t="s">
        <v>332</v>
      </c>
      <c r="V157" s="102" t="s">
        <v>1972</v>
      </c>
      <c r="W157" s="79" t="s">
        <v>306</v>
      </c>
      <c r="X157" s="79" t="s">
        <v>306</v>
      </c>
      <c r="Y157" s="79" t="s">
        <v>309</v>
      </c>
      <c r="Z157" s="79"/>
    </row>
    <row r="158" ht="15.0" customHeight="1">
      <c r="A158" s="103" t="s">
        <v>24</v>
      </c>
      <c r="B158" s="79" t="s">
        <v>1973</v>
      </c>
      <c r="C158" s="80">
        <v>3.0708494719E10</v>
      </c>
      <c r="D158" s="119" t="s">
        <v>264</v>
      </c>
      <c r="E158" s="79" t="s">
        <v>1974</v>
      </c>
      <c r="F158" s="44">
        <v>5560.0</v>
      </c>
      <c r="G158" s="79" t="s">
        <v>269</v>
      </c>
      <c r="H158" s="80">
        <v>1682.0</v>
      </c>
      <c r="I158" s="79">
        <v>410021.0</v>
      </c>
      <c r="J158" s="74" t="s">
        <v>125</v>
      </c>
      <c r="K158" s="77" t="s">
        <v>1264</v>
      </c>
      <c r="L158" s="79" t="s">
        <v>453</v>
      </c>
      <c r="M158" s="79"/>
      <c r="N158" s="79">
        <v>0.0</v>
      </c>
      <c r="O158" s="74" t="s">
        <v>332</v>
      </c>
      <c r="P158" s="80"/>
      <c r="Q158" s="79"/>
      <c r="R158" s="80"/>
      <c r="S158" s="80" t="s">
        <v>1976</v>
      </c>
      <c r="T158" s="101" t="s">
        <v>1977</v>
      </c>
      <c r="U158" s="80" t="s">
        <v>332</v>
      </c>
      <c r="V158" s="102" t="s">
        <v>429</v>
      </c>
      <c r="W158" s="79" t="s">
        <v>306</v>
      </c>
      <c r="X158" s="79" t="s">
        <v>306</v>
      </c>
      <c r="Y158" s="79" t="s">
        <v>309</v>
      </c>
      <c r="Z158" s="79"/>
    </row>
    <row r="159" ht="15.0" customHeight="1">
      <c r="A159" s="103" t="s">
        <v>24</v>
      </c>
      <c r="B159" s="77" t="s">
        <v>1978</v>
      </c>
      <c r="C159" s="80">
        <v>3.0707289178E10</v>
      </c>
      <c r="D159" s="144" t="s">
        <v>631</v>
      </c>
      <c r="E159" s="79" t="s">
        <v>478</v>
      </c>
      <c r="F159" s="44">
        <v>12358.0</v>
      </c>
      <c r="G159" s="79" t="s">
        <v>68</v>
      </c>
      <c r="H159" s="80">
        <v>1702.0</v>
      </c>
      <c r="I159" s="79">
        <v>293090.0</v>
      </c>
      <c r="J159" s="74" t="s">
        <v>347</v>
      </c>
      <c r="K159" s="77" t="s">
        <v>407</v>
      </c>
      <c r="L159" s="79"/>
      <c r="M159" s="79"/>
      <c r="N159" s="79">
        <v>12.0</v>
      </c>
      <c r="O159" s="74" t="s">
        <v>332</v>
      </c>
      <c r="P159" s="80"/>
      <c r="Q159" s="79"/>
      <c r="R159" s="80"/>
      <c r="S159" s="80" t="s">
        <v>1980</v>
      </c>
      <c r="T159" s="101" t="s">
        <v>1981</v>
      </c>
      <c r="U159" s="80" t="s">
        <v>1982</v>
      </c>
      <c r="V159" s="102" t="s">
        <v>429</v>
      </c>
      <c r="W159" s="79" t="s">
        <v>306</v>
      </c>
      <c r="X159" s="79" t="s">
        <v>306</v>
      </c>
      <c r="Y159" s="79" t="s">
        <v>309</v>
      </c>
      <c r="Z159" s="79"/>
    </row>
    <row r="160" ht="15.0" customHeight="1">
      <c r="A160" s="76" t="s">
        <v>247</v>
      </c>
      <c r="B160" s="77" t="s">
        <v>1063</v>
      </c>
      <c r="C160" s="80">
        <v>3.0687219127E10</v>
      </c>
      <c r="D160" s="119" t="s">
        <v>264</v>
      </c>
      <c r="E160" s="77" t="s">
        <v>1983</v>
      </c>
      <c r="F160" s="44">
        <v>7534.0</v>
      </c>
      <c r="G160" s="79" t="s">
        <v>269</v>
      </c>
      <c r="H160" s="80">
        <v>1682.0</v>
      </c>
      <c r="I160" s="79">
        <v>105030.0</v>
      </c>
      <c r="J160" s="74" t="s">
        <v>22</v>
      </c>
      <c r="K160" s="79" t="s">
        <v>1052</v>
      </c>
      <c r="L160" s="79"/>
      <c r="M160" s="77" t="s">
        <v>1985</v>
      </c>
      <c r="N160" s="79">
        <v>60.0</v>
      </c>
      <c r="O160" s="83" t="s">
        <v>1986</v>
      </c>
      <c r="P160" s="78" t="s">
        <v>1987</v>
      </c>
      <c r="Q160" s="77" t="s">
        <v>1988</v>
      </c>
      <c r="R160" s="78" t="s">
        <v>1989</v>
      </c>
      <c r="S160" s="78" t="s">
        <v>1990</v>
      </c>
      <c r="T160" s="85" t="s">
        <v>1991</v>
      </c>
      <c r="U160" s="80"/>
      <c r="V160" s="102" t="s">
        <v>1992</v>
      </c>
      <c r="W160" s="79" t="s">
        <v>309</v>
      </c>
      <c r="X160" s="79" t="s">
        <v>309</v>
      </c>
      <c r="Y160" s="126" t="s">
        <v>309</v>
      </c>
      <c r="Z160" s="79"/>
    </row>
    <row r="161" ht="15.0" customHeight="1">
      <c r="A161" s="76" t="s">
        <v>247</v>
      </c>
      <c r="B161" s="77" t="s">
        <v>1067</v>
      </c>
      <c r="C161" s="80">
        <v>3.0626740142E10</v>
      </c>
      <c r="D161" s="79" t="s">
        <v>264</v>
      </c>
      <c r="E161" s="77" t="s">
        <v>1993</v>
      </c>
      <c r="F161" s="44">
        <v>6941.0</v>
      </c>
      <c r="G161" s="79" t="s">
        <v>269</v>
      </c>
      <c r="H161" s="80">
        <v>1682.0</v>
      </c>
      <c r="I161" s="79">
        <v>369101.0</v>
      </c>
      <c r="J161" s="74" t="s">
        <v>375</v>
      </c>
      <c r="K161" s="77" t="s">
        <v>1995</v>
      </c>
      <c r="L161" s="79"/>
      <c r="M161" s="79"/>
      <c r="N161" s="79">
        <v>0.0</v>
      </c>
      <c r="O161" s="208" t="s">
        <v>1996</v>
      </c>
      <c r="P161" s="153" t="s">
        <v>1997</v>
      </c>
      <c r="Q161" s="79"/>
      <c r="R161" s="80"/>
      <c r="S161" s="80" t="s">
        <v>1998</v>
      </c>
      <c r="T161" s="101" t="s">
        <v>1999</v>
      </c>
      <c r="U161" s="80" t="s">
        <v>332</v>
      </c>
      <c r="V161" s="102" t="s">
        <v>2000</v>
      </c>
      <c r="W161" s="79" t="s">
        <v>309</v>
      </c>
      <c r="X161" s="79" t="s">
        <v>309</v>
      </c>
      <c r="Y161" s="79" t="s">
        <v>309</v>
      </c>
      <c r="Z161" s="79"/>
    </row>
    <row r="162" ht="15.0" customHeight="1">
      <c r="A162" s="103" t="s">
        <v>24</v>
      </c>
      <c r="B162" s="77" t="s">
        <v>2002</v>
      </c>
      <c r="C162" s="80">
        <v>3.0645603717E10</v>
      </c>
      <c r="D162" s="119" t="s">
        <v>264</v>
      </c>
      <c r="E162" s="79" t="s">
        <v>2003</v>
      </c>
      <c r="F162" s="44">
        <v>3754.0</v>
      </c>
      <c r="G162" s="79" t="s">
        <v>68</v>
      </c>
      <c r="H162" s="80">
        <v>1702.0</v>
      </c>
      <c r="I162" s="79">
        <v>210202.0</v>
      </c>
      <c r="J162" s="74" t="s">
        <v>283</v>
      </c>
      <c r="K162" s="77" t="s">
        <v>2004</v>
      </c>
      <c r="L162" s="79"/>
      <c r="M162" s="79"/>
      <c r="N162" s="79">
        <v>0.0</v>
      </c>
      <c r="O162" s="74" t="s">
        <v>332</v>
      </c>
      <c r="P162" s="80"/>
      <c r="Q162" s="79"/>
      <c r="R162" s="80"/>
      <c r="S162" s="80" t="s">
        <v>2005</v>
      </c>
      <c r="T162" s="101" t="s">
        <v>332</v>
      </c>
      <c r="U162" s="80" t="s">
        <v>332</v>
      </c>
      <c r="V162" s="102" t="s">
        <v>429</v>
      </c>
      <c r="W162" s="79" t="s">
        <v>306</v>
      </c>
      <c r="X162" s="79" t="s">
        <v>306</v>
      </c>
      <c r="Y162" s="79" t="s">
        <v>309</v>
      </c>
      <c r="Z162" s="79"/>
    </row>
    <row r="163" ht="15.0" customHeight="1">
      <c r="A163" s="76" t="s">
        <v>247</v>
      </c>
      <c r="B163" s="77" t="s">
        <v>2006</v>
      </c>
      <c r="C163" s="80">
        <v>3.070712156E10</v>
      </c>
      <c r="D163" s="144" t="s">
        <v>631</v>
      </c>
      <c r="E163" s="79" t="s">
        <v>2007</v>
      </c>
      <c r="F163" s="44">
        <v>5514.0</v>
      </c>
      <c r="G163" s="79" t="s">
        <v>15</v>
      </c>
      <c r="H163" s="80">
        <v>1678.0</v>
      </c>
      <c r="I163" s="79">
        <v>259993.0</v>
      </c>
      <c r="J163" s="74" t="s">
        <v>347</v>
      </c>
      <c r="K163" s="129" t="s">
        <v>638</v>
      </c>
      <c r="L163" s="79" t="s">
        <v>453</v>
      </c>
      <c r="M163" s="79"/>
      <c r="N163" s="79">
        <v>2.0</v>
      </c>
      <c r="O163" s="83" t="s">
        <v>2009</v>
      </c>
      <c r="P163" s="78" t="s">
        <v>2010</v>
      </c>
      <c r="Q163" s="79"/>
      <c r="R163" s="80"/>
      <c r="S163" s="80" t="s">
        <v>2011</v>
      </c>
      <c r="T163" s="101" t="s">
        <v>332</v>
      </c>
      <c r="U163" s="80" t="s">
        <v>332</v>
      </c>
      <c r="V163" s="102" t="s">
        <v>429</v>
      </c>
      <c r="W163" s="79" t="s">
        <v>306</v>
      </c>
      <c r="X163" s="79" t="s">
        <v>306</v>
      </c>
      <c r="Y163" s="79" t="s">
        <v>309</v>
      </c>
      <c r="Z163" s="79"/>
    </row>
    <row r="164" ht="15.0" customHeight="1">
      <c r="A164" s="76" t="s">
        <v>247</v>
      </c>
      <c r="B164" s="77" t="s">
        <v>2012</v>
      </c>
      <c r="C164" s="80">
        <v>3.0711362467E10</v>
      </c>
      <c r="D164" s="119" t="s">
        <v>264</v>
      </c>
      <c r="E164" s="77" t="s">
        <v>1983</v>
      </c>
      <c r="F164" s="210">
        <v>7290.0</v>
      </c>
      <c r="G164" s="79" t="s">
        <v>269</v>
      </c>
      <c r="H164" s="80">
        <v>1682.0</v>
      </c>
      <c r="I164" s="79">
        <v>239600.0</v>
      </c>
      <c r="J164" s="74" t="s">
        <v>125</v>
      </c>
      <c r="K164" s="79" t="s">
        <v>2013</v>
      </c>
      <c r="L164" s="79" t="s">
        <v>453</v>
      </c>
      <c r="M164" s="79"/>
      <c r="N164" s="79">
        <v>11.0</v>
      </c>
      <c r="O164" s="74" t="s">
        <v>332</v>
      </c>
      <c r="P164" s="80"/>
      <c r="Q164" s="79"/>
      <c r="R164" s="80"/>
      <c r="S164" s="78" t="s">
        <v>2015</v>
      </c>
      <c r="T164" s="101" t="s">
        <v>2016</v>
      </c>
      <c r="U164" s="80"/>
      <c r="V164" s="102" t="s">
        <v>2017</v>
      </c>
      <c r="W164" s="79" t="s">
        <v>306</v>
      </c>
      <c r="X164" s="79" t="s">
        <v>306</v>
      </c>
      <c r="Y164" s="79" t="s">
        <v>309</v>
      </c>
      <c r="Z164" s="79"/>
    </row>
    <row r="165" ht="15.0" customHeight="1">
      <c r="A165" s="76" t="s">
        <v>247</v>
      </c>
      <c r="B165" s="77" t="s">
        <v>2018</v>
      </c>
      <c r="C165" s="80">
        <v>3.0708408219E10</v>
      </c>
      <c r="D165" s="79" t="s">
        <v>264</v>
      </c>
      <c r="E165" s="79" t="s">
        <v>1079</v>
      </c>
      <c r="F165" s="44">
        <v>5461.0</v>
      </c>
      <c r="G165" s="79" t="s">
        <v>15</v>
      </c>
      <c r="H165" s="80">
        <v>1678.0</v>
      </c>
      <c r="I165" s="79">
        <v>151200.0</v>
      </c>
      <c r="J165" s="74" t="s">
        <v>163</v>
      </c>
      <c r="K165" s="77" t="s">
        <v>749</v>
      </c>
      <c r="L165" s="79" t="s">
        <v>369</v>
      </c>
      <c r="M165" s="77" t="s">
        <v>2019</v>
      </c>
      <c r="N165" s="79">
        <v>8.0</v>
      </c>
      <c r="O165" s="74" t="s">
        <v>2020</v>
      </c>
      <c r="P165" s="78" t="s">
        <v>2022</v>
      </c>
      <c r="Q165" s="79"/>
      <c r="R165" s="80"/>
      <c r="S165" s="78" t="s">
        <v>2023</v>
      </c>
      <c r="T165" s="78" t="s">
        <v>2024</v>
      </c>
      <c r="U165" s="78" t="s">
        <v>2025</v>
      </c>
      <c r="V165" s="102" t="s">
        <v>2026</v>
      </c>
      <c r="W165" s="79" t="s">
        <v>309</v>
      </c>
      <c r="X165" s="79" t="s">
        <v>309</v>
      </c>
      <c r="Y165" s="79" t="s">
        <v>309</v>
      </c>
      <c r="Z165" s="79"/>
    </row>
    <row r="166" ht="15.0" customHeight="1">
      <c r="A166" s="103" t="s">
        <v>24</v>
      </c>
      <c r="B166" s="79" t="s">
        <v>2027</v>
      </c>
      <c r="C166" s="80">
        <v>3.0714180599E10</v>
      </c>
      <c r="D166" s="119" t="s">
        <v>264</v>
      </c>
      <c r="E166" s="79" t="s">
        <v>2029</v>
      </c>
      <c r="F166" s="44">
        <v>652.0</v>
      </c>
      <c r="G166" s="79" t="s">
        <v>119</v>
      </c>
      <c r="H166" s="80">
        <v>1657.0</v>
      </c>
      <c r="I166" s="77">
        <v>433010.0</v>
      </c>
      <c r="J166" s="74" t="s">
        <v>125</v>
      </c>
      <c r="K166" s="77" t="s">
        <v>1897</v>
      </c>
      <c r="L166" s="79" t="s">
        <v>453</v>
      </c>
      <c r="M166" s="79"/>
      <c r="N166" s="79">
        <v>1.0</v>
      </c>
      <c r="O166" s="74" t="s">
        <v>332</v>
      </c>
      <c r="P166" s="80"/>
      <c r="Q166" s="79"/>
      <c r="R166" s="80"/>
      <c r="S166" s="78" t="s">
        <v>2030</v>
      </c>
      <c r="T166" s="101" t="s">
        <v>332</v>
      </c>
      <c r="U166" s="80" t="s">
        <v>332</v>
      </c>
      <c r="V166" s="102" t="s">
        <v>429</v>
      </c>
      <c r="W166" s="79" t="s">
        <v>306</v>
      </c>
      <c r="X166" s="79" t="s">
        <v>306</v>
      </c>
      <c r="Y166" s="79" t="s">
        <v>309</v>
      </c>
      <c r="Z166" s="79"/>
    </row>
    <row r="167" ht="15.75" customHeight="1">
      <c r="A167" s="76" t="s">
        <v>247</v>
      </c>
      <c r="B167" s="77" t="s">
        <v>2031</v>
      </c>
      <c r="C167" s="80">
        <v>3.0693447786E10</v>
      </c>
      <c r="D167" s="119" t="s">
        <v>264</v>
      </c>
      <c r="E167" s="77" t="s">
        <v>943</v>
      </c>
      <c r="F167" s="44">
        <v>4557.0</v>
      </c>
      <c r="G167" s="79" t="s">
        <v>15</v>
      </c>
      <c r="H167" s="80">
        <v>1678.0</v>
      </c>
      <c r="I167" s="79">
        <v>259999.0</v>
      </c>
      <c r="J167" s="74" t="s">
        <v>347</v>
      </c>
      <c r="K167" s="77" t="s">
        <v>839</v>
      </c>
      <c r="L167" s="79" t="s">
        <v>453</v>
      </c>
      <c r="M167" s="79"/>
      <c r="N167" s="79">
        <v>0.0</v>
      </c>
      <c r="O167" s="74" t="s">
        <v>332</v>
      </c>
      <c r="P167" s="80"/>
      <c r="Q167" s="79"/>
      <c r="R167" s="80"/>
      <c r="S167" s="78" t="s">
        <v>2033</v>
      </c>
      <c r="T167" s="85" t="s">
        <v>2034</v>
      </c>
      <c r="U167" s="85"/>
      <c r="V167" s="102" t="s">
        <v>2035</v>
      </c>
      <c r="W167" s="79" t="s">
        <v>309</v>
      </c>
      <c r="X167" s="79" t="s">
        <v>309</v>
      </c>
      <c r="Y167" s="79" t="s">
        <v>309</v>
      </c>
      <c r="Z167" s="79"/>
    </row>
    <row r="168" ht="15.75" customHeight="1">
      <c r="A168" s="103" t="s">
        <v>24</v>
      </c>
      <c r="B168" s="77" t="s">
        <v>2037</v>
      </c>
      <c r="C168" s="80">
        <v>3.0568586847E10</v>
      </c>
      <c r="D168" s="119" t="s">
        <v>264</v>
      </c>
      <c r="E168" s="79" t="s">
        <v>1955</v>
      </c>
      <c r="F168" s="44">
        <v>3673.0</v>
      </c>
      <c r="G168" s="79" t="s">
        <v>68</v>
      </c>
      <c r="H168" s="80">
        <v>1702.0</v>
      </c>
      <c r="I168" s="79">
        <v>222200.0</v>
      </c>
      <c r="J168" s="74" t="s">
        <v>433</v>
      </c>
      <c r="K168" s="77" t="s">
        <v>1833</v>
      </c>
      <c r="L168" s="79"/>
      <c r="M168" s="79"/>
      <c r="N168" s="79">
        <v>0.0</v>
      </c>
      <c r="O168" s="74" t="s">
        <v>332</v>
      </c>
      <c r="P168" s="80"/>
      <c r="Q168" s="79"/>
      <c r="R168" s="80"/>
      <c r="S168" s="78" t="s">
        <v>2039</v>
      </c>
      <c r="T168" s="101" t="s">
        <v>2040</v>
      </c>
      <c r="U168" s="80" t="s">
        <v>332</v>
      </c>
      <c r="V168" s="102" t="s">
        <v>429</v>
      </c>
      <c r="W168" s="79" t="s">
        <v>309</v>
      </c>
      <c r="X168" s="79" t="s">
        <v>309</v>
      </c>
      <c r="Y168" s="79" t="s">
        <v>309</v>
      </c>
      <c r="Z168" s="79"/>
    </row>
    <row r="169" ht="15.75" customHeight="1">
      <c r="A169" s="103" t="s">
        <v>24</v>
      </c>
      <c r="B169" s="77" t="s">
        <v>2041</v>
      </c>
      <c r="C169" s="80">
        <v>3.0715051407E10</v>
      </c>
      <c r="D169" s="119" t="s">
        <v>264</v>
      </c>
      <c r="E169" s="79" t="s">
        <v>2042</v>
      </c>
      <c r="F169" s="44">
        <v>3843.0</v>
      </c>
      <c r="G169" s="79" t="s">
        <v>68</v>
      </c>
      <c r="H169" s="80">
        <v>1702.0</v>
      </c>
      <c r="I169" s="77">
        <v>464130.0</v>
      </c>
      <c r="J169" s="74" t="s">
        <v>73</v>
      </c>
      <c r="K169" s="77" t="s">
        <v>2043</v>
      </c>
      <c r="L169" s="79"/>
      <c r="M169" s="79"/>
      <c r="N169" s="79">
        <v>0.0</v>
      </c>
      <c r="O169" s="74" t="s">
        <v>332</v>
      </c>
      <c r="P169" s="80"/>
      <c r="Q169" s="79"/>
      <c r="R169" s="80"/>
      <c r="S169" s="80" t="s">
        <v>2045</v>
      </c>
      <c r="T169" s="101" t="s">
        <v>2046</v>
      </c>
      <c r="U169" s="80" t="s">
        <v>332</v>
      </c>
      <c r="V169" s="102" t="s">
        <v>429</v>
      </c>
      <c r="W169" s="79" t="s">
        <v>306</v>
      </c>
      <c r="X169" s="79" t="s">
        <v>306</v>
      </c>
      <c r="Y169" s="79" t="s">
        <v>309</v>
      </c>
      <c r="Z169" s="79"/>
    </row>
    <row r="170" ht="15.75" customHeight="1">
      <c r="A170" s="76" t="s">
        <v>247</v>
      </c>
      <c r="B170" s="77" t="s">
        <v>2047</v>
      </c>
      <c r="C170" s="80">
        <v>3.0644537788E10</v>
      </c>
      <c r="D170" s="119" t="s">
        <v>264</v>
      </c>
      <c r="E170" s="77" t="s">
        <v>2048</v>
      </c>
      <c r="F170" s="44">
        <v>8844.0</v>
      </c>
      <c r="G170" s="79" t="s">
        <v>119</v>
      </c>
      <c r="H170" s="80">
        <v>1657.0</v>
      </c>
      <c r="I170" s="79">
        <v>251102.0</v>
      </c>
      <c r="J170" s="74" t="s">
        <v>347</v>
      </c>
      <c r="K170" s="79" t="s">
        <v>1611</v>
      </c>
      <c r="L170" s="79" t="s">
        <v>453</v>
      </c>
      <c r="M170" s="77" t="s">
        <v>2049</v>
      </c>
      <c r="N170" s="79">
        <v>58.0</v>
      </c>
      <c r="O170" s="74" t="s">
        <v>2051</v>
      </c>
      <c r="P170" s="85" t="s">
        <v>2052</v>
      </c>
      <c r="Q170" s="79"/>
      <c r="R170" s="80"/>
      <c r="S170" s="80" t="s">
        <v>2046</v>
      </c>
      <c r="T170" s="101" t="s">
        <v>2045</v>
      </c>
      <c r="U170" s="80" t="s">
        <v>2053</v>
      </c>
      <c r="V170" s="102" t="s">
        <v>2054</v>
      </c>
      <c r="W170" s="79" t="s">
        <v>309</v>
      </c>
      <c r="X170" s="79" t="s">
        <v>309</v>
      </c>
      <c r="Y170" s="79" t="s">
        <v>309</v>
      </c>
      <c r="Z170" s="79"/>
    </row>
    <row r="171" ht="15.75" customHeight="1">
      <c r="A171" s="103" t="s">
        <v>24</v>
      </c>
      <c r="B171" s="77" t="s">
        <v>2055</v>
      </c>
      <c r="C171" s="80">
        <v>3.0701134113E10</v>
      </c>
      <c r="D171" s="119" t="s">
        <v>264</v>
      </c>
      <c r="E171" s="77" t="s">
        <v>1088</v>
      </c>
      <c r="F171" s="128">
        <v>4740.0</v>
      </c>
      <c r="G171" s="77" t="s">
        <v>15</v>
      </c>
      <c r="H171" s="78">
        <v>1678.0</v>
      </c>
      <c r="I171" s="79">
        <v>421000.0</v>
      </c>
      <c r="J171" s="74" t="s">
        <v>125</v>
      </c>
      <c r="K171" s="77" t="s">
        <v>2057</v>
      </c>
      <c r="L171" s="79" t="s">
        <v>453</v>
      </c>
      <c r="M171" s="79"/>
      <c r="N171" s="79">
        <v>18.0</v>
      </c>
      <c r="O171" s="83" t="s">
        <v>2058</v>
      </c>
      <c r="P171" s="78" t="s">
        <v>2059</v>
      </c>
      <c r="Q171" s="79"/>
      <c r="R171" s="80"/>
      <c r="S171" s="80" t="s">
        <v>2060</v>
      </c>
      <c r="T171" s="101" t="s">
        <v>2061</v>
      </c>
      <c r="U171" s="78" t="s">
        <v>2062</v>
      </c>
      <c r="V171" s="102" t="s">
        <v>2063</v>
      </c>
      <c r="W171" s="79" t="s">
        <v>309</v>
      </c>
      <c r="X171" s="79" t="s">
        <v>309</v>
      </c>
      <c r="Y171" s="79" t="s">
        <v>309</v>
      </c>
      <c r="Z171" s="79"/>
    </row>
    <row r="172" ht="15.75" customHeight="1">
      <c r="A172" s="103" t="s">
        <v>24</v>
      </c>
      <c r="B172" s="79" t="s">
        <v>2065</v>
      </c>
      <c r="C172" s="80">
        <v>2.0041254204E10</v>
      </c>
      <c r="D172" s="77" t="s">
        <v>631</v>
      </c>
      <c r="E172" s="79" t="s">
        <v>1323</v>
      </c>
      <c r="F172" s="44">
        <v>2633.0</v>
      </c>
      <c r="G172" s="79" t="s">
        <v>15</v>
      </c>
      <c r="H172" s="80">
        <v>1678.0</v>
      </c>
      <c r="I172" s="79">
        <v>274000.0</v>
      </c>
      <c r="J172" s="83" t="s">
        <v>185</v>
      </c>
      <c r="K172" s="77" t="s">
        <v>2067</v>
      </c>
      <c r="L172" s="79"/>
      <c r="M172" s="77" t="s">
        <v>2067</v>
      </c>
      <c r="N172" s="79"/>
      <c r="O172" s="74" t="s">
        <v>2068</v>
      </c>
      <c r="P172" s="80"/>
      <c r="Q172" s="79"/>
      <c r="R172" s="80"/>
      <c r="S172" s="78" t="s">
        <v>2069</v>
      </c>
      <c r="T172" s="101" t="s">
        <v>2070</v>
      </c>
      <c r="U172" s="80"/>
      <c r="V172" s="98" t="s">
        <v>2071</v>
      </c>
      <c r="W172" s="79"/>
      <c r="X172" s="79"/>
      <c r="Y172" s="79" t="s">
        <v>309</v>
      </c>
      <c r="Z172" s="79"/>
    </row>
    <row r="173" ht="15.75" customHeight="1">
      <c r="A173" s="76" t="s">
        <v>247</v>
      </c>
      <c r="B173" s="77" t="s">
        <v>2073</v>
      </c>
      <c r="C173" s="80">
        <v>3.0701756661E10</v>
      </c>
      <c r="D173" s="119" t="s">
        <v>264</v>
      </c>
      <c r="E173" s="119" t="s">
        <v>1422</v>
      </c>
      <c r="F173" s="44">
        <v>5241.0</v>
      </c>
      <c r="G173" s="79" t="s">
        <v>119</v>
      </c>
      <c r="H173" s="80">
        <v>1657.0</v>
      </c>
      <c r="I173" s="79">
        <v>222090.0</v>
      </c>
      <c r="J173" s="83" t="s">
        <v>568</v>
      </c>
      <c r="K173" s="77" t="s">
        <v>569</v>
      </c>
      <c r="L173" s="79" t="s">
        <v>453</v>
      </c>
      <c r="M173" s="79"/>
      <c r="N173" s="79">
        <v>35.0</v>
      </c>
      <c r="O173" s="74" t="s">
        <v>332</v>
      </c>
      <c r="P173" s="80"/>
      <c r="Q173" s="79"/>
      <c r="R173" s="80"/>
      <c r="S173" s="80" t="s">
        <v>2075</v>
      </c>
      <c r="T173" s="101" t="s">
        <v>2076</v>
      </c>
      <c r="U173" s="80" t="s">
        <v>332</v>
      </c>
      <c r="V173" s="102" t="s">
        <v>2078</v>
      </c>
      <c r="W173" s="79" t="s">
        <v>309</v>
      </c>
      <c r="X173" s="79" t="s">
        <v>309</v>
      </c>
      <c r="Y173" s="79" t="s">
        <v>309</v>
      </c>
      <c r="Z173" s="79"/>
    </row>
    <row r="174" ht="15.0" customHeight="1">
      <c r="A174" s="76" t="s">
        <v>247</v>
      </c>
      <c r="B174" s="77" t="s">
        <v>1076</v>
      </c>
      <c r="C174" s="80">
        <v>3.0710238061E10</v>
      </c>
      <c r="D174" s="119" t="s">
        <v>264</v>
      </c>
      <c r="E174" s="79" t="s">
        <v>2079</v>
      </c>
      <c r="F174" s="44">
        <v>891.0</v>
      </c>
      <c r="G174" s="79" t="s">
        <v>119</v>
      </c>
      <c r="H174" s="101">
        <v>1657.0</v>
      </c>
      <c r="I174" s="77">
        <v>279000.0</v>
      </c>
      <c r="J174" s="83" t="s">
        <v>185</v>
      </c>
      <c r="K174" s="77" t="s">
        <v>2081</v>
      </c>
      <c r="L174" s="79"/>
      <c r="M174" s="79"/>
      <c r="N174" s="79">
        <v>1.0</v>
      </c>
      <c r="O174" s="83" t="s">
        <v>2082</v>
      </c>
      <c r="P174" s="78" t="s">
        <v>2083</v>
      </c>
      <c r="Q174" s="119" t="s">
        <v>2084</v>
      </c>
      <c r="R174" s="78" t="s">
        <v>2085</v>
      </c>
      <c r="S174" s="80" t="s">
        <v>2086</v>
      </c>
      <c r="T174" s="101" t="s">
        <v>332</v>
      </c>
      <c r="U174" s="80" t="s">
        <v>332</v>
      </c>
      <c r="V174" s="102" t="s">
        <v>429</v>
      </c>
      <c r="W174" s="79" t="s">
        <v>309</v>
      </c>
      <c r="X174" s="79" t="s">
        <v>309</v>
      </c>
      <c r="Y174" s="79" t="s">
        <v>309</v>
      </c>
      <c r="Z174" s="79"/>
    </row>
    <row r="175" ht="15.75" customHeight="1">
      <c r="A175" s="103" t="s">
        <v>24</v>
      </c>
      <c r="B175" s="79" t="s">
        <v>2088</v>
      </c>
      <c r="C175" s="80">
        <v>3.0613733252E10</v>
      </c>
      <c r="D175" s="144" t="s">
        <v>631</v>
      </c>
      <c r="E175" s="79" t="s">
        <v>2089</v>
      </c>
      <c r="F175" s="44">
        <v>4626.0</v>
      </c>
      <c r="G175" s="79" t="s">
        <v>68</v>
      </c>
      <c r="H175" s="80">
        <v>1702.0</v>
      </c>
      <c r="I175" s="79">
        <v>381993.0</v>
      </c>
      <c r="J175" s="74" t="s">
        <v>347</v>
      </c>
      <c r="K175" s="79" t="s">
        <v>2090</v>
      </c>
      <c r="L175" s="79" t="s">
        <v>453</v>
      </c>
      <c r="M175" s="79"/>
      <c r="N175" s="79">
        <v>0.0</v>
      </c>
      <c r="O175" s="74" t="s">
        <v>332</v>
      </c>
      <c r="P175" s="80"/>
      <c r="Q175" s="79"/>
      <c r="R175" s="80"/>
      <c r="S175" s="80" t="s">
        <v>2092</v>
      </c>
      <c r="T175" s="101" t="s">
        <v>2093</v>
      </c>
      <c r="U175" s="80" t="s">
        <v>332</v>
      </c>
      <c r="V175" s="102" t="s">
        <v>429</v>
      </c>
      <c r="W175" s="79" t="s">
        <v>306</v>
      </c>
      <c r="X175" s="79" t="s">
        <v>306</v>
      </c>
      <c r="Y175" s="79" t="s">
        <v>309</v>
      </c>
      <c r="Z175" s="79"/>
    </row>
    <row r="176" ht="15.0" customHeight="1">
      <c r="A176" s="103" t="s">
        <v>24</v>
      </c>
      <c r="B176" s="79" t="s">
        <v>2095</v>
      </c>
      <c r="C176" s="80">
        <v>3.0685258117E10</v>
      </c>
      <c r="D176" s="144" t="s">
        <v>631</v>
      </c>
      <c r="E176" s="77" t="s">
        <v>1458</v>
      </c>
      <c r="F176" s="44">
        <v>4792.0</v>
      </c>
      <c r="G176" s="79" t="s">
        <v>15</v>
      </c>
      <c r="H176" s="80">
        <v>1678.0</v>
      </c>
      <c r="I176" s="79">
        <v>526909.0</v>
      </c>
      <c r="J176" s="74" t="s">
        <v>433</v>
      </c>
      <c r="K176" s="77" t="s">
        <v>2096</v>
      </c>
      <c r="L176" s="79"/>
      <c r="M176" s="79"/>
      <c r="N176" s="79">
        <v>0.0</v>
      </c>
      <c r="O176" s="74" t="s">
        <v>332</v>
      </c>
      <c r="P176" s="80"/>
      <c r="Q176" s="79"/>
      <c r="R176" s="80"/>
      <c r="S176" s="80" t="s">
        <v>2098</v>
      </c>
      <c r="T176" s="101" t="s">
        <v>2099</v>
      </c>
      <c r="U176" s="80" t="s">
        <v>332</v>
      </c>
      <c r="V176" s="102" t="s">
        <v>429</v>
      </c>
      <c r="W176" s="79" t="s">
        <v>306</v>
      </c>
      <c r="X176" s="79" t="s">
        <v>306</v>
      </c>
      <c r="Y176" s="79" t="s">
        <v>309</v>
      </c>
      <c r="Z176" s="79"/>
    </row>
    <row r="177" ht="15.75" customHeight="1">
      <c r="A177" s="103" t="s">
        <v>24</v>
      </c>
      <c r="B177" s="79" t="s">
        <v>2100</v>
      </c>
      <c r="C177" s="80">
        <v>3.0611258654E10</v>
      </c>
      <c r="D177" s="144" t="s">
        <v>631</v>
      </c>
      <c r="E177" s="77" t="s">
        <v>2102</v>
      </c>
      <c r="F177" s="44">
        <v>5257.0</v>
      </c>
      <c r="G177" s="79" t="s">
        <v>15</v>
      </c>
      <c r="H177" s="80">
        <v>1678.0</v>
      </c>
      <c r="I177" s="79">
        <v>343000.0</v>
      </c>
      <c r="J177" s="74" t="s">
        <v>347</v>
      </c>
      <c r="K177" s="79" t="s">
        <v>2104</v>
      </c>
      <c r="L177" s="79"/>
      <c r="M177" s="79"/>
      <c r="N177" s="79">
        <v>0.0</v>
      </c>
      <c r="O177" s="74" t="s">
        <v>332</v>
      </c>
      <c r="P177" s="80"/>
      <c r="Q177" s="79"/>
      <c r="R177" s="80"/>
      <c r="S177" s="80" t="s">
        <v>2106</v>
      </c>
      <c r="T177" s="101" t="s">
        <v>2107</v>
      </c>
      <c r="U177" s="80" t="s">
        <v>332</v>
      </c>
      <c r="V177" s="102" t="s">
        <v>429</v>
      </c>
      <c r="W177" s="79" t="s">
        <v>306</v>
      </c>
      <c r="X177" s="79" t="s">
        <v>306</v>
      </c>
      <c r="Y177" s="79" t="s">
        <v>309</v>
      </c>
      <c r="Z177" s="79"/>
    </row>
    <row r="178" ht="15.75" customHeight="1">
      <c r="A178" s="76" t="s">
        <v>247</v>
      </c>
      <c r="B178" s="77" t="s">
        <v>2109</v>
      </c>
      <c r="C178" s="80">
        <v>3.0690376764E10</v>
      </c>
      <c r="D178" s="119" t="s">
        <v>264</v>
      </c>
      <c r="E178" s="77" t="s">
        <v>2102</v>
      </c>
      <c r="F178" s="44">
        <v>5257.0</v>
      </c>
      <c r="G178" s="79" t="s">
        <v>15</v>
      </c>
      <c r="H178" s="80">
        <v>1678.0</v>
      </c>
      <c r="I178" s="79">
        <v>259999.0</v>
      </c>
      <c r="J178" s="83" t="s">
        <v>347</v>
      </c>
      <c r="K178" s="77" t="s">
        <v>839</v>
      </c>
      <c r="L178" s="79" t="s">
        <v>453</v>
      </c>
      <c r="M178" s="79" t="s">
        <v>2111</v>
      </c>
      <c r="N178" s="79">
        <v>9.0</v>
      </c>
      <c r="O178" s="74" t="s">
        <v>332</v>
      </c>
      <c r="P178" s="80"/>
      <c r="Q178" s="79"/>
      <c r="R178" s="80"/>
      <c r="S178" s="80" t="s">
        <v>2106</v>
      </c>
      <c r="T178" s="101" t="s">
        <v>2107</v>
      </c>
      <c r="U178" s="80" t="s">
        <v>332</v>
      </c>
      <c r="V178" s="102" t="s">
        <v>2112</v>
      </c>
      <c r="W178" s="79" t="s">
        <v>306</v>
      </c>
      <c r="X178" s="79" t="s">
        <v>306</v>
      </c>
      <c r="Y178" s="79" t="s">
        <v>309</v>
      </c>
      <c r="Z178" s="79"/>
    </row>
    <row r="179" ht="15.0" customHeight="1">
      <c r="A179" s="76" t="s">
        <v>247</v>
      </c>
      <c r="B179" s="77" t="s">
        <v>2114</v>
      </c>
      <c r="C179" s="80">
        <v>3.051772747E10</v>
      </c>
      <c r="D179" s="119" t="s">
        <v>264</v>
      </c>
      <c r="E179" s="79" t="s">
        <v>1666</v>
      </c>
      <c r="F179" s="44">
        <v>3019.0</v>
      </c>
      <c r="G179" s="79" t="s">
        <v>15</v>
      </c>
      <c r="H179" s="80">
        <v>1678.0</v>
      </c>
      <c r="I179" s="79">
        <v>293090.0</v>
      </c>
      <c r="J179" s="74" t="s">
        <v>347</v>
      </c>
      <c r="K179" s="77" t="s">
        <v>407</v>
      </c>
      <c r="L179" s="79"/>
      <c r="M179" s="79"/>
      <c r="N179" s="79">
        <v>15.0</v>
      </c>
      <c r="O179" s="83" t="s">
        <v>2116</v>
      </c>
      <c r="P179" s="80"/>
      <c r="Q179" s="79" t="s">
        <v>2117</v>
      </c>
      <c r="R179" s="80"/>
      <c r="S179" s="80" t="s">
        <v>2118</v>
      </c>
      <c r="T179" s="101" t="s">
        <v>332</v>
      </c>
      <c r="U179" s="80" t="s">
        <v>332</v>
      </c>
      <c r="V179" s="102" t="s">
        <v>429</v>
      </c>
      <c r="W179" s="79" t="s">
        <v>309</v>
      </c>
      <c r="X179" s="79" t="s">
        <v>309</v>
      </c>
      <c r="Y179" s="79" t="s">
        <v>309</v>
      </c>
      <c r="Z179" s="79"/>
    </row>
    <row r="180" ht="15.0" customHeight="1">
      <c r="A180" s="103" t="s">
        <v>24</v>
      </c>
      <c r="B180" s="79" t="s">
        <v>2120</v>
      </c>
      <c r="C180" s="80">
        <v>3.0505452697E10</v>
      </c>
      <c r="D180" s="144" t="s">
        <v>631</v>
      </c>
      <c r="E180" s="79" t="s">
        <v>1944</v>
      </c>
      <c r="F180" s="44">
        <v>1701.0</v>
      </c>
      <c r="G180" s="79" t="s">
        <v>68</v>
      </c>
      <c r="H180" s="80">
        <v>1702.0</v>
      </c>
      <c r="I180" s="79">
        <v>161001.0</v>
      </c>
      <c r="J180" s="74" t="s">
        <v>313</v>
      </c>
      <c r="K180" s="79" t="s">
        <v>2122</v>
      </c>
      <c r="L180" s="79" t="s">
        <v>453</v>
      </c>
      <c r="M180" s="79"/>
      <c r="N180" s="79">
        <v>2.0</v>
      </c>
      <c r="O180" s="74" t="s">
        <v>332</v>
      </c>
      <c r="P180" s="80"/>
      <c r="Q180" s="79"/>
      <c r="R180" s="80"/>
      <c r="S180" s="80" t="s">
        <v>2123</v>
      </c>
      <c r="T180" s="101" t="s">
        <v>2124</v>
      </c>
      <c r="U180" s="80"/>
      <c r="V180" s="102" t="s">
        <v>429</v>
      </c>
      <c r="W180" s="79" t="s">
        <v>306</v>
      </c>
      <c r="X180" s="79" t="s">
        <v>306</v>
      </c>
      <c r="Y180" s="79" t="s">
        <v>309</v>
      </c>
      <c r="Z180" s="79"/>
    </row>
    <row r="181" ht="15.75" customHeight="1">
      <c r="A181" s="76" t="s">
        <v>247</v>
      </c>
      <c r="B181" s="77" t="s">
        <v>2126</v>
      </c>
      <c r="C181" s="80">
        <v>3.0503658093E10</v>
      </c>
      <c r="D181" s="119" t="s">
        <v>264</v>
      </c>
      <c r="E181" s="79" t="s">
        <v>2127</v>
      </c>
      <c r="F181" s="44">
        <v>1947.0</v>
      </c>
      <c r="G181" s="79" t="s">
        <v>97</v>
      </c>
      <c r="H181" s="80">
        <v>1702.0</v>
      </c>
      <c r="I181" s="79">
        <v>161001.0</v>
      </c>
      <c r="J181" s="74" t="s">
        <v>313</v>
      </c>
      <c r="K181" s="79" t="s">
        <v>2122</v>
      </c>
      <c r="L181" s="79" t="s">
        <v>453</v>
      </c>
      <c r="M181" s="79" t="s">
        <v>2129</v>
      </c>
      <c r="N181" s="79">
        <v>9.0</v>
      </c>
      <c r="O181" s="74" t="s">
        <v>2130</v>
      </c>
      <c r="P181" s="80"/>
      <c r="Q181" s="79"/>
      <c r="R181" s="80"/>
      <c r="S181" s="80" t="s">
        <v>2131</v>
      </c>
      <c r="T181" s="101" t="s">
        <v>2131</v>
      </c>
      <c r="U181" s="78" t="s">
        <v>2132</v>
      </c>
      <c r="V181" s="102" t="s">
        <v>2133</v>
      </c>
      <c r="W181" s="79" t="s">
        <v>309</v>
      </c>
      <c r="X181" s="79" t="s">
        <v>309</v>
      </c>
      <c r="Y181" s="79" t="s">
        <v>309</v>
      </c>
      <c r="Z181" s="79"/>
    </row>
    <row r="182" ht="15.75" customHeight="1">
      <c r="A182" s="103" t="s">
        <v>24</v>
      </c>
      <c r="B182" s="77" t="s">
        <v>2135</v>
      </c>
      <c r="C182" s="80">
        <v>3.0707516301E10</v>
      </c>
      <c r="D182" s="119" t="s">
        <v>264</v>
      </c>
      <c r="E182" s="79" t="s">
        <v>2136</v>
      </c>
      <c r="F182" s="44">
        <v>8992.0</v>
      </c>
      <c r="G182" s="79" t="s">
        <v>119</v>
      </c>
      <c r="H182" s="80">
        <v>1657.0</v>
      </c>
      <c r="I182" s="79">
        <v>269302.0</v>
      </c>
      <c r="J182" s="74" t="s">
        <v>125</v>
      </c>
      <c r="K182" s="77" t="s">
        <v>2137</v>
      </c>
      <c r="L182" s="79" t="s">
        <v>453</v>
      </c>
      <c r="M182" s="79"/>
      <c r="N182" s="79">
        <v>0.0</v>
      </c>
      <c r="O182" s="74" t="s">
        <v>332</v>
      </c>
      <c r="P182" s="80"/>
      <c r="Q182" s="79"/>
      <c r="R182" s="80"/>
      <c r="S182" s="80" t="s">
        <v>2138</v>
      </c>
      <c r="T182" s="101" t="s">
        <v>2139</v>
      </c>
      <c r="U182" s="80" t="s">
        <v>2140</v>
      </c>
      <c r="V182" s="102" t="s">
        <v>429</v>
      </c>
      <c r="W182" s="79" t="s">
        <v>306</v>
      </c>
      <c r="X182" s="79" t="s">
        <v>306</v>
      </c>
      <c r="Y182" s="79" t="s">
        <v>309</v>
      </c>
      <c r="Z182" s="79"/>
    </row>
    <row r="183" ht="15.75" customHeight="1">
      <c r="A183" s="103" t="s">
        <v>24</v>
      </c>
      <c r="B183" s="77" t="s">
        <v>2142</v>
      </c>
      <c r="C183" s="80">
        <v>3.0550838164E10</v>
      </c>
      <c r="D183" s="119" t="s">
        <v>264</v>
      </c>
      <c r="E183" s="79" t="s">
        <v>2143</v>
      </c>
      <c r="F183" s="44">
        <v>308.0</v>
      </c>
      <c r="G183" s="79" t="s">
        <v>68</v>
      </c>
      <c r="H183" s="80">
        <v>1702.0</v>
      </c>
      <c r="I183" s="79">
        <v>749290.0</v>
      </c>
      <c r="J183" s="74" t="s">
        <v>433</v>
      </c>
      <c r="K183" s="77" t="s">
        <v>2144</v>
      </c>
      <c r="L183" s="79"/>
      <c r="M183" s="79"/>
      <c r="N183" s="79">
        <v>45.0</v>
      </c>
      <c r="O183" s="74" t="s">
        <v>332</v>
      </c>
      <c r="P183" s="80"/>
      <c r="Q183" s="79"/>
      <c r="R183" s="80"/>
      <c r="S183" s="78" t="s">
        <v>2146</v>
      </c>
      <c r="T183" s="101" t="s">
        <v>332</v>
      </c>
      <c r="U183" s="80" t="s">
        <v>332</v>
      </c>
      <c r="V183" s="102" t="s">
        <v>429</v>
      </c>
      <c r="W183" s="79" t="s">
        <v>306</v>
      </c>
      <c r="X183" s="79" t="s">
        <v>306</v>
      </c>
      <c r="Y183" s="79" t="s">
        <v>309</v>
      </c>
      <c r="Z183" s="79"/>
    </row>
    <row r="184" ht="15.0" customHeight="1">
      <c r="A184" s="76" t="s">
        <v>247</v>
      </c>
      <c r="B184" s="77" t="s">
        <v>2147</v>
      </c>
      <c r="C184" s="80">
        <v>3.3709136149E10</v>
      </c>
      <c r="D184" s="119" t="s">
        <v>264</v>
      </c>
      <c r="E184" s="79" t="s">
        <v>1095</v>
      </c>
      <c r="F184" s="128" t="s">
        <v>2148</v>
      </c>
      <c r="G184" s="79" t="s">
        <v>15</v>
      </c>
      <c r="H184" s="80">
        <v>1678.0</v>
      </c>
      <c r="I184" s="77">
        <v>651110.0</v>
      </c>
      <c r="J184" s="74" t="s">
        <v>433</v>
      </c>
      <c r="K184" s="77" t="s">
        <v>2150</v>
      </c>
      <c r="L184" s="79"/>
      <c r="M184" s="77" t="s">
        <v>2151</v>
      </c>
      <c r="N184" s="79">
        <v>32.0</v>
      </c>
      <c r="O184" s="74" t="s">
        <v>332</v>
      </c>
      <c r="P184" s="80"/>
      <c r="Q184" s="79"/>
      <c r="R184" s="80"/>
      <c r="S184" s="80" t="s">
        <v>2152</v>
      </c>
      <c r="T184" s="101" t="s">
        <v>2153</v>
      </c>
      <c r="U184" s="78" t="s">
        <v>2154</v>
      </c>
      <c r="V184" s="102" t="s">
        <v>2155</v>
      </c>
      <c r="W184" s="79" t="s">
        <v>306</v>
      </c>
      <c r="X184" s="79" t="s">
        <v>306</v>
      </c>
      <c r="Y184" s="79" t="s">
        <v>309</v>
      </c>
      <c r="Z184" s="79"/>
    </row>
    <row r="185" ht="15.75" customHeight="1">
      <c r="A185" s="76" t="s">
        <v>247</v>
      </c>
      <c r="B185" s="77" t="s">
        <v>2157</v>
      </c>
      <c r="C185" s="80">
        <v>3.0709005223E10</v>
      </c>
      <c r="D185" s="119" t="s">
        <v>264</v>
      </c>
      <c r="E185" s="79" t="s">
        <v>1882</v>
      </c>
      <c r="F185" s="44">
        <v>5168.0</v>
      </c>
      <c r="G185" s="79" t="s">
        <v>269</v>
      </c>
      <c r="H185" s="80">
        <v>1682.0</v>
      </c>
      <c r="I185" s="79">
        <v>742109.0</v>
      </c>
      <c r="J185" s="74" t="s">
        <v>433</v>
      </c>
      <c r="K185" s="77" t="s">
        <v>2159</v>
      </c>
      <c r="L185" s="79"/>
      <c r="M185" s="79"/>
      <c r="N185" s="79">
        <v>0.0</v>
      </c>
      <c r="O185" s="74"/>
      <c r="P185" s="80"/>
      <c r="Q185" s="79"/>
      <c r="R185" s="80"/>
      <c r="S185" s="80" t="s">
        <v>2161</v>
      </c>
      <c r="T185" s="101" t="s">
        <v>2162</v>
      </c>
      <c r="U185" s="80" t="s">
        <v>332</v>
      </c>
      <c r="V185" s="102" t="s">
        <v>429</v>
      </c>
      <c r="W185" s="79" t="s">
        <v>306</v>
      </c>
      <c r="X185" s="79" t="s">
        <v>306</v>
      </c>
      <c r="Y185" s="79"/>
      <c r="Z185" s="79"/>
    </row>
    <row r="186" ht="15.75" customHeight="1">
      <c r="A186" s="76" t="s">
        <v>247</v>
      </c>
      <c r="B186" s="77" t="s">
        <v>2163</v>
      </c>
      <c r="C186" s="80">
        <v>3.0714021334E10</v>
      </c>
      <c r="D186" s="119" t="s">
        <v>264</v>
      </c>
      <c r="E186" s="79" t="s">
        <v>2089</v>
      </c>
      <c r="F186" s="44">
        <v>4626.0</v>
      </c>
      <c r="G186" s="79" t="s">
        <v>68</v>
      </c>
      <c r="H186" s="80">
        <v>1702.0</v>
      </c>
      <c r="I186" s="79">
        <v>259999.0</v>
      </c>
      <c r="J186" s="74" t="s">
        <v>347</v>
      </c>
      <c r="K186" s="77" t="s">
        <v>839</v>
      </c>
      <c r="L186" s="79" t="s">
        <v>453</v>
      </c>
      <c r="M186" s="79"/>
      <c r="N186" s="79">
        <v>2.0</v>
      </c>
      <c r="O186" s="74"/>
      <c r="P186" s="80"/>
      <c r="Q186" s="79"/>
      <c r="R186" s="80"/>
      <c r="S186" s="80" t="s">
        <v>2165</v>
      </c>
      <c r="T186" s="85" t="s">
        <v>2166</v>
      </c>
      <c r="U186" s="80"/>
      <c r="V186" s="102" t="s">
        <v>429</v>
      </c>
      <c r="W186" s="79" t="s">
        <v>306</v>
      </c>
      <c r="X186" s="79" t="s">
        <v>306</v>
      </c>
      <c r="Y186" s="79" t="s">
        <v>309</v>
      </c>
      <c r="Z186" s="79"/>
    </row>
    <row r="187" ht="15.0" customHeight="1">
      <c r="A187" s="76" t="s">
        <v>247</v>
      </c>
      <c r="B187" s="77" t="s">
        <v>2167</v>
      </c>
      <c r="C187" s="80">
        <v>3.0621411477E10</v>
      </c>
      <c r="D187" s="79" t="s">
        <v>264</v>
      </c>
      <c r="E187" s="77" t="s">
        <v>1596</v>
      </c>
      <c r="F187" s="44">
        <v>4542.0</v>
      </c>
      <c r="G187" s="79" t="s">
        <v>15</v>
      </c>
      <c r="H187" s="80">
        <v>1678.0</v>
      </c>
      <c r="I187" s="79">
        <v>222090.0</v>
      </c>
      <c r="J187" s="83" t="s">
        <v>568</v>
      </c>
      <c r="K187" s="77" t="s">
        <v>569</v>
      </c>
      <c r="L187" s="79" t="s">
        <v>453</v>
      </c>
      <c r="M187" s="77" t="s">
        <v>2169</v>
      </c>
      <c r="N187" s="79"/>
      <c r="O187" s="83" t="s">
        <v>2170</v>
      </c>
      <c r="P187" s="78" t="s">
        <v>2171</v>
      </c>
      <c r="Q187" s="79"/>
      <c r="R187" s="80"/>
      <c r="S187" s="78" t="s">
        <v>2172</v>
      </c>
      <c r="T187" s="101"/>
      <c r="U187" s="80"/>
      <c r="V187" s="102" t="s">
        <v>2174</v>
      </c>
      <c r="W187" s="79" t="s">
        <v>306</v>
      </c>
      <c r="X187" s="79" t="s">
        <v>306</v>
      </c>
      <c r="Y187" s="79" t="s">
        <v>309</v>
      </c>
      <c r="Z187" s="79"/>
    </row>
    <row r="188" ht="15.0" customHeight="1">
      <c r="A188" s="76" t="s">
        <v>247</v>
      </c>
      <c r="B188" s="79" t="s">
        <v>2175</v>
      </c>
      <c r="C188" s="80">
        <v>2.0086080525E10</v>
      </c>
      <c r="D188" s="77" t="s">
        <v>631</v>
      </c>
      <c r="E188" s="79" t="s">
        <v>2177</v>
      </c>
      <c r="F188" s="44">
        <v>3283.0</v>
      </c>
      <c r="G188" s="79" t="s">
        <v>15</v>
      </c>
      <c r="H188" s="80">
        <v>1678.0</v>
      </c>
      <c r="I188" s="79">
        <v>222010.0</v>
      </c>
      <c r="J188" s="83" t="s">
        <v>568</v>
      </c>
      <c r="K188" s="77" t="s">
        <v>1170</v>
      </c>
      <c r="L188" s="79" t="s">
        <v>453</v>
      </c>
      <c r="M188" s="79" t="s">
        <v>2178</v>
      </c>
      <c r="N188" s="79">
        <v>3.0</v>
      </c>
      <c r="O188" s="126" t="s">
        <v>2179</v>
      </c>
      <c r="P188" s="80"/>
      <c r="Q188" s="79" t="s">
        <v>2180</v>
      </c>
      <c r="R188" s="78" t="s">
        <v>2181</v>
      </c>
      <c r="S188" s="80" t="s">
        <v>2182</v>
      </c>
      <c r="T188" s="101"/>
      <c r="U188" s="80"/>
      <c r="V188" s="102" t="s">
        <v>2184</v>
      </c>
      <c r="W188" s="79" t="s">
        <v>306</v>
      </c>
      <c r="X188" s="79" t="s">
        <v>306</v>
      </c>
      <c r="Y188" s="79" t="s">
        <v>309</v>
      </c>
      <c r="Z188" s="79"/>
    </row>
    <row r="189" ht="15.0" customHeight="1">
      <c r="A189" s="103" t="s">
        <v>24</v>
      </c>
      <c r="B189" s="79" t="s">
        <v>2185</v>
      </c>
      <c r="C189" s="80">
        <v>3.0549247942E10</v>
      </c>
      <c r="D189" s="144" t="s">
        <v>631</v>
      </c>
      <c r="E189" s="79" t="s">
        <v>2186</v>
      </c>
      <c r="F189" s="44">
        <v>3972.0</v>
      </c>
      <c r="G189" s="79" t="s">
        <v>68</v>
      </c>
      <c r="H189" s="80">
        <v>1702.0</v>
      </c>
      <c r="I189" s="79">
        <v>384321.0</v>
      </c>
      <c r="J189" s="74" t="s">
        <v>347</v>
      </c>
      <c r="K189" s="79" t="s">
        <v>2188</v>
      </c>
      <c r="L189" s="79"/>
      <c r="M189" s="79"/>
      <c r="N189" s="79">
        <v>0.0</v>
      </c>
      <c r="O189" s="74"/>
      <c r="P189" s="80"/>
      <c r="Q189" s="79"/>
      <c r="R189" s="80"/>
      <c r="S189" s="80" t="s">
        <v>2189</v>
      </c>
      <c r="T189" s="101" t="s">
        <v>332</v>
      </c>
      <c r="U189" s="80" t="s">
        <v>332</v>
      </c>
      <c r="V189" s="102" t="s">
        <v>429</v>
      </c>
      <c r="W189" s="79" t="s">
        <v>306</v>
      </c>
      <c r="X189" s="79" t="s">
        <v>306</v>
      </c>
      <c r="Y189" s="79"/>
      <c r="Z189" s="79"/>
    </row>
    <row r="190" ht="15.75" customHeight="1">
      <c r="A190" s="76" t="s">
        <v>247</v>
      </c>
      <c r="B190" s="77" t="s">
        <v>2190</v>
      </c>
      <c r="C190" s="80">
        <v>3.0701159051E10</v>
      </c>
      <c r="D190" s="119" t="s">
        <v>264</v>
      </c>
      <c r="E190" s="79" t="s">
        <v>1955</v>
      </c>
      <c r="F190" s="44">
        <v>3371.0</v>
      </c>
      <c r="G190" s="79" t="s">
        <v>68</v>
      </c>
      <c r="H190" s="80">
        <v>1702.0</v>
      </c>
      <c r="I190" s="79">
        <v>259999.0</v>
      </c>
      <c r="J190" s="74" t="s">
        <v>347</v>
      </c>
      <c r="K190" s="77" t="s">
        <v>839</v>
      </c>
      <c r="L190" s="79" t="s">
        <v>453</v>
      </c>
      <c r="M190" s="77" t="s">
        <v>2192</v>
      </c>
      <c r="N190" s="79">
        <v>5.0</v>
      </c>
      <c r="O190" s="74"/>
      <c r="P190" s="80"/>
      <c r="Q190" s="79"/>
      <c r="R190" s="80"/>
      <c r="S190" s="78" t="s">
        <v>2193</v>
      </c>
      <c r="T190" s="78" t="s">
        <v>2194</v>
      </c>
      <c r="U190" s="80" t="s">
        <v>332</v>
      </c>
      <c r="V190" s="102" t="s">
        <v>2195</v>
      </c>
      <c r="W190" s="79" t="s">
        <v>306</v>
      </c>
      <c r="X190" s="79" t="s">
        <v>306</v>
      </c>
      <c r="Y190" s="79" t="s">
        <v>309</v>
      </c>
      <c r="Z190" s="79"/>
    </row>
    <row r="191" ht="15.75" customHeight="1">
      <c r="A191" s="76" t="s">
        <v>247</v>
      </c>
      <c r="B191" s="77" t="s">
        <v>2197</v>
      </c>
      <c r="C191" s="80">
        <v>3.0643537199E10</v>
      </c>
      <c r="D191" s="119" t="s">
        <v>264</v>
      </c>
      <c r="E191" s="77" t="s">
        <v>2198</v>
      </c>
      <c r="F191" s="128">
        <v>5256.0</v>
      </c>
      <c r="G191" s="79" t="s">
        <v>15</v>
      </c>
      <c r="H191" s="80">
        <v>1678.0</v>
      </c>
      <c r="I191" s="79">
        <v>289999.0</v>
      </c>
      <c r="J191" s="74" t="s">
        <v>347</v>
      </c>
      <c r="K191" s="77" t="s">
        <v>2199</v>
      </c>
      <c r="L191" s="79" t="s">
        <v>453</v>
      </c>
      <c r="M191" s="79"/>
      <c r="N191" s="79">
        <v>0.0</v>
      </c>
      <c r="O191" s="74"/>
      <c r="P191" s="80"/>
      <c r="Q191" s="79"/>
      <c r="R191" s="80"/>
      <c r="S191" s="78" t="s">
        <v>2201</v>
      </c>
      <c r="T191" s="85" t="s">
        <v>2202</v>
      </c>
      <c r="U191" s="80" t="s">
        <v>332</v>
      </c>
      <c r="V191" s="102" t="s">
        <v>2203</v>
      </c>
      <c r="W191" s="79" t="s">
        <v>309</v>
      </c>
      <c r="X191" s="79" t="s">
        <v>309</v>
      </c>
      <c r="Y191" s="79" t="s">
        <v>309</v>
      </c>
      <c r="Z191" s="79"/>
    </row>
    <row r="192" ht="15.75" customHeight="1">
      <c r="A192" s="103" t="s">
        <v>24</v>
      </c>
      <c r="B192" s="77" t="s">
        <v>2204</v>
      </c>
      <c r="C192" s="80">
        <v>3.071085313E10</v>
      </c>
      <c r="D192" s="119" t="s">
        <v>264</v>
      </c>
      <c r="E192" s="79" t="s">
        <v>1143</v>
      </c>
      <c r="F192" s="44">
        <v>1278.0</v>
      </c>
      <c r="G192" s="79" t="s">
        <v>15</v>
      </c>
      <c r="H192" s="80">
        <v>1678.0</v>
      </c>
      <c r="I192" s="79">
        <v>141110.0</v>
      </c>
      <c r="J192" s="74" t="s">
        <v>448</v>
      </c>
      <c r="K192" s="79" t="s">
        <v>2206</v>
      </c>
      <c r="L192" s="79" t="s">
        <v>369</v>
      </c>
      <c r="M192" s="79"/>
      <c r="N192" s="79">
        <v>2.0</v>
      </c>
      <c r="O192" s="74"/>
      <c r="P192" s="80"/>
      <c r="Q192" s="79"/>
      <c r="R192" s="80"/>
      <c r="S192" s="78" t="s">
        <v>2207</v>
      </c>
      <c r="T192" s="101" t="s">
        <v>332</v>
      </c>
      <c r="U192" s="80" t="s">
        <v>332</v>
      </c>
      <c r="V192" s="102" t="s">
        <v>429</v>
      </c>
      <c r="W192" s="79" t="s">
        <v>309</v>
      </c>
      <c r="X192" s="79" t="s">
        <v>309</v>
      </c>
      <c r="Y192" s="79"/>
      <c r="Z192" s="79"/>
    </row>
    <row r="193" ht="15.75" customHeight="1">
      <c r="A193" s="76" t="s">
        <v>247</v>
      </c>
      <c r="B193" s="77" t="s">
        <v>2209</v>
      </c>
      <c r="C193" s="80">
        <v>3.0663738948E10</v>
      </c>
      <c r="D193" s="119" t="s">
        <v>264</v>
      </c>
      <c r="E193" s="79" t="s">
        <v>1644</v>
      </c>
      <c r="F193" s="44">
        <v>682.0</v>
      </c>
      <c r="G193" s="79" t="s">
        <v>119</v>
      </c>
      <c r="H193" s="80">
        <v>1657.0</v>
      </c>
      <c r="I193" s="79">
        <v>251101.0</v>
      </c>
      <c r="J193" s="74" t="s">
        <v>347</v>
      </c>
      <c r="K193" s="79" t="s">
        <v>1486</v>
      </c>
      <c r="L193" s="79" t="s">
        <v>453</v>
      </c>
      <c r="M193" s="79" t="s">
        <v>2210</v>
      </c>
      <c r="N193" s="79">
        <v>32.0</v>
      </c>
      <c r="O193" s="74"/>
      <c r="P193" s="80"/>
      <c r="Q193" s="79"/>
      <c r="R193" s="80"/>
      <c r="S193" s="80" t="s">
        <v>2211</v>
      </c>
      <c r="T193" s="85" t="s">
        <v>2212</v>
      </c>
      <c r="U193" s="78" t="s">
        <v>2213</v>
      </c>
      <c r="V193" s="102" t="s">
        <v>2215</v>
      </c>
      <c r="W193" s="79" t="s">
        <v>306</v>
      </c>
      <c r="X193" s="79" t="s">
        <v>306</v>
      </c>
      <c r="Y193" s="79" t="s">
        <v>309</v>
      </c>
      <c r="Z193" s="79"/>
    </row>
    <row r="194" ht="15.75" customHeight="1">
      <c r="A194" s="76" t="s">
        <v>247</v>
      </c>
      <c r="B194" s="79" t="s">
        <v>1083</v>
      </c>
      <c r="C194" s="80">
        <v>3.0710081111E10</v>
      </c>
      <c r="D194" s="119" t="s">
        <v>264</v>
      </c>
      <c r="E194" s="126" t="s">
        <v>985</v>
      </c>
      <c r="F194" s="44">
        <v>5385.0</v>
      </c>
      <c r="G194" s="79" t="s">
        <v>15</v>
      </c>
      <c r="H194" s="80">
        <v>1678.0</v>
      </c>
      <c r="I194" s="79">
        <v>281900.0</v>
      </c>
      <c r="J194" s="74" t="s">
        <v>347</v>
      </c>
      <c r="K194" s="77" t="s">
        <v>2217</v>
      </c>
      <c r="L194" s="79" t="s">
        <v>1122</v>
      </c>
      <c r="M194" s="79" t="s">
        <v>2218</v>
      </c>
      <c r="N194" s="79">
        <v>5.0</v>
      </c>
      <c r="O194" s="74" t="s">
        <v>2219</v>
      </c>
      <c r="P194" s="85" t="s">
        <v>2220</v>
      </c>
      <c r="Q194" s="79" t="s">
        <v>2221</v>
      </c>
      <c r="R194" s="78" t="s">
        <v>2222</v>
      </c>
      <c r="S194" s="78" t="s">
        <v>2223</v>
      </c>
      <c r="T194" s="101" t="s">
        <v>332</v>
      </c>
      <c r="U194" s="80" t="s">
        <v>332</v>
      </c>
      <c r="V194" s="102" t="s">
        <v>2224</v>
      </c>
      <c r="W194" s="79" t="s">
        <v>306</v>
      </c>
      <c r="X194" s="79" t="s">
        <v>306</v>
      </c>
      <c r="Y194" s="79" t="s">
        <v>309</v>
      </c>
      <c r="Z194" s="79"/>
    </row>
    <row r="195" ht="15.75" customHeight="1">
      <c r="A195" s="76" t="s">
        <v>247</v>
      </c>
      <c r="B195" s="77" t="s">
        <v>2225</v>
      </c>
      <c r="C195" s="80">
        <v>3.0650849805E10</v>
      </c>
      <c r="D195" s="119" t="s">
        <v>264</v>
      </c>
      <c r="E195" s="77" t="s">
        <v>2226</v>
      </c>
      <c r="F195" s="44">
        <v>2416.0</v>
      </c>
      <c r="G195" s="77" t="s">
        <v>47</v>
      </c>
      <c r="H195" s="80">
        <v>1684.0</v>
      </c>
      <c r="I195" s="79">
        <v>14820.0</v>
      </c>
      <c r="J195" s="74" t="s">
        <v>22</v>
      </c>
      <c r="K195" s="77" t="s">
        <v>2228</v>
      </c>
      <c r="L195" s="79"/>
      <c r="M195" s="77" t="s">
        <v>2229</v>
      </c>
      <c r="N195" s="79">
        <v>33.0</v>
      </c>
      <c r="O195" s="74"/>
      <c r="P195" s="80"/>
      <c r="Q195" s="79"/>
      <c r="R195" s="80"/>
      <c r="S195" s="78" t="s">
        <v>2230</v>
      </c>
      <c r="T195" s="85" t="s">
        <v>2231</v>
      </c>
      <c r="U195" s="78" t="s">
        <v>2232</v>
      </c>
      <c r="V195" s="98" t="s">
        <v>2233</v>
      </c>
      <c r="W195" s="79" t="s">
        <v>309</v>
      </c>
      <c r="X195" s="79" t="s">
        <v>309</v>
      </c>
      <c r="Y195" s="79"/>
      <c r="Z195" s="79"/>
    </row>
    <row r="196" ht="15.0" customHeight="1">
      <c r="A196" s="76" t="s">
        <v>247</v>
      </c>
      <c r="B196" s="77" t="s">
        <v>1090</v>
      </c>
      <c r="C196" s="80">
        <v>3.0574349334E10</v>
      </c>
      <c r="D196" s="79" t="s">
        <v>264</v>
      </c>
      <c r="E196" s="77" t="s">
        <v>591</v>
      </c>
      <c r="F196" s="44">
        <v>1070.0</v>
      </c>
      <c r="G196" s="79" t="s">
        <v>68</v>
      </c>
      <c r="H196" s="80">
        <v>1702.0</v>
      </c>
      <c r="I196" s="79">
        <v>432920.0</v>
      </c>
      <c r="J196" s="74" t="s">
        <v>433</v>
      </c>
      <c r="K196" s="79" t="s">
        <v>2235</v>
      </c>
      <c r="L196" s="79"/>
      <c r="M196" s="77" t="s">
        <v>2236</v>
      </c>
      <c r="N196" s="79">
        <v>1.0</v>
      </c>
      <c r="O196" s="83" t="s">
        <v>2238</v>
      </c>
      <c r="P196" s="80"/>
      <c r="Q196" s="77" t="s">
        <v>2239</v>
      </c>
      <c r="R196" s="80"/>
      <c r="S196" s="78" t="s">
        <v>2240</v>
      </c>
      <c r="T196" s="85" t="s">
        <v>2241</v>
      </c>
      <c r="U196" s="78" t="s">
        <v>2242</v>
      </c>
      <c r="V196" s="98" t="s">
        <v>2243</v>
      </c>
      <c r="W196" s="79" t="s">
        <v>309</v>
      </c>
      <c r="X196" s="79" t="s">
        <v>309</v>
      </c>
      <c r="Y196" s="79" t="s">
        <v>309</v>
      </c>
      <c r="Z196" s="79"/>
    </row>
    <row r="197" ht="15.75" customHeight="1">
      <c r="A197" s="76" t="s">
        <v>247</v>
      </c>
      <c r="B197" s="79" t="s">
        <v>2245</v>
      </c>
      <c r="C197" s="80">
        <v>2.3131328974E10</v>
      </c>
      <c r="D197" s="77" t="s">
        <v>631</v>
      </c>
      <c r="E197" s="79" t="s">
        <v>2246</v>
      </c>
      <c r="F197" s="44">
        <v>4454.0</v>
      </c>
      <c r="G197" s="79" t="s">
        <v>15</v>
      </c>
      <c r="H197" s="80">
        <v>1678.0</v>
      </c>
      <c r="I197" s="79">
        <v>131139.0</v>
      </c>
      <c r="J197" s="74" t="s">
        <v>448</v>
      </c>
      <c r="K197" s="77" t="s">
        <v>2247</v>
      </c>
      <c r="L197" s="79"/>
      <c r="M197" s="79"/>
      <c r="N197" s="79"/>
      <c r="O197" s="74" t="s">
        <v>2248</v>
      </c>
      <c r="P197" s="80"/>
      <c r="Q197" s="79"/>
      <c r="R197" s="80"/>
      <c r="S197" s="80" t="s">
        <v>2249</v>
      </c>
      <c r="T197" s="101" t="s">
        <v>2250</v>
      </c>
      <c r="U197" s="80"/>
      <c r="V197" s="102" t="s">
        <v>429</v>
      </c>
      <c r="W197" s="79"/>
      <c r="X197" s="79"/>
      <c r="Y197" s="79"/>
      <c r="Z197" s="79"/>
    </row>
    <row r="198" ht="15.75" customHeight="1">
      <c r="A198" s="103" t="s">
        <v>24</v>
      </c>
      <c r="B198" s="79" t="s">
        <v>2253</v>
      </c>
      <c r="C198" s="80">
        <v>3.3652262819E10</v>
      </c>
      <c r="D198" s="144" t="s">
        <v>631</v>
      </c>
      <c r="E198" s="77" t="s">
        <v>2254</v>
      </c>
      <c r="F198" s="44">
        <v>1145.0</v>
      </c>
      <c r="G198" s="79" t="s">
        <v>119</v>
      </c>
      <c r="H198" s="80">
        <v>1657.0</v>
      </c>
      <c r="I198" s="79">
        <v>949094.0</v>
      </c>
      <c r="J198" s="74" t="s">
        <v>433</v>
      </c>
      <c r="K198" s="79" t="s">
        <v>2255</v>
      </c>
      <c r="L198" s="79"/>
      <c r="M198" s="79"/>
      <c r="N198" s="79">
        <v>0.0</v>
      </c>
      <c r="O198" s="74"/>
      <c r="P198" s="80"/>
      <c r="Q198" s="79"/>
      <c r="R198" s="80"/>
      <c r="S198" s="78" t="s">
        <v>2256</v>
      </c>
      <c r="T198" s="101" t="s">
        <v>332</v>
      </c>
      <c r="U198" s="80" t="s">
        <v>332</v>
      </c>
      <c r="V198" s="102" t="s">
        <v>429</v>
      </c>
      <c r="W198" s="79" t="s">
        <v>306</v>
      </c>
      <c r="X198" s="79" t="s">
        <v>306</v>
      </c>
      <c r="Y198" s="79"/>
      <c r="Z198" s="79"/>
    </row>
    <row r="199" ht="15.75" customHeight="1">
      <c r="A199" s="76" t="s">
        <v>247</v>
      </c>
      <c r="B199" s="77" t="s">
        <v>2258</v>
      </c>
      <c r="C199" s="79">
        <v>3.0709905259E10</v>
      </c>
      <c r="D199" s="77" t="s">
        <v>264</v>
      </c>
      <c r="E199" s="79" t="s">
        <v>1965</v>
      </c>
      <c r="F199" s="44">
        <v>4939.0</v>
      </c>
      <c r="G199" s="79" t="s">
        <v>15</v>
      </c>
      <c r="H199" s="80">
        <v>1678.0</v>
      </c>
      <c r="I199" s="79">
        <v>259999.0</v>
      </c>
      <c r="J199" s="74" t="s">
        <v>347</v>
      </c>
      <c r="K199" s="77" t="s">
        <v>839</v>
      </c>
      <c r="L199" s="77" t="s">
        <v>2259</v>
      </c>
      <c r="M199" s="79" t="s">
        <v>2260</v>
      </c>
      <c r="N199" s="79">
        <v>16.0</v>
      </c>
      <c r="O199" s="74"/>
      <c r="P199" s="80"/>
      <c r="Q199" s="79"/>
      <c r="R199" s="80"/>
      <c r="S199" s="78" t="s">
        <v>2262</v>
      </c>
      <c r="T199" s="85" t="s">
        <v>2263</v>
      </c>
      <c r="U199" s="85" t="s">
        <v>2264</v>
      </c>
      <c r="V199" s="98" t="s">
        <v>2265</v>
      </c>
      <c r="W199" s="79" t="s">
        <v>306</v>
      </c>
      <c r="X199" s="79" t="s">
        <v>306</v>
      </c>
      <c r="Y199" s="79" t="s">
        <v>309</v>
      </c>
      <c r="Z199" s="79"/>
    </row>
    <row r="200" ht="15.75" customHeight="1">
      <c r="A200" s="76" t="s">
        <v>247</v>
      </c>
      <c r="B200" s="77" t="s">
        <v>1100</v>
      </c>
      <c r="C200" s="80">
        <v>3.0701165191E10</v>
      </c>
      <c r="D200" s="79" t="s">
        <v>264</v>
      </c>
      <c r="E200" s="79" t="s">
        <v>2267</v>
      </c>
      <c r="F200" s="44">
        <v>813.0</v>
      </c>
      <c r="G200" s="79" t="s">
        <v>68</v>
      </c>
      <c r="H200" s="80">
        <v>1702.0</v>
      </c>
      <c r="I200" s="79">
        <v>221901.0</v>
      </c>
      <c r="J200" s="74" t="s">
        <v>347</v>
      </c>
      <c r="K200" s="79" t="s">
        <v>2268</v>
      </c>
      <c r="L200" s="79" t="s">
        <v>662</v>
      </c>
      <c r="M200" s="77" t="s">
        <v>2269</v>
      </c>
      <c r="N200" s="79">
        <v>71.0</v>
      </c>
      <c r="O200" s="129" t="s">
        <v>2271</v>
      </c>
      <c r="P200" s="80"/>
      <c r="Q200" s="77" t="s">
        <v>2272</v>
      </c>
      <c r="R200" s="78" t="s">
        <v>2273</v>
      </c>
      <c r="S200" s="78" t="s">
        <v>2274</v>
      </c>
      <c r="T200" s="78" t="s">
        <v>2275</v>
      </c>
      <c r="U200" s="80"/>
      <c r="V200" s="102" t="s">
        <v>2276</v>
      </c>
      <c r="W200" s="79" t="s">
        <v>309</v>
      </c>
      <c r="X200" s="79" t="s">
        <v>309</v>
      </c>
      <c r="Y200" s="79" t="s">
        <v>309</v>
      </c>
      <c r="Z200" s="79"/>
    </row>
    <row r="201" ht="15.75" customHeight="1">
      <c r="A201" s="76" t="s">
        <v>247</v>
      </c>
      <c r="B201" s="77" t="s">
        <v>1110</v>
      </c>
      <c r="C201" s="80">
        <v>3.0708135425E10</v>
      </c>
      <c r="D201" s="79" t="s">
        <v>264</v>
      </c>
      <c r="E201" s="79" t="s">
        <v>1143</v>
      </c>
      <c r="F201" s="44">
        <v>3412.0</v>
      </c>
      <c r="G201" s="79" t="s">
        <v>15</v>
      </c>
      <c r="H201" s="80">
        <v>1678.0</v>
      </c>
      <c r="I201" s="79">
        <v>259993.0</v>
      </c>
      <c r="J201" s="74" t="s">
        <v>347</v>
      </c>
      <c r="K201" s="79" t="s">
        <v>638</v>
      </c>
      <c r="L201" s="79" t="s">
        <v>1122</v>
      </c>
      <c r="M201" s="119" t="s">
        <v>2278</v>
      </c>
      <c r="N201" s="79">
        <v>18.0</v>
      </c>
      <c r="O201" s="129" t="s">
        <v>2279</v>
      </c>
      <c r="P201" s="80"/>
      <c r="Q201" s="79" t="s">
        <v>2280</v>
      </c>
      <c r="R201" s="80"/>
      <c r="S201" s="85" t="s">
        <v>2282</v>
      </c>
      <c r="T201" s="101" t="s">
        <v>2283</v>
      </c>
      <c r="U201" s="80" t="s">
        <v>332</v>
      </c>
      <c r="V201" s="98" t="s">
        <v>2284</v>
      </c>
      <c r="W201" s="79" t="s">
        <v>309</v>
      </c>
      <c r="X201" s="79" t="s">
        <v>309</v>
      </c>
      <c r="Y201" s="79" t="s">
        <v>309</v>
      </c>
      <c r="Z201" s="79"/>
    </row>
    <row r="202" ht="15.75" customHeight="1">
      <c r="A202" s="76" t="s">
        <v>247</v>
      </c>
      <c r="B202" s="79" t="s">
        <v>2286</v>
      </c>
      <c r="C202" s="80">
        <v>2.3257714934E10</v>
      </c>
      <c r="D202" s="144" t="s">
        <v>631</v>
      </c>
      <c r="E202" s="79" t="s">
        <v>1955</v>
      </c>
      <c r="F202" s="44">
        <v>3910.0</v>
      </c>
      <c r="G202" s="79" t="s">
        <v>68</v>
      </c>
      <c r="H202" s="80">
        <v>1702.0</v>
      </c>
      <c r="I202" s="77">
        <v>464129.0</v>
      </c>
      <c r="J202" s="74" t="s">
        <v>448</v>
      </c>
      <c r="K202" s="129" t="s">
        <v>2288</v>
      </c>
      <c r="L202" s="79"/>
      <c r="M202" s="79"/>
      <c r="N202" s="79"/>
      <c r="O202" s="74"/>
      <c r="P202" s="78" t="s">
        <v>2289</v>
      </c>
      <c r="Q202" s="79"/>
      <c r="R202" s="80"/>
      <c r="S202" s="78" t="s">
        <v>2290</v>
      </c>
      <c r="T202" s="101"/>
      <c r="U202" s="80"/>
      <c r="V202" s="102" t="s">
        <v>429</v>
      </c>
      <c r="W202" s="79"/>
      <c r="X202" s="79"/>
      <c r="Y202" s="79"/>
      <c r="Z202" s="79"/>
    </row>
    <row r="203" ht="15.0" customHeight="1">
      <c r="A203" s="76" t="s">
        <v>247</v>
      </c>
      <c r="B203" s="77" t="s">
        <v>1113</v>
      </c>
      <c r="C203" s="101">
        <v>2.7264275836E10</v>
      </c>
      <c r="D203" s="77" t="s">
        <v>631</v>
      </c>
      <c r="E203" s="77" t="s">
        <v>2292</v>
      </c>
      <c r="F203" s="44">
        <v>9038.0</v>
      </c>
      <c r="G203" s="79" t="s">
        <v>175</v>
      </c>
      <c r="H203" s="80">
        <v>1657.0</v>
      </c>
      <c r="I203" s="78">
        <v>139201.0</v>
      </c>
      <c r="J203" s="74" t="s">
        <v>448</v>
      </c>
      <c r="K203" s="77" t="s">
        <v>2293</v>
      </c>
      <c r="L203" s="79"/>
      <c r="M203" s="79" t="s">
        <v>2295</v>
      </c>
      <c r="N203" s="79"/>
      <c r="O203" s="79" t="s">
        <v>2296</v>
      </c>
      <c r="P203" s="78" t="s">
        <v>2297</v>
      </c>
      <c r="Q203" s="79"/>
      <c r="R203" s="80"/>
      <c r="S203" s="78"/>
      <c r="T203" s="101"/>
      <c r="U203" s="80"/>
      <c r="V203" s="102" t="s">
        <v>2298</v>
      </c>
      <c r="W203" s="79"/>
      <c r="X203" s="79"/>
      <c r="Y203" s="79"/>
      <c r="Z203" s="79"/>
    </row>
    <row r="204" ht="15.0" customHeight="1">
      <c r="A204" s="76" t="s">
        <v>247</v>
      </c>
      <c r="B204" s="77" t="s">
        <v>2300</v>
      </c>
      <c r="C204" s="80">
        <v>3.0660723958E10</v>
      </c>
      <c r="D204" s="119" t="s">
        <v>264</v>
      </c>
      <c r="E204" s="79" t="s">
        <v>314</v>
      </c>
      <c r="F204" s="44">
        <v>5189.0</v>
      </c>
      <c r="G204" s="79" t="s">
        <v>15</v>
      </c>
      <c r="H204" s="80">
        <v>1678.0</v>
      </c>
      <c r="I204" s="79">
        <v>222090.0</v>
      </c>
      <c r="J204" s="83" t="s">
        <v>568</v>
      </c>
      <c r="K204" s="77" t="s">
        <v>569</v>
      </c>
      <c r="L204" s="79" t="s">
        <v>453</v>
      </c>
      <c r="M204" s="77" t="s">
        <v>2302</v>
      </c>
      <c r="N204" s="79">
        <v>25.0</v>
      </c>
      <c r="O204" s="83" t="s">
        <v>2303</v>
      </c>
      <c r="P204" s="78" t="s">
        <v>2304</v>
      </c>
      <c r="Q204" s="77" t="s">
        <v>2305</v>
      </c>
      <c r="R204" s="78">
        <v>1.13174098E9</v>
      </c>
      <c r="S204" s="78" t="s">
        <v>2306</v>
      </c>
      <c r="T204" s="85" t="s">
        <v>2307</v>
      </c>
      <c r="U204" s="80" t="s">
        <v>332</v>
      </c>
      <c r="V204" s="102" t="s">
        <v>2309</v>
      </c>
      <c r="W204" s="79" t="s">
        <v>309</v>
      </c>
      <c r="X204" s="79" t="s">
        <v>309</v>
      </c>
      <c r="Y204" s="79" t="s">
        <v>309</v>
      </c>
      <c r="Z204" s="79"/>
    </row>
    <row r="205" ht="15.0" customHeight="1">
      <c r="A205" s="76" t="s">
        <v>247</v>
      </c>
      <c r="B205" s="77" t="s">
        <v>2311</v>
      </c>
      <c r="C205" s="80">
        <v>3.0683119063E10</v>
      </c>
      <c r="D205" s="119" t="s">
        <v>264</v>
      </c>
      <c r="E205" s="79" t="s">
        <v>2312</v>
      </c>
      <c r="F205" s="44">
        <v>6943.0</v>
      </c>
      <c r="G205" s="79" t="s">
        <v>119</v>
      </c>
      <c r="H205" s="80">
        <v>1657.0</v>
      </c>
      <c r="I205" s="79">
        <v>422200.0</v>
      </c>
      <c r="J205" s="74" t="s">
        <v>125</v>
      </c>
      <c r="K205" s="79" t="s">
        <v>1740</v>
      </c>
      <c r="L205" s="79" t="s">
        <v>453</v>
      </c>
      <c r="M205" s="79"/>
      <c r="N205" s="79">
        <v>37.0</v>
      </c>
      <c r="O205" s="74"/>
      <c r="P205" s="80"/>
      <c r="Q205" s="79"/>
      <c r="R205" s="80"/>
      <c r="S205" s="80" t="s">
        <v>2314</v>
      </c>
      <c r="T205" s="101" t="s">
        <v>2315</v>
      </c>
      <c r="U205" s="80"/>
      <c r="V205" s="102" t="s">
        <v>2316</v>
      </c>
      <c r="W205" s="79" t="s">
        <v>306</v>
      </c>
      <c r="X205" s="79" t="s">
        <v>306</v>
      </c>
      <c r="Y205" s="79" t="s">
        <v>309</v>
      </c>
      <c r="Z205" s="79"/>
    </row>
    <row r="206" ht="15.75" customHeight="1">
      <c r="A206" s="103" t="s">
        <v>24</v>
      </c>
      <c r="B206" s="79" t="s">
        <v>2317</v>
      </c>
      <c r="C206" s="80">
        <v>2.0305772381E10</v>
      </c>
      <c r="D206" s="144" t="s">
        <v>631</v>
      </c>
      <c r="E206" s="79" t="s">
        <v>2319</v>
      </c>
      <c r="F206" s="44">
        <v>3905.0</v>
      </c>
      <c r="G206" s="79" t="s">
        <v>249</v>
      </c>
      <c r="H206" s="80">
        <v>1676.0</v>
      </c>
      <c r="I206" s="77">
        <v>476130.0</v>
      </c>
      <c r="J206" s="83" t="s">
        <v>283</v>
      </c>
      <c r="K206" s="77" t="s">
        <v>2320</v>
      </c>
      <c r="L206" s="79" t="s">
        <v>453</v>
      </c>
      <c r="M206" s="79"/>
      <c r="N206" s="79"/>
      <c r="O206" s="74"/>
      <c r="P206" s="80"/>
      <c r="Q206" s="79"/>
      <c r="R206" s="80"/>
      <c r="S206" s="78" t="s">
        <v>2322</v>
      </c>
      <c r="T206" s="101"/>
      <c r="U206" s="80"/>
      <c r="V206" s="102" t="s">
        <v>429</v>
      </c>
      <c r="W206" s="79"/>
      <c r="X206" s="79"/>
      <c r="Y206" s="79"/>
      <c r="Z206" s="79"/>
    </row>
    <row r="207" ht="15.75" customHeight="1">
      <c r="A207" s="103" t="s">
        <v>24</v>
      </c>
      <c r="B207" s="79" t="s">
        <v>2323</v>
      </c>
      <c r="C207" s="80">
        <v>3.3653970809E10</v>
      </c>
      <c r="D207" s="144" t="s">
        <v>631</v>
      </c>
      <c r="E207" s="79" t="s">
        <v>442</v>
      </c>
      <c r="F207" s="44">
        <v>4169.0</v>
      </c>
      <c r="G207" s="79" t="s">
        <v>68</v>
      </c>
      <c r="H207" s="80">
        <v>1702.0</v>
      </c>
      <c r="I207" s="79">
        <v>711009.0</v>
      </c>
      <c r="J207" s="74" t="s">
        <v>433</v>
      </c>
      <c r="K207" s="77" t="s">
        <v>2325</v>
      </c>
      <c r="L207" s="79"/>
      <c r="M207" s="79"/>
      <c r="N207" s="79">
        <v>17.0</v>
      </c>
      <c r="O207" s="74"/>
      <c r="P207" s="80"/>
      <c r="Q207" s="79"/>
      <c r="R207" s="80"/>
      <c r="S207" s="80"/>
      <c r="T207" s="101" t="s">
        <v>332</v>
      </c>
      <c r="U207" s="80" t="s">
        <v>332</v>
      </c>
      <c r="V207" s="102" t="s">
        <v>429</v>
      </c>
      <c r="W207" s="79" t="s">
        <v>309</v>
      </c>
      <c r="X207" s="79" t="s">
        <v>309</v>
      </c>
      <c r="Y207" s="79" t="s">
        <v>309</v>
      </c>
      <c r="Z207" s="79"/>
    </row>
    <row r="208" ht="15.75" customHeight="1">
      <c r="A208" s="103" t="s">
        <v>24</v>
      </c>
      <c r="B208" s="79" t="s">
        <v>2327</v>
      </c>
      <c r="C208" s="80">
        <v>3.3606757749E10</v>
      </c>
      <c r="D208" s="144" t="s">
        <v>631</v>
      </c>
      <c r="E208" s="79" t="s">
        <v>2328</v>
      </c>
      <c r="F208" s="44">
        <v>4532.0</v>
      </c>
      <c r="G208" s="79" t="s">
        <v>68</v>
      </c>
      <c r="H208" s="80">
        <v>1702.0</v>
      </c>
      <c r="I208" s="79">
        <v>311715.0</v>
      </c>
      <c r="J208" s="74" t="s">
        <v>22</v>
      </c>
      <c r="K208" s="79" t="s">
        <v>2329</v>
      </c>
      <c r="L208" s="79"/>
      <c r="M208" s="79"/>
      <c r="N208" s="79">
        <v>0.0</v>
      </c>
      <c r="O208" s="74"/>
      <c r="P208" s="80"/>
      <c r="Q208" s="79"/>
      <c r="R208" s="80"/>
      <c r="S208" s="78" t="s">
        <v>2331</v>
      </c>
      <c r="T208" s="101" t="s">
        <v>332</v>
      </c>
      <c r="U208" s="80" t="s">
        <v>332</v>
      </c>
      <c r="V208" s="102" t="s">
        <v>429</v>
      </c>
      <c r="W208" s="79" t="s">
        <v>306</v>
      </c>
      <c r="X208" s="79" t="s">
        <v>306</v>
      </c>
      <c r="Y208" s="79"/>
      <c r="Z208" s="79"/>
    </row>
    <row r="209" ht="15.0" customHeight="1">
      <c r="A209" s="103" t="s">
        <v>24</v>
      </c>
      <c r="B209" s="77" t="s">
        <v>2332</v>
      </c>
      <c r="C209" s="79">
        <v>3.0709684252E10</v>
      </c>
      <c r="D209" s="77" t="s">
        <v>264</v>
      </c>
      <c r="E209" s="79" t="s">
        <v>2333</v>
      </c>
      <c r="F209" s="44">
        <v>3225.0</v>
      </c>
      <c r="G209" s="79" t="s">
        <v>68</v>
      </c>
      <c r="H209" s="80">
        <v>1702.0</v>
      </c>
      <c r="I209" s="79">
        <v>343000.0</v>
      </c>
      <c r="J209" s="74" t="s">
        <v>347</v>
      </c>
      <c r="K209" s="79" t="s">
        <v>2104</v>
      </c>
      <c r="L209" s="79"/>
      <c r="M209" s="79"/>
      <c r="N209" s="79">
        <v>0.0</v>
      </c>
      <c r="O209" s="74"/>
      <c r="P209" s="80"/>
      <c r="Q209" s="79"/>
      <c r="R209" s="80"/>
      <c r="S209" s="80" t="s">
        <v>2335</v>
      </c>
      <c r="T209" s="101" t="s">
        <v>332</v>
      </c>
      <c r="U209" s="80" t="s">
        <v>332</v>
      </c>
      <c r="V209" s="102" t="s">
        <v>429</v>
      </c>
      <c r="W209" s="79" t="s">
        <v>306</v>
      </c>
      <c r="X209" s="79" t="s">
        <v>306</v>
      </c>
      <c r="Y209" s="79"/>
      <c r="Z209" s="79"/>
    </row>
    <row r="210" ht="15.75" customHeight="1">
      <c r="A210" s="76" t="s">
        <v>247</v>
      </c>
      <c r="B210" s="144" t="s">
        <v>1119</v>
      </c>
      <c r="C210" s="79">
        <v>3.3717273929E10</v>
      </c>
      <c r="D210" s="79" t="s">
        <v>264</v>
      </c>
      <c r="E210" s="119" t="s">
        <v>2337</v>
      </c>
      <c r="F210" s="210">
        <v>1340.0</v>
      </c>
      <c r="G210" s="119" t="s">
        <v>269</v>
      </c>
      <c r="H210" s="80">
        <v>1682.0</v>
      </c>
      <c r="I210" s="80">
        <v>241009.0</v>
      </c>
      <c r="J210" s="74" t="s">
        <v>337</v>
      </c>
      <c r="K210" s="129" t="s">
        <v>2339</v>
      </c>
      <c r="L210" s="79"/>
      <c r="M210" s="77" t="s">
        <v>2340</v>
      </c>
      <c r="N210" s="79"/>
      <c r="O210" s="119" t="s">
        <v>2341</v>
      </c>
      <c r="P210" s="85" t="s">
        <v>2342</v>
      </c>
      <c r="Q210" s="79"/>
      <c r="R210" s="78" t="s">
        <v>2343</v>
      </c>
      <c r="S210" s="78" t="s">
        <v>2344</v>
      </c>
      <c r="T210" s="101"/>
      <c r="U210" s="80"/>
      <c r="V210" s="102" t="s">
        <v>2345</v>
      </c>
      <c r="W210" s="79"/>
      <c r="X210" s="79"/>
      <c r="Y210" s="79"/>
      <c r="Z210" s="79"/>
    </row>
    <row r="211" ht="15.0" customHeight="1">
      <c r="A211" s="103" t="s">
        <v>24</v>
      </c>
      <c r="B211" s="77" t="s">
        <v>2347</v>
      </c>
      <c r="C211" s="80">
        <v>3.0505422089E10</v>
      </c>
      <c r="D211" s="119" t="s">
        <v>264</v>
      </c>
      <c r="E211" s="79" t="s">
        <v>2348</v>
      </c>
      <c r="F211" s="44">
        <v>2074.0</v>
      </c>
      <c r="G211" s="79" t="s">
        <v>68</v>
      </c>
      <c r="H211" s="80">
        <v>1702.0</v>
      </c>
      <c r="I211" s="79">
        <v>222090.0</v>
      </c>
      <c r="J211" s="83" t="s">
        <v>568</v>
      </c>
      <c r="K211" s="77" t="s">
        <v>569</v>
      </c>
      <c r="L211" s="79" t="s">
        <v>453</v>
      </c>
      <c r="M211" s="79"/>
      <c r="N211" s="79">
        <v>1.0</v>
      </c>
      <c r="O211" s="74"/>
      <c r="P211" s="80"/>
      <c r="Q211" s="79"/>
      <c r="R211" s="80"/>
      <c r="S211" s="80" t="s">
        <v>2350</v>
      </c>
      <c r="T211" s="101" t="s">
        <v>332</v>
      </c>
      <c r="U211" s="80" t="s">
        <v>332</v>
      </c>
      <c r="V211" s="102" t="s">
        <v>429</v>
      </c>
      <c r="W211" s="79" t="s">
        <v>309</v>
      </c>
      <c r="X211" s="79" t="s">
        <v>309</v>
      </c>
      <c r="Y211" s="79"/>
      <c r="Z211" s="79"/>
    </row>
    <row r="212" ht="15.75" customHeight="1">
      <c r="A212" s="103" t="s">
        <v>24</v>
      </c>
      <c r="B212" s="77" t="s">
        <v>2351</v>
      </c>
      <c r="C212" s="80">
        <v>3.4608822994E10</v>
      </c>
      <c r="D212" s="79" t="s">
        <v>264</v>
      </c>
      <c r="E212" s="79" t="s">
        <v>1314</v>
      </c>
      <c r="F212" s="44">
        <v>4573.0</v>
      </c>
      <c r="G212" s="79" t="s">
        <v>15</v>
      </c>
      <c r="H212" s="80">
        <v>1678.0</v>
      </c>
      <c r="I212" s="79">
        <v>361010.0</v>
      </c>
      <c r="J212" s="74" t="s">
        <v>313</v>
      </c>
      <c r="K212" s="77" t="s">
        <v>1438</v>
      </c>
      <c r="L212" s="79" t="s">
        <v>1122</v>
      </c>
      <c r="M212" s="79"/>
      <c r="N212" s="79">
        <v>0.0</v>
      </c>
      <c r="O212" s="74"/>
      <c r="P212" s="80"/>
      <c r="Q212" s="79"/>
      <c r="R212" s="80"/>
      <c r="S212" s="80" t="s">
        <v>2353</v>
      </c>
      <c r="T212" s="101" t="s">
        <v>2354</v>
      </c>
      <c r="U212" s="80" t="s">
        <v>2355</v>
      </c>
      <c r="V212" s="102" t="s">
        <v>429</v>
      </c>
      <c r="W212" s="79" t="s">
        <v>309</v>
      </c>
      <c r="X212" s="79" t="s">
        <v>309</v>
      </c>
      <c r="Y212" s="79"/>
      <c r="Z212" s="79"/>
    </row>
    <row r="213" ht="15.75" customHeight="1">
      <c r="A213" s="76" t="s">
        <v>247</v>
      </c>
      <c r="B213" s="77" t="s">
        <v>2356</v>
      </c>
      <c r="C213" s="80">
        <v>3.3709770379E10</v>
      </c>
      <c r="D213" s="79" t="s">
        <v>264</v>
      </c>
      <c r="E213" s="79" t="s">
        <v>1755</v>
      </c>
      <c r="F213" s="44">
        <v>2990.0</v>
      </c>
      <c r="G213" s="79" t="s">
        <v>15</v>
      </c>
      <c r="H213" s="80">
        <v>1678.0</v>
      </c>
      <c r="I213" s="79">
        <v>259999.0</v>
      </c>
      <c r="J213" s="74" t="s">
        <v>347</v>
      </c>
      <c r="K213" s="77" t="s">
        <v>839</v>
      </c>
      <c r="L213" s="79" t="s">
        <v>453</v>
      </c>
      <c r="M213" s="79"/>
      <c r="N213" s="79">
        <v>2.0</v>
      </c>
      <c r="O213" s="74"/>
      <c r="P213" s="80"/>
      <c r="Q213" s="79"/>
      <c r="R213" s="80"/>
      <c r="S213" s="80" t="s">
        <v>2358</v>
      </c>
      <c r="T213" s="85" t="s">
        <v>2359</v>
      </c>
      <c r="U213" s="78" t="s">
        <v>2360</v>
      </c>
      <c r="V213" s="102" t="s">
        <v>429</v>
      </c>
      <c r="W213" s="79" t="s">
        <v>306</v>
      </c>
      <c r="X213" s="79" t="s">
        <v>306</v>
      </c>
      <c r="Y213" s="79" t="s">
        <v>309</v>
      </c>
      <c r="Z213" s="79"/>
    </row>
    <row r="214" ht="15.0" customHeight="1">
      <c r="A214" s="76" t="s">
        <v>247</v>
      </c>
      <c r="B214" s="77" t="s">
        <v>1135</v>
      </c>
      <c r="C214" s="80">
        <v>3.0663746827E10</v>
      </c>
      <c r="D214" s="79" t="s">
        <v>264</v>
      </c>
      <c r="E214" s="79" t="s">
        <v>2362</v>
      </c>
      <c r="F214" s="44">
        <v>1356.0</v>
      </c>
      <c r="G214" s="79" t="s">
        <v>15</v>
      </c>
      <c r="H214" s="80">
        <v>1678.0</v>
      </c>
      <c r="I214" s="79">
        <v>259993.0</v>
      </c>
      <c r="J214" s="83" t="s">
        <v>568</v>
      </c>
      <c r="K214" s="129" t="s">
        <v>638</v>
      </c>
      <c r="L214" s="79" t="s">
        <v>453</v>
      </c>
      <c r="M214" s="79"/>
      <c r="N214" s="79"/>
      <c r="O214" s="126" t="s">
        <v>2363</v>
      </c>
      <c r="P214" s="78" t="s">
        <v>2365</v>
      </c>
      <c r="Q214" s="119" t="s">
        <v>2366</v>
      </c>
      <c r="R214" s="78" t="s">
        <v>2367</v>
      </c>
      <c r="S214" s="78" t="s">
        <v>2368</v>
      </c>
      <c r="T214" s="101" t="s">
        <v>2369</v>
      </c>
      <c r="U214" s="80" t="s">
        <v>2370</v>
      </c>
      <c r="V214" s="102" t="s">
        <v>2371</v>
      </c>
      <c r="W214" s="79"/>
      <c r="X214" s="79"/>
      <c r="Y214" s="79" t="s">
        <v>309</v>
      </c>
      <c r="Z214" s="79"/>
    </row>
    <row r="215" ht="15.75" customHeight="1">
      <c r="A215" s="103" t="s">
        <v>24</v>
      </c>
      <c r="B215" s="79" t="s">
        <v>2373</v>
      </c>
      <c r="C215" s="80">
        <v>3.3642911789E10</v>
      </c>
      <c r="D215" s="77" t="s">
        <v>631</v>
      </c>
      <c r="E215" s="79" t="s">
        <v>1916</v>
      </c>
      <c r="F215" s="44">
        <v>1351.0</v>
      </c>
      <c r="G215" s="77" t="s">
        <v>226</v>
      </c>
      <c r="H215" s="80">
        <v>1674.0</v>
      </c>
      <c r="I215" s="79">
        <v>289993.0</v>
      </c>
      <c r="J215" s="74" t="s">
        <v>347</v>
      </c>
      <c r="K215" s="129" t="s">
        <v>638</v>
      </c>
      <c r="L215" s="79" t="s">
        <v>453</v>
      </c>
      <c r="M215" s="79"/>
      <c r="N215" s="79">
        <v>0.0</v>
      </c>
      <c r="O215" s="74"/>
      <c r="P215" s="80"/>
      <c r="Q215" s="79"/>
      <c r="R215" s="80"/>
      <c r="S215" s="78" t="s">
        <v>2375</v>
      </c>
      <c r="T215" s="101" t="s">
        <v>332</v>
      </c>
      <c r="U215" s="80" t="s">
        <v>332</v>
      </c>
      <c r="V215" s="102" t="s">
        <v>429</v>
      </c>
      <c r="W215" s="79" t="s">
        <v>306</v>
      </c>
      <c r="X215" s="79" t="s">
        <v>306</v>
      </c>
      <c r="Y215" s="79"/>
      <c r="Z215" s="79"/>
    </row>
    <row r="216" ht="15.75" customHeight="1">
      <c r="A216" s="76" t="s">
        <v>247</v>
      </c>
      <c r="B216" s="77" t="s">
        <v>2376</v>
      </c>
      <c r="C216" s="80">
        <v>2.7202018942E10</v>
      </c>
      <c r="D216" s="77" t="s">
        <v>631</v>
      </c>
      <c r="E216" s="79" t="s">
        <v>2377</v>
      </c>
      <c r="F216" s="44">
        <v>1351.0</v>
      </c>
      <c r="G216" s="79" t="s">
        <v>97</v>
      </c>
      <c r="H216" s="78">
        <v>1703.0</v>
      </c>
      <c r="I216" s="77">
        <v>466399.0</v>
      </c>
      <c r="J216" s="74" t="s">
        <v>337</v>
      </c>
      <c r="K216" s="77" t="s">
        <v>2378</v>
      </c>
      <c r="L216" s="79" t="s">
        <v>369</v>
      </c>
      <c r="M216" s="77" t="s">
        <v>2379</v>
      </c>
      <c r="N216" s="79"/>
      <c r="O216" s="74"/>
      <c r="P216" s="80"/>
      <c r="Q216" s="79"/>
      <c r="R216" s="80"/>
      <c r="S216" s="80" t="s">
        <v>2381</v>
      </c>
      <c r="T216" s="101"/>
      <c r="U216" s="80"/>
      <c r="V216" s="102" t="s">
        <v>429</v>
      </c>
      <c r="W216" s="79"/>
      <c r="X216" s="79"/>
      <c r="Y216" s="79"/>
      <c r="Z216" s="79"/>
    </row>
    <row r="217" ht="15.75" customHeight="1">
      <c r="A217" s="214" t="s">
        <v>247</v>
      </c>
      <c r="B217" s="215" t="s">
        <v>2382</v>
      </c>
      <c r="C217" s="216">
        <v>3.0714475645E10</v>
      </c>
      <c r="D217" s="215" t="s">
        <v>264</v>
      </c>
      <c r="E217" s="215" t="s">
        <v>2383</v>
      </c>
      <c r="F217" s="217">
        <v>10095.0</v>
      </c>
      <c r="G217" s="216" t="s">
        <v>119</v>
      </c>
      <c r="H217" s="218">
        <v>1657.0</v>
      </c>
      <c r="I217" s="216">
        <v>170990.0</v>
      </c>
      <c r="J217" s="219" t="s">
        <v>283</v>
      </c>
      <c r="K217" s="215" t="s">
        <v>2385</v>
      </c>
      <c r="L217" s="216"/>
      <c r="M217" s="216"/>
      <c r="N217" s="216">
        <v>1.0</v>
      </c>
      <c r="O217" s="219"/>
      <c r="P217" s="218"/>
      <c r="Q217" s="216"/>
      <c r="R217" s="218"/>
      <c r="S217" s="220" t="s">
        <v>2386</v>
      </c>
      <c r="T217" s="221" t="s">
        <v>2387</v>
      </c>
      <c r="U217" s="218" t="s">
        <v>2388</v>
      </c>
      <c r="V217" s="102" t="s">
        <v>429</v>
      </c>
      <c r="W217" s="216" t="s">
        <v>306</v>
      </c>
      <c r="X217" s="216" t="s">
        <v>306</v>
      </c>
      <c r="Y217" s="216"/>
      <c r="Z217" s="216"/>
    </row>
    <row r="218" ht="15.75" customHeight="1">
      <c r="A218" s="103" t="s">
        <v>24</v>
      </c>
      <c r="B218" s="79" t="s">
        <v>2390</v>
      </c>
      <c r="C218" s="80">
        <v>3.0503919547E10</v>
      </c>
      <c r="D218" s="79" t="s">
        <v>264</v>
      </c>
      <c r="E218" s="79" t="s">
        <v>2007</v>
      </c>
      <c r="F218" s="44">
        <v>5125.0</v>
      </c>
      <c r="G218" s="79" t="s">
        <v>15</v>
      </c>
      <c r="H218" s="80">
        <v>1678.0</v>
      </c>
      <c r="I218" s="79">
        <v>289992.0</v>
      </c>
      <c r="J218" s="74" t="s">
        <v>347</v>
      </c>
      <c r="K218" s="79" t="s">
        <v>2391</v>
      </c>
      <c r="L218" s="79"/>
      <c r="M218" s="79"/>
      <c r="N218" s="79">
        <v>0.0</v>
      </c>
      <c r="O218" s="74"/>
      <c r="P218" s="80"/>
      <c r="Q218" s="79"/>
      <c r="R218" s="80"/>
      <c r="S218" s="80" t="s">
        <v>2394</v>
      </c>
      <c r="T218" s="101" t="s">
        <v>2395</v>
      </c>
      <c r="U218" s="80" t="s">
        <v>332</v>
      </c>
      <c r="V218" s="102" t="s">
        <v>429</v>
      </c>
      <c r="W218" s="79" t="s">
        <v>306</v>
      </c>
      <c r="X218" s="79" t="s">
        <v>306</v>
      </c>
      <c r="Y218" s="79"/>
      <c r="Z218" s="79"/>
    </row>
    <row r="219" ht="15.75" customHeight="1">
      <c r="A219" s="103" t="s">
        <v>24</v>
      </c>
      <c r="B219" s="79" t="s">
        <v>2396</v>
      </c>
      <c r="C219" s="80">
        <v>3.3597144739E10</v>
      </c>
      <c r="D219" s="119" t="s">
        <v>264</v>
      </c>
      <c r="E219" s="79" t="s">
        <v>1228</v>
      </c>
      <c r="F219" s="44">
        <v>3852.0</v>
      </c>
      <c r="G219" s="79" t="s">
        <v>249</v>
      </c>
      <c r="H219" s="80">
        <v>1676.0</v>
      </c>
      <c r="I219" s="79">
        <v>311715.0</v>
      </c>
      <c r="J219" s="74" t="s">
        <v>22</v>
      </c>
      <c r="K219" s="79" t="s">
        <v>2329</v>
      </c>
      <c r="L219" s="79"/>
      <c r="M219" s="79"/>
      <c r="N219" s="79">
        <v>0.0</v>
      </c>
      <c r="O219" s="74"/>
      <c r="P219" s="80"/>
      <c r="Q219" s="79"/>
      <c r="R219" s="80"/>
      <c r="S219" s="78" t="s">
        <v>2397</v>
      </c>
      <c r="T219" s="101" t="s">
        <v>332</v>
      </c>
      <c r="U219" s="80" t="s">
        <v>332</v>
      </c>
      <c r="V219" s="102" t="s">
        <v>2399</v>
      </c>
      <c r="W219" s="79" t="s">
        <v>306</v>
      </c>
      <c r="X219" s="79" t="s">
        <v>306</v>
      </c>
      <c r="Y219" s="79"/>
      <c r="Z219" s="79"/>
    </row>
    <row r="220" ht="15.75" customHeight="1">
      <c r="A220" s="76" t="s">
        <v>247</v>
      </c>
      <c r="B220" s="77" t="s">
        <v>1144</v>
      </c>
      <c r="C220" s="80">
        <v>3.0646362675E10</v>
      </c>
      <c r="D220" s="119" t="s">
        <v>264</v>
      </c>
      <c r="E220" s="79" t="s">
        <v>2400</v>
      </c>
      <c r="F220" s="44">
        <v>9150.0</v>
      </c>
      <c r="G220" s="79" t="s">
        <v>175</v>
      </c>
      <c r="H220" s="80">
        <v>1657.0</v>
      </c>
      <c r="I220" s="79">
        <v>181109.0</v>
      </c>
      <c r="J220" s="74" t="s">
        <v>238</v>
      </c>
      <c r="K220" s="77" t="s">
        <v>1545</v>
      </c>
      <c r="L220" s="79"/>
      <c r="M220" s="79" t="s">
        <v>2401</v>
      </c>
      <c r="N220" s="79">
        <v>128.0</v>
      </c>
      <c r="O220" s="222" t="s">
        <v>2402</v>
      </c>
      <c r="P220" s="223" t="s">
        <v>2403</v>
      </c>
      <c r="Q220" s="79" t="s">
        <v>2404</v>
      </c>
      <c r="R220" s="80"/>
      <c r="S220" s="78" t="s">
        <v>2405</v>
      </c>
      <c r="T220" s="101" t="s">
        <v>2406</v>
      </c>
      <c r="U220" s="101" t="s">
        <v>2407</v>
      </c>
      <c r="V220" s="102" t="s">
        <v>2408</v>
      </c>
      <c r="W220" s="79" t="s">
        <v>309</v>
      </c>
      <c r="X220" s="79" t="s">
        <v>309</v>
      </c>
      <c r="Y220" s="79" t="s">
        <v>309</v>
      </c>
      <c r="Z220" s="79"/>
    </row>
    <row r="221" ht="15.75" customHeight="1">
      <c r="A221" s="76" t="s">
        <v>247</v>
      </c>
      <c r="B221" s="77" t="s">
        <v>2409</v>
      </c>
      <c r="C221" s="85">
        <v>3.0629646708E10</v>
      </c>
      <c r="D221" s="77" t="s">
        <v>264</v>
      </c>
      <c r="E221" s="194" t="s">
        <v>2410</v>
      </c>
      <c r="F221" s="224" t="s">
        <v>2412</v>
      </c>
      <c r="G221" s="194" t="s">
        <v>68</v>
      </c>
      <c r="H221" s="78">
        <v>1702.0</v>
      </c>
      <c r="I221" s="80">
        <v>463191.0</v>
      </c>
      <c r="J221" s="74" t="s">
        <v>433</v>
      </c>
      <c r="K221" s="79" t="s">
        <v>2413</v>
      </c>
      <c r="L221" s="194" t="s">
        <v>453</v>
      </c>
      <c r="M221" s="77" t="s">
        <v>2414</v>
      </c>
      <c r="N221" s="77">
        <v>71.0</v>
      </c>
      <c r="O221" s="77" t="s">
        <v>2415</v>
      </c>
      <c r="P221" s="78">
        <v>1.14158452E9</v>
      </c>
      <c r="Q221" s="79"/>
      <c r="R221" s="80"/>
      <c r="S221" s="78" t="s">
        <v>2416</v>
      </c>
      <c r="T221" s="101" t="s">
        <v>2417</v>
      </c>
      <c r="U221" s="80" t="s">
        <v>2418</v>
      </c>
      <c r="V221" s="225" t="s">
        <v>2419</v>
      </c>
      <c r="W221" s="191" t="s">
        <v>309</v>
      </c>
      <c r="X221" s="191" t="s">
        <v>309</v>
      </c>
      <c r="Y221" s="194" t="s">
        <v>309</v>
      </c>
      <c r="Z221" s="79"/>
    </row>
    <row r="222" ht="15.75" customHeight="1">
      <c r="A222" s="76" t="s">
        <v>247</v>
      </c>
      <c r="B222" s="77" t="s">
        <v>1150</v>
      </c>
      <c r="C222" s="80">
        <v>3.0709003018E10</v>
      </c>
      <c r="D222" s="79" t="s">
        <v>264</v>
      </c>
      <c r="E222" s="77" t="s">
        <v>1983</v>
      </c>
      <c r="F222" s="128">
        <v>6363.0</v>
      </c>
      <c r="G222" s="79" t="s">
        <v>269</v>
      </c>
      <c r="H222" s="80">
        <v>1682.0</v>
      </c>
      <c r="I222" s="79">
        <v>370000.0</v>
      </c>
      <c r="J222" s="74" t="s">
        <v>337</v>
      </c>
      <c r="K222" s="79" t="s">
        <v>2421</v>
      </c>
      <c r="L222" s="79" t="s">
        <v>453</v>
      </c>
      <c r="M222" s="79" t="s">
        <v>2422</v>
      </c>
      <c r="N222" s="79">
        <v>16.0</v>
      </c>
      <c r="O222" s="74" t="s">
        <v>2423</v>
      </c>
      <c r="P222" s="78" t="s">
        <v>2424</v>
      </c>
      <c r="Q222" s="77" t="s">
        <v>2425</v>
      </c>
      <c r="R222" s="78"/>
      <c r="S222" s="78" t="s">
        <v>2426</v>
      </c>
      <c r="T222" s="85" t="s">
        <v>2427</v>
      </c>
      <c r="U222" s="78" t="s">
        <v>2428</v>
      </c>
      <c r="V222" s="102" t="s">
        <v>2429</v>
      </c>
      <c r="W222" s="79" t="s">
        <v>309</v>
      </c>
      <c r="X222" s="79" t="s">
        <v>309</v>
      </c>
      <c r="Y222" s="79" t="s">
        <v>309</v>
      </c>
      <c r="Z222" s="79"/>
    </row>
    <row r="223" ht="15.75" customHeight="1">
      <c r="A223" s="76" t="s">
        <v>247</v>
      </c>
      <c r="B223" s="77" t="s">
        <v>2431</v>
      </c>
      <c r="C223" s="80">
        <v>3.0708740019E10</v>
      </c>
      <c r="D223" s="79" t="s">
        <v>264</v>
      </c>
      <c r="E223" s="79" t="s">
        <v>2432</v>
      </c>
      <c r="F223" s="44">
        <v>2180.0</v>
      </c>
      <c r="G223" s="79" t="s">
        <v>175</v>
      </c>
      <c r="H223" s="80">
        <v>1657.0</v>
      </c>
      <c r="I223" s="79">
        <v>259999.0</v>
      </c>
      <c r="J223" s="74" t="s">
        <v>347</v>
      </c>
      <c r="K223" s="77" t="s">
        <v>839</v>
      </c>
      <c r="L223" s="79" t="s">
        <v>453</v>
      </c>
      <c r="M223" s="79"/>
      <c r="N223" s="79">
        <v>3.0</v>
      </c>
      <c r="O223" s="74"/>
      <c r="P223" s="80"/>
      <c r="Q223" s="79"/>
      <c r="R223" s="80"/>
      <c r="S223" s="78" t="s">
        <v>2433</v>
      </c>
      <c r="T223" s="78" t="s">
        <v>2434</v>
      </c>
      <c r="U223" s="80" t="s">
        <v>332</v>
      </c>
      <c r="V223" s="102" t="s">
        <v>2436</v>
      </c>
      <c r="W223" s="79" t="s">
        <v>306</v>
      </c>
      <c r="X223" s="79" t="s">
        <v>306</v>
      </c>
      <c r="Y223" s="79" t="s">
        <v>309</v>
      </c>
      <c r="Z223" s="79"/>
    </row>
    <row r="224" ht="15.0" customHeight="1">
      <c r="A224" s="103" t="s">
        <v>24</v>
      </c>
      <c r="B224" s="77" t="s">
        <v>2437</v>
      </c>
      <c r="C224" s="80">
        <v>3.0707077405E10</v>
      </c>
      <c r="D224" s="119" t="s">
        <v>264</v>
      </c>
      <c r="E224" s="79" t="s">
        <v>15</v>
      </c>
      <c r="F224" s="44">
        <v>4445.0</v>
      </c>
      <c r="G224" s="79" t="s">
        <v>15</v>
      </c>
      <c r="H224" s="80">
        <v>1678.0</v>
      </c>
      <c r="I224" s="79">
        <v>259309.0</v>
      </c>
      <c r="J224" s="74" t="s">
        <v>347</v>
      </c>
      <c r="K224" s="77" t="s">
        <v>1121</v>
      </c>
      <c r="L224" s="79"/>
      <c r="M224" s="79"/>
      <c r="N224" s="79">
        <v>4.0</v>
      </c>
      <c r="O224" s="74" t="s">
        <v>2438</v>
      </c>
      <c r="P224" s="80"/>
      <c r="Q224" s="79"/>
      <c r="R224" s="80"/>
      <c r="S224" s="80" t="s">
        <v>2439</v>
      </c>
      <c r="T224" s="101" t="s">
        <v>2440</v>
      </c>
      <c r="U224" s="80" t="s">
        <v>332</v>
      </c>
      <c r="V224" s="102" t="s">
        <v>429</v>
      </c>
      <c r="W224" s="79" t="s">
        <v>306</v>
      </c>
      <c r="X224" s="79" t="s">
        <v>306</v>
      </c>
      <c r="Y224" s="79" t="s">
        <v>309</v>
      </c>
      <c r="Z224" s="79"/>
    </row>
    <row r="225" ht="15.75" customHeight="1">
      <c r="A225" s="76" t="s">
        <v>247</v>
      </c>
      <c r="B225" s="77" t="s">
        <v>2442</v>
      </c>
      <c r="C225" s="80">
        <v>3.0707472835E10</v>
      </c>
      <c r="D225" s="119" t="s">
        <v>264</v>
      </c>
      <c r="E225" s="79" t="s">
        <v>2443</v>
      </c>
      <c r="F225" s="44">
        <v>924.0</v>
      </c>
      <c r="G225" s="79" t="s">
        <v>68</v>
      </c>
      <c r="H225" s="80">
        <v>1702.0</v>
      </c>
      <c r="I225" s="79">
        <v>329090.0</v>
      </c>
      <c r="J225" s="83" t="s">
        <v>568</v>
      </c>
      <c r="K225" s="77" t="s">
        <v>1307</v>
      </c>
      <c r="L225" s="79" t="s">
        <v>453</v>
      </c>
      <c r="M225" s="77" t="s">
        <v>2444</v>
      </c>
      <c r="N225" s="79">
        <v>9.0</v>
      </c>
      <c r="O225" s="74"/>
      <c r="P225" s="80"/>
      <c r="Q225" s="79"/>
      <c r="R225" s="80"/>
      <c r="S225" s="78" t="s">
        <v>2445</v>
      </c>
      <c r="T225" s="85" t="s">
        <v>2446</v>
      </c>
      <c r="U225" s="80" t="s">
        <v>332</v>
      </c>
      <c r="V225" s="102" t="s">
        <v>429</v>
      </c>
      <c r="W225" s="79" t="s">
        <v>306</v>
      </c>
      <c r="X225" s="79" t="s">
        <v>306</v>
      </c>
      <c r="Y225" s="79" t="s">
        <v>309</v>
      </c>
      <c r="Z225" s="79"/>
    </row>
    <row r="226" ht="15.75" customHeight="1">
      <c r="A226" s="103" t="s">
        <v>24</v>
      </c>
      <c r="B226" s="226" t="s">
        <v>2442</v>
      </c>
      <c r="C226" s="227">
        <v>3.0707472835E10</v>
      </c>
      <c r="D226" s="119" t="s">
        <v>264</v>
      </c>
      <c r="E226" s="79" t="s">
        <v>2443</v>
      </c>
      <c r="F226" s="44">
        <v>946.0</v>
      </c>
      <c r="G226" s="79" t="s">
        <v>68</v>
      </c>
      <c r="H226" s="80">
        <v>1702.0</v>
      </c>
      <c r="I226" s="77">
        <v>329090.0</v>
      </c>
      <c r="J226" s="83" t="s">
        <v>568</v>
      </c>
      <c r="K226" s="77" t="s">
        <v>2448</v>
      </c>
      <c r="L226" s="79"/>
      <c r="M226" s="77" t="s">
        <v>2450</v>
      </c>
      <c r="N226" s="79">
        <v>0.0</v>
      </c>
      <c r="O226" s="74"/>
      <c r="P226" s="80"/>
      <c r="Q226" s="79"/>
      <c r="R226" s="80"/>
      <c r="S226" s="228" t="s">
        <v>2445</v>
      </c>
      <c r="T226" s="229" t="s">
        <v>2451</v>
      </c>
      <c r="U226" s="80" t="s">
        <v>332</v>
      </c>
      <c r="V226" s="102" t="s">
        <v>429</v>
      </c>
      <c r="W226" s="79" t="s">
        <v>306</v>
      </c>
      <c r="X226" s="79" t="s">
        <v>306</v>
      </c>
      <c r="Y226" s="79"/>
      <c r="Z226" s="79"/>
    </row>
    <row r="227" ht="15.0" customHeight="1">
      <c r="A227" s="76" t="s">
        <v>247</v>
      </c>
      <c r="B227" s="77" t="s">
        <v>2453</v>
      </c>
      <c r="C227" s="80">
        <v>3.0708154527E10</v>
      </c>
      <c r="D227" s="119" t="s">
        <v>264</v>
      </c>
      <c r="E227" s="77" t="s">
        <v>2362</v>
      </c>
      <c r="F227" s="128">
        <v>1992.0</v>
      </c>
      <c r="G227" s="77" t="s">
        <v>249</v>
      </c>
      <c r="H227" s="78">
        <v>1676.0</v>
      </c>
      <c r="I227" s="79">
        <v>281900.0</v>
      </c>
      <c r="J227" s="74" t="s">
        <v>347</v>
      </c>
      <c r="K227" s="77" t="s">
        <v>2217</v>
      </c>
      <c r="L227" s="79" t="s">
        <v>662</v>
      </c>
      <c r="M227" s="77" t="s">
        <v>2454</v>
      </c>
      <c r="N227" s="79">
        <v>0.0</v>
      </c>
      <c r="O227" s="74"/>
      <c r="P227" s="80"/>
      <c r="Q227" s="79"/>
      <c r="R227" s="80"/>
      <c r="S227" s="78" t="s">
        <v>2455</v>
      </c>
      <c r="T227" s="101" t="s">
        <v>332</v>
      </c>
      <c r="U227" s="80" t="s">
        <v>332</v>
      </c>
      <c r="V227" s="230" t="s">
        <v>2456</v>
      </c>
      <c r="W227" s="79" t="s">
        <v>309</v>
      </c>
      <c r="X227" s="79" t="s">
        <v>309</v>
      </c>
      <c r="Y227" s="79"/>
      <c r="Z227" s="79"/>
    </row>
    <row r="228" ht="15.0" customHeight="1">
      <c r="A228" s="103" t="s">
        <v>24</v>
      </c>
      <c r="B228" s="77" t="s">
        <v>2457</v>
      </c>
      <c r="C228" s="80">
        <v>3.0596813824E10</v>
      </c>
      <c r="D228" s="119" t="s">
        <v>264</v>
      </c>
      <c r="E228" s="79" t="s">
        <v>2377</v>
      </c>
      <c r="F228" s="44">
        <v>1195.0</v>
      </c>
      <c r="G228" s="79" t="s">
        <v>97</v>
      </c>
      <c r="H228" s="80">
        <v>1702.0</v>
      </c>
      <c r="I228" s="79">
        <v>171142.0</v>
      </c>
      <c r="J228" s="74" t="s">
        <v>448</v>
      </c>
      <c r="K228" s="77" t="s">
        <v>2459</v>
      </c>
      <c r="L228" s="79"/>
      <c r="M228" s="79"/>
      <c r="N228" s="79">
        <v>3.0</v>
      </c>
      <c r="O228" s="74"/>
      <c r="P228" s="80"/>
      <c r="Q228" s="79"/>
      <c r="R228" s="80"/>
      <c r="S228" s="80" t="s">
        <v>2460</v>
      </c>
      <c r="T228" s="101" t="s">
        <v>2461</v>
      </c>
      <c r="U228" s="80" t="s">
        <v>332</v>
      </c>
      <c r="V228" s="102" t="s">
        <v>429</v>
      </c>
      <c r="W228" s="79" t="s">
        <v>309</v>
      </c>
      <c r="X228" s="79" t="s">
        <v>309</v>
      </c>
      <c r="Y228" s="79"/>
      <c r="Z228" s="79"/>
    </row>
    <row r="229" ht="15.0" customHeight="1">
      <c r="A229" s="76" t="s">
        <v>247</v>
      </c>
      <c r="B229" s="77" t="s">
        <v>2462</v>
      </c>
      <c r="C229" s="79">
        <v>3.0581164161E10</v>
      </c>
      <c r="D229" s="77" t="s">
        <v>264</v>
      </c>
      <c r="E229" s="79" t="s">
        <v>2377</v>
      </c>
      <c r="F229" s="44">
        <v>1992.0</v>
      </c>
      <c r="G229" s="79" t="s">
        <v>97</v>
      </c>
      <c r="H229" s="80">
        <v>1702.0</v>
      </c>
      <c r="I229" s="79">
        <v>329090.0</v>
      </c>
      <c r="J229" s="83" t="s">
        <v>327</v>
      </c>
      <c r="K229" s="77" t="s">
        <v>1307</v>
      </c>
      <c r="L229" s="79"/>
      <c r="M229" s="77" t="s">
        <v>2463</v>
      </c>
      <c r="N229" s="79">
        <v>2.0</v>
      </c>
      <c r="O229" s="74"/>
      <c r="P229" s="80"/>
      <c r="Q229" s="79"/>
      <c r="R229" s="80"/>
      <c r="S229" s="78" t="s">
        <v>2464</v>
      </c>
      <c r="T229" s="101" t="s">
        <v>332</v>
      </c>
      <c r="U229" s="80" t="s">
        <v>332</v>
      </c>
      <c r="V229" s="102" t="s">
        <v>2466</v>
      </c>
      <c r="W229" s="79" t="s">
        <v>306</v>
      </c>
      <c r="X229" s="79" t="s">
        <v>306</v>
      </c>
      <c r="Y229" s="79" t="s">
        <v>309</v>
      </c>
      <c r="Z229" s="79"/>
    </row>
    <row r="230" ht="15.75" customHeight="1">
      <c r="A230" s="76" t="s">
        <v>247</v>
      </c>
      <c r="B230" s="77" t="s">
        <v>2467</v>
      </c>
      <c r="C230" s="80">
        <v>3.0709596523E10</v>
      </c>
      <c r="D230" s="79" t="s">
        <v>264</v>
      </c>
      <c r="E230" s="79" t="s">
        <v>1525</v>
      </c>
      <c r="F230" s="44">
        <v>3353.0</v>
      </c>
      <c r="G230" s="79" t="s">
        <v>15</v>
      </c>
      <c r="H230" s="80">
        <v>1678.0</v>
      </c>
      <c r="I230" s="79">
        <v>293090.0</v>
      </c>
      <c r="J230" s="74" t="s">
        <v>337</v>
      </c>
      <c r="K230" s="77" t="s">
        <v>407</v>
      </c>
      <c r="L230" s="79"/>
      <c r="M230" s="79"/>
      <c r="N230" s="79">
        <v>7.0</v>
      </c>
      <c r="O230" s="74"/>
      <c r="P230" s="80"/>
      <c r="Q230" s="79"/>
      <c r="R230" s="80"/>
      <c r="S230" s="80" t="s">
        <v>2468</v>
      </c>
      <c r="T230" s="80" t="s">
        <v>332</v>
      </c>
      <c r="U230" s="80" t="s">
        <v>332</v>
      </c>
      <c r="V230" s="102" t="s">
        <v>2470</v>
      </c>
      <c r="W230" s="79" t="s">
        <v>309</v>
      </c>
      <c r="X230" s="79" t="s">
        <v>309</v>
      </c>
      <c r="Y230" s="79" t="s">
        <v>309</v>
      </c>
      <c r="Z230" s="79"/>
    </row>
    <row r="231" ht="15.75" customHeight="1">
      <c r="A231" s="103" t="s">
        <v>24</v>
      </c>
      <c r="B231" s="77" t="s">
        <v>2471</v>
      </c>
      <c r="C231" s="80">
        <v>3.3612266439E10</v>
      </c>
      <c r="D231" s="79" t="s">
        <v>264</v>
      </c>
      <c r="E231" s="79" t="s">
        <v>2472</v>
      </c>
      <c r="F231" s="44">
        <v>8061.0</v>
      </c>
      <c r="G231" s="79" t="s">
        <v>269</v>
      </c>
      <c r="H231" s="80">
        <v>1682.0</v>
      </c>
      <c r="I231" s="79">
        <v>251909.0</v>
      </c>
      <c r="J231" s="74" t="s">
        <v>88</v>
      </c>
      <c r="K231" s="77" t="s">
        <v>2473</v>
      </c>
      <c r="L231" s="79"/>
      <c r="M231" s="79"/>
      <c r="N231" s="79">
        <v>0.0</v>
      </c>
      <c r="O231" s="74"/>
      <c r="P231" s="80"/>
      <c r="Q231" s="79"/>
      <c r="R231" s="80"/>
      <c r="S231" s="80" t="s">
        <v>2474</v>
      </c>
      <c r="T231" s="101" t="s">
        <v>332</v>
      </c>
      <c r="U231" s="80" t="s">
        <v>332</v>
      </c>
      <c r="V231" s="102" t="s">
        <v>429</v>
      </c>
      <c r="W231" s="79" t="s">
        <v>309</v>
      </c>
      <c r="X231" s="79" t="s">
        <v>306</v>
      </c>
      <c r="Y231" s="79"/>
      <c r="Z231" s="79"/>
    </row>
    <row r="232" ht="15.75" customHeight="1">
      <c r="A232" s="76" t="s">
        <v>247</v>
      </c>
      <c r="B232" s="77" t="s">
        <v>2476</v>
      </c>
      <c r="C232" s="80">
        <v>3.0712202102E10</v>
      </c>
      <c r="D232" s="77" t="s">
        <v>631</v>
      </c>
      <c r="E232" s="79" t="s">
        <v>1376</v>
      </c>
      <c r="F232" s="44">
        <v>662.0</v>
      </c>
      <c r="G232" s="79" t="s">
        <v>68</v>
      </c>
      <c r="H232" s="80">
        <v>1702.0</v>
      </c>
      <c r="I232" s="79">
        <v>261099.0</v>
      </c>
      <c r="J232" s="74" t="s">
        <v>457</v>
      </c>
      <c r="K232" s="77" t="s">
        <v>2477</v>
      </c>
      <c r="L232" s="79"/>
      <c r="M232" s="79"/>
      <c r="N232" s="79">
        <v>0.0</v>
      </c>
      <c r="O232" s="74"/>
      <c r="P232" s="80"/>
      <c r="Q232" s="79"/>
      <c r="R232" s="80"/>
      <c r="S232" s="78" t="s">
        <v>2479</v>
      </c>
      <c r="T232" s="85" t="s">
        <v>2480</v>
      </c>
      <c r="U232" s="80" t="s">
        <v>332</v>
      </c>
      <c r="V232" s="102" t="s">
        <v>2481</v>
      </c>
      <c r="W232" s="79" t="s">
        <v>306</v>
      </c>
      <c r="X232" s="79" t="s">
        <v>306</v>
      </c>
      <c r="Y232" s="79"/>
      <c r="Z232" s="79"/>
    </row>
    <row r="233" ht="15.0" customHeight="1">
      <c r="A233" s="103" t="s">
        <v>24</v>
      </c>
      <c r="B233" s="77" t="s">
        <v>2483</v>
      </c>
      <c r="C233" s="80">
        <v>3.0709335258E10</v>
      </c>
      <c r="D233" s="79" t="s">
        <v>264</v>
      </c>
      <c r="E233" s="79" t="s">
        <v>478</v>
      </c>
      <c r="F233" s="44">
        <v>11974.0</v>
      </c>
      <c r="G233" s="79" t="s">
        <v>68</v>
      </c>
      <c r="H233" s="80">
        <v>1702.0</v>
      </c>
      <c r="I233" s="77">
        <v>293090.0</v>
      </c>
      <c r="J233" s="74" t="s">
        <v>337</v>
      </c>
      <c r="K233" s="79" t="s">
        <v>2104</v>
      </c>
      <c r="L233" s="79"/>
      <c r="M233" s="79"/>
      <c r="N233" s="79">
        <v>0.0</v>
      </c>
      <c r="O233" s="74"/>
      <c r="P233" s="80"/>
      <c r="Q233" s="79"/>
      <c r="R233" s="80"/>
      <c r="S233" s="80" t="s">
        <v>2484</v>
      </c>
      <c r="T233" s="101" t="s">
        <v>332</v>
      </c>
      <c r="U233" s="80" t="s">
        <v>332</v>
      </c>
      <c r="V233" s="102" t="s">
        <v>2485</v>
      </c>
      <c r="W233" s="79" t="s">
        <v>306</v>
      </c>
      <c r="X233" s="79" t="s">
        <v>306</v>
      </c>
      <c r="Y233" s="79"/>
      <c r="Z233" s="79"/>
    </row>
    <row r="234" ht="15.0" customHeight="1">
      <c r="A234" s="76" t="s">
        <v>247</v>
      </c>
      <c r="B234" s="77" t="s">
        <v>2483</v>
      </c>
      <c r="C234" s="80">
        <v>3.0649900759E10</v>
      </c>
      <c r="D234" s="79" t="s">
        <v>264</v>
      </c>
      <c r="E234" s="77" t="s">
        <v>266</v>
      </c>
      <c r="F234" s="44">
        <v>3551.0</v>
      </c>
      <c r="G234" s="79" t="s">
        <v>15</v>
      </c>
      <c r="H234" s="80">
        <v>1678.0</v>
      </c>
      <c r="I234" s="79">
        <v>259993.0</v>
      </c>
      <c r="J234" s="74" t="s">
        <v>347</v>
      </c>
      <c r="K234" s="129" t="s">
        <v>638</v>
      </c>
      <c r="L234" s="79" t="s">
        <v>453</v>
      </c>
      <c r="M234" s="77" t="s">
        <v>2487</v>
      </c>
      <c r="N234" s="79">
        <v>3.0</v>
      </c>
      <c r="O234" s="74"/>
      <c r="P234" s="80"/>
      <c r="Q234" s="79"/>
      <c r="R234" s="80"/>
      <c r="S234" s="78" t="s">
        <v>2488</v>
      </c>
      <c r="T234" s="85" t="s">
        <v>2484</v>
      </c>
      <c r="U234" s="78" t="s">
        <v>2489</v>
      </c>
      <c r="V234" s="102" t="s">
        <v>2485</v>
      </c>
      <c r="W234" s="79" t="s">
        <v>306</v>
      </c>
      <c r="X234" s="79" t="s">
        <v>306</v>
      </c>
      <c r="Y234" s="79"/>
      <c r="Z234" s="79"/>
    </row>
    <row r="235" ht="15.0" customHeight="1">
      <c r="A235" s="76" t="s">
        <v>247</v>
      </c>
      <c r="B235" s="77" t="s">
        <v>2490</v>
      </c>
      <c r="C235" s="80">
        <v>2.0267606405E10</v>
      </c>
      <c r="D235" s="77" t="s">
        <v>631</v>
      </c>
      <c r="E235" s="79" t="s">
        <v>2491</v>
      </c>
      <c r="F235" s="44">
        <v>1424.0</v>
      </c>
      <c r="G235" s="79" t="s">
        <v>249</v>
      </c>
      <c r="H235" s="80">
        <v>1676.0</v>
      </c>
      <c r="I235" s="79">
        <v>293090.0</v>
      </c>
      <c r="J235" s="74" t="s">
        <v>347</v>
      </c>
      <c r="K235" s="77" t="s">
        <v>407</v>
      </c>
      <c r="L235" s="79" t="s">
        <v>453</v>
      </c>
      <c r="M235" s="77" t="s">
        <v>2493</v>
      </c>
      <c r="N235" s="79"/>
      <c r="O235" s="74"/>
      <c r="P235" s="80"/>
      <c r="Q235" s="79"/>
      <c r="R235" s="80"/>
      <c r="S235" s="80" t="s">
        <v>2494</v>
      </c>
      <c r="T235" s="101"/>
      <c r="U235" s="80"/>
      <c r="V235" s="102" t="s">
        <v>2495</v>
      </c>
      <c r="W235" s="79"/>
      <c r="X235" s="79"/>
      <c r="Y235" s="79"/>
      <c r="Z235" s="79"/>
    </row>
    <row r="236" ht="15.75" customHeight="1">
      <c r="A236" s="76" t="s">
        <v>247</v>
      </c>
      <c r="B236" s="77" t="s">
        <v>1160</v>
      </c>
      <c r="C236" s="78">
        <v>2.7221476676E10</v>
      </c>
      <c r="D236" s="144" t="s">
        <v>631</v>
      </c>
      <c r="E236" s="79" t="s">
        <v>2496</v>
      </c>
      <c r="F236" s="44">
        <v>1555.0</v>
      </c>
      <c r="G236" s="77" t="s">
        <v>119</v>
      </c>
      <c r="H236" s="80">
        <v>1657.0</v>
      </c>
      <c r="I236" s="79">
        <v>282500.0</v>
      </c>
      <c r="J236" s="74" t="s">
        <v>347</v>
      </c>
      <c r="K236" s="79" t="s">
        <v>2498</v>
      </c>
      <c r="L236" s="79" t="s">
        <v>1122</v>
      </c>
      <c r="M236" s="79" t="s">
        <v>2499</v>
      </c>
      <c r="N236" s="79">
        <v>17.0</v>
      </c>
      <c r="O236" s="83" t="s">
        <v>2500</v>
      </c>
      <c r="P236" s="80"/>
      <c r="Q236" s="119"/>
      <c r="R236" s="80"/>
      <c r="S236" s="78" t="s">
        <v>2501</v>
      </c>
      <c r="T236" s="85" t="s">
        <v>2502</v>
      </c>
      <c r="U236" s="78" t="s">
        <v>2503</v>
      </c>
      <c r="V236" s="102" t="s">
        <v>2504</v>
      </c>
      <c r="W236" s="79"/>
      <c r="X236" s="79"/>
      <c r="Y236" s="79" t="s">
        <v>309</v>
      </c>
      <c r="Z236" s="79"/>
    </row>
    <row r="237" ht="15.0" customHeight="1">
      <c r="A237" s="76" t="s">
        <v>247</v>
      </c>
      <c r="B237" s="77" t="s">
        <v>2505</v>
      </c>
      <c r="C237" s="85">
        <v>3.0515910871E10</v>
      </c>
      <c r="D237" s="77" t="s">
        <v>264</v>
      </c>
      <c r="E237" s="77" t="s">
        <v>943</v>
      </c>
      <c r="F237" s="193" t="s">
        <v>2507</v>
      </c>
      <c r="G237" s="194" t="s">
        <v>15</v>
      </c>
      <c r="H237" s="192">
        <v>1678.0</v>
      </c>
      <c r="I237" s="192">
        <v>281900.0</v>
      </c>
      <c r="J237" s="194" t="s">
        <v>347</v>
      </c>
      <c r="K237" s="231" t="s">
        <v>2508</v>
      </c>
      <c r="L237" s="194" t="s">
        <v>662</v>
      </c>
      <c r="M237" s="194" t="s">
        <v>2509</v>
      </c>
      <c r="N237" s="192">
        <v>10.0</v>
      </c>
      <c r="O237" s="191" t="s">
        <v>2510</v>
      </c>
      <c r="P237" s="196" t="s">
        <v>2511</v>
      </c>
      <c r="Q237" s="79"/>
      <c r="R237" s="80"/>
      <c r="S237" s="78" t="s">
        <v>2512</v>
      </c>
      <c r="T237" s="232" t="s">
        <v>2513</v>
      </c>
      <c r="U237" s="80"/>
      <c r="V237" s="233" t="s">
        <v>2514</v>
      </c>
      <c r="W237" s="79"/>
      <c r="X237" s="79"/>
      <c r="Y237" s="79"/>
      <c r="Z237" s="79"/>
    </row>
    <row r="238" ht="15.75" customHeight="1">
      <c r="A238" s="76" t="s">
        <v>247</v>
      </c>
      <c r="B238" s="79" t="s">
        <v>2516</v>
      </c>
      <c r="C238" s="78" t="s">
        <v>2517</v>
      </c>
      <c r="D238" s="79" t="s">
        <v>264</v>
      </c>
      <c r="E238" s="79" t="s">
        <v>2518</v>
      </c>
      <c r="F238" s="44">
        <v>3014.0</v>
      </c>
      <c r="G238" s="77" t="s">
        <v>226</v>
      </c>
      <c r="H238" s="80">
        <v>1674.0</v>
      </c>
      <c r="I238" s="78" t="s">
        <v>2519</v>
      </c>
      <c r="J238" s="83" t="s">
        <v>568</v>
      </c>
      <c r="K238" s="79" t="s">
        <v>2520</v>
      </c>
      <c r="L238" s="79" t="s">
        <v>453</v>
      </c>
      <c r="M238" s="79"/>
      <c r="N238" s="79"/>
      <c r="O238" s="74" t="s">
        <v>2521</v>
      </c>
      <c r="P238" s="78" t="s">
        <v>2522</v>
      </c>
      <c r="Q238" s="79"/>
      <c r="R238" s="80"/>
      <c r="S238" s="80" t="s">
        <v>2523</v>
      </c>
      <c r="T238" s="85" t="s">
        <v>2525</v>
      </c>
      <c r="U238" s="80"/>
      <c r="V238" s="102" t="s">
        <v>2526</v>
      </c>
      <c r="W238" s="79"/>
      <c r="X238" s="79"/>
      <c r="Y238" s="79"/>
      <c r="Z238" s="79"/>
    </row>
    <row r="239" ht="15.75" customHeight="1">
      <c r="A239" s="103" t="s">
        <v>24</v>
      </c>
      <c r="B239" s="79" t="s">
        <v>2527</v>
      </c>
      <c r="C239" s="80">
        <v>3.064611901E10</v>
      </c>
      <c r="D239" s="144" t="s">
        <v>631</v>
      </c>
      <c r="E239" s="79" t="s">
        <v>2528</v>
      </c>
      <c r="F239" s="44">
        <v>2943.0</v>
      </c>
      <c r="G239" s="79" t="s">
        <v>15</v>
      </c>
      <c r="H239" s="80">
        <v>1678.0</v>
      </c>
      <c r="I239" s="79">
        <v>289200.0</v>
      </c>
      <c r="J239" s="74" t="s">
        <v>347</v>
      </c>
      <c r="K239" s="79" t="s">
        <v>2529</v>
      </c>
      <c r="L239" s="79" t="s">
        <v>453</v>
      </c>
      <c r="M239" s="79"/>
      <c r="N239" s="79">
        <v>0.0</v>
      </c>
      <c r="O239" s="74"/>
      <c r="P239" s="80"/>
      <c r="Q239" s="79"/>
      <c r="R239" s="80"/>
      <c r="S239" s="80" t="s">
        <v>2530</v>
      </c>
      <c r="T239" s="101" t="s">
        <v>332</v>
      </c>
      <c r="U239" s="80" t="s">
        <v>332</v>
      </c>
      <c r="V239" s="102" t="s">
        <v>429</v>
      </c>
      <c r="W239" s="79" t="s">
        <v>306</v>
      </c>
      <c r="X239" s="79" t="s">
        <v>306</v>
      </c>
      <c r="Y239" s="79"/>
      <c r="Z239" s="79"/>
    </row>
    <row r="240" ht="15.0" customHeight="1">
      <c r="A240" s="103" t="s">
        <v>24</v>
      </c>
      <c r="B240" s="77" t="s">
        <v>2532</v>
      </c>
      <c r="C240" s="80">
        <v>3.0502699411E10</v>
      </c>
      <c r="D240" s="79" t="s">
        <v>264</v>
      </c>
      <c r="E240" s="79" t="s">
        <v>2533</v>
      </c>
      <c r="F240" s="44">
        <v>702.0</v>
      </c>
      <c r="G240" s="79" t="s">
        <v>68</v>
      </c>
      <c r="H240" s="80">
        <v>1702.0</v>
      </c>
      <c r="I240" s="79">
        <v>361010.0</v>
      </c>
      <c r="J240" s="74" t="s">
        <v>313</v>
      </c>
      <c r="K240" s="79" t="s">
        <v>2534</v>
      </c>
      <c r="L240" s="79" t="s">
        <v>1122</v>
      </c>
      <c r="M240" s="79"/>
      <c r="N240" s="79">
        <v>0.0</v>
      </c>
      <c r="O240" s="74"/>
      <c r="P240" s="80"/>
      <c r="Q240" s="79"/>
      <c r="R240" s="80"/>
      <c r="S240" s="80" t="s">
        <v>2535</v>
      </c>
      <c r="T240" s="101" t="s">
        <v>332</v>
      </c>
      <c r="U240" s="80" t="s">
        <v>332</v>
      </c>
      <c r="V240" s="102" t="s">
        <v>429</v>
      </c>
      <c r="W240" s="79" t="s">
        <v>309</v>
      </c>
      <c r="X240" s="79" t="s">
        <v>309</v>
      </c>
      <c r="Y240" s="79"/>
      <c r="Z240" s="79"/>
    </row>
    <row r="241" ht="15.0" customHeight="1">
      <c r="A241" s="103" t="s">
        <v>24</v>
      </c>
      <c r="B241" s="77" t="s">
        <v>2536</v>
      </c>
      <c r="C241" s="80">
        <v>3.3711896649E10</v>
      </c>
      <c r="D241" s="79" t="s">
        <v>264</v>
      </c>
      <c r="E241" s="79" t="s">
        <v>2400</v>
      </c>
      <c r="F241" s="44">
        <v>8970.0</v>
      </c>
      <c r="G241" s="79" t="s">
        <v>175</v>
      </c>
      <c r="H241" s="80">
        <v>1657.0</v>
      </c>
      <c r="I241" s="79">
        <v>170202.0</v>
      </c>
      <c r="J241" s="74" t="s">
        <v>283</v>
      </c>
      <c r="K241" s="79" t="s">
        <v>1459</v>
      </c>
      <c r="L241" s="79"/>
      <c r="M241" s="79"/>
      <c r="N241" s="79">
        <v>4.0</v>
      </c>
      <c r="O241" s="74"/>
      <c r="P241" s="80"/>
      <c r="Q241" s="79"/>
      <c r="R241" s="80"/>
      <c r="S241" s="80" t="s">
        <v>2538</v>
      </c>
      <c r="T241" s="101" t="s">
        <v>332</v>
      </c>
      <c r="U241" s="80"/>
      <c r="V241" s="102" t="s">
        <v>429</v>
      </c>
      <c r="W241" s="79" t="s">
        <v>306</v>
      </c>
      <c r="X241" s="79" t="s">
        <v>306</v>
      </c>
      <c r="Y241" s="79" t="s">
        <v>309</v>
      </c>
      <c r="Z241" s="79"/>
    </row>
    <row r="242" ht="15.0" customHeight="1">
      <c r="A242" s="76" t="s">
        <v>247</v>
      </c>
      <c r="B242" s="77" t="s">
        <v>1167</v>
      </c>
      <c r="C242" s="79">
        <v>3.0701135039E10</v>
      </c>
      <c r="D242" s="77" t="s">
        <v>264</v>
      </c>
      <c r="E242" s="79" t="s">
        <v>2540</v>
      </c>
      <c r="F242" s="128">
        <v>4050.0</v>
      </c>
      <c r="G242" s="79" t="s">
        <v>249</v>
      </c>
      <c r="H242" s="80">
        <v>1676.0</v>
      </c>
      <c r="I242" s="79">
        <v>432190.0</v>
      </c>
      <c r="J242" s="74" t="s">
        <v>433</v>
      </c>
      <c r="K242" s="77" t="s">
        <v>2541</v>
      </c>
      <c r="L242" s="79"/>
      <c r="M242" s="77" t="s">
        <v>2542</v>
      </c>
      <c r="N242" s="79">
        <v>40.0</v>
      </c>
      <c r="O242" s="74" t="s">
        <v>2543</v>
      </c>
      <c r="P242" s="78" t="s">
        <v>2544</v>
      </c>
      <c r="Q242" s="79"/>
      <c r="R242" s="80"/>
      <c r="S242" s="78" t="s">
        <v>2545</v>
      </c>
      <c r="T242" s="85" t="s">
        <v>2546</v>
      </c>
      <c r="U242" s="80" t="s">
        <v>332</v>
      </c>
      <c r="V242" s="102" t="s">
        <v>2547</v>
      </c>
      <c r="W242" s="79" t="s">
        <v>306</v>
      </c>
      <c r="X242" s="79" t="s">
        <v>306</v>
      </c>
      <c r="Y242" s="79" t="s">
        <v>309</v>
      </c>
      <c r="Z242" s="79"/>
    </row>
    <row r="243" ht="15.75" customHeight="1">
      <c r="A243" s="103" t="s">
        <v>24</v>
      </c>
      <c r="B243" s="77" t="s">
        <v>2549</v>
      </c>
      <c r="C243" s="80">
        <v>3.0714092061E10</v>
      </c>
      <c r="D243" s="77" t="s">
        <v>264</v>
      </c>
      <c r="E243" s="79" t="s">
        <v>1711</v>
      </c>
      <c r="F243" s="44">
        <v>4702.0</v>
      </c>
      <c r="G243" s="79" t="s">
        <v>15</v>
      </c>
      <c r="H243" s="80">
        <v>1678.0</v>
      </c>
      <c r="I243" s="119">
        <v>812090.0</v>
      </c>
      <c r="J243" s="74" t="s">
        <v>433</v>
      </c>
      <c r="K243" s="144" t="s">
        <v>509</v>
      </c>
      <c r="L243" s="79"/>
      <c r="M243" s="79"/>
      <c r="N243" s="79"/>
      <c r="O243" s="79" t="s">
        <v>2550</v>
      </c>
      <c r="P243" s="78" t="s">
        <v>2551</v>
      </c>
      <c r="Q243" s="79"/>
      <c r="R243" s="78"/>
      <c r="S243" s="101" t="s">
        <v>2552</v>
      </c>
      <c r="T243" s="101" t="s">
        <v>2553</v>
      </c>
      <c r="U243" s="80"/>
      <c r="V243" s="102" t="s">
        <v>2554</v>
      </c>
      <c r="W243" s="79"/>
      <c r="X243" s="79"/>
      <c r="Y243" s="79"/>
      <c r="Z243" s="79"/>
    </row>
    <row r="244" ht="15.0" customHeight="1">
      <c r="A244" s="76" t="s">
        <v>247</v>
      </c>
      <c r="B244" s="79" t="s">
        <v>2556</v>
      </c>
      <c r="C244" s="79">
        <v>3.0582152981E10</v>
      </c>
      <c r="D244" s="77" t="s">
        <v>631</v>
      </c>
      <c r="E244" s="77" t="s">
        <v>2557</v>
      </c>
      <c r="F244" s="44">
        <v>5961.0</v>
      </c>
      <c r="G244" s="77" t="s">
        <v>119</v>
      </c>
      <c r="H244" s="78">
        <v>1657.0</v>
      </c>
      <c r="I244" s="79">
        <v>192010.0</v>
      </c>
      <c r="J244" s="74" t="s">
        <v>73</v>
      </c>
      <c r="K244" s="77" t="s">
        <v>2558</v>
      </c>
      <c r="L244" s="79"/>
      <c r="M244" s="79"/>
      <c r="N244" s="79">
        <v>2.0</v>
      </c>
      <c r="O244" s="74" t="s">
        <v>2559</v>
      </c>
      <c r="P244" s="80"/>
      <c r="Q244" s="79"/>
      <c r="R244" s="80"/>
      <c r="S244" s="80" t="s">
        <v>2560</v>
      </c>
      <c r="T244" s="101" t="s">
        <v>2561</v>
      </c>
      <c r="U244" s="80" t="s">
        <v>332</v>
      </c>
      <c r="V244" s="102" t="s">
        <v>429</v>
      </c>
      <c r="W244" s="79" t="s">
        <v>309</v>
      </c>
      <c r="X244" s="79" t="s">
        <v>309</v>
      </c>
      <c r="Y244" s="79" t="s">
        <v>309</v>
      </c>
      <c r="Z244" s="79"/>
    </row>
    <row r="245" ht="15.75" customHeight="1">
      <c r="A245" s="76" t="s">
        <v>247</v>
      </c>
      <c r="B245" s="77" t="s">
        <v>1175</v>
      </c>
      <c r="C245" s="80">
        <v>3.0709969575E10</v>
      </c>
      <c r="D245" s="79" t="s">
        <v>264</v>
      </c>
      <c r="E245" s="79" t="s">
        <v>660</v>
      </c>
      <c r="F245" s="44">
        <v>4614.0</v>
      </c>
      <c r="G245" s="79" t="s">
        <v>15</v>
      </c>
      <c r="H245" s="80">
        <v>1678.0</v>
      </c>
      <c r="I245" s="79">
        <v>139202.0</v>
      </c>
      <c r="J245" s="74" t="s">
        <v>448</v>
      </c>
      <c r="K245" s="79" t="s">
        <v>2563</v>
      </c>
      <c r="L245" s="79"/>
      <c r="M245" s="79"/>
      <c r="N245" s="79">
        <v>6.0</v>
      </c>
      <c r="O245" s="74" t="s">
        <v>2564</v>
      </c>
      <c r="P245" s="80"/>
      <c r="Q245" s="79"/>
      <c r="R245" s="80"/>
      <c r="S245" s="78" t="s">
        <v>2565</v>
      </c>
      <c r="T245" s="101" t="s">
        <v>332</v>
      </c>
      <c r="U245" s="80" t="s">
        <v>332</v>
      </c>
      <c r="V245" s="102" t="s">
        <v>2566</v>
      </c>
      <c r="W245" s="79" t="s">
        <v>309</v>
      </c>
      <c r="X245" s="79" t="s">
        <v>309</v>
      </c>
      <c r="Y245" s="79" t="s">
        <v>309</v>
      </c>
      <c r="Z245" s="79"/>
    </row>
    <row r="246" ht="15.75" customHeight="1">
      <c r="A246" s="103" t="s">
        <v>24</v>
      </c>
      <c r="B246" s="79" t="s">
        <v>2568</v>
      </c>
      <c r="C246" s="80">
        <v>3.3574882449E10</v>
      </c>
      <c r="D246" s="79" t="s">
        <v>264</v>
      </c>
      <c r="E246" s="79" t="s">
        <v>1049</v>
      </c>
      <c r="F246" s="44">
        <v>6937.0</v>
      </c>
      <c r="G246" s="79" t="s">
        <v>269</v>
      </c>
      <c r="H246" s="80">
        <v>1682.0</v>
      </c>
      <c r="I246" s="79">
        <v>361020.0</v>
      </c>
      <c r="J246" s="74" t="s">
        <v>313</v>
      </c>
      <c r="K246" s="79" t="s">
        <v>2569</v>
      </c>
      <c r="L246" s="79"/>
      <c r="M246" s="79"/>
      <c r="N246" s="79">
        <v>0.0</v>
      </c>
      <c r="O246" s="74"/>
      <c r="P246" s="80"/>
      <c r="Q246" s="79"/>
      <c r="R246" s="80"/>
      <c r="S246" s="80" t="s">
        <v>2570</v>
      </c>
      <c r="T246" s="101" t="s">
        <v>332</v>
      </c>
      <c r="U246" s="80" t="s">
        <v>332</v>
      </c>
      <c r="V246" s="102" t="s">
        <v>429</v>
      </c>
      <c r="W246" s="79" t="s">
        <v>306</v>
      </c>
      <c r="X246" s="79" t="s">
        <v>306</v>
      </c>
      <c r="Y246" s="79"/>
      <c r="Z246" s="79"/>
    </row>
    <row r="247" ht="15.75" customHeight="1">
      <c r="A247" s="103" t="s">
        <v>24</v>
      </c>
      <c r="B247" s="77" t="s">
        <v>2571</v>
      </c>
      <c r="C247" s="80">
        <v>3.0680244487E10</v>
      </c>
      <c r="D247" s="79" t="s">
        <v>264</v>
      </c>
      <c r="E247" s="79" t="s">
        <v>1711</v>
      </c>
      <c r="F247" s="44">
        <v>5330.0</v>
      </c>
      <c r="G247" s="79" t="s">
        <v>15</v>
      </c>
      <c r="H247" s="80">
        <v>1678.0</v>
      </c>
      <c r="I247" s="79">
        <v>241309.0</v>
      </c>
      <c r="J247" s="83" t="s">
        <v>568</v>
      </c>
      <c r="K247" s="77" t="s">
        <v>2573</v>
      </c>
      <c r="L247" s="79" t="s">
        <v>453</v>
      </c>
      <c r="M247" s="79"/>
      <c r="N247" s="79">
        <v>0.0</v>
      </c>
      <c r="O247" s="74"/>
      <c r="P247" s="80"/>
      <c r="Q247" s="79"/>
      <c r="R247" s="80"/>
      <c r="S247" s="78" t="s">
        <v>2574</v>
      </c>
      <c r="T247" s="101" t="s">
        <v>332</v>
      </c>
      <c r="U247" s="80" t="s">
        <v>332</v>
      </c>
      <c r="V247" s="102" t="s">
        <v>429</v>
      </c>
      <c r="W247" s="79" t="s">
        <v>309</v>
      </c>
      <c r="X247" s="79" t="s">
        <v>309</v>
      </c>
      <c r="Y247" s="79"/>
      <c r="Z247" s="79"/>
    </row>
    <row r="248" ht="15.0" customHeight="1">
      <c r="A248" s="76" t="s">
        <v>247</v>
      </c>
      <c r="B248" s="77" t="s">
        <v>2576</v>
      </c>
      <c r="C248" s="80">
        <v>3.0707589309E10</v>
      </c>
      <c r="D248" s="119" t="s">
        <v>264</v>
      </c>
      <c r="E248" s="77" t="s">
        <v>1458</v>
      </c>
      <c r="F248" s="44">
        <v>4755.0</v>
      </c>
      <c r="G248" s="79" t="s">
        <v>15</v>
      </c>
      <c r="H248" s="80">
        <v>1678.0</v>
      </c>
      <c r="I248" s="79">
        <v>329090.0</v>
      </c>
      <c r="J248" s="74" t="s">
        <v>313</v>
      </c>
      <c r="K248" s="77" t="s">
        <v>1307</v>
      </c>
      <c r="L248" s="79"/>
      <c r="M248" s="77" t="s">
        <v>2577</v>
      </c>
      <c r="N248" s="79">
        <v>18.0</v>
      </c>
      <c r="O248" s="74" t="s">
        <v>2578</v>
      </c>
      <c r="P248" s="78" t="s">
        <v>2579</v>
      </c>
      <c r="Q248" s="77" t="s">
        <v>2580</v>
      </c>
      <c r="R248" s="78" t="s">
        <v>2581</v>
      </c>
      <c r="S248" s="80" t="s">
        <v>2582</v>
      </c>
      <c r="T248" s="85" t="s">
        <v>2583</v>
      </c>
      <c r="U248" s="80" t="s">
        <v>332</v>
      </c>
      <c r="V248" s="102" t="s">
        <v>2585</v>
      </c>
      <c r="W248" s="79" t="s">
        <v>309</v>
      </c>
      <c r="X248" s="79" t="s">
        <v>309</v>
      </c>
      <c r="Y248" s="79" t="s">
        <v>309</v>
      </c>
      <c r="Z248" s="79"/>
    </row>
    <row r="249" ht="15.75" customHeight="1">
      <c r="A249" s="103" t="s">
        <v>24</v>
      </c>
      <c r="B249" s="77" t="s">
        <v>2587</v>
      </c>
      <c r="C249" s="80">
        <v>3.0707524886E10</v>
      </c>
      <c r="D249" s="79" t="s">
        <v>264</v>
      </c>
      <c r="E249" s="79" t="s">
        <v>898</v>
      </c>
      <c r="F249" s="44">
        <v>3964.0</v>
      </c>
      <c r="G249" s="79" t="s">
        <v>68</v>
      </c>
      <c r="H249" s="80">
        <v>1702.0</v>
      </c>
      <c r="I249" s="79">
        <v>173020.0</v>
      </c>
      <c r="J249" s="74" t="s">
        <v>448</v>
      </c>
      <c r="K249" s="77" t="s">
        <v>2588</v>
      </c>
      <c r="L249" s="79"/>
      <c r="M249" s="79"/>
      <c r="N249" s="79">
        <v>0.0</v>
      </c>
      <c r="O249" s="74"/>
      <c r="P249" s="80"/>
      <c r="Q249" s="79"/>
      <c r="R249" s="80"/>
      <c r="S249" s="80" t="s">
        <v>2589</v>
      </c>
      <c r="T249" s="101" t="s">
        <v>332</v>
      </c>
      <c r="U249" s="80" t="s">
        <v>332</v>
      </c>
      <c r="V249" s="102" t="s">
        <v>429</v>
      </c>
      <c r="W249" s="79" t="s">
        <v>306</v>
      </c>
      <c r="X249" s="79" t="s">
        <v>306</v>
      </c>
      <c r="Y249" s="79"/>
      <c r="Z249" s="79"/>
    </row>
    <row r="250" ht="15.75" customHeight="1">
      <c r="A250" s="76" t="s">
        <v>247</v>
      </c>
      <c r="B250" s="77" t="s">
        <v>2590</v>
      </c>
      <c r="C250" s="80">
        <v>2.0299507816E10</v>
      </c>
      <c r="D250" s="77" t="s">
        <v>631</v>
      </c>
      <c r="E250" s="79" t="s">
        <v>1143</v>
      </c>
      <c r="F250" s="44">
        <v>1985.0</v>
      </c>
      <c r="G250" s="79" t="s">
        <v>15</v>
      </c>
      <c r="H250" s="80">
        <v>1678.0</v>
      </c>
      <c r="I250" s="79">
        <v>162909.0</v>
      </c>
      <c r="J250" s="74" t="s">
        <v>313</v>
      </c>
      <c r="K250" s="77" t="s">
        <v>2592</v>
      </c>
      <c r="L250" s="79" t="s">
        <v>1122</v>
      </c>
      <c r="M250" s="79" t="s">
        <v>2593</v>
      </c>
      <c r="N250" s="79"/>
      <c r="O250" s="74" t="s">
        <v>2594</v>
      </c>
      <c r="P250" s="80"/>
      <c r="Q250" s="79"/>
      <c r="R250" s="80"/>
      <c r="S250" s="80" t="s">
        <v>2595</v>
      </c>
      <c r="T250" s="101"/>
      <c r="U250" s="80"/>
      <c r="V250" s="102" t="s">
        <v>429</v>
      </c>
      <c r="W250" s="79"/>
      <c r="X250" s="79"/>
      <c r="Y250" s="79"/>
      <c r="Z250" s="79"/>
    </row>
    <row r="251" ht="15.0" customHeight="1">
      <c r="A251" s="76" t="s">
        <v>247</v>
      </c>
      <c r="B251" s="77" t="s">
        <v>2596</v>
      </c>
      <c r="C251" s="80">
        <v>3.071223819E10</v>
      </c>
      <c r="D251" s="79" t="s">
        <v>264</v>
      </c>
      <c r="E251" s="79" t="s">
        <v>2598</v>
      </c>
      <c r="F251" s="44">
        <v>1372.0</v>
      </c>
      <c r="G251" s="79" t="s">
        <v>285</v>
      </c>
      <c r="H251" s="80">
        <v>1674.0</v>
      </c>
      <c r="I251" s="79">
        <v>202320.0</v>
      </c>
      <c r="J251" s="74" t="s">
        <v>142</v>
      </c>
      <c r="K251" s="79" t="s">
        <v>2599</v>
      </c>
      <c r="L251" s="79" t="s">
        <v>369</v>
      </c>
      <c r="M251" s="79" t="s">
        <v>2600</v>
      </c>
      <c r="N251" s="79">
        <v>10.0</v>
      </c>
      <c r="O251" s="83" t="s">
        <v>2601</v>
      </c>
      <c r="P251" s="80"/>
      <c r="Q251" s="79"/>
      <c r="R251" s="80"/>
      <c r="S251" s="78" t="s">
        <v>2602</v>
      </c>
      <c r="T251" s="85" t="s">
        <v>2603</v>
      </c>
      <c r="U251" s="235" t="s">
        <v>2604</v>
      </c>
      <c r="V251" s="102" t="s">
        <v>2605</v>
      </c>
      <c r="W251" s="79" t="s">
        <v>306</v>
      </c>
      <c r="X251" s="79" t="s">
        <v>306</v>
      </c>
      <c r="Y251" s="79"/>
      <c r="Z251" s="79"/>
    </row>
    <row r="252" ht="15.75" customHeight="1">
      <c r="A252" s="103" t="s">
        <v>24</v>
      </c>
      <c r="B252" s="77" t="s">
        <v>2607</v>
      </c>
      <c r="C252" s="80">
        <v>3.0708133945E10</v>
      </c>
      <c r="D252" s="119" t="s">
        <v>264</v>
      </c>
      <c r="E252" s="79" t="s">
        <v>1494</v>
      </c>
      <c r="F252" s="44">
        <v>1379.0</v>
      </c>
      <c r="G252" s="79" t="s">
        <v>269</v>
      </c>
      <c r="H252" s="80">
        <v>1682.0</v>
      </c>
      <c r="I252" s="77">
        <v>181200.0</v>
      </c>
      <c r="J252" s="74" t="s">
        <v>433</v>
      </c>
      <c r="K252" s="79" t="s">
        <v>2608</v>
      </c>
      <c r="L252" s="79"/>
      <c r="M252" s="79"/>
      <c r="N252" s="79">
        <v>0.0</v>
      </c>
      <c r="O252" s="74"/>
      <c r="P252" s="80"/>
      <c r="Q252" s="79"/>
      <c r="R252" s="80"/>
      <c r="S252" s="101" t="s">
        <v>2610</v>
      </c>
      <c r="T252" s="101" t="s">
        <v>332</v>
      </c>
      <c r="U252" s="80" t="s">
        <v>332</v>
      </c>
      <c r="V252" s="102" t="s">
        <v>429</v>
      </c>
      <c r="W252" s="79" t="s">
        <v>306</v>
      </c>
      <c r="X252" s="79" t="s">
        <v>306</v>
      </c>
      <c r="Y252" s="79"/>
      <c r="Z252" s="79"/>
    </row>
    <row r="253" ht="15.75" customHeight="1">
      <c r="A253" s="76" t="s">
        <v>247</v>
      </c>
      <c r="B253" s="77" t="s">
        <v>2612</v>
      </c>
      <c r="C253" s="80">
        <v>3.0711915369E10</v>
      </c>
      <c r="D253" s="79" t="s">
        <v>264</v>
      </c>
      <c r="E253" s="79" t="s">
        <v>2613</v>
      </c>
      <c r="F253" s="128">
        <v>2166.0</v>
      </c>
      <c r="G253" s="79" t="s">
        <v>15</v>
      </c>
      <c r="H253" s="80">
        <v>1678.0</v>
      </c>
      <c r="I253" s="77">
        <v>477330.0</v>
      </c>
      <c r="J253" s="74" t="s">
        <v>347</v>
      </c>
      <c r="K253" s="77" t="s">
        <v>2614</v>
      </c>
      <c r="L253" s="79" t="s">
        <v>453</v>
      </c>
      <c r="M253" s="79"/>
      <c r="N253" s="79">
        <v>7.0</v>
      </c>
      <c r="O253" s="74" t="s">
        <v>2615</v>
      </c>
      <c r="P253" s="78" t="s">
        <v>2616</v>
      </c>
      <c r="Q253" s="126" t="s">
        <v>2617</v>
      </c>
      <c r="R253" s="80"/>
      <c r="S253" s="80" t="s">
        <v>2618</v>
      </c>
      <c r="T253" s="101" t="s">
        <v>332</v>
      </c>
      <c r="U253" s="80" t="s">
        <v>332</v>
      </c>
      <c r="V253" s="102" t="s">
        <v>429</v>
      </c>
      <c r="W253" s="79" t="s">
        <v>309</v>
      </c>
      <c r="X253" s="79" t="s">
        <v>309</v>
      </c>
      <c r="Y253" s="79" t="s">
        <v>309</v>
      </c>
      <c r="Z253" s="79"/>
    </row>
    <row r="254" ht="15.75" customHeight="1">
      <c r="A254" s="103" t="s">
        <v>24</v>
      </c>
      <c r="B254" s="79" t="s">
        <v>2620</v>
      </c>
      <c r="C254" s="80">
        <v>3.0569981286E10</v>
      </c>
      <c r="D254" s="144" t="s">
        <v>631</v>
      </c>
      <c r="E254" s="79" t="s">
        <v>1336</v>
      </c>
      <c r="F254" s="44">
        <v>1630.0</v>
      </c>
      <c r="G254" s="79" t="s">
        <v>68</v>
      </c>
      <c r="H254" s="80">
        <v>1702.0</v>
      </c>
      <c r="I254" s="79">
        <v>293095.0</v>
      </c>
      <c r="J254" s="83" t="s">
        <v>207</v>
      </c>
      <c r="K254" s="77" t="s">
        <v>2621</v>
      </c>
      <c r="L254" s="79"/>
      <c r="M254" s="79"/>
      <c r="N254" s="79">
        <v>0.0</v>
      </c>
      <c r="O254" s="74"/>
      <c r="P254" s="80"/>
      <c r="Q254" s="79"/>
      <c r="R254" s="80"/>
      <c r="S254" s="78" t="s">
        <v>2622</v>
      </c>
      <c r="T254" s="101" t="s">
        <v>332</v>
      </c>
      <c r="U254" s="80" t="s">
        <v>332</v>
      </c>
      <c r="V254" s="102" t="s">
        <v>429</v>
      </c>
      <c r="W254" s="79" t="s">
        <v>306</v>
      </c>
      <c r="X254" s="79" t="s">
        <v>306</v>
      </c>
      <c r="Y254" s="79"/>
      <c r="Z254" s="79"/>
    </row>
    <row r="255" ht="15.75" customHeight="1">
      <c r="A255" s="103" t="s">
        <v>24</v>
      </c>
      <c r="B255" s="77" t="s">
        <v>2623</v>
      </c>
      <c r="C255" s="80">
        <v>3.0642702722E10</v>
      </c>
      <c r="D255" s="119" t="s">
        <v>264</v>
      </c>
      <c r="E255" s="79" t="s">
        <v>1336</v>
      </c>
      <c r="F255" s="44">
        <v>1636.0</v>
      </c>
      <c r="G255" s="79" t="s">
        <v>68</v>
      </c>
      <c r="H255" s="80">
        <v>1702.0</v>
      </c>
      <c r="I255" s="79">
        <v>293099.0</v>
      </c>
      <c r="J255" s="83" t="s">
        <v>207</v>
      </c>
      <c r="K255" s="77" t="s">
        <v>2624</v>
      </c>
      <c r="L255" s="79"/>
      <c r="M255" s="79"/>
      <c r="N255" s="79">
        <v>4.0</v>
      </c>
      <c r="O255" s="74"/>
      <c r="P255" s="80"/>
      <c r="Q255" s="79"/>
      <c r="R255" s="80"/>
      <c r="S255" s="80" t="s">
        <v>2622</v>
      </c>
      <c r="T255" s="101" t="s">
        <v>2625</v>
      </c>
      <c r="U255" s="80" t="s">
        <v>2626</v>
      </c>
      <c r="V255" s="102" t="s">
        <v>429</v>
      </c>
      <c r="W255" s="79" t="s">
        <v>309</v>
      </c>
      <c r="X255" s="79" t="s">
        <v>309</v>
      </c>
      <c r="Y255" s="79" t="s">
        <v>309</v>
      </c>
      <c r="Z255" s="79"/>
    </row>
    <row r="256" ht="15.0" customHeight="1">
      <c r="A256" s="103" t="s">
        <v>24</v>
      </c>
      <c r="B256" s="77" t="s">
        <v>2627</v>
      </c>
      <c r="C256" s="80">
        <v>3.0715238515E10</v>
      </c>
      <c r="D256" s="79" t="s">
        <v>264</v>
      </c>
      <c r="E256" s="126" t="s">
        <v>985</v>
      </c>
      <c r="F256" s="210" t="s">
        <v>2629</v>
      </c>
      <c r="G256" s="79" t="s">
        <v>15</v>
      </c>
      <c r="H256" s="80">
        <v>1678.0</v>
      </c>
      <c r="I256" s="79">
        <v>620100.0</v>
      </c>
      <c r="J256" s="74" t="s">
        <v>261</v>
      </c>
      <c r="K256" s="77" t="s">
        <v>2630</v>
      </c>
      <c r="L256" s="79"/>
      <c r="M256" s="79"/>
      <c r="N256" s="79"/>
      <c r="O256" s="74"/>
      <c r="P256" s="80"/>
      <c r="Q256" s="79"/>
      <c r="R256" s="80"/>
      <c r="S256" s="78" t="s">
        <v>2631</v>
      </c>
      <c r="T256" s="101"/>
      <c r="U256" s="80"/>
      <c r="V256" s="102" t="s">
        <v>2632</v>
      </c>
      <c r="W256" s="79"/>
      <c r="X256" s="79"/>
      <c r="Y256" s="79"/>
      <c r="Z256" s="79"/>
    </row>
    <row r="257" ht="15.0" customHeight="1">
      <c r="A257" s="76" t="s">
        <v>247</v>
      </c>
      <c r="B257" s="79" t="s">
        <v>2634</v>
      </c>
      <c r="C257" s="80">
        <v>3.3594291269E10</v>
      </c>
      <c r="D257" s="144" t="s">
        <v>631</v>
      </c>
      <c r="E257" s="77" t="s">
        <v>1469</v>
      </c>
      <c r="F257" s="44">
        <v>891.0</v>
      </c>
      <c r="G257" s="79" t="s">
        <v>119</v>
      </c>
      <c r="H257" s="80">
        <v>1657.0</v>
      </c>
      <c r="I257" s="79">
        <v>202200.0</v>
      </c>
      <c r="J257" s="74" t="s">
        <v>316</v>
      </c>
      <c r="K257" s="79" t="s">
        <v>2635</v>
      </c>
      <c r="L257" s="79"/>
      <c r="M257" s="79"/>
      <c r="N257" s="79">
        <v>1.0</v>
      </c>
      <c r="O257" s="74"/>
      <c r="P257" s="78" t="s">
        <v>2636</v>
      </c>
      <c r="Q257" s="79" t="s">
        <v>2637</v>
      </c>
      <c r="R257" s="80"/>
      <c r="S257" s="80" t="s">
        <v>2638</v>
      </c>
      <c r="T257" s="101" t="s">
        <v>332</v>
      </c>
      <c r="U257" s="80" t="s">
        <v>332</v>
      </c>
      <c r="V257" s="102" t="s">
        <v>429</v>
      </c>
      <c r="W257" s="79" t="s">
        <v>306</v>
      </c>
      <c r="X257" s="79" t="s">
        <v>306</v>
      </c>
      <c r="Y257" s="79" t="s">
        <v>309</v>
      </c>
      <c r="Z257" s="79"/>
    </row>
    <row r="258" ht="15.0" customHeight="1">
      <c r="A258" s="76" t="s">
        <v>247</v>
      </c>
      <c r="B258" s="79" t="s">
        <v>2639</v>
      </c>
      <c r="C258" s="79">
        <v>2.0936966757E10</v>
      </c>
      <c r="D258" s="144" t="s">
        <v>631</v>
      </c>
      <c r="E258" s="79" t="s">
        <v>2641</v>
      </c>
      <c r="F258" s="44">
        <v>3827.0</v>
      </c>
      <c r="G258" s="79" t="s">
        <v>68</v>
      </c>
      <c r="H258" s="80">
        <v>1702.0</v>
      </c>
      <c r="I258" s="79">
        <v>282909.0</v>
      </c>
      <c r="J258" s="83" t="s">
        <v>347</v>
      </c>
      <c r="K258" s="77" t="s">
        <v>2642</v>
      </c>
      <c r="L258" s="79"/>
      <c r="M258" s="79"/>
      <c r="N258" s="79"/>
      <c r="O258" s="74"/>
      <c r="P258" s="80"/>
      <c r="Q258" s="79"/>
      <c r="R258" s="80"/>
      <c r="S258" s="78" t="s">
        <v>2643</v>
      </c>
      <c r="T258" s="101"/>
      <c r="U258" s="80"/>
      <c r="V258" s="86" t="s">
        <v>2644</v>
      </c>
      <c r="W258" s="79"/>
      <c r="X258" s="79"/>
      <c r="Y258" s="79"/>
      <c r="Z258" s="79"/>
    </row>
    <row r="259" ht="15.0" customHeight="1">
      <c r="A259" s="76" t="s">
        <v>247</v>
      </c>
      <c r="B259" s="77" t="s">
        <v>2645</v>
      </c>
      <c r="C259" s="80">
        <v>3.3685315519E10</v>
      </c>
      <c r="D259" s="79" t="s">
        <v>264</v>
      </c>
      <c r="E259" s="77" t="s">
        <v>2646</v>
      </c>
      <c r="F259" s="44">
        <v>3650.0</v>
      </c>
      <c r="G259" s="79" t="s">
        <v>68</v>
      </c>
      <c r="H259" s="80">
        <v>1702.0</v>
      </c>
      <c r="I259" s="79">
        <v>343000.0</v>
      </c>
      <c r="J259" s="83" t="s">
        <v>37</v>
      </c>
      <c r="K259" s="77" t="s">
        <v>1476</v>
      </c>
      <c r="L259" s="79"/>
      <c r="M259" s="77" t="s">
        <v>2648</v>
      </c>
      <c r="N259" s="79">
        <v>0.0</v>
      </c>
      <c r="O259" s="74"/>
      <c r="P259" s="80"/>
      <c r="Q259" s="79"/>
      <c r="R259" s="80"/>
      <c r="S259" s="80" t="s">
        <v>2649</v>
      </c>
      <c r="T259" s="101" t="s">
        <v>2650</v>
      </c>
      <c r="U259" s="80" t="s">
        <v>332</v>
      </c>
      <c r="V259" s="102" t="s">
        <v>2651</v>
      </c>
      <c r="W259" s="79" t="s">
        <v>309</v>
      </c>
      <c r="X259" s="79" t="s">
        <v>309</v>
      </c>
      <c r="Y259" s="79"/>
      <c r="Z259" s="79"/>
    </row>
    <row r="260" ht="15.0" customHeight="1">
      <c r="A260" s="103" t="s">
        <v>24</v>
      </c>
      <c r="B260" s="79" t="s">
        <v>2652</v>
      </c>
      <c r="C260" s="80">
        <v>3.3611438619E10</v>
      </c>
      <c r="D260" s="77" t="s">
        <v>631</v>
      </c>
      <c r="E260" s="119" t="s">
        <v>1770</v>
      </c>
      <c r="F260" s="44">
        <v>9037.0</v>
      </c>
      <c r="G260" s="79" t="s">
        <v>119</v>
      </c>
      <c r="H260" s="80">
        <v>1657.0</v>
      </c>
      <c r="I260" s="79">
        <v>361020.0</v>
      </c>
      <c r="J260" s="74" t="s">
        <v>313</v>
      </c>
      <c r="K260" s="79" t="s">
        <v>2569</v>
      </c>
      <c r="L260" s="79"/>
      <c r="M260" s="79"/>
      <c r="N260" s="79">
        <v>0.0</v>
      </c>
      <c r="O260" s="74"/>
      <c r="P260" s="80"/>
      <c r="Q260" s="79"/>
      <c r="R260" s="80"/>
      <c r="S260" s="80" t="s">
        <v>2655</v>
      </c>
      <c r="T260" s="101" t="s">
        <v>332</v>
      </c>
      <c r="U260" s="80" t="s">
        <v>332</v>
      </c>
      <c r="V260" s="102" t="s">
        <v>429</v>
      </c>
      <c r="W260" s="79" t="s">
        <v>306</v>
      </c>
      <c r="X260" s="79" t="s">
        <v>306</v>
      </c>
      <c r="Y260" s="79"/>
      <c r="Z260" s="79"/>
    </row>
    <row r="261" ht="15.0" customHeight="1">
      <c r="A261" s="76" t="s">
        <v>247</v>
      </c>
      <c r="B261" s="77" t="s">
        <v>2656</v>
      </c>
      <c r="C261" s="80">
        <v>3.0710271794E10</v>
      </c>
      <c r="D261" s="79" t="s">
        <v>264</v>
      </c>
      <c r="E261" s="79" t="s">
        <v>1666</v>
      </c>
      <c r="F261" s="44">
        <v>3068.0</v>
      </c>
      <c r="G261" s="79" t="s">
        <v>15</v>
      </c>
      <c r="H261" s="80">
        <v>1678.0</v>
      </c>
      <c r="I261" s="79">
        <v>329090.0</v>
      </c>
      <c r="J261" s="74" t="s">
        <v>347</v>
      </c>
      <c r="K261" s="77" t="s">
        <v>1307</v>
      </c>
      <c r="L261" s="79" t="s">
        <v>369</v>
      </c>
      <c r="M261" s="79" t="s">
        <v>2657</v>
      </c>
      <c r="N261" s="79">
        <v>2.0</v>
      </c>
      <c r="O261" s="74"/>
      <c r="P261" s="80"/>
      <c r="Q261" s="79"/>
      <c r="R261" s="80"/>
      <c r="S261" s="78" t="s">
        <v>2658</v>
      </c>
      <c r="T261" s="101" t="s">
        <v>332</v>
      </c>
      <c r="U261" s="80" t="s">
        <v>332</v>
      </c>
      <c r="V261" s="102" t="s">
        <v>429</v>
      </c>
      <c r="W261" s="79" t="s">
        <v>309</v>
      </c>
      <c r="X261" s="79" t="s">
        <v>309</v>
      </c>
      <c r="Y261" s="79"/>
      <c r="Z261" s="79"/>
    </row>
    <row r="262" ht="15.75" customHeight="1">
      <c r="A262" s="103" t="s">
        <v>24</v>
      </c>
      <c r="B262" s="77" t="s">
        <v>2660</v>
      </c>
      <c r="C262" s="80">
        <v>3.0541787883E10</v>
      </c>
      <c r="D262" s="79" t="s">
        <v>264</v>
      </c>
      <c r="E262" s="79" t="s">
        <v>1045</v>
      </c>
      <c r="F262" s="44">
        <v>3857.0</v>
      </c>
      <c r="G262" s="79" t="s">
        <v>15</v>
      </c>
      <c r="H262" s="80">
        <v>1678.0</v>
      </c>
      <c r="I262" s="79">
        <v>259999.0</v>
      </c>
      <c r="J262" s="74" t="s">
        <v>347</v>
      </c>
      <c r="K262" s="77" t="s">
        <v>839</v>
      </c>
      <c r="L262" s="79" t="s">
        <v>453</v>
      </c>
      <c r="M262" s="77" t="s">
        <v>2661</v>
      </c>
      <c r="N262" s="79">
        <v>17.0</v>
      </c>
      <c r="O262" s="74"/>
      <c r="P262" s="80"/>
      <c r="Q262" s="79" t="s">
        <v>2662</v>
      </c>
      <c r="R262" s="80"/>
      <c r="S262" s="80" t="s">
        <v>2663</v>
      </c>
      <c r="T262" s="101" t="s">
        <v>2664</v>
      </c>
      <c r="U262" s="78" t="s">
        <v>2665</v>
      </c>
      <c r="V262" s="237" t="s">
        <v>2666</v>
      </c>
      <c r="W262" s="79" t="s">
        <v>309</v>
      </c>
      <c r="X262" s="79" t="s">
        <v>309</v>
      </c>
      <c r="Y262" s="79" t="s">
        <v>309</v>
      </c>
      <c r="Z262" s="79"/>
    </row>
    <row r="263" ht="15.75" customHeight="1">
      <c r="A263" s="103" t="s">
        <v>24</v>
      </c>
      <c r="B263" s="77" t="s">
        <v>2668</v>
      </c>
      <c r="C263" s="80">
        <v>3.0709903051E10</v>
      </c>
      <c r="D263" s="79" t="s">
        <v>264</v>
      </c>
      <c r="E263" s="79" t="s">
        <v>2669</v>
      </c>
      <c r="F263" s="44">
        <v>3090.0</v>
      </c>
      <c r="G263" s="79" t="s">
        <v>15</v>
      </c>
      <c r="H263" s="80">
        <v>1678.0</v>
      </c>
      <c r="I263" s="79">
        <v>281301.0</v>
      </c>
      <c r="J263" s="74" t="s">
        <v>347</v>
      </c>
      <c r="K263" s="77" t="s">
        <v>2670</v>
      </c>
      <c r="L263" s="79"/>
      <c r="M263" s="79"/>
      <c r="N263" s="79">
        <v>0.0</v>
      </c>
      <c r="O263" s="74"/>
      <c r="P263" s="80"/>
      <c r="Q263" s="79"/>
      <c r="R263" s="80"/>
      <c r="S263" s="80" t="s">
        <v>2671</v>
      </c>
      <c r="T263" s="101" t="s">
        <v>332</v>
      </c>
      <c r="U263" s="80" t="s">
        <v>332</v>
      </c>
      <c r="V263" s="102" t="s">
        <v>429</v>
      </c>
      <c r="W263" s="79" t="s">
        <v>306</v>
      </c>
      <c r="X263" s="79" t="s">
        <v>306</v>
      </c>
      <c r="Y263" s="79"/>
      <c r="Z263" s="79"/>
    </row>
    <row r="264" ht="15.75" customHeight="1">
      <c r="A264" s="76" t="s">
        <v>247</v>
      </c>
      <c r="B264" s="77" t="s">
        <v>1185</v>
      </c>
      <c r="C264" s="80">
        <v>2.0149336959E10</v>
      </c>
      <c r="D264" s="77" t="s">
        <v>631</v>
      </c>
      <c r="E264" s="79" t="s">
        <v>1376</v>
      </c>
      <c r="F264" s="44">
        <v>1861.0</v>
      </c>
      <c r="G264" s="79" t="s">
        <v>68</v>
      </c>
      <c r="H264" s="80">
        <v>1702.0</v>
      </c>
      <c r="I264" s="79">
        <v>281301.0</v>
      </c>
      <c r="J264" s="74" t="s">
        <v>261</v>
      </c>
      <c r="K264" s="77" t="s">
        <v>2670</v>
      </c>
      <c r="L264" s="79"/>
      <c r="M264" s="79"/>
      <c r="N264" s="79"/>
      <c r="O264" s="83" t="s">
        <v>2673</v>
      </c>
      <c r="P264" s="78" t="s">
        <v>2674</v>
      </c>
      <c r="Q264" s="77" t="s">
        <v>2675</v>
      </c>
      <c r="R264" s="78">
        <v>1.132141515E9</v>
      </c>
      <c r="S264" s="80" t="s">
        <v>2676</v>
      </c>
      <c r="T264" s="101"/>
      <c r="U264" s="80"/>
      <c r="V264" s="102" t="s">
        <v>2677</v>
      </c>
      <c r="W264" s="79"/>
      <c r="X264" s="79"/>
      <c r="Y264" s="79" t="s">
        <v>309</v>
      </c>
      <c r="Z264" s="79"/>
    </row>
    <row r="265" ht="15.0" customHeight="1">
      <c r="A265" s="76" t="s">
        <v>247</v>
      </c>
      <c r="B265" s="77" t="s">
        <v>1197</v>
      </c>
      <c r="C265" s="80">
        <v>3.0679115274E10</v>
      </c>
      <c r="D265" s="79" t="s">
        <v>264</v>
      </c>
      <c r="E265" s="77" t="s">
        <v>2678</v>
      </c>
      <c r="F265" s="44">
        <v>8141.0</v>
      </c>
      <c r="G265" s="79" t="s">
        <v>119</v>
      </c>
      <c r="H265" s="80">
        <v>1657.0</v>
      </c>
      <c r="I265" s="79">
        <v>131300.0</v>
      </c>
      <c r="J265" s="74" t="s">
        <v>448</v>
      </c>
      <c r="K265" s="79" t="s">
        <v>2680</v>
      </c>
      <c r="L265" s="79"/>
      <c r="M265" s="79" t="s">
        <v>2681</v>
      </c>
      <c r="N265" s="79">
        <v>63.0</v>
      </c>
      <c r="O265" s="129" t="s">
        <v>2682</v>
      </c>
      <c r="P265" s="78" t="s">
        <v>2683</v>
      </c>
      <c r="Q265" s="119" t="s">
        <v>2684</v>
      </c>
      <c r="R265" s="78" t="s">
        <v>2685</v>
      </c>
      <c r="S265" s="80" t="s">
        <v>2686</v>
      </c>
      <c r="T265" s="101" t="s">
        <v>2687</v>
      </c>
      <c r="U265" s="78" t="s">
        <v>2688</v>
      </c>
      <c r="V265" s="98" t="s">
        <v>2689</v>
      </c>
      <c r="W265" s="79" t="s">
        <v>309</v>
      </c>
      <c r="X265" s="79" t="s">
        <v>306</v>
      </c>
      <c r="Y265" s="79" t="s">
        <v>309</v>
      </c>
      <c r="Z265" s="79"/>
    </row>
    <row r="266" ht="15.75" customHeight="1">
      <c r="A266" s="76" t="s">
        <v>247</v>
      </c>
      <c r="B266" s="79" t="s">
        <v>2691</v>
      </c>
      <c r="C266" s="238">
        <v>3.0717476383E10</v>
      </c>
      <c r="D266" s="79" t="s">
        <v>264</v>
      </c>
      <c r="E266" s="126" t="s">
        <v>985</v>
      </c>
      <c r="F266" s="128" t="s">
        <v>2692</v>
      </c>
      <c r="G266" s="79" t="s">
        <v>15</v>
      </c>
      <c r="H266" s="80">
        <v>1678.0</v>
      </c>
      <c r="I266" s="79">
        <v>131139.0</v>
      </c>
      <c r="J266" s="74" t="s">
        <v>448</v>
      </c>
      <c r="K266" s="77" t="s">
        <v>2247</v>
      </c>
      <c r="L266" s="79"/>
      <c r="M266" s="79"/>
      <c r="N266" s="79"/>
      <c r="O266" s="83" t="s">
        <v>2693</v>
      </c>
      <c r="P266" s="78">
        <v>1.149458083E9</v>
      </c>
      <c r="Q266" s="77" t="s">
        <v>2694</v>
      </c>
      <c r="R266" s="78">
        <v>1.147807817E9</v>
      </c>
      <c r="S266" s="78" t="s">
        <v>2695</v>
      </c>
      <c r="T266" s="101"/>
      <c r="U266" s="80"/>
      <c r="V266" s="102" t="s">
        <v>429</v>
      </c>
      <c r="W266" s="79"/>
      <c r="X266" s="79"/>
      <c r="Y266" s="79"/>
      <c r="Z266" s="79"/>
    </row>
    <row r="267" ht="15.0" customHeight="1">
      <c r="A267" s="103" t="s">
        <v>24</v>
      </c>
      <c r="B267" s="77" t="s">
        <v>2696</v>
      </c>
      <c r="C267" s="80">
        <v>3.070989891E10</v>
      </c>
      <c r="D267" s="79" t="s">
        <v>264</v>
      </c>
      <c r="E267" s="77" t="s">
        <v>1765</v>
      </c>
      <c r="F267" s="44">
        <v>3051.0</v>
      </c>
      <c r="G267" s="79" t="s">
        <v>15</v>
      </c>
      <c r="H267" s="80">
        <v>1678.0</v>
      </c>
      <c r="I267" s="79">
        <v>309100.0</v>
      </c>
      <c r="J267" s="74" t="s">
        <v>337</v>
      </c>
      <c r="K267" s="79" t="s">
        <v>2697</v>
      </c>
      <c r="L267" s="79"/>
      <c r="M267" s="79"/>
      <c r="N267" s="79">
        <v>0.0</v>
      </c>
      <c r="O267" s="74"/>
      <c r="P267" s="80"/>
      <c r="Q267" s="79"/>
      <c r="R267" s="80"/>
      <c r="S267" s="80" t="s">
        <v>2698</v>
      </c>
      <c r="T267" s="101" t="s">
        <v>2699</v>
      </c>
      <c r="U267" s="80" t="s">
        <v>332</v>
      </c>
      <c r="V267" s="102" t="s">
        <v>429</v>
      </c>
      <c r="W267" s="79" t="s">
        <v>309</v>
      </c>
      <c r="X267" s="79" t="s">
        <v>309</v>
      </c>
      <c r="Y267" s="79"/>
      <c r="Z267" s="79"/>
    </row>
    <row r="268" ht="15.0" customHeight="1">
      <c r="A268" s="76" t="s">
        <v>247</v>
      </c>
      <c r="B268" s="77" t="s">
        <v>2701</v>
      </c>
      <c r="C268" s="80">
        <v>3.0707018034E10</v>
      </c>
      <c r="D268" s="79" t="s">
        <v>264</v>
      </c>
      <c r="E268" s="79" t="s">
        <v>195</v>
      </c>
      <c r="F268" s="44">
        <v>7080.0</v>
      </c>
      <c r="G268" s="79" t="s">
        <v>134</v>
      </c>
      <c r="H268" s="80">
        <v>1682.0</v>
      </c>
      <c r="I268" s="79">
        <v>162300.0</v>
      </c>
      <c r="J268" s="74" t="s">
        <v>313</v>
      </c>
      <c r="K268" s="79" t="s">
        <v>2702</v>
      </c>
      <c r="L268" s="79" t="s">
        <v>286</v>
      </c>
      <c r="M268" s="79" t="s">
        <v>2703</v>
      </c>
      <c r="N268" s="79">
        <v>0.0</v>
      </c>
      <c r="O268" s="74"/>
      <c r="P268" s="80"/>
      <c r="Q268" s="79"/>
      <c r="R268" s="80"/>
      <c r="S268" s="80" t="s">
        <v>2704</v>
      </c>
      <c r="T268" s="101" t="s">
        <v>2705</v>
      </c>
      <c r="U268" s="80" t="s">
        <v>332</v>
      </c>
      <c r="V268" s="86" t="s">
        <v>2706</v>
      </c>
      <c r="W268" s="79" t="s">
        <v>306</v>
      </c>
      <c r="X268" s="79" t="s">
        <v>306</v>
      </c>
      <c r="Y268" s="79" t="s">
        <v>309</v>
      </c>
      <c r="Z268" s="79"/>
    </row>
    <row r="269" ht="15.0" customHeight="1">
      <c r="A269" s="103" t="s">
        <v>24</v>
      </c>
      <c r="B269" s="77" t="s">
        <v>2707</v>
      </c>
      <c r="C269" s="80">
        <v>3.3711437849E10</v>
      </c>
      <c r="D269" s="79" t="s">
        <v>264</v>
      </c>
      <c r="E269" s="79" t="s">
        <v>660</v>
      </c>
      <c r="F269" s="44">
        <v>4795.0</v>
      </c>
      <c r="G269" s="79" t="s">
        <v>15</v>
      </c>
      <c r="H269" s="80">
        <v>1678.0</v>
      </c>
      <c r="I269" s="79">
        <v>152040.0</v>
      </c>
      <c r="J269" s="74" t="s">
        <v>73</v>
      </c>
      <c r="K269" s="79" t="s">
        <v>2709</v>
      </c>
      <c r="L269" s="79"/>
      <c r="M269" s="79"/>
      <c r="N269" s="79">
        <v>10.0</v>
      </c>
      <c r="O269" s="74"/>
      <c r="P269" s="80"/>
      <c r="Q269" s="79"/>
      <c r="R269" s="80"/>
      <c r="S269" s="80" t="s">
        <v>2710</v>
      </c>
      <c r="T269" s="101" t="s">
        <v>2711</v>
      </c>
      <c r="U269" s="80" t="s">
        <v>2712</v>
      </c>
      <c r="V269" s="102" t="s">
        <v>429</v>
      </c>
      <c r="W269" s="79" t="s">
        <v>306</v>
      </c>
      <c r="X269" s="79" t="s">
        <v>306</v>
      </c>
      <c r="Y269" s="79" t="s">
        <v>309</v>
      </c>
      <c r="Z269" s="79"/>
    </row>
    <row r="270" ht="15.75" customHeight="1">
      <c r="A270" s="76" t="s">
        <v>247</v>
      </c>
      <c r="B270" s="77" t="s">
        <v>1208</v>
      </c>
      <c r="C270" s="80">
        <v>3.0708317809E10</v>
      </c>
      <c r="D270" s="119" t="s">
        <v>264</v>
      </c>
      <c r="E270" s="77" t="s">
        <v>2713</v>
      </c>
      <c r="F270" s="44">
        <v>1955.0</v>
      </c>
      <c r="G270" s="79" t="s">
        <v>15</v>
      </c>
      <c r="H270" s="80">
        <v>1678.0</v>
      </c>
      <c r="I270" s="79">
        <v>242090.0</v>
      </c>
      <c r="J270" s="74" t="s">
        <v>347</v>
      </c>
      <c r="K270" s="77" t="s">
        <v>2714</v>
      </c>
      <c r="L270" s="79" t="s">
        <v>453</v>
      </c>
      <c r="M270" s="77" t="s">
        <v>2715</v>
      </c>
      <c r="N270" s="79">
        <v>20.0</v>
      </c>
      <c r="O270" s="208" t="s">
        <v>2717</v>
      </c>
      <c r="P270" s="153" t="s">
        <v>2718</v>
      </c>
      <c r="Q270" s="79"/>
      <c r="R270" s="80"/>
      <c r="S270" s="85" t="s">
        <v>2719</v>
      </c>
      <c r="T270" s="78" t="s">
        <v>2720</v>
      </c>
      <c r="U270" s="78"/>
      <c r="V270" s="98" t="s">
        <v>2721</v>
      </c>
      <c r="W270" s="79" t="s">
        <v>309</v>
      </c>
      <c r="X270" s="79" t="s">
        <v>309</v>
      </c>
      <c r="Y270" s="79" t="s">
        <v>309</v>
      </c>
      <c r="Z270" s="79"/>
    </row>
    <row r="271" ht="15.75" customHeight="1">
      <c r="A271" s="103" t="s">
        <v>24</v>
      </c>
      <c r="B271" s="79" t="s">
        <v>2722</v>
      </c>
      <c r="C271" s="80">
        <v>3.0614062947E10</v>
      </c>
      <c r="D271" s="77" t="s">
        <v>631</v>
      </c>
      <c r="E271" s="79" t="s">
        <v>1485</v>
      </c>
      <c r="F271" s="44">
        <v>2644.0</v>
      </c>
      <c r="G271" s="79" t="s">
        <v>97</v>
      </c>
      <c r="H271" s="80">
        <v>1702.0</v>
      </c>
      <c r="I271" s="79">
        <v>361010.0</v>
      </c>
      <c r="J271" s="74" t="s">
        <v>313</v>
      </c>
      <c r="K271" s="79" t="s">
        <v>2534</v>
      </c>
      <c r="L271" s="79" t="s">
        <v>1122</v>
      </c>
      <c r="M271" s="79"/>
      <c r="N271" s="79">
        <v>0.0</v>
      </c>
      <c r="O271" s="74"/>
      <c r="P271" s="80"/>
      <c r="Q271" s="79"/>
      <c r="R271" s="80"/>
      <c r="S271" s="78" t="s">
        <v>2725</v>
      </c>
      <c r="T271" s="101" t="s">
        <v>332</v>
      </c>
      <c r="U271" s="80" t="s">
        <v>332</v>
      </c>
      <c r="V271" s="102" t="s">
        <v>429</v>
      </c>
      <c r="W271" s="79" t="s">
        <v>306</v>
      </c>
      <c r="X271" s="79" t="s">
        <v>306</v>
      </c>
      <c r="Y271" s="79"/>
      <c r="Z271" s="79"/>
    </row>
    <row r="272" ht="15.0" customHeight="1">
      <c r="A272" s="103" t="s">
        <v>24</v>
      </c>
      <c r="B272" s="77" t="s">
        <v>2726</v>
      </c>
      <c r="C272" s="80">
        <v>3.0703262933E10</v>
      </c>
      <c r="D272" s="119" t="s">
        <v>264</v>
      </c>
      <c r="E272" s="79" t="s">
        <v>2312</v>
      </c>
      <c r="F272" s="44">
        <v>5649.0</v>
      </c>
      <c r="G272" s="79" t="s">
        <v>15</v>
      </c>
      <c r="H272" s="80">
        <v>1678.0</v>
      </c>
      <c r="I272" s="79">
        <v>289999.0</v>
      </c>
      <c r="J272" s="74" t="s">
        <v>347</v>
      </c>
      <c r="K272" s="77" t="s">
        <v>1901</v>
      </c>
      <c r="L272" s="79" t="s">
        <v>453</v>
      </c>
      <c r="M272" s="79"/>
      <c r="N272" s="79">
        <v>0.0</v>
      </c>
      <c r="O272" s="74"/>
      <c r="P272" s="80"/>
      <c r="Q272" s="79"/>
      <c r="R272" s="80"/>
      <c r="S272" s="80" t="s">
        <v>2728</v>
      </c>
      <c r="T272" s="101" t="s">
        <v>332</v>
      </c>
      <c r="U272" s="80" t="s">
        <v>332</v>
      </c>
      <c r="V272" s="102" t="s">
        <v>429</v>
      </c>
      <c r="W272" s="79" t="s">
        <v>309</v>
      </c>
      <c r="X272" s="79" t="s">
        <v>309</v>
      </c>
      <c r="Y272" s="79"/>
      <c r="Z272" s="79"/>
    </row>
    <row r="273" ht="15.75" customHeight="1">
      <c r="A273" s="76" t="s">
        <v>247</v>
      </c>
      <c r="B273" s="79" t="s">
        <v>1213</v>
      </c>
      <c r="C273" s="79">
        <v>2.7035616891E10</v>
      </c>
      <c r="D273" s="144" t="s">
        <v>631</v>
      </c>
      <c r="E273" s="77" t="s">
        <v>266</v>
      </c>
      <c r="F273" s="44">
        <v>3070.0</v>
      </c>
      <c r="G273" s="79" t="s">
        <v>15</v>
      </c>
      <c r="H273" s="80">
        <v>1678.0</v>
      </c>
      <c r="I273" s="79">
        <v>452990.0</v>
      </c>
      <c r="J273" s="74" t="s">
        <v>337</v>
      </c>
      <c r="K273" s="77" t="s">
        <v>2729</v>
      </c>
      <c r="L273" s="79"/>
      <c r="M273" s="79"/>
      <c r="N273" s="79"/>
      <c r="O273" s="83" t="s">
        <v>2730</v>
      </c>
      <c r="P273" s="78" t="s">
        <v>2731</v>
      </c>
      <c r="Q273" s="79"/>
      <c r="R273" s="80"/>
      <c r="S273" s="80"/>
      <c r="T273" s="101"/>
      <c r="U273" s="80"/>
      <c r="V273" s="102" t="s">
        <v>429</v>
      </c>
      <c r="W273" s="79"/>
      <c r="X273" s="79"/>
      <c r="Y273" s="79"/>
      <c r="Z273" s="79"/>
    </row>
    <row r="274" ht="15.75" customHeight="1">
      <c r="A274" s="103" t="s">
        <v>24</v>
      </c>
      <c r="B274" s="77" t="s">
        <v>2733</v>
      </c>
      <c r="C274" s="80">
        <v>3.0710704429E10</v>
      </c>
      <c r="D274" s="79" t="s">
        <v>264</v>
      </c>
      <c r="E274" s="79" t="s">
        <v>1819</v>
      </c>
      <c r="F274" s="44">
        <v>3130.0</v>
      </c>
      <c r="G274" s="79" t="s">
        <v>68</v>
      </c>
      <c r="H274" s="80">
        <v>1702.0</v>
      </c>
      <c r="I274" s="79">
        <v>251101.0</v>
      </c>
      <c r="J274" s="74" t="s">
        <v>347</v>
      </c>
      <c r="K274" s="79" t="s">
        <v>1486</v>
      </c>
      <c r="L274" s="79" t="s">
        <v>453</v>
      </c>
      <c r="M274" s="79"/>
      <c r="N274" s="79"/>
      <c r="O274" s="74"/>
      <c r="P274" s="80"/>
      <c r="Q274" s="79"/>
      <c r="R274" s="80"/>
      <c r="S274" s="80" t="s">
        <v>2734</v>
      </c>
      <c r="T274" s="85" t="s">
        <v>2735</v>
      </c>
      <c r="U274" s="80" t="s">
        <v>332</v>
      </c>
      <c r="V274" s="102" t="s">
        <v>429</v>
      </c>
      <c r="W274" s="79" t="s">
        <v>306</v>
      </c>
      <c r="X274" s="79" t="s">
        <v>306</v>
      </c>
      <c r="Y274" s="79"/>
      <c r="Z274" s="79"/>
    </row>
    <row r="275">
      <c r="A275" s="103" t="s">
        <v>24</v>
      </c>
      <c r="B275" s="77" t="s">
        <v>2736</v>
      </c>
      <c r="C275" s="80">
        <v>3.0711456623E10</v>
      </c>
      <c r="D275" s="79" t="s">
        <v>264</v>
      </c>
      <c r="E275" s="77" t="s">
        <v>1578</v>
      </c>
      <c r="F275" s="44">
        <v>1434.0</v>
      </c>
      <c r="G275" s="79" t="s">
        <v>119</v>
      </c>
      <c r="H275" s="80">
        <v>1657.0</v>
      </c>
      <c r="I275" s="79">
        <v>259999.0</v>
      </c>
      <c r="J275" s="74" t="s">
        <v>347</v>
      </c>
      <c r="K275" s="77" t="s">
        <v>839</v>
      </c>
      <c r="L275" s="79" t="s">
        <v>453</v>
      </c>
      <c r="M275" s="79"/>
      <c r="N275" s="79">
        <v>5.0</v>
      </c>
      <c r="O275" s="74"/>
      <c r="P275" s="80"/>
      <c r="Q275" s="79"/>
      <c r="R275" s="80"/>
      <c r="S275" s="80" t="s">
        <v>2737</v>
      </c>
      <c r="T275" s="101" t="s">
        <v>332</v>
      </c>
      <c r="U275" s="80" t="s">
        <v>332</v>
      </c>
      <c r="V275" s="102" t="s">
        <v>429</v>
      </c>
      <c r="W275" s="79" t="s">
        <v>309</v>
      </c>
      <c r="X275" s="79" t="s">
        <v>309</v>
      </c>
      <c r="Y275" s="79"/>
      <c r="Z275" s="79"/>
    </row>
    <row r="276" ht="15.0" customHeight="1">
      <c r="A276" s="103" t="s">
        <v>24</v>
      </c>
      <c r="B276" s="79" t="s">
        <v>2739</v>
      </c>
      <c r="C276" s="80">
        <v>2.0286954333E10</v>
      </c>
      <c r="D276" s="77" t="s">
        <v>631</v>
      </c>
      <c r="E276" s="79" t="s">
        <v>1079</v>
      </c>
      <c r="F276" s="44">
        <v>1876.0</v>
      </c>
      <c r="G276" s="79" t="s">
        <v>15</v>
      </c>
      <c r="H276" s="80">
        <v>1678.0</v>
      </c>
      <c r="I276" s="77">
        <v>712000.0</v>
      </c>
      <c r="J276" s="74" t="s">
        <v>433</v>
      </c>
      <c r="K276" s="77" t="s">
        <v>2740</v>
      </c>
      <c r="L276" s="79"/>
      <c r="M276" s="79"/>
      <c r="N276" s="79"/>
      <c r="O276" s="74"/>
      <c r="P276" s="80"/>
      <c r="Q276" s="79"/>
      <c r="R276" s="80"/>
      <c r="S276" s="78" t="s">
        <v>2741</v>
      </c>
      <c r="T276" s="101"/>
      <c r="U276" s="80"/>
      <c r="V276" s="102" t="s">
        <v>429</v>
      </c>
      <c r="W276" s="79"/>
      <c r="X276" s="79"/>
      <c r="Y276" s="79"/>
      <c r="Z276" s="79"/>
    </row>
    <row r="277" ht="15.0" customHeight="1">
      <c r="A277" s="76" t="s">
        <v>247</v>
      </c>
      <c r="B277" s="77" t="s">
        <v>1220</v>
      </c>
      <c r="C277" s="239">
        <v>3.0715607863E10</v>
      </c>
      <c r="D277" s="77" t="s">
        <v>264</v>
      </c>
      <c r="E277" s="126" t="s">
        <v>696</v>
      </c>
      <c r="F277" s="44">
        <v>4049.0</v>
      </c>
      <c r="G277" s="79" t="s">
        <v>15</v>
      </c>
      <c r="H277" s="80">
        <v>1678.0</v>
      </c>
      <c r="I277" s="77">
        <v>139900.0</v>
      </c>
      <c r="J277" s="74" t="s">
        <v>448</v>
      </c>
      <c r="K277" s="77" t="s">
        <v>2743</v>
      </c>
      <c r="L277" s="79"/>
      <c r="M277" s="79"/>
      <c r="N277" s="79"/>
      <c r="O277" s="59" t="s">
        <v>2744</v>
      </c>
      <c r="P277" s="78" t="s">
        <v>2745</v>
      </c>
      <c r="Q277" s="79"/>
      <c r="R277" s="80"/>
      <c r="S277" s="78" t="s">
        <v>2746</v>
      </c>
      <c r="T277" s="101"/>
      <c r="U277" s="80"/>
      <c r="V277" s="102" t="s">
        <v>429</v>
      </c>
      <c r="W277" s="79"/>
      <c r="X277" s="79"/>
      <c r="Y277" s="79"/>
      <c r="Z277" s="79"/>
    </row>
    <row r="278" ht="15.75" customHeight="1">
      <c r="A278" s="103" t="s">
        <v>24</v>
      </c>
      <c r="B278" s="77" t="s">
        <v>2747</v>
      </c>
      <c r="C278" s="80">
        <v>3.07135451E10</v>
      </c>
      <c r="D278" s="119" t="s">
        <v>264</v>
      </c>
      <c r="E278" s="77" t="s">
        <v>2748</v>
      </c>
      <c r="F278" s="128">
        <v>165.0</v>
      </c>
      <c r="G278" s="79" t="s">
        <v>68</v>
      </c>
      <c r="H278" s="80">
        <v>1702.0</v>
      </c>
      <c r="I278" s="79">
        <v>141130.0</v>
      </c>
      <c r="J278" s="74" t="s">
        <v>448</v>
      </c>
      <c r="K278" s="79" t="s">
        <v>1564</v>
      </c>
      <c r="L278" s="79" t="s">
        <v>369</v>
      </c>
      <c r="M278" s="79"/>
      <c r="N278" s="79">
        <v>8.0</v>
      </c>
      <c r="O278" s="83" t="s">
        <v>2749</v>
      </c>
      <c r="P278" s="80"/>
      <c r="Q278" s="79"/>
      <c r="R278" s="80"/>
      <c r="S278" s="80"/>
      <c r="T278" s="101" t="s">
        <v>332</v>
      </c>
      <c r="U278" s="80" t="s">
        <v>332</v>
      </c>
      <c r="V278" s="102" t="s">
        <v>429</v>
      </c>
      <c r="W278" s="79" t="s">
        <v>306</v>
      </c>
      <c r="X278" s="79" t="s">
        <v>306</v>
      </c>
      <c r="Y278" s="79"/>
      <c r="Z278" s="79"/>
    </row>
    <row r="279" ht="15.75" customHeight="1">
      <c r="A279" s="76" t="s">
        <v>247</v>
      </c>
      <c r="B279" s="77" t="s">
        <v>2751</v>
      </c>
      <c r="C279" s="80">
        <v>3.0708449403E10</v>
      </c>
      <c r="D279" s="119" t="s">
        <v>264</v>
      </c>
      <c r="E279" s="79" t="s">
        <v>2752</v>
      </c>
      <c r="F279" s="44">
        <v>1622.0</v>
      </c>
      <c r="G279" s="79" t="s">
        <v>68</v>
      </c>
      <c r="H279" s="80">
        <v>1702.0</v>
      </c>
      <c r="I279" s="79">
        <v>272090.0</v>
      </c>
      <c r="J279" s="74" t="s">
        <v>347</v>
      </c>
      <c r="K279" s="77" t="s">
        <v>2753</v>
      </c>
      <c r="L279" s="79" t="s">
        <v>453</v>
      </c>
      <c r="M279" s="79"/>
      <c r="N279" s="79">
        <v>0.0</v>
      </c>
      <c r="O279" s="74"/>
      <c r="P279" s="80"/>
      <c r="Q279" s="79"/>
      <c r="R279" s="80"/>
      <c r="S279" s="80" t="s">
        <v>2754</v>
      </c>
      <c r="T279" s="101" t="s">
        <v>2755</v>
      </c>
      <c r="U279" s="80" t="s">
        <v>2756</v>
      </c>
      <c r="V279" s="102" t="s">
        <v>429</v>
      </c>
      <c r="W279" s="79" t="s">
        <v>309</v>
      </c>
      <c r="X279" s="79" t="s">
        <v>309</v>
      </c>
      <c r="Y279" s="79" t="s">
        <v>309</v>
      </c>
      <c r="Z279" s="79"/>
    </row>
    <row r="280" ht="15.0" customHeight="1">
      <c r="A280" s="76" t="s">
        <v>247</v>
      </c>
      <c r="B280" s="77" t="s">
        <v>1227</v>
      </c>
      <c r="C280" s="80">
        <v>3.0715721305E10</v>
      </c>
      <c r="D280" s="79" t="s">
        <v>264</v>
      </c>
      <c r="E280" s="126" t="s">
        <v>696</v>
      </c>
      <c r="F280" s="44">
        <v>4059.0</v>
      </c>
      <c r="G280" s="77" t="s">
        <v>15</v>
      </c>
      <c r="H280" s="80">
        <v>1678.0</v>
      </c>
      <c r="I280" s="79">
        <v>711009.0</v>
      </c>
      <c r="J280" s="74" t="s">
        <v>433</v>
      </c>
      <c r="K280" s="77" t="s">
        <v>2325</v>
      </c>
      <c r="L280" s="79" t="s">
        <v>286</v>
      </c>
      <c r="M280" s="79" t="s">
        <v>2758</v>
      </c>
      <c r="N280" s="79">
        <v>3.0</v>
      </c>
      <c r="O280" s="74" t="s">
        <v>2759</v>
      </c>
      <c r="P280" s="78" t="s">
        <v>2760</v>
      </c>
      <c r="Q280" s="79" t="s">
        <v>2761</v>
      </c>
      <c r="R280" s="78" t="s">
        <v>2762</v>
      </c>
      <c r="S280" s="78" t="s">
        <v>2760</v>
      </c>
      <c r="T280" s="101"/>
      <c r="U280" s="80"/>
      <c r="V280" s="102" t="s">
        <v>2763</v>
      </c>
      <c r="W280" s="79"/>
      <c r="X280" s="79"/>
      <c r="Y280" s="79"/>
      <c r="Z280" s="79"/>
    </row>
    <row r="281" ht="15.75" customHeight="1">
      <c r="A281" s="76" t="s">
        <v>247</v>
      </c>
      <c r="B281" s="77" t="s">
        <v>2764</v>
      </c>
      <c r="C281" s="80">
        <v>3.0712054146E10</v>
      </c>
      <c r="D281" s="119" t="s">
        <v>264</v>
      </c>
      <c r="E281" s="79" t="s">
        <v>359</v>
      </c>
      <c r="F281" s="44">
        <v>3935.0</v>
      </c>
      <c r="G281" s="79" t="s">
        <v>15</v>
      </c>
      <c r="H281" s="80">
        <v>1678.0</v>
      </c>
      <c r="I281" s="79">
        <v>141199.0</v>
      </c>
      <c r="J281" s="74" t="s">
        <v>448</v>
      </c>
      <c r="K281" s="77" t="s">
        <v>2765</v>
      </c>
      <c r="L281" s="79" t="s">
        <v>369</v>
      </c>
      <c r="M281" s="176"/>
      <c r="N281" s="79">
        <v>1.0</v>
      </c>
      <c r="O281" s="74"/>
      <c r="P281" s="80"/>
      <c r="Q281" s="79"/>
      <c r="R281" s="80"/>
      <c r="S281" s="240" t="s">
        <v>2767</v>
      </c>
      <c r="T281" s="85" t="s">
        <v>2768</v>
      </c>
      <c r="U281" s="80" t="s">
        <v>332</v>
      </c>
      <c r="V281" s="102" t="s">
        <v>429</v>
      </c>
      <c r="W281" s="79" t="s">
        <v>306</v>
      </c>
      <c r="X281" s="79" t="s">
        <v>306</v>
      </c>
      <c r="Y281" s="79" t="s">
        <v>309</v>
      </c>
      <c r="Z281" s="79"/>
    </row>
    <row r="282" ht="15.75" customHeight="1">
      <c r="A282" s="76" t="s">
        <v>247</v>
      </c>
      <c r="B282" s="79" t="s">
        <v>2769</v>
      </c>
      <c r="C282" s="80">
        <v>2.0341795878E10</v>
      </c>
      <c r="D282" s="77" t="s">
        <v>631</v>
      </c>
      <c r="E282" s="79" t="s">
        <v>314</v>
      </c>
      <c r="F282" s="44">
        <v>5181.0</v>
      </c>
      <c r="G282" s="79" t="s">
        <v>15</v>
      </c>
      <c r="H282" s="80">
        <v>1678.0</v>
      </c>
      <c r="I282" s="79">
        <v>139100.0</v>
      </c>
      <c r="J282" s="83" t="s">
        <v>448</v>
      </c>
      <c r="K282" s="77" t="s">
        <v>2770</v>
      </c>
      <c r="L282" s="79"/>
      <c r="M282" s="79"/>
      <c r="N282" s="79"/>
      <c r="O282" s="74"/>
      <c r="P282" s="80"/>
      <c r="Q282" s="79"/>
      <c r="R282" s="80"/>
      <c r="S282" s="78" t="s">
        <v>2771</v>
      </c>
      <c r="T282" s="101" t="s">
        <v>2772</v>
      </c>
      <c r="U282" s="80"/>
      <c r="V282" s="102" t="s">
        <v>429</v>
      </c>
      <c r="W282" s="79"/>
      <c r="X282" s="79"/>
      <c r="Y282" s="79"/>
      <c r="Z282" s="79"/>
    </row>
    <row r="283" ht="15.75" customHeight="1">
      <c r="A283" s="76" t="s">
        <v>247</v>
      </c>
      <c r="B283" s="77" t="s">
        <v>2773</v>
      </c>
      <c r="C283" s="80">
        <v>2.0126680776E10</v>
      </c>
      <c r="D283" s="77" t="s">
        <v>631</v>
      </c>
      <c r="E283" s="77" t="s">
        <v>2774</v>
      </c>
      <c r="F283" s="44">
        <v>2395.0</v>
      </c>
      <c r="G283" s="79" t="s">
        <v>285</v>
      </c>
      <c r="H283" s="78">
        <v>1674.0</v>
      </c>
      <c r="I283" s="79">
        <v>170990.0</v>
      </c>
      <c r="J283" s="74" t="s">
        <v>238</v>
      </c>
      <c r="K283" s="77" t="s">
        <v>2385</v>
      </c>
      <c r="L283" s="79" t="s">
        <v>453</v>
      </c>
      <c r="M283" s="77" t="s">
        <v>2775</v>
      </c>
      <c r="N283" s="79"/>
      <c r="O283" s="83" t="s">
        <v>2776</v>
      </c>
      <c r="P283" s="78">
        <v>1.169622655E9</v>
      </c>
      <c r="Q283" s="79"/>
      <c r="R283" s="80"/>
      <c r="S283" s="80" t="s">
        <v>2778</v>
      </c>
      <c r="T283" s="78" t="s">
        <v>2779</v>
      </c>
      <c r="U283" s="78"/>
      <c r="V283" s="98" t="s">
        <v>2780</v>
      </c>
      <c r="W283" s="79"/>
      <c r="X283" s="79"/>
      <c r="Y283" s="79"/>
      <c r="Z283" s="79"/>
    </row>
    <row r="284" ht="15.75" customHeight="1">
      <c r="A284" s="76" t="s">
        <v>247</v>
      </c>
      <c r="B284" s="77" t="s">
        <v>1234</v>
      </c>
      <c r="C284" s="80">
        <v>3.0685810995E10</v>
      </c>
      <c r="D284" s="119" t="s">
        <v>264</v>
      </c>
      <c r="E284" s="77" t="s">
        <v>2781</v>
      </c>
      <c r="F284" s="128">
        <v>5035.0</v>
      </c>
      <c r="G284" s="79" t="s">
        <v>15</v>
      </c>
      <c r="H284" s="80">
        <v>1678.0</v>
      </c>
      <c r="I284" s="79">
        <v>282500.0</v>
      </c>
      <c r="J284" s="74" t="s">
        <v>337</v>
      </c>
      <c r="K284" s="79" t="s">
        <v>2782</v>
      </c>
      <c r="L284" s="79" t="s">
        <v>662</v>
      </c>
      <c r="M284" s="77" t="s">
        <v>2783</v>
      </c>
      <c r="N284" s="79">
        <v>5.0</v>
      </c>
      <c r="O284" s="129" t="s">
        <v>2785</v>
      </c>
      <c r="P284" s="85" t="s">
        <v>2786</v>
      </c>
      <c r="Q284" s="79" t="s">
        <v>2787</v>
      </c>
      <c r="R284" s="78" t="s">
        <v>2788</v>
      </c>
      <c r="S284" s="78" t="s">
        <v>2789</v>
      </c>
      <c r="T284" s="101" t="s">
        <v>2790</v>
      </c>
      <c r="U284" s="78" t="s">
        <v>2791</v>
      </c>
      <c r="V284" s="98" t="s">
        <v>2792</v>
      </c>
      <c r="W284" s="79" t="s">
        <v>309</v>
      </c>
      <c r="X284" s="79" t="s">
        <v>309</v>
      </c>
      <c r="Y284" s="79" t="s">
        <v>309</v>
      </c>
      <c r="Z284" s="79"/>
    </row>
    <row r="285" ht="15.0" customHeight="1">
      <c r="A285" s="76" t="s">
        <v>247</v>
      </c>
      <c r="B285" s="77" t="s">
        <v>2793</v>
      </c>
      <c r="C285" s="80">
        <v>3.0708849193E10</v>
      </c>
      <c r="D285" s="79" t="s">
        <v>264</v>
      </c>
      <c r="E285" s="79" t="s">
        <v>1442</v>
      </c>
      <c r="F285" s="44">
        <v>3758.0</v>
      </c>
      <c r="G285" s="79" t="s">
        <v>68</v>
      </c>
      <c r="H285" s="80">
        <v>1702.0</v>
      </c>
      <c r="I285" s="79">
        <v>265101.0</v>
      </c>
      <c r="J285" s="83" t="s">
        <v>207</v>
      </c>
      <c r="K285" s="79" t="s">
        <v>2794</v>
      </c>
      <c r="L285" s="79"/>
      <c r="M285" s="79"/>
      <c r="N285" s="79">
        <v>4.0</v>
      </c>
      <c r="O285" s="74" t="s">
        <v>2795</v>
      </c>
      <c r="P285" s="78" t="s">
        <v>2797</v>
      </c>
      <c r="Q285" s="77" t="s">
        <v>2798</v>
      </c>
      <c r="R285" s="85" t="s">
        <v>2799</v>
      </c>
      <c r="S285" s="80" t="s">
        <v>2800</v>
      </c>
      <c r="T285" s="85" t="s">
        <v>2801</v>
      </c>
      <c r="U285" s="80" t="s">
        <v>332</v>
      </c>
      <c r="V285" s="102" t="s">
        <v>2802</v>
      </c>
      <c r="W285" s="79" t="s">
        <v>309</v>
      </c>
      <c r="X285" s="79" t="s">
        <v>309</v>
      </c>
      <c r="Y285" s="79" t="s">
        <v>309</v>
      </c>
      <c r="Z285" s="79"/>
    </row>
    <row r="286" ht="15.75" customHeight="1">
      <c r="A286" s="76" t="s">
        <v>247</v>
      </c>
      <c r="B286" s="79" t="s">
        <v>2803</v>
      </c>
      <c r="C286" s="101">
        <v>3.0711731004E10</v>
      </c>
      <c r="D286" s="79" t="s">
        <v>264</v>
      </c>
      <c r="E286" s="79" t="s">
        <v>15</v>
      </c>
      <c r="F286" s="44">
        <v>3743.0</v>
      </c>
      <c r="G286" s="79" t="s">
        <v>15</v>
      </c>
      <c r="H286" s="80">
        <v>1678.0</v>
      </c>
      <c r="I286" s="79">
        <v>293090.0</v>
      </c>
      <c r="J286" s="74" t="s">
        <v>347</v>
      </c>
      <c r="K286" s="77" t="s">
        <v>407</v>
      </c>
      <c r="L286" s="79"/>
      <c r="M286" s="79" t="s">
        <v>2804</v>
      </c>
      <c r="N286" s="79"/>
      <c r="O286" s="79"/>
      <c r="P286" s="80"/>
      <c r="Q286" s="79"/>
      <c r="R286" s="80"/>
      <c r="S286" s="78" t="s">
        <v>2806</v>
      </c>
      <c r="T286" s="85" t="s">
        <v>2807</v>
      </c>
      <c r="U286" s="80"/>
      <c r="V286" s="98" t="s">
        <v>2808</v>
      </c>
      <c r="W286" s="79"/>
      <c r="X286" s="79"/>
      <c r="Y286" s="79"/>
      <c r="Z286" s="79"/>
    </row>
    <row r="287" ht="15.75" customHeight="1">
      <c r="A287" s="103" t="s">
        <v>24</v>
      </c>
      <c r="B287" s="77" t="s">
        <v>2809</v>
      </c>
      <c r="C287" s="80">
        <v>3.0714692611E10</v>
      </c>
      <c r="D287" s="119" t="s">
        <v>264</v>
      </c>
      <c r="E287" s="79" t="s">
        <v>2810</v>
      </c>
      <c r="F287" s="44">
        <v>7711.0</v>
      </c>
      <c r="G287" s="79" t="s">
        <v>134</v>
      </c>
      <c r="H287" s="80">
        <v>1682.0</v>
      </c>
      <c r="I287" s="79">
        <v>410011.0</v>
      </c>
      <c r="J287" s="74" t="s">
        <v>125</v>
      </c>
      <c r="K287" s="79" t="s">
        <v>1829</v>
      </c>
      <c r="L287" s="79" t="s">
        <v>453</v>
      </c>
      <c r="M287" s="79"/>
      <c r="N287" s="79">
        <v>0.0</v>
      </c>
      <c r="O287" s="74"/>
      <c r="P287" s="80"/>
      <c r="Q287" s="79"/>
      <c r="R287" s="80"/>
      <c r="S287" s="78" t="s">
        <v>2811</v>
      </c>
      <c r="T287" s="101" t="s">
        <v>332</v>
      </c>
      <c r="U287" s="80" t="s">
        <v>332</v>
      </c>
      <c r="V287" s="102" t="s">
        <v>429</v>
      </c>
      <c r="W287" s="79" t="s">
        <v>306</v>
      </c>
      <c r="X287" s="79" t="s">
        <v>306</v>
      </c>
      <c r="Y287" s="79"/>
      <c r="Z287" s="79"/>
    </row>
    <row r="288" ht="15.0" customHeight="1">
      <c r="A288" s="103" t="s">
        <v>24</v>
      </c>
      <c r="B288" s="77" t="s">
        <v>2813</v>
      </c>
      <c r="C288" s="80">
        <v>3.0709694339E10</v>
      </c>
      <c r="D288" s="119" t="s">
        <v>264</v>
      </c>
      <c r="E288" s="79" t="s">
        <v>1607</v>
      </c>
      <c r="F288" s="44">
        <v>5027.0</v>
      </c>
      <c r="G288" s="79" t="s">
        <v>15</v>
      </c>
      <c r="H288" s="80">
        <v>1678.0</v>
      </c>
      <c r="I288" s="79">
        <v>410011.0</v>
      </c>
      <c r="J288" s="74" t="s">
        <v>125</v>
      </c>
      <c r="K288" s="79" t="s">
        <v>1829</v>
      </c>
      <c r="L288" s="79" t="s">
        <v>453</v>
      </c>
      <c r="M288" s="79"/>
      <c r="N288" s="79">
        <v>0.0</v>
      </c>
      <c r="O288" s="83" t="s">
        <v>2814</v>
      </c>
      <c r="P288" s="80"/>
      <c r="Q288" s="79"/>
      <c r="R288" s="80"/>
      <c r="S288" s="78">
        <v>1.16683295E9</v>
      </c>
      <c r="T288" s="101" t="s">
        <v>332</v>
      </c>
      <c r="U288" s="80" t="s">
        <v>332</v>
      </c>
      <c r="V288" s="102" t="s">
        <v>2815</v>
      </c>
      <c r="W288" s="79" t="s">
        <v>306</v>
      </c>
      <c r="X288" s="79" t="s">
        <v>306</v>
      </c>
      <c r="Y288" s="79"/>
      <c r="Z288" s="79"/>
    </row>
    <row r="289" ht="15.75" customHeight="1">
      <c r="A289" s="76" t="s">
        <v>247</v>
      </c>
      <c r="B289" s="77" t="s">
        <v>1238</v>
      </c>
      <c r="C289" s="85">
        <v>3.3716331259E10</v>
      </c>
      <c r="D289" s="77" t="s">
        <v>264</v>
      </c>
      <c r="E289" s="79" t="s">
        <v>314</v>
      </c>
      <c r="F289" s="44">
        <v>5279.0</v>
      </c>
      <c r="G289" s="77" t="s">
        <v>15</v>
      </c>
      <c r="H289" s="80">
        <v>1678.0</v>
      </c>
      <c r="I289" s="79">
        <v>141199.0</v>
      </c>
      <c r="J289" s="74" t="s">
        <v>448</v>
      </c>
      <c r="K289" s="77" t="s">
        <v>2816</v>
      </c>
      <c r="L289" s="79" t="s">
        <v>453</v>
      </c>
      <c r="M289" s="79" t="s">
        <v>2818</v>
      </c>
      <c r="N289" s="79"/>
      <c r="O289" s="79" t="s">
        <v>2819</v>
      </c>
      <c r="P289" s="80"/>
      <c r="Q289" s="79"/>
      <c r="R289" s="80"/>
      <c r="S289" s="78" t="s">
        <v>2820</v>
      </c>
      <c r="T289" s="101" t="s">
        <v>2821</v>
      </c>
      <c r="U289" s="101" t="s">
        <v>2822</v>
      </c>
      <c r="V289" s="102" t="s">
        <v>429</v>
      </c>
      <c r="W289" s="79"/>
      <c r="X289" s="79"/>
      <c r="Y289" s="79"/>
      <c r="Z289" s="79"/>
    </row>
    <row r="290" ht="15.0" customHeight="1">
      <c r="A290" s="76" t="s">
        <v>247</v>
      </c>
      <c r="B290" s="79" t="s">
        <v>2823</v>
      </c>
      <c r="C290" s="80">
        <v>2.0085373936E10</v>
      </c>
      <c r="D290" s="77" t="s">
        <v>631</v>
      </c>
      <c r="E290" s="77" t="s">
        <v>1983</v>
      </c>
      <c r="F290" s="44">
        <v>6951.0</v>
      </c>
      <c r="G290" s="79" t="s">
        <v>269</v>
      </c>
      <c r="H290" s="80">
        <v>1682.0</v>
      </c>
      <c r="I290" s="79">
        <v>259999.0</v>
      </c>
      <c r="J290" s="74" t="s">
        <v>347</v>
      </c>
      <c r="K290" s="77" t="s">
        <v>839</v>
      </c>
      <c r="L290" s="79" t="s">
        <v>453</v>
      </c>
      <c r="M290" s="79"/>
      <c r="N290" s="79"/>
      <c r="O290" s="83" t="s">
        <v>2824</v>
      </c>
      <c r="P290" s="78" t="s">
        <v>2825</v>
      </c>
      <c r="Q290" s="79" t="s">
        <v>2826</v>
      </c>
      <c r="R290" s="78" t="s">
        <v>2827</v>
      </c>
      <c r="S290" s="80" t="s">
        <v>2828</v>
      </c>
      <c r="T290" s="101"/>
      <c r="U290" s="80"/>
      <c r="V290" s="102" t="s">
        <v>429</v>
      </c>
      <c r="W290" s="79"/>
      <c r="X290" s="79"/>
      <c r="Y290" s="79" t="s">
        <v>309</v>
      </c>
      <c r="Z290" s="79"/>
    </row>
    <row r="291" ht="15.75" customHeight="1">
      <c r="A291" s="103" t="s">
        <v>24</v>
      </c>
      <c r="B291" s="77" t="s">
        <v>2830</v>
      </c>
      <c r="C291" s="80">
        <v>3.0696259921E10</v>
      </c>
      <c r="D291" s="119" t="s">
        <v>264</v>
      </c>
      <c r="E291" s="79" t="s">
        <v>2831</v>
      </c>
      <c r="F291" s="44">
        <v>6282.0</v>
      </c>
      <c r="G291" s="79" t="s">
        <v>119</v>
      </c>
      <c r="H291" s="80">
        <v>1657.0</v>
      </c>
      <c r="I291" s="79">
        <v>242010.0</v>
      </c>
      <c r="J291" s="74" t="s">
        <v>347</v>
      </c>
      <c r="K291" s="79" t="s">
        <v>2832</v>
      </c>
      <c r="L291" s="79"/>
      <c r="M291" s="79"/>
      <c r="N291" s="79">
        <v>8.0</v>
      </c>
      <c r="O291" s="74"/>
      <c r="P291" s="80"/>
      <c r="Q291" s="79"/>
      <c r="R291" s="80"/>
      <c r="S291" s="80" t="s">
        <v>2833</v>
      </c>
      <c r="T291" s="101"/>
      <c r="U291" s="80" t="s">
        <v>332</v>
      </c>
      <c r="V291" s="102" t="s">
        <v>429</v>
      </c>
      <c r="W291" s="79" t="s">
        <v>306</v>
      </c>
      <c r="X291" s="79" t="s">
        <v>306</v>
      </c>
      <c r="Y291" s="79" t="s">
        <v>309</v>
      </c>
      <c r="Z291" s="79"/>
    </row>
    <row r="292" ht="15.0" customHeight="1">
      <c r="A292" s="103" t="s">
        <v>24</v>
      </c>
      <c r="B292" s="77" t="s">
        <v>2834</v>
      </c>
      <c r="C292" s="80">
        <v>3.3587121889E10</v>
      </c>
      <c r="D292" s="79" t="s">
        <v>264</v>
      </c>
      <c r="E292" s="126" t="s">
        <v>985</v>
      </c>
      <c r="F292" s="44">
        <v>4930.0</v>
      </c>
      <c r="G292" s="79" t="s">
        <v>15</v>
      </c>
      <c r="H292" s="80">
        <v>1678.0</v>
      </c>
      <c r="I292" s="79">
        <v>361010.0</v>
      </c>
      <c r="J292" s="74" t="s">
        <v>313</v>
      </c>
      <c r="K292" s="77" t="s">
        <v>2835</v>
      </c>
      <c r="L292" s="79" t="s">
        <v>1122</v>
      </c>
      <c r="M292" s="79"/>
      <c r="N292" s="79">
        <v>0.0</v>
      </c>
      <c r="O292" s="74"/>
      <c r="P292" s="80"/>
      <c r="Q292" s="79"/>
      <c r="R292" s="80"/>
      <c r="S292" s="80"/>
      <c r="T292" s="101" t="s">
        <v>332</v>
      </c>
      <c r="U292" s="80" t="s">
        <v>332</v>
      </c>
      <c r="V292" s="102" t="s">
        <v>2837</v>
      </c>
      <c r="W292" s="79" t="s">
        <v>306</v>
      </c>
      <c r="X292" s="79" t="s">
        <v>306</v>
      </c>
      <c r="Y292" s="79"/>
      <c r="Z292" s="79"/>
    </row>
    <row r="293" ht="15.0" customHeight="1">
      <c r="A293" s="76" t="s">
        <v>247</v>
      </c>
      <c r="B293" s="77" t="s">
        <v>1245</v>
      </c>
      <c r="C293" s="80">
        <v>3.0709420514E10</v>
      </c>
      <c r="D293" s="119" t="s">
        <v>264</v>
      </c>
      <c r="E293" s="79" t="s">
        <v>15</v>
      </c>
      <c r="F293" s="44">
        <v>4426.0</v>
      </c>
      <c r="G293" s="79" t="s">
        <v>15</v>
      </c>
      <c r="H293" s="80">
        <v>1678.0</v>
      </c>
      <c r="I293" s="79">
        <v>141110.0</v>
      </c>
      <c r="J293" s="74" t="s">
        <v>448</v>
      </c>
      <c r="K293" s="79" t="s">
        <v>2206</v>
      </c>
      <c r="L293" s="79" t="s">
        <v>369</v>
      </c>
      <c r="M293" s="79"/>
      <c r="N293" s="79">
        <v>7.0</v>
      </c>
      <c r="O293" s="83" t="s">
        <v>2838</v>
      </c>
      <c r="P293" s="78" t="s">
        <v>2839</v>
      </c>
      <c r="Q293" s="79"/>
      <c r="R293" s="80"/>
      <c r="S293" s="78" t="s">
        <v>2840</v>
      </c>
      <c r="T293" s="101" t="s">
        <v>2841</v>
      </c>
      <c r="U293" s="80" t="s">
        <v>332</v>
      </c>
      <c r="V293" s="102" t="s">
        <v>429</v>
      </c>
      <c r="W293" s="79" t="s">
        <v>306</v>
      </c>
      <c r="X293" s="79" t="s">
        <v>306</v>
      </c>
      <c r="Y293" s="79" t="s">
        <v>309</v>
      </c>
      <c r="Z293" s="79"/>
    </row>
    <row r="294" ht="15.0" customHeight="1">
      <c r="A294" s="103" t="s">
        <v>24</v>
      </c>
      <c r="B294" s="77" t="s">
        <v>2842</v>
      </c>
      <c r="C294" s="80">
        <v>3.0676601461E10</v>
      </c>
      <c r="D294" s="119" t="s">
        <v>264</v>
      </c>
      <c r="E294" s="79" t="s">
        <v>678</v>
      </c>
      <c r="F294" s="44">
        <v>4747.0</v>
      </c>
      <c r="G294" s="79" t="s">
        <v>15</v>
      </c>
      <c r="H294" s="80">
        <v>1678.0</v>
      </c>
      <c r="I294" s="79">
        <v>293099.0</v>
      </c>
      <c r="J294" s="83" t="s">
        <v>207</v>
      </c>
      <c r="K294" s="77" t="s">
        <v>1064</v>
      </c>
      <c r="L294" s="79"/>
      <c r="M294" s="79"/>
      <c r="N294" s="79">
        <v>1.0</v>
      </c>
      <c r="O294" s="74"/>
      <c r="P294" s="80"/>
      <c r="Q294" s="79" t="s">
        <v>2844</v>
      </c>
      <c r="R294" s="80"/>
      <c r="S294" s="80" t="s">
        <v>2845</v>
      </c>
      <c r="T294" s="101" t="s">
        <v>332</v>
      </c>
      <c r="U294" s="80" t="s">
        <v>332</v>
      </c>
      <c r="V294" s="102" t="s">
        <v>429</v>
      </c>
      <c r="W294" s="79" t="s">
        <v>309</v>
      </c>
      <c r="X294" s="79" t="s">
        <v>309</v>
      </c>
      <c r="Y294" s="79"/>
      <c r="Z294" s="79"/>
    </row>
    <row r="295" ht="15.0" customHeight="1">
      <c r="A295" s="76" t="s">
        <v>247</v>
      </c>
      <c r="B295" s="77" t="s">
        <v>2846</v>
      </c>
      <c r="C295" s="80">
        <v>3.0714316962E10</v>
      </c>
      <c r="D295" s="119" t="s">
        <v>264</v>
      </c>
      <c r="E295" s="77" t="s">
        <v>503</v>
      </c>
      <c r="F295" s="44">
        <v>2730.0</v>
      </c>
      <c r="G295" s="79" t="s">
        <v>68</v>
      </c>
      <c r="H295" s="80">
        <v>1702.0</v>
      </c>
      <c r="I295" s="79">
        <v>410021.0</v>
      </c>
      <c r="J295" s="74" t="s">
        <v>125</v>
      </c>
      <c r="K295" s="77" t="s">
        <v>1541</v>
      </c>
      <c r="L295" s="79" t="s">
        <v>453</v>
      </c>
      <c r="M295" s="77" t="s">
        <v>2847</v>
      </c>
      <c r="N295" s="79">
        <v>1.0</v>
      </c>
      <c r="O295" s="74"/>
      <c r="P295" s="80"/>
      <c r="Q295" s="79"/>
      <c r="R295" s="80"/>
      <c r="S295" s="78" t="s">
        <v>2849</v>
      </c>
      <c r="T295" s="101" t="s">
        <v>332</v>
      </c>
      <c r="U295" s="80" t="s">
        <v>332</v>
      </c>
      <c r="V295" s="98" t="s">
        <v>2850</v>
      </c>
      <c r="W295" s="79" t="s">
        <v>306</v>
      </c>
      <c r="X295" s="79" t="s">
        <v>306</v>
      </c>
      <c r="Y295" s="79"/>
      <c r="Z295" s="79"/>
    </row>
    <row r="296" ht="15.75" customHeight="1">
      <c r="A296" s="76" t="s">
        <v>247</v>
      </c>
      <c r="B296" s="77" t="s">
        <v>2851</v>
      </c>
      <c r="C296" s="80">
        <v>3.0677079645E10</v>
      </c>
      <c r="D296" s="79" t="s">
        <v>264</v>
      </c>
      <c r="E296" s="119" t="s">
        <v>1422</v>
      </c>
      <c r="F296" s="44">
        <v>1371.0</v>
      </c>
      <c r="G296" s="79" t="s">
        <v>119</v>
      </c>
      <c r="H296" s="80">
        <v>1657.0</v>
      </c>
      <c r="I296" s="79">
        <v>265102.0</v>
      </c>
      <c r="J296" s="74" t="s">
        <v>347</v>
      </c>
      <c r="K296" s="79" t="s">
        <v>2852</v>
      </c>
      <c r="L296" s="79" t="s">
        <v>453</v>
      </c>
      <c r="M296" s="77" t="s">
        <v>2853</v>
      </c>
      <c r="N296" s="79">
        <v>2.0</v>
      </c>
      <c r="O296" s="74" t="s">
        <v>2854</v>
      </c>
      <c r="P296" s="80"/>
      <c r="Q296" s="79" t="s">
        <v>2856</v>
      </c>
      <c r="R296" s="80"/>
      <c r="S296" s="80" t="s">
        <v>2857</v>
      </c>
      <c r="T296" s="101"/>
      <c r="U296" s="80" t="s">
        <v>332</v>
      </c>
      <c r="V296" s="102" t="s">
        <v>2858</v>
      </c>
      <c r="W296" s="79" t="s">
        <v>309</v>
      </c>
      <c r="X296" s="79" t="s">
        <v>309</v>
      </c>
      <c r="Y296" s="79" t="s">
        <v>309</v>
      </c>
      <c r="Z296" s="79"/>
    </row>
    <row r="297" ht="15.0" customHeight="1">
      <c r="A297" s="76" t="s">
        <v>247</v>
      </c>
      <c r="B297" s="77" t="s">
        <v>2859</v>
      </c>
      <c r="C297" s="80">
        <v>3.0708529512E10</v>
      </c>
      <c r="D297" s="119" t="s">
        <v>264</v>
      </c>
      <c r="E297" s="79" t="s">
        <v>2533</v>
      </c>
      <c r="F297" s="44">
        <v>123.0</v>
      </c>
      <c r="G297" s="77" t="s">
        <v>226</v>
      </c>
      <c r="H297" s="80">
        <v>1674.0</v>
      </c>
      <c r="I297" s="79">
        <v>429090.0</v>
      </c>
      <c r="J297" s="74" t="s">
        <v>125</v>
      </c>
      <c r="K297" s="77" t="s">
        <v>2860</v>
      </c>
      <c r="L297" s="79" t="s">
        <v>2861</v>
      </c>
      <c r="M297" s="79" t="s">
        <v>2862</v>
      </c>
      <c r="N297" s="79">
        <v>21.0</v>
      </c>
      <c r="O297" s="74"/>
      <c r="P297" s="80"/>
      <c r="Q297" s="79"/>
      <c r="R297" s="80"/>
      <c r="S297" s="80" t="s">
        <v>2863</v>
      </c>
      <c r="T297" s="101" t="s">
        <v>2864</v>
      </c>
      <c r="U297" s="80" t="s">
        <v>332</v>
      </c>
      <c r="V297" s="102" t="s">
        <v>2865</v>
      </c>
      <c r="W297" s="79" t="s">
        <v>309</v>
      </c>
      <c r="X297" s="79" t="s">
        <v>309</v>
      </c>
      <c r="Y297" s="79" t="s">
        <v>309</v>
      </c>
      <c r="Z297" s="79"/>
    </row>
    <row r="298" ht="15.75" customHeight="1">
      <c r="A298" s="76" t="s">
        <v>247</v>
      </c>
      <c r="B298" s="77" t="s">
        <v>2867</v>
      </c>
      <c r="C298" s="79">
        <v>3.0663759066E10</v>
      </c>
      <c r="D298" s="77" t="s">
        <v>631</v>
      </c>
      <c r="E298" s="77" t="s">
        <v>2868</v>
      </c>
      <c r="F298" s="44">
        <v>3561.0</v>
      </c>
      <c r="G298" s="79" t="s">
        <v>15</v>
      </c>
      <c r="H298" s="80">
        <v>1678.0</v>
      </c>
      <c r="I298" s="79">
        <v>222109.0</v>
      </c>
      <c r="J298" s="74" t="s">
        <v>238</v>
      </c>
      <c r="K298" s="77" t="s">
        <v>1545</v>
      </c>
      <c r="L298" s="79"/>
      <c r="M298" s="79"/>
      <c r="N298" s="79">
        <v>0.0</v>
      </c>
      <c r="O298" s="74"/>
      <c r="P298" s="80"/>
      <c r="Q298" s="79"/>
      <c r="R298" s="80"/>
      <c r="S298" s="78" t="s">
        <v>2869</v>
      </c>
      <c r="T298" s="85" t="s">
        <v>2870</v>
      </c>
      <c r="U298" s="80" t="s">
        <v>332</v>
      </c>
      <c r="V298" s="102" t="s">
        <v>429</v>
      </c>
      <c r="W298" s="79" t="s">
        <v>306</v>
      </c>
      <c r="X298" s="79" t="s">
        <v>306</v>
      </c>
      <c r="Y298" s="79" t="s">
        <v>309</v>
      </c>
      <c r="Z298" s="79"/>
    </row>
    <row r="299" ht="15.75" customHeight="1">
      <c r="A299" s="103" t="s">
        <v>24</v>
      </c>
      <c r="B299" s="77" t="s">
        <v>2871</v>
      </c>
      <c r="C299" s="80">
        <v>3.0685832247E10</v>
      </c>
      <c r="D299" s="119" t="s">
        <v>264</v>
      </c>
      <c r="E299" s="79" t="s">
        <v>2872</v>
      </c>
      <c r="F299" s="44">
        <v>2875.0</v>
      </c>
      <c r="G299" s="79" t="s">
        <v>15</v>
      </c>
      <c r="H299" s="80">
        <v>1678.0</v>
      </c>
      <c r="I299" s="79">
        <v>252010.0</v>
      </c>
      <c r="J299" s="83" t="s">
        <v>568</v>
      </c>
      <c r="K299" s="79" t="s">
        <v>2874</v>
      </c>
      <c r="L299" s="79" t="s">
        <v>453</v>
      </c>
      <c r="M299" s="79"/>
      <c r="N299" s="79">
        <v>3.0</v>
      </c>
      <c r="O299" s="74"/>
      <c r="P299" s="80"/>
      <c r="Q299" s="79"/>
      <c r="R299" s="80"/>
      <c r="S299" s="80" t="s">
        <v>2875</v>
      </c>
      <c r="T299" s="101" t="s">
        <v>2876</v>
      </c>
      <c r="U299" s="80" t="s">
        <v>332</v>
      </c>
      <c r="V299" s="102" t="s">
        <v>429</v>
      </c>
      <c r="W299" s="79" t="s">
        <v>309</v>
      </c>
      <c r="X299" s="79" t="s">
        <v>309</v>
      </c>
      <c r="Y299" s="79"/>
      <c r="Z299" s="79"/>
    </row>
    <row r="300" ht="15.0" customHeight="1">
      <c r="A300" s="103" t="s">
        <v>24</v>
      </c>
      <c r="B300" s="79" t="s">
        <v>2877</v>
      </c>
      <c r="C300" s="80">
        <v>2.0280623785E10</v>
      </c>
      <c r="D300" s="77" t="s">
        <v>631</v>
      </c>
      <c r="E300" s="79" t="s">
        <v>2878</v>
      </c>
      <c r="F300" s="44">
        <v>1025.0</v>
      </c>
      <c r="G300" s="77" t="s">
        <v>226</v>
      </c>
      <c r="H300" s="80">
        <v>1674.0</v>
      </c>
      <c r="I300" s="77">
        <v>464420.0</v>
      </c>
      <c r="J300" s="74" t="s">
        <v>261</v>
      </c>
      <c r="K300" s="77" t="s">
        <v>2879</v>
      </c>
      <c r="L300" s="79"/>
      <c r="M300" s="79"/>
      <c r="N300" s="79"/>
      <c r="O300" s="74"/>
      <c r="P300" s="80"/>
      <c r="Q300" s="79"/>
      <c r="R300" s="80"/>
      <c r="S300" s="78" t="s">
        <v>2880</v>
      </c>
      <c r="T300" s="101"/>
      <c r="U300" s="80"/>
      <c r="V300" s="102" t="s">
        <v>429</v>
      </c>
      <c r="W300" s="79"/>
      <c r="X300" s="79"/>
      <c r="Y300" s="79"/>
      <c r="Z300" s="79"/>
    </row>
    <row r="301" ht="15.0" customHeight="1">
      <c r="A301" s="103" t="s">
        <v>24</v>
      </c>
      <c r="B301" s="77" t="s">
        <v>2882</v>
      </c>
      <c r="C301" s="80">
        <v>3.0709958824E10</v>
      </c>
      <c r="D301" s="79" t="s">
        <v>264</v>
      </c>
      <c r="E301" s="79" t="s">
        <v>2883</v>
      </c>
      <c r="F301" s="44">
        <v>3854.0</v>
      </c>
      <c r="G301" s="79" t="s">
        <v>68</v>
      </c>
      <c r="H301" s="80">
        <v>1702.0</v>
      </c>
      <c r="I301" s="79">
        <v>329090.0</v>
      </c>
      <c r="J301" s="74" t="s">
        <v>238</v>
      </c>
      <c r="K301" s="77" t="s">
        <v>1307</v>
      </c>
      <c r="L301" s="79"/>
      <c r="M301" s="79"/>
      <c r="N301" s="79">
        <v>5.0</v>
      </c>
      <c r="O301" s="74"/>
      <c r="P301" s="80"/>
      <c r="Q301" s="79"/>
      <c r="R301" s="80"/>
      <c r="S301" s="80" t="s">
        <v>2884</v>
      </c>
      <c r="T301" s="101" t="s">
        <v>332</v>
      </c>
      <c r="U301" s="80" t="s">
        <v>332</v>
      </c>
      <c r="V301" s="102" t="s">
        <v>429</v>
      </c>
      <c r="W301" s="79" t="s">
        <v>306</v>
      </c>
      <c r="X301" s="79" t="s">
        <v>306</v>
      </c>
      <c r="Y301" s="79"/>
      <c r="Z301" s="79"/>
    </row>
    <row r="302" ht="15.75" customHeight="1">
      <c r="A302" s="103" t="s">
        <v>24</v>
      </c>
      <c r="B302" s="77" t="s">
        <v>2885</v>
      </c>
      <c r="C302" s="80">
        <v>3.0568973956E10</v>
      </c>
      <c r="D302" s="119" t="s">
        <v>264</v>
      </c>
      <c r="E302" s="79" t="s">
        <v>2886</v>
      </c>
      <c r="F302" s="44">
        <v>3680.0</v>
      </c>
      <c r="G302" s="79" t="s">
        <v>68</v>
      </c>
      <c r="H302" s="80">
        <v>1702.0</v>
      </c>
      <c r="I302" s="79">
        <v>382493.0</v>
      </c>
      <c r="J302" s="74" t="s">
        <v>347</v>
      </c>
      <c r="K302" s="79" t="s">
        <v>2887</v>
      </c>
      <c r="L302" s="79" t="s">
        <v>1122</v>
      </c>
      <c r="M302" s="79"/>
      <c r="N302" s="79">
        <v>0.0</v>
      </c>
      <c r="O302" s="74"/>
      <c r="P302" s="80"/>
      <c r="Q302" s="79"/>
      <c r="R302" s="80"/>
      <c r="S302" s="80" t="s">
        <v>2889</v>
      </c>
      <c r="T302" s="101" t="s">
        <v>332</v>
      </c>
      <c r="U302" s="80" t="s">
        <v>332</v>
      </c>
      <c r="V302" s="102" t="s">
        <v>429</v>
      </c>
      <c r="W302" s="79" t="s">
        <v>309</v>
      </c>
      <c r="X302" s="79" t="s">
        <v>309</v>
      </c>
      <c r="Y302" s="79"/>
      <c r="Z302" s="79"/>
    </row>
    <row r="303" ht="15.0" customHeight="1">
      <c r="A303" s="76" t="s">
        <v>247</v>
      </c>
      <c r="B303" s="77" t="s">
        <v>1256</v>
      </c>
      <c r="C303" s="80">
        <v>3.0604118197E10</v>
      </c>
      <c r="D303" s="119" t="s">
        <v>264</v>
      </c>
      <c r="E303" s="79" t="s">
        <v>2007</v>
      </c>
      <c r="F303" s="44">
        <v>4005.0</v>
      </c>
      <c r="G303" s="79" t="s">
        <v>15</v>
      </c>
      <c r="H303" s="80">
        <v>1678.0</v>
      </c>
      <c r="I303" s="79">
        <v>281500.0</v>
      </c>
      <c r="J303" s="74" t="s">
        <v>347</v>
      </c>
      <c r="K303" s="79" t="s">
        <v>2890</v>
      </c>
      <c r="L303" s="79"/>
      <c r="M303" s="77" t="s">
        <v>2891</v>
      </c>
      <c r="N303" s="79">
        <v>23.0</v>
      </c>
      <c r="O303" s="74" t="s">
        <v>2892</v>
      </c>
      <c r="P303" s="78" t="s">
        <v>2893</v>
      </c>
      <c r="Q303" s="79"/>
      <c r="R303" s="80"/>
      <c r="S303" s="78" t="s">
        <v>2894</v>
      </c>
      <c r="T303" s="78" t="s">
        <v>2895</v>
      </c>
      <c r="U303" s="78"/>
      <c r="V303" s="86" t="s">
        <v>2896</v>
      </c>
      <c r="W303" s="79" t="s">
        <v>309</v>
      </c>
      <c r="X303" s="79" t="s">
        <v>309</v>
      </c>
      <c r="Y303" s="79" t="s">
        <v>309</v>
      </c>
      <c r="Z303" s="79"/>
    </row>
    <row r="304" ht="15.75" customHeight="1">
      <c r="A304" s="103" t="s">
        <v>24</v>
      </c>
      <c r="B304" s="77" t="s">
        <v>2898</v>
      </c>
      <c r="C304" s="79">
        <v>3.0523437247E10</v>
      </c>
      <c r="D304" s="77" t="s">
        <v>264</v>
      </c>
      <c r="E304" s="77" t="s">
        <v>943</v>
      </c>
      <c r="F304" s="44">
        <v>4709.0</v>
      </c>
      <c r="G304" s="79" t="s">
        <v>15</v>
      </c>
      <c r="H304" s="80">
        <v>1678.0</v>
      </c>
      <c r="I304" s="79">
        <v>152011.0</v>
      </c>
      <c r="J304" s="74" t="s">
        <v>73</v>
      </c>
      <c r="K304" s="79" t="s">
        <v>1471</v>
      </c>
      <c r="L304" s="79"/>
      <c r="M304" s="77" t="s">
        <v>2899</v>
      </c>
      <c r="N304" s="79">
        <v>1.0</v>
      </c>
      <c r="O304" s="74"/>
      <c r="P304" s="80"/>
      <c r="Q304" s="79"/>
      <c r="R304" s="80"/>
      <c r="S304" s="78" t="s">
        <v>2900</v>
      </c>
      <c r="T304" s="101" t="s">
        <v>332</v>
      </c>
      <c r="U304" s="80" t="s">
        <v>332</v>
      </c>
      <c r="V304" s="102" t="s">
        <v>429</v>
      </c>
      <c r="W304" s="79" t="s">
        <v>306</v>
      </c>
      <c r="X304" s="79" t="s">
        <v>306</v>
      </c>
      <c r="Y304" s="79"/>
      <c r="Z304" s="79"/>
    </row>
    <row r="305" ht="15.0" customHeight="1">
      <c r="A305" s="76" t="s">
        <v>247</v>
      </c>
      <c r="B305" s="77" t="s">
        <v>2901</v>
      </c>
      <c r="C305" s="79">
        <v>3.0714757888E10</v>
      </c>
      <c r="D305" s="77" t="s">
        <v>264</v>
      </c>
      <c r="E305" s="79" t="s">
        <v>2902</v>
      </c>
      <c r="F305" s="44">
        <v>544.0</v>
      </c>
      <c r="G305" s="79" t="s">
        <v>68</v>
      </c>
      <c r="H305" s="80">
        <v>1702.0</v>
      </c>
      <c r="I305" s="79">
        <v>152011.0</v>
      </c>
      <c r="J305" s="74" t="s">
        <v>73</v>
      </c>
      <c r="K305" s="79" t="s">
        <v>1471</v>
      </c>
      <c r="L305" s="79"/>
      <c r="M305" s="79"/>
      <c r="N305" s="79">
        <v>4.0</v>
      </c>
      <c r="O305" s="74"/>
      <c r="P305" s="80"/>
      <c r="Q305" s="79"/>
      <c r="R305" s="80"/>
      <c r="S305" s="78" t="s">
        <v>2904</v>
      </c>
      <c r="T305" s="85" t="s">
        <v>2905</v>
      </c>
      <c r="U305" s="80" t="s">
        <v>332</v>
      </c>
      <c r="V305" s="102" t="s">
        <v>429</v>
      </c>
      <c r="W305" s="79" t="s">
        <v>306</v>
      </c>
      <c r="X305" s="79" t="s">
        <v>306</v>
      </c>
      <c r="Y305" s="79" t="s">
        <v>309</v>
      </c>
      <c r="Z305" s="79"/>
    </row>
    <row r="306" ht="15.0" customHeight="1">
      <c r="A306" s="76" t="s">
        <v>247</v>
      </c>
      <c r="B306" s="77" t="s">
        <v>1262</v>
      </c>
      <c r="C306" s="80">
        <v>3.3708481209E10</v>
      </c>
      <c r="D306" s="79" t="s">
        <v>264</v>
      </c>
      <c r="E306" s="126" t="s">
        <v>985</v>
      </c>
      <c r="F306" s="44">
        <v>3861.0</v>
      </c>
      <c r="G306" s="79" t="s">
        <v>15</v>
      </c>
      <c r="H306" s="80">
        <v>1678.0</v>
      </c>
      <c r="I306" s="79">
        <v>152011.0</v>
      </c>
      <c r="J306" s="74" t="s">
        <v>73</v>
      </c>
      <c r="K306" s="79" t="s">
        <v>2906</v>
      </c>
      <c r="L306" s="79"/>
      <c r="M306" s="79"/>
      <c r="N306" s="79">
        <v>21.0</v>
      </c>
      <c r="O306" s="126" t="s">
        <v>2907</v>
      </c>
      <c r="P306" s="80"/>
      <c r="Q306" s="79" t="s">
        <v>2908</v>
      </c>
      <c r="R306" s="80"/>
      <c r="S306" s="80" t="s">
        <v>2909</v>
      </c>
      <c r="T306" s="101"/>
      <c r="U306" s="80"/>
      <c r="V306" s="102" t="s">
        <v>429</v>
      </c>
      <c r="W306" s="79"/>
      <c r="X306" s="79"/>
      <c r="Y306" s="79" t="s">
        <v>309</v>
      </c>
      <c r="Z306" s="79"/>
    </row>
    <row r="307" ht="15.75" customHeight="1">
      <c r="A307" s="76" t="s">
        <v>247</v>
      </c>
      <c r="B307" s="77" t="s">
        <v>2911</v>
      </c>
      <c r="C307" s="79">
        <v>3.0708149698E10</v>
      </c>
      <c r="D307" s="77" t="s">
        <v>264</v>
      </c>
      <c r="E307" s="79" t="s">
        <v>2912</v>
      </c>
      <c r="F307" s="44">
        <v>6515.0</v>
      </c>
      <c r="G307" s="79" t="s">
        <v>119</v>
      </c>
      <c r="H307" s="80">
        <v>1657.0</v>
      </c>
      <c r="I307" s="79">
        <v>152011.0</v>
      </c>
      <c r="J307" s="74" t="s">
        <v>73</v>
      </c>
      <c r="K307" s="79" t="s">
        <v>1471</v>
      </c>
      <c r="L307" s="79"/>
      <c r="M307" s="77" t="s">
        <v>2899</v>
      </c>
      <c r="N307" s="79">
        <v>5.0</v>
      </c>
      <c r="O307" s="126"/>
      <c r="P307" s="101"/>
      <c r="Q307" s="79"/>
      <c r="R307" s="80"/>
      <c r="S307" s="78" t="s">
        <v>2913</v>
      </c>
      <c r="T307" s="101" t="s">
        <v>332</v>
      </c>
      <c r="U307" s="80" t="s">
        <v>332</v>
      </c>
      <c r="V307" s="86" t="s">
        <v>2914</v>
      </c>
      <c r="W307" s="79" t="s">
        <v>309</v>
      </c>
      <c r="X307" s="79" t="s">
        <v>309</v>
      </c>
      <c r="Y307" s="79"/>
      <c r="Z307" s="79"/>
    </row>
    <row r="308" ht="15.75" customHeight="1">
      <c r="A308" s="76" t="s">
        <v>247</v>
      </c>
      <c r="B308" s="77" t="s">
        <v>2915</v>
      </c>
      <c r="C308" s="80">
        <v>3.0708362014E10</v>
      </c>
      <c r="D308" s="119" t="s">
        <v>264</v>
      </c>
      <c r="E308" s="79" t="s">
        <v>2916</v>
      </c>
      <c r="F308" s="44">
        <v>6160.0</v>
      </c>
      <c r="G308" s="79" t="s">
        <v>119</v>
      </c>
      <c r="H308" s="80">
        <v>1657.0</v>
      </c>
      <c r="I308" s="79">
        <v>222090.0</v>
      </c>
      <c r="J308" s="83" t="s">
        <v>568</v>
      </c>
      <c r="K308" s="77" t="s">
        <v>569</v>
      </c>
      <c r="L308" s="79" t="s">
        <v>453</v>
      </c>
      <c r="M308" s="79"/>
      <c r="N308" s="79">
        <v>4.0</v>
      </c>
      <c r="O308" s="74"/>
      <c r="P308" s="80"/>
      <c r="Q308" s="79"/>
      <c r="R308" s="80"/>
      <c r="S308" s="80" t="s">
        <v>2918</v>
      </c>
      <c r="T308" s="101" t="s">
        <v>332</v>
      </c>
      <c r="U308" s="80" t="s">
        <v>332</v>
      </c>
      <c r="V308" s="102" t="s">
        <v>429</v>
      </c>
      <c r="W308" s="79" t="s">
        <v>309</v>
      </c>
      <c r="X308" s="79" t="s">
        <v>309</v>
      </c>
      <c r="Y308" s="79" t="s">
        <v>309</v>
      </c>
      <c r="Z308" s="79"/>
    </row>
    <row r="309" ht="15.75" customHeight="1">
      <c r="A309" s="103" t="s">
        <v>24</v>
      </c>
      <c r="B309" s="77" t="s">
        <v>2919</v>
      </c>
      <c r="C309" s="80">
        <v>3.3601827889E10</v>
      </c>
      <c r="D309" s="119" t="s">
        <v>264</v>
      </c>
      <c r="E309" s="79" t="s">
        <v>2752</v>
      </c>
      <c r="F309" s="44">
        <v>2040.0</v>
      </c>
      <c r="G309" s="79" t="s">
        <v>68</v>
      </c>
      <c r="H309" s="80">
        <v>1702.0</v>
      </c>
      <c r="I309" s="79">
        <v>252090.0</v>
      </c>
      <c r="J309" s="83" t="s">
        <v>568</v>
      </c>
      <c r="K309" s="77" t="s">
        <v>2920</v>
      </c>
      <c r="L309" s="79" t="s">
        <v>453</v>
      </c>
      <c r="M309" s="79"/>
      <c r="N309" s="79">
        <v>0.0</v>
      </c>
      <c r="O309" s="74"/>
      <c r="P309" s="80"/>
      <c r="Q309" s="79"/>
      <c r="R309" s="80"/>
      <c r="S309" s="80" t="s">
        <v>2921</v>
      </c>
      <c r="T309" s="101" t="s">
        <v>332</v>
      </c>
      <c r="U309" s="80" t="s">
        <v>332</v>
      </c>
      <c r="V309" s="102" t="s">
        <v>429</v>
      </c>
      <c r="W309" s="79" t="s">
        <v>306</v>
      </c>
      <c r="X309" s="79" t="s">
        <v>306</v>
      </c>
      <c r="Y309" s="79"/>
      <c r="Z309" s="79"/>
    </row>
    <row r="310" ht="15.0" customHeight="1">
      <c r="A310" s="103" t="s">
        <v>24</v>
      </c>
      <c r="B310" s="77" t="s">
        <v>2922</v>
      </c>
      <c r="C310" s="80">
        <v>3.0715081144E10</v>
      </c>
      <c r="D310" s="119" t="s">
        <v>264</v>
      </c>
      <c r="E310" s="79" t="s">
        <v>1079</v>
      </c>
      <c r="F310" s="44">
        <v>5591.0</v>
      </c>
      <c r="G310" s="79" t="s">
        <v>15</v>
      </c>
      <c r="H310" s="80">
        <v>1678.0</v>
      </c>
      <c r="I310" s="79">
        <v>829900.0</v>
      </c>
      <c r="J310" s="74" t="s">
        <v>433</v>
      </c>
      <c r="K310" s="77" t="s">
        <v>2924</v>
      </c>
      <c r="L310" s="79"/>
      <c r="M310" s="79"/>
      <c r="N310" s="79">
        <v>0.0</v>
      </c>
      <c r="O310" s="83" t="s">
        <v>2925</v>
      </c>
      <c r="P310" s="80"/>
      <c r="Q310" s="79"/>
      <c r="R310" s="80"/>
      <c r="S310" s="80"/>
      <c r="T310" s="101" t="s">
        <v>332</v>
      </c>
      <c r="U310" s="80" t="s">
        <v>332</v>
      </c>
      <c r="V310" s="102" t="s">
        <v>429</v>
      </c>
      <c r="W310" s="79" t="s">
        <v>306</v>
      </c>
      <c r="X310" s="79" t="s">
        <v>306</v>
      </c>
      <c r="Y310" s="79"/>
      <c r="Z310" s="79"/>
    </row>
    <row r="311" ht="15.75" customHeight="1">
      <c r="A311" s="103" t="s">
        <v>24</v>
      </c>
      <c r="B311" s="79" t="s">
        <v>2926</v>
      </c>
      <c r="C311" s="80">
        <v>3.3551283939E10</v>
      </c>
      <c r="D311" s="77" t="s">
        <v>631</v>
      </c>
      <c r="E311" s="77" t="s">
        <v>1427</v>
      </c>
      <c r="F311" s="44">
        <v>3853.0</v>
      </c>
      <c r="G311" s="79" t="s">
        <v>15</v>
      </c>
      <c r="H311" s="80">
        <v>1678.0</v>
      </c>
      <c r="I311" s="79">
        <v>289993.0</v>
      </c>
      <c r="J311" s="74" t="s">
        <v>347</v>
      </c>
      <c r="K311" s="129" t="s">
        <v>638</v>
      </c>
      <c r="L311" s="79" t="s">
        <v>453</v>
      </c>
      <c r="M311" s="79"/>
      <c r="N311" s="79">
        <v>0.0</v>
      </c>
      <c r="O311" s="74"/>
      <c r="P311" s="80"/>
      <c r="Q311" s="79"/>
      <c r="R311" s="80"/>
      <c r="S311" s="80" t="s">
        <v>2927</v>
      </c>
      <c r="T311" s="101" t="s">
        <v>332</v>
      </c>
      <c r="U311" s="80" t="s">
        <v>332</v>
      </c>
      <c r="V311" s="102" t="s">
        <v>429</v>
      </c>
      <c r="W311" s="79" t="s">
        <v>306</v>
      </c>
      <c r="X311" s="79" t="s">
        <v>306</v>
      </c>
      <c r="Y311" s="79"/>
      <c r="Z311" s="79"/>
    </row>
    <row r="312" ht="15.0" customHeight="1">
      <c r="A312" s="76" t="s">
        <v>247</v>
      </c>
      <c r="B312" s="79" t="s">
        <v>2929</v>
      </c>
      <c r="C312" s="80">
        <v>3.3663776369E10</v>
      </c>
      <c r="D312" s="144" t="s">
        <v>631</v>
      </c>
      <c r="E312" s="79" t="s">
        <v>2333</v>
      </c>
      <c r="F312" s="44">
        <v>3180.0</v>
      </c>
      <c r="G312" s="79" t="s">
        <v>68</v>
      </c>
      <c r="H312" s="80">
        <v>1702.0</v>
      </c>
      <c r="I312" s="79">
        <v>141110.0</v>
      </c>
      <c r="J312" s="74" t="s">
        <v>448</v>
      </c>
      <c r="K312" s="79" t="s">
        <v>2206</v>
      </c>
      <c r="L312" s="79" t="s">
        <v>369</v>
      </c>
      <c r="M312" s="79"/>
      <c r="N312" s="79">
        <v>0.0</v>
      </c>
      <c r="O312" s="74"/>
      <c r="P312" s="80"/>
      <c r="Q312" s="79"/>
      <c r="R312" s="80"/>
      <c r="S312" s="80" t="s">
        <v>2930</v>
      </c>
      <c r="T312" s="101" t="s">
        <v>332</v>
      </c>
      <c r="U312" s="80" t="s">
        <v>332</v>
      </c>
      <c r="V312" s="102" t="s">
        <v>429</v>
      </c>
      <c r="W312" s="79" t="s">
        <v>306</v>
      </c>
      <c r="X312" s="79" t="s">
        <v>306</v>
      </c>
      <c r="Y312" s="79" t="s">
        <v>309</v>
      </c>
      <c r="Z312" s="79"/>
    </row>
    <row r="313" ht="15.0" customHeight="1">
      <c r="A313" s="76" t="s">
        <v>247</v>
      </c>
      <c r="B313" s="77" t="s">
        <v>2931</v>
      </c>
      <c r="C313" s="80">
        <v>3.0712435514E10</v>
      </c>
      <c r="D313" s="119" t="s">
        <v>264</v>
      </c>
      <c r="E313" s="79" t="s">
        <v>1860</v>
      </c>
      <c r="F313" s="44">
        <v>3158.0</v>
      </c>
      <c r="G313" s="79" t="s">
        <v>15</v>
      </c>
      <c r="H313" s="80">
        <v>1678.0</v>
      </c>
      <c r="I313" s="79">
        <v>259309.0</v>
      </c>
      <c r="J313" s="74" t="s">
        <v>347</v>
      </c>
      <c r="K313" s="77" t="s">
        <v>1121</v>
      </c>
      <c r="L313" s="79"/>
      <c r="M313" s="79"/>
      <c r="N313" s="79">
        <v>0.0</v>
      </c>
      <c r="O313" s="74"/>
      <c r="P313" s="80"/>
      <c r="Q313" s="79"/>
      <c r="R313" s="80"/>
      <c r="S313" s="80" t="s">
        <v>2933</v>
      </c>
      <c r="T313" s="85" t="s">
        <v>2934</v>
      </c>
      <c r="U313" s="78" t="s">
        <v>2935</v>
      </c>
      <c r="V313" s="102" t="s">
        <v>2936</v>
      </c>
      <c r="W313" s="79" t="s">
        <v>309</v>
      </c>
      <c r="X313" s="79" t="s">
        <v>309</v>
      </c>
      <c r="Y313" s="79" t="s">
        <v>309</v>
      </c>
      <c r="Z313" s="79"/>
    </row>
    <row r="314" ht="15.0" customHeight="1">
      <c r="A314" s="76" t="s">
        <v>247</v>
      </c>
      <c r="B314" s="79" t="s">
        <v>2937</v>
      </c>
      <c r="C314" s="80">
        <v>3.0653475116E10</v>
      </c>
      <c r="D314" s="77" t="s">
        <v>631</v>
      </c>
      <c r="E314" s="79" t="s">
        <v>2938</v>
      </c>
      <c r="F314" s="44">
        <v>1810.0</v>
      </c>
      <c r="G314" s="79" t="s">
        <v>68</v>
      </c>
      <c r="H314" s="80">
        <v>1702.0</v>
      </c>
      <c r="I314" s="79">
        <v>259993.0</v>
      </c>
      <c r="J314" s="74" t="s">
        <v>347</v>
      </c>
      <c r="K314" s="129" t="s">
        <v>638</v>
      </c>
      <c r="L314" s="79" t="s">
        <v>453</v>
      </c>
      <c r="M314" s="79"/>
      <c r="N314" s="79">
        <v>1.0</v>
      </c>
      <c r="O314" s="74"/>
      <c r="P314" s="80"/>
      <c r="Q314" s="79"/>
      <c r="R314" s="80"/>
      <c r="S314" s="80" t="s">
        <v>2939</v>
      </c>
      <c r="T314" s="101" t="s">
        <v>332</v>
      </c>
      <c r="U314" s="80" t="s">
        <v>332</v>
      </c>
      <c r="V314" s="102" t="s">
        <v>429</v>
      </c>
      <c r="W314" s="79" t="s">
        <v>306</v>
      </c>
      <c r="X314" s="79" t="s">
        <v>306</v>
      </c>
      <c r="Y314" s="79" t="s">
        <v>309</v>
      </c>
      <c r="Z314" s="79"/>
    </row>
    <row r="315" ht="15.75" customHeight="1">
      <c r="A315" s="76" t="s">
        <v>247</v>
      </c>
      <c r="B315" s="77" t="s">
        <v>2941</v>
      </c>
      <c r="C315" s="80">
        <v>3.0712318399E10</v>
      </c>
      <c r="D315" s="119" t="s">
        <v>264</v>
      </c>
      <c r="E315" s="79" t="s">
        <v>2669</v>
      </c>
      <c r="F315" s="44">
        <v>3846.0</v>
      </c>
      <c r="G315" s="79" t="s">
        <v>15</v>
      </c>
      <c r="H315" s="80">
        <v>1678.0</v>
      </c>
      <c r="I315" s="79">
        <v>259309.0</v>
      </c>
      <c r="J315" s="74" t="s">
        <v>347</v>
      </c>
      <c r="K315" s="77" t="s">
        <v>1121</v>
      </c>
      <c r="L315" s="79"/>
      <c r="M315" s="77" t="s">
        <v>2942</v>
      </c>
      <c r="N315" s="79">
        <v>50.0</v>
      </c>
      <c r="O315" s="74"/>
      <c r="P315" s="80"/>
      <c r="Q315" s="79"/>
      <c r="R315" s="80"/>
      <c r="S315" s="78" t="s">
        <v>2943</v>
      </c>
      <c r="T315" s="85" t="s">
        <v>2944</v>
      </c>
      <c r="U315" s="85" t="s">
        <v>2945</v>
      </c>
      <c r="V315" s="98" t="s">
        <v>2946</v>
      </c>
      <c r="W315" s="79" t="s">
        <v>309</v>
      </c>
      <c r="X315" s="79" t="s">
        <v>309</v>
      </c>
      <c r="Y315" s="79"/>
      <c r="Z315" s="79"/>
    </row>
    <row r="316" ht="15.75" customHeight="1">
      <c r="A316" s="76" t="s">
        <v>247</v>
      </c>
      <c r="B316" s="77" t="s">
        <v>1265</v>
      </c>
      <c r="C316" s="80">
        <v>3.0570352047E10</v>
      </c>
      <c r="D316" s="119" t="s">
        <v>264</v>
      </c>
      <c r="E316" s="79" t="s">
        <v>1819</v>
      </c>
      <c r="F316" s="44">
        <v>2479.0</v>
      </c>
      <c r="G316" s="79" t="s">
        <v>97</v>
      </c>
      <c r="H316" s="80">
        <v>1702.0</v>
      </c>
      <c r="I316" s="79">
        <v>222090.0</v>
      </c>
      <c r="J316" s="83" t="s">
        <v>568</v>
      </c>
      <c r="K316" s="77" t="s">
        <v>569</v>
      </c>
      <c r="L316" s="79" t="s">
        <v>453</v>
      </c>
      <c r="M316" s="79" t="s">
        <v>2948</v>
      </c>
      <c r="N316" s="79">
        <v>23.0</v>
      </c>
      <c r="O316" s="74" t="s">
        <v>2949</v>
      </c>
      <c r="P316" s="78" t="s">
        <v>2950</v>
      </c>
      <c r="Q316" s="79"/>
      <c r="R316" s="80"/>
      <c r="S316" s="80" t="s">
        <v>2951</v>
      </c>
      <c r="T316" s="101" t="s">
        <v>2952</v>
      </c>
      <c r="U316" s="80" t="s">
        <v>332</v>
      </c>
      <c r="V316" s="102" t="s">
        <v>2953</v>
      </c>
      <c r="W316" s="79" t="s">
        <v>309</v>
      </c>
      <c r="X316" s="79" t="s">
        <v>309</v>
      </c>
      <c r="Y316" s="79" t="s">
        <v>309</v>
      </c>
      <c r="Z316" s="79"/>
    </row>
    <row r="317" ht="15.0" customHeight="1">
      <c r="A317" s="103" t="s">
        <v>24</v>
      </c>
      <c r="B317" s="77" t="s">
        <v>2954</v>
      </c>
      <c r="C317" s="80">
        <v>3.0575927013E10</v>
      </c>
      <c r="D317" s="119" t="s">
        <v>264</v>
      </c>
      <c r="E317" s="79" t="s">
        <v>2955</v>
      </c>
      <c r="F317" s="44">
        <v>372.0</v>
      </c>
      <c r="G317" s="79" t="s">
        <v>68</v>
      </c>
      <c r="H317" s="80">
        <v>1702.0</v>
      </c>
      <c r="I317" s="79">
        <v>452200.0</v>
      </c>
      <c r="J317" s="74" t="s">
        <v>125</v>
      </c>
      <c r="K317" s="77" t="s">
        <v>2957</v>
      </c>
      <c r="L317" s="79" t="s">
        <v>453</v>
      </c>
      <c r="M317" s="79"/>
      <c r="N317" s="79">
        <v>0.0</v>
      </c>
      <c r="O317" s="74"/>
      <c r="P317" s="80"/>
      <c r="Q317" s="79"/>
      <c r="R317" s="80"/>
      <c r="S317" s="80" t="s">
        <v>2958</v>
      </c>
      <c r="T317" s="101" t="s">
        <v>332</v>
      </c>
      <c r="U317" s="80" t="s">
        <v>332</v>
      </c>
      <c r="V317" s="102" t="s">
        <v>429</v>
      </c>
      <c r="W317" s="79" t="s">
        <v>306</v>
      </c>
      <c r="X317" s="79" t="s">
        <v>306</v>
      </c>
      <c r="Y317" s="79"/>
      <c r="Z317" s="79"/>
    </row>
    <row r="318" ht="15.0" customHeight="1">
      <c r="A318" s="76" t="s">
        <v>247</v>
      </c>
      <c r="B318" s="77" t="s">
        <v>2959</v>
      </c>
      <c r="C318" s="80">
        <v>3.054886386E10</v>
      </c>
      <c r="D318" s="79" t="s">
        <v>264</v>
      </c>
      <c r="E318" s="79" t="s">
        <v>2960</v>
      </c>
      <c r="F318" s="44">
        <v>1936.0</v>
      </c>
      <c r="G318" s="79" t="s">
        <v>15</v>
      </c>
      <c r="H318" s="80">
        <v>1678.0</v>
      </c>
      <c r="I318" s="79">
        <v>289301.0</v>
      </c>
      <c r="J318" s="83" t="s">
        <v>347</v>
      </c>
      <c r="K318" s="77" t="s">
        <v>1334</v>
      </c>
      <c r="L318" s="79"/>
      <c r="M318" s="77" t="s">
        <v>2961</v>
      </c>
      <c r="N318" s="79">
        <v>0.0</v>
      </c>
      <c r="O318" s="74"/>
      <c r="P318" s="80"/>
      <c r="Q318" s="79"/>
      <c r="R318" s="80"/>
      <c r="S318" s="78" t="s">
        <v>2963</v>
      </c>
      <c r="T318" s="85" t="s">
        <v>2964</v>
      </c>
      <c r="U318" s="80" t="s">
        <v>332</v>
      </c>
      <c r="V318" s="102" t="s">
        <v>2965</v>
      </c>
      <c r="W318" s="79" t="s">
        <v>309</v>
      </c>
      <c r="X318" s="79" t="s">
        <v>309</v>
      </c>
      <c r="Y318" s="79"/>
      <c r="Z318" s="79"/>
    </row>
    <row r="319" ht="15.75" customHeight="1">
      <c r="A319" s="76" t="s">
        <v>247</v>
      </c>
      <c r="B319" s="77" t="s">
        <v>2966</v>
      </c>
      <c r="C319" s="80">
        <v>3.0502071781E10</v>
      </c>
      <c r="D319" s="119" t="s">
        <v>264</v>
      </c>
      <c r="E319" s="126" t="s">
        <v>985</v>
      </c>
      <c r="F319" s="128">
        <v>3999.0</v>
      </c>
      <c r="G319" s="79" t="s">
        <v>15</v>
      </c>
      <c r="H319" s="80">
        <v>1678.0</v>
      </c>
      <c r="I319" s="79">
        <v>289309.0</v>
      </c>
      <c r="J319" s="74" t="s">
        <v>347</v>
      </c>
      <c r="K319" s="77" t="s">
        <v>2967</v>
      </c>
      <c r="L319" s="79"/>
      <c r="M319" s="79"/>
      <c r="N319" s="79">
        <v>0.0</v>
      </c>
      <c r="O319" s="74"/>
      <c r="P319" s="80"/>
      <c r="Q319" s="79"/>
      <c r="R319" s="80"/>
      <c r="S319" s="78" t="s">
        <v>2969</v>
      </c>
      <c r="T319" s="85" t="s">
        <v>2970</v>
      </c>
      <c r="U319" s="80" t="s">
        <v>332</v>
      </c>
      <c r="V319" s="102" t="s">
        <v>2971</v>
      </c>
      <c r="W319" s="79" t="s">
        <v>306</v>
      </c>
      <c r="X319" s="79" t="s">
        <v>306</v>
      </c>
      <c r="Y319" s="79"/>
      <c r="Z319" s="79"/>
    </row>
    <row r="320" ht="15.75" customHeight="1">
      <c r="A320" s="76" t="s">
        <v>247</v>
      </c>
      <c r="B320" s="77" t="s">
        <v>2972</v>
      </c>
      <c r="C320" s="80">
        <v>3.0692859908E10</v>
      </c>
      <c r="D320" s="119" t="s">
        <v>264</v>
      </c>
      <c r="E320" s="79" t="s">
        <v>2973</v>
      </c>
      <c r="F320" s="44">
        <v>3074.0</v>
      </c>
      <c r="G320" s="79" t="s">
        <v>15</v>
      </c>
      <c r="H320" s="80">
        <v>1678.0</v>
      </c>
      <c r="I320" s="79">
        <v>259309.0</v>
      </c>
      <c r="J320" s="74" t="s">
        <v>347</v>
      </c>
      <c r="K320" s="77" t="s">
        <v>1121</v>
      </c>
      <c r="L320" s="79"/>
      <c r="M320" s="77" t="s">
        <v>2974</v>
      </c>
      <c r="N320" s="79">
        <v>12.0</v>
      </c>
      <c r="O320" s="74"/>
      <c r="P320" s="80"/>
      <c r="Q320" s="79"/>
      <c r="R320" s="80"/>
      <c r="S320" s="78" t="s">
        <v>2970</v>
      </c>
      <c r="T320" s="101" t="s">
        <v>2969</v>
      </c>
      <c r="U320" s="78" t="s">
        <v>2976</v>
      </c>
      <c r="V320" s="86" t="s">
        <v>2977</v>
      </c>
      <c r="W320" s="79" t="s">
        <v>309</v>
      </c>
      <c r="X320" s="79" t="s">
        <v>309</v>
      </c>
      <c r="Y320" s="79" t="s">
        <v>309</v>
      </c>
      <c r="Z320" s="79"/>
    </row>
    <row r="321" ht="15.75" customHeight="1">
      <c r="A321" s="76" t="s">
        <v>247</v>
      </c>
      <c r="B321" s="77" t="s">
        <v>2978</v>
      </c>
      <c r="C321" s="77">
        <v>3.0709478776E10</v>
      </c>
      <c r="D321" s="77" t="s">
        <v>264</v>
      </c>
      <c r="E321" s="79" t="s">
        <v>1711</v>
      </c>
      <c r="F321" s="44">
        <v>5140.0</v>
      </c>
      <c r="G321" s="79" t="s">
        <v>15</v>
      </c>
      <c r="H321" s="80">
        <v>1678.0</v>
      </c>
      <c r="I321" s="77">
        <v>466399.0</v>
      </c>
      <c r="J321" s="74" t="s">
        <v>433</v>
      </c>
      <c r="K321" s="77" t="s">
        <v>2378</v>
      </c>
      <c r="L321" s="79"/>
      <c r="M321" s="77" t="s">
        <v>2979</v>
      </c>
      <c r="N321" s="79"/>
      <c r="O321" s="74"/>
      <c r="P321" s="80"/>
      <c r="Q321" s="79"/>
      <c r="R321" s="80"/>
      <c r="S321" s="242" t="s">
        <v>2980</v>
      </c>
      <c r="T321" s="78" t="s">
        <v>2981</v>
      </c>
      <c r="U321" s="78"/>
      <c r="V321" s="102" t="s">
        <v>2982</v>
      </c>
      <c r="W321" s="79"/>
      <c r="X321" s="79"/>
      <c r="Y321" s="79" t="s">
        <v>309</v>
      </c>
      <c r="Z321" s="79"/>
    </row>
    <row r="322" ht="15.75" customHeight="1">
      <c r="A322" s="103" t="s">
        <v>24</v>
      </c>
      <c r="B322" s="77" t="s">
        <v>2984</v>
      </c>
      <c r="C322" s="80">
        <v>3.0714096717E10</v>
      </c>
      <c r="D322" s="119" t="s">
        <v>264</v>
      </c>
      <c r="E322" s="79" t="s">
        <v>2985</v>
      </c>
      <c r="F322" s="44">
        <v>578.0</v>
      </c>
      <c r="G322" s="79" t="s">
        <v>68</v>
      </c>
      <c r="H322" s="80">
        <v>1702.0</v>
      </c>
      <c r="I322" s="79">
        <v>241001.0</v>
      </c>
      <c r="J322" s="74" t="s">
        <v>347</v>
      </c>
      <c r="K322" s="79" t="s">
        <v>2986</v>
      </c>
      <c r="L322" s="79"/>
      <c r="M322" s="79"/>
      <c r="N322" s="79">
        <v>5.0</v>
      </c>
      <c r="O322" s="74"/>
      <c r="P322" s="80"/>
      <c r="Q322" s="79"/>
      <c r="R322" s="80"/>
      <c r="S322" s="240" t="s">
        <v>2987</v>
      </c>
      <c r="T322" s="85" t="s">
        <v>2988</v>
      </c>
      <c r="U322" s="80" t="s">
        <v>332</v>
      </c>
      <c r="V322" s="102" t="s">
        <v>2989</v>
      </c>
      <c r="W322" s="79" t="s">
        <v>306</v>
      </c>
      <c r="X322" s="79" t="s">
        <v>306</v>
      </c>
      <c r="Y322" s="79"/>
      <c r="Z322" s="79"/>
    </row>
    <row r="323" ht="15.0" customHeight="1">
      <c r="A323" s="76" t="s">
        <v>247</v>
      </c>
      <c r="B323" s="77" t="s">
        <v>2991</v>
      </c>
      <c r="C323" s="80">
        <v>2.012953611E10</v>
      </c>
      <c r="D323" s="77" t="s">
        <v>631</v>
      </c>
      <c r="E323" s="79" t="s">
        <v>1246</v>
      </c>
      <c r="F323" s="44">
        <v>1228.0</v>
      </c>
      <c r="G323" s="79" t="s">
        <v>68</v>
      </c>
      <c r="H323" s="80">
        <v>1702.0</v>
      </c>
      <c r="I323" s="79">
        <v>281301.0</v>
      </c>
      <c r="J323" s="74" t="s">
        <v>337</v>
      </c>
      <c r="K323" s="77" t="s">
        <v>2670</v>
      </c>
      <c r="L323" s="79" t="s">
        <v>453</v>
      </c>
      <c r="M323" s="79" t="s">
        <v>2992</v>
      </c>
      <c r="N323" s="79"/>
      <c r="O323" s="74" t="s">
        <v>2993</v>
      </c>
      <c r="P323" s="80"/>
      <c r="Q323" s="79"/>
      <c r="R323" s="80"/>
      <c r="S323" s="80" t="s">
        <v>2994</v>
      </c>
      <c r="T323" s="101"/>
      <c r="U323" s="80"/>
      <c r="V323" s="102" t="s">
        <v>2995</v>
      </c>
      <c r="W323" s="79"/>
      <c r="X323" s="79"/>
      <c r="Y323" s="79"/>
      <c r="Z323" s="79"/>
    </row>
    <row r="324" ht="15.0" customHeight="1">
      <c r="A324" s="76" t="s">
        <v>247</v>
      </c>
      <c r="B324" s="77" t="s">
        <v>1270</v>
      </c>
      <c r="C324" s="80">
        <v>2.0145550417E10</v>
      </c>
      <c r="D324" s="77" t="s">
        <v>631</v>
      </c>
      <c r="E324" s="79" t="s">
        <v>2997</v>
      </c>
      <c r="F324" s="128">
        <v>5376.0</v>
      </c>
      <c r="G324" s="79" t="s">
        <v>15</v>
      </c>
      <c r="H324" s="80">
        <v>1678.0</v>
      </c>
      <c r="I324" s="79">
        <v>259100.0</v>
      </c>
      <c r="J324" s="74" t="s">
        <v>347</v>
      </c>
      <c r="K324" s="79" t="s">
        <v>1329</v>
      </c>
      <c r="L324" s="79" t="s">
        <v>453</v>
      </c>
      <c r="M324" s="79"/>
      <c r="N324" s="79"/>
      <c r="O324" s="126" t="s">
        <v>2998</v>
      </c>
      <c r="P324" s="78" t="s">
        <v>2999</v>
      </c>
      <c r="Q324" s="79"/>
      <c r="R324" s="80"/>
      <c r="S324" s="80" t="s">
        <v>3000</v>
      </c>
      <c r="T324" s="101" t="s">
        <v>3001</v>
      </c>
      <c r="U324" s="80"/>
      <c r="V324" s="102" t="s">
        <v>3002</v>
      </c>
      <c r="W324" s="79"/>
      <c r="X324" s="79"/>
      <c r="Y324" s="79" t="s">
        <v>309</v>
      </c>
      <c r="Z324" s="79"/>
    </row>
    <row r="325" ht="15.0" customHeight="1">
      <c r="A325" s="76" t="s">
        <v>247</v>
      </c>
      <c r="B325" s="77" t="s">
        <v>3003</v>
      </c>
      <c r="C325" s="80">
        <v>3.0708570946E10</v>
      </c>
      <c r="D325" s="79" t="s">
        <v>264</v>
      </c>
      <c r="E325" s="126" t="s">
        <v>696</v>
      </c>
      <c r="F325" s="128">
        <v>5664.0</v>
      </c>
      <c r="G325" s="79" t="s">
        <v>15</v>
      </c>
      <c r="H325" s="80">
        <v>1678.0</v>
      </c>
      <c r="I325" s="79">
        <v>465390.0</v>
      </c>
      <c r="J325" s="74" t="s">
        <v>433</v>
      </c>
      <c r="K325" s="77" t="s">
        <v>3004</v>
      </c>
      <c r="L325" s="79" t="s">
        <v>453</v>
      </c>
      <c r="M325" s="77" t="s">
        <v>3005</v>
      </c>
      <c r="N325" s="79">
        <v>50.0</v>
      </c>
      <c r="O325" s="74" t="s">
        <v>3007</v>
      </c>
      <c r="P325" s="78" t="s">
        <v>3008</v>
      </c>
      <c r="Q325" s="77" t="s">
        <v>3009</v>
      </c>
      <c r="R325" s="78" t="s">
        <v>3010</v>
      </c>
      <c r="S325" s="78" t="s">
        <v>3011</v>
      </c>
      <c r="T325" s="85" t="s">
        <v>3012</v>
      </c>
      <c r="U325" s="78" t="s">
        <v>3013</v>
      </c>
      <c r="V325" s="102" t="s">
        <v>3014</v>
      </c>
      <c r="W325" s="79" t="s">
        <v>309</v>
      </c>
      <c r="X325" s="79" t="s">
        <v>309</v>
      </c>
      <c r="Y325" s="79" t="s">
        <v>309</v>
      </c>
      <c r="Z325" s="79"/>
    </row>
    <row r="326" ht="15.0" customHeight="1">
      <c r="A326" s="76" t="s">
        <v>247</v>
      </c>
      <c r="B326" s="77" t="s">
        <v>3015</v>
      </c>
      <c r="C326" s="80">
        <v>3.0573183017E10</v>
      </c>
      <c r="D326" s="79" t="s">
        <v>264</v>
      </c>
      <c r="E326" s="77" t="s">
        <v>3016</v>
      </c>
      <c r="F326" s="44">
        <v>4748.0</v>
      </c>
      <c r="G326" s="79" t="s">
        <v>68</v>
      </c>
      <c r="H326" s="80">
        <v>1702.0</v>
      </c>
      <c r="I326" s="79">
        <v>259999.0</v>
      </c>
      <c r="J326" s="74" t="s">
        <v>347</v>
      </c>
      <c r="K326" s="77" t="s">
        <v>839</v>
      </c>
      <c r="L326" s="79" t="s">
        <v>453</v>
      </c>
      <c r="M326" s="77" t="s">
        <v>3017</v>
      </c>
      <c r="N326" s="79">
        <v>12.0</v>
      </c>
      <c r="O326" s="74"/>
      <c r="P326" s="80"/>
      <c r="Q326" s="79"/>
      <c r="R326" s="80"/>
      <c r="S326" s="78" t="s">
        <v>3019</v>
      </c>
      <c r="T326" s="85" t="s">
        <v>3020</v>
      </c>
      <c r="U326" s="80" t="s">
        <v>332</v>
      </c>
      <c r="V326" s="230" t="s">
        <v>3021</v>
      </c>
      <c r="W326" s="79" t="s">
        <v>309</v>
      </c>
      <c r="X326" s="79" t="s">
        <v>309</v>
      </c>
      <c r="Y326" s="79"/>
      <c r="Z326" s="79"/>
    </row>
    <row r="327" ht="15.0" customHeight="1">
      <c r="A327" s="76" t="s">
        <v>247</v>
      </c>
      <c r="B327" s="77" t="s">
        <v>3022</v>
      </c>
      <c r="C327" s="79">
        <v>3.0572125358E10</v>
      </c>
      <c r="D327" s="77" t="s">
        <v>264</v>
      </c>
      <c r="E327" s="79" t="s">
        <v>1955</v>
      </c>
      <c r="F327" s="44">
        <v>3978.0</v>
      </c>
      <c r="G327" s="79" t="s">
        <v>68</v>
      </c>
      <c r="H327" s="80">
        <v>1702.0</v>
      </c>
      <c r="I327" s="79">
        <v>181109.0</v>
      </c>
      <c r="J327" s="74" t="s">
        <v>238</v>
      </c>
      <c r="K327" s="77" t="s">
        <v>1545</v>
      </c>
      <c r="L327" s="79"/>
      <c r="M327" s="79"/>
      <c r="N327" s="79">
        <v>30.0</v>
      </c>
      <c r="O327" s="74"/>
      <c r="P327" s="80"/>
      <c r="Q327" s="79" t="s">
        <v>3023</v>
      </c>
      <c r="R327" s="80"/>
      <c r="S327" s="78" t="s">
        <v>3024</v>
      </c>
      <c r="T327" s="85" t="s">
        <v>3025</v>
      </c>
      <c r="U327" s="80" t="s">
        <v>3026</v>
      </c>
      <c r="V327" s="102" t="s">
        <v>429</v>
      </c>
      <c r="W327" s="79" t="s">
        <v>309</v>
      </c>
      <c r="X327" s="79" t="s">
        <v>309</v>
      </c>
      <c r="Y327" s="79" t="s">
        <v>309</v>
      </c>
      <c r="Z327" s="79"/>
    </row>
    <row r="328" ht="15.0" customHeight="1">
      <c r="A328" s="103" t="s">
        <v>24</v>
      </c>
      <c r="B328" s="79" t="s">
        <v>3027</v>
      </c>
      <c r="C328" s="80">
        <v>2.0118047231E10</v>
      </c>
      <c r="D328" s="77" t="s">
        <v>631</v>
      </c>
      <c r="E328" s="77" t="s">
        <v>3029</v>
      </c>
      <c r="F328" s="128" t="s">
        <v>3030</v>
      </c>
      <c r="G328" s="79" t="s">
        <v>249</v>
      </c>
      <c r="H328" s="80">
        <v>1676.0</v>
      </c>
      <c r="I328" s="77">
        <v>721090.0</v>
      </c>
      <c r="J328" s="74" t="s">
        <v>433</v>
      </c>
      <c r="K328" s="77" t="s">
        <v>3031</v>
      </c>
      <c r="L328" s="79"/>
      <c r="M328" s="79"/>
      <c r="N328" s="79"/>
      <c r="O328" s="74"/>
      <c r="P328" s="80"/>
      <c r="Q328" s="79"/>
      <c r="R328" s="80"/>
      <c r="S328" s="78" t="s">
        <v>3032</v>
      </c>
      <c r="T328" s="101"/>
      <c r="U328" s="80"/>
      <c r="V328" s="102" t="s">
        <v>429</v>
      </c>
      <c r="W328" s="79"/>
      <c r="X328" s="79"/>
      <c r="Y328" s="79"/>
      <c r="Z328" s="79"/>
    </row>
    <row r="329" ht="15.0" customHeight="1">
      <c r="A329" s="76" t="s">
        <v>247</v>
      </c>
      <c r="B329" s="77" t="s">
        <v>3033</v>
      </c>
      <c r="C329" s="80">
        <v>3.0715116274E10</v>
      </c>
      <c r="D329" s="79" t="s">
        <v>264</v>
      </c>
      <c r="E329" s="79" t="s">
        <v>1323</v>
      </c>
      <c r="F329" s="44">
        <v>3638.0</v>
      </c>
      <c r="G329" s="79" t="s">
        <v>15</v>
      </c>
      <c r="H329" s="80">
        <v>1678.0</v>
      </c>
      <c r="I329" s="79">
        <v>266090.0</v>
      </c>
      <c r="J329" s="74" t="s">
        <v>347</v>
      </c>
      <c r="K329" s="77" t="s">
        <v>3034</v>
      </c>
      <c r="L329" s="79"/>
      <c r="M329" s="77" t="s">
        <v>3035</v>
      </c>
      <c r="N329" s="79">
        <v>0.0</v>
      </c>
      <c r="O329" s="74"/>
      <c r="P329" s="80"/>
      <c r="Q329" s="79"/>
      <c r="R329" s="80"/>
      <c r="S329" s="78" t="s">
        <v>3036</v>
      </c>
      <c r="T329" s="85" t="s">
        <v>3037</v>
      </c>
      <c r="U329" s="80" t="s">
        <v>332</v>
      </c>
      <c r="V329" s="102" t="s">
        <v>3038</v>
      </c>
      <c r="W329" s="79" t="s">
        <v>306</v>
      </c>
      <c r="X329" s="79" t="s">
        <v>306</v>
      </c>
      <c r="Y329" s="79" t="s">
        <v>309</v>
      </c>
      <c r="Z329" s="79"/>
    </row>
    <row r="330" ht="15.0" customHeight="1">
      <c r="A330" s="103" t="s">
        <v>24</v>
      </c>
      <c r="B330" s="77" t="s">
        <v>3040</v>
      </c>
      <c r="C330" s="80">
        <v>3.0714967262E10</v>
      </c>
      <c r="D330" s="77" t="s">
        <v>631</v>
      </c>
      <c r="E330" s="79" t="s">
        <v>1569</v>
      </c>
      <c r="F330" s="44">
        <v>2722.0</v>
      </c>
      <c r="G330" s="79" t="s">
        <v>97</v>
      </c>
      <c r="H330" s="80">
        <v>1702.0</v>
      </c>
      <c r="I330" s="79">
        <v>310010.0</v>
      </c>
      <c r="J330" s="74" t="s">
        <v>313</v>
      </c>
      <c r="K330" s="79" t="s">
        <v>1438</v>
      </c>
      <c r="L330" s="79" t="s">
        <v>1122</v>
      </c>
      <c r="M330" s="79"/>
      <c r="N330" s="79">
        <v>0.0</v>
      </c>
      <c r="O330" s="74"/>
      <c r="P330" s="80"/>
      <c r="Q330" s="79"/>
      <c r="R330" s="80"/>
      <c r="S330" s="78" t="s">
        <v>3041</v>
      </c>
      <c r="T330" s="85" t="s">
        <v>3042</v>
      </c>
      <c r="U330" s="80" t="s">
        <v>332</v>
      </c>
      <c r="V330" s="102" t="s">
        <v>429</v>
      </c>
      <c r="W330" s="79" t="s">
        <v>306</v>
      </c>
      <c r="X330" s="79" t="s">
        <v>306</v>
      </c>
      <c r="Y330" s="79"/>
      <c r="Z330" s="79"/>
    </row>
    <row r="331" ht="15.0" customHeight="1">
      <c r="A331" s="103" t="s">
        <v>24</v>
      </c>
      <c r="B331" s="77" t="s">
        <v>3044</v>
      </c>
      <c r="C331" s="80">
        <v>3.0708220643E10</v>
      </c>
      <c r="D331" s="119" t="s">
        <v>264</v>
      </c>
      <c r="E331" s="79" t="s">
        <v>1246</v>
      </c>
      <c r="F331" s="44">
        <v>384.0</v>
      </c>
      <c r="G331" s="79" t="s">
        <v>68</v>
      </c>
      <c r="H331" s="80">
        <v>1702.0</v>
      </c>
      <c r="I331" s="79">
        <v>602190.0</v>
      </c>
      <c r="J331" s="74" t="s">
        <v>433</v>
      </c>
      <c r="K331" s="77" t="s">
        <v>3045</v>
      </c>
      <c r="L331" s="79"/>
      <c r="M331" s="79"/>
      <c r="N331" s="79">
        <v>0.0</v>
      </c>
      <c r="O331" s="74"/>
      <c r="P331" s="80"/>
      <c r="Q331" s="79"/>
      <c r="R331" s="80"/>
      <c r="S331" s="78" t="s">
        <v>3046</v>
      </c>
      <c r="T331" s="101" t="s">
        <v>332</v>
      </c>
      <c r="U331" s="80" t="s">
        <v>332</v>
      </c>
      <c r="V331" s="102" t="s">
        <v>429</v>
      </c>
      <c r="W331" s="79" t="s">
        <v>309</v>
      </c>
      <c r="X331" s="79" t="s">
        <v>309</v>
      </c>
      <c r="Y331" s="79" t="s">
        <v>309</v>
      </c>
      <c r="Z331" s="79"/>
    </row>
    <row r="332" ht="15.0" customHeight="1">
      <c r="A332" s="76" t="s">
        <v>247</v>
      </c>
      <c r="B332" s="77" t="s">
        <v>3047</v>
      </c>
      <c r="C332" s="80">
        <v>3.0612383983E10</v>
      </c>
      <c r="D332" s="79" t="s">
        <v>264</v>
      </c>
      <c r="E332" s="79" t="s">
        <v>1904</v>
      </c>
      <c r="F332" s="44">
        <v>3815.0</v>
      </c>
      <c r="G332" s="79" t="s">
        <v>15</v>
      </c>
      <c r="H332" s="80">
        <v>1678.0</v>
      </c>
      <c r="I332" s="79">
        <v>251101.0</v>
      </c>
      <c r="J332" s="74" t="s">
        <v>347</v>
      </c>
      <c r="K332" s="79" t="s">
        <v>1486</v>
      </c>
      <c r="L332" s="79" t="s">
        <v>453</v>
      </c>
      <c r="M332" s="79"/>
      <c r="N332" s="79">
        <v>26.0</v>
      </c>
      <c r="O332" s="74"/>
      <c r="P332" s="80"/>
      <c r="Q332" s="79"/>
      <c r="R332" s="80"/>
      <c r="S332" s="80" t="s">
        <v>3049</v>
      </c>
      <c r="T332" s="101" t="s">
        <v>332</v>
      </c>
      <c r="U332" s="80" t="s">
        <v>332</v>
      </c>
      <c r="V332" s="102" t="s">
        <v>3050</v>
      </c>
      <c r="W332" s="79" t="s">
        <v>309</v>
      </c>
      <c r="X332" s="79" t="s">
        <v>309</v>
      </c>
      <c r="Y332" s="79" t="s">
        <v>309</v>
      </c>
      <c r="Z332" s="79"/>
    </row>
    <row r="333" ht="15.0" customHeight="1">
      <c r="A333" s="76" t="s">
        <v>247</v>
      </c>
      <c r="B333" s="77" t="s">
        <v>3051</v>
      </c>
      <c r="C333" s="79">
        <v>3.0691633531E10</v>
      </c>
      <c r="D333" s="77" t="s">
        <v>264</v>
      </c>
      <c r="E333" s="77" t="s">
        <v>3052</v>
      </c>
      <c r="F333" s="128">
        <v>251.0</v>
      </c>
      <c r="G333" s="79" t="s">
        <v>68</v>
      </c>
      <c r="H333" s="80">
        <v>1702.0</v>
      </c>
      <c r="I333" s="79">
        <v>433030.0</v>
      </c>
      <c r="J333" s="74" t="s">
        <v>433</v>
      </c>
      <c r="K333" s="79" t="s">
        <v>3053</v>
      </c>
      <c r="L333" s="79"/>
      <c r="M333" s="77" t="s">
        <v>3054</v>
      </c>
      <c r="N333" s="79">
        <v>30.0</v>
      </c>
      <c r="O333" s="74"/>
      <c r="P333" s="80"/>
      <c r="Q333" s="79"/>
      <c r="R333" s="80"/>
      <c r="S333" s="80" t="s">
        <v>3056</v>
      </c>
      <c r="T333" s="85" t="s">
        <v>3057</v>
      </c>
      <c r="U333" s="78" t="s">
        <v>3058</v>
      </c>
      <c r="V333" s="98" t="s">
        <v>3059</v>
      </c>
      <c r="W333" s="79" t="s">
        <v>306</v>
      </c>
      <c r="X333" s="79" t="s">
        <v>306</v>
      </c>
      <c r="Y333" s="79"/>
      <c r="Z333" s="79"/>
    </row>
    <row r="334" ht="15.0" customHeight="1">
      <c r="A334" s="103" t="s">
        <v>24</v>
      </c>
      <c r="B334" s="77" t="s">
        <v>3060</v>
      </c>
      <c r="C334" s="80">
        <v>3.3613732409E10</v>
      </c>
      <c r="D334" s="79" t="s">
        <v>264</v>
      </c>
      <c r="E334" s="79" t="s">
        <v>1563</v>
      </c>
      <c r="F334" s="44">
        <v>4464.0</v>
      </c>
      <c r="G334" s="79" t="s">
        <v>15</v>
      </c>
      <c r="H334" s="80">
        <v>1678.0</v>
      </c>
      <c r="I334" s="79">
        <v>361010.0</v>
      </c>
      <c r="J334" s="74" t="s">
        <v>313</v>
      </c>
      <c r="K334" s="79" t="s">
        <v>2534</v>
      </c>
      <c r="L334" s="79" t="s">
        <v>1122</v>
      </c>
      <c r="M334" s="79"/>
      <c r="N334" s="79">
        <v>0.0</v>
      </c>
      <c r="O334" s="74"/>
      <c r="P334" s="80"/>
      <c r="Q334" s="79"/>
      <c r="R334" s="80"/>
      <c r="S334" s="80" t="s">
        <v>3062</v>
      </c>
      <c r="T334" s="101" t="s">
        <v>332</v>
      </c>
      <c r="U334" s="80" t="s">
        <v>332</v>
      </c>
      <c r="V334" s="102" t="s">
        <v>429</v>
      </c>
      <c r="W334" s="79" t="s">
        <v>306</v>
      </c>
      <c r="X334" s="79" t="s">
        <v>306</v>
      </c>
      <c r="Y334" s="79"/>
      <c r="Z334" s="79"/>
    </row>
    <row r="335" ht="15.0" customHeight="1">
      <c r="A335" s="103" t="s">
        <v>24</v>
      </c>
      <c r="B335" s="77" t="s">
        <v>3063</v>
      </c>
      <c r="C335" s="80">
        <v>3.0710123949E10</v>
      </c>
      <c r="D335" s="79" t="s">
        <v>264</v>
      </c>
      <c r="E335" s="79" t="s">
        <v>660</v>
      </c>
      <c r="F335" s="44">
        <v>5257.0</v>
      </c>
      <c r="G335" s="79" t="s">
        <v>15</v>
      </c>
      <c r="H335" s="80">
        <v>1678.0</v>
      </c>
      <c r="I335" s="79">
        <v>162909.0</v>
      </c>
      <c r="J335" s="74" t="s">
        <v>313</v>
      </c>
      <c r="K335" s="77" t="s">
        <v>3064</v>
      </c>
      <c r="L335" s="79" t="s">
        <v>1122</v>
      </c>
      <c r="M335" s="79"/>
      <c r="N335" s="79">
        <v>3.0</v>
      </c>
      <c r="O335" s="74"/>
      <c r="P335" s="80"/>
      <c r="Q335" s="79"/>
      <c r="R335" s="80"/>
      <c r="S335" s="80" t="s">
        <v>3062</v>
      </c>
      <c r="T335" s="80" t="s">
        <v>3062</v>
      </c>
      <c r="U335" s="80" t="s">
        <v>332</v>
      </c>
      <c r="V335" s="102" t="s">
        <v>3065</v>
      </c>
      <c r="W335" s="79" t="s">
        <v>309</v>
      </c>
      <c r="X335" s="79" t="s">
        <v>309</v>
      </c>
      <c r="Y335" s="79" t="s">
        <v>309</v>
      </c>
      <c r="Z335" s="79"/>
    </row>
    <row r="336" ht="15.0" customHeight="1">
      <c r="A336" s="76" t="s">
        <v>247</v>
      </c>
      <c r="B336" s="77" t="s">
        <v>3067</v>
      </c>
      <c r="C336" s="80">
        <v>3.0714578606E10</v>
      </c>
      <c r="D336" s="79" t="s">
        <v>264</v>
      </c>
      <c r="E336" s="77" t="s">
        <v>3068</v>
      </c>
      <c r="F336" s="44">
        <v>8954.0</v>
      </c>
      <c r="G336" s="79" t="s">
        <v>119</v>
      </c>
      <c r="H336" s="80">
        <v>1657.0</v>
      </c>
      <c r="I336" s="79">
        <v>251101.0</v>
      </c>
      <c r="J336" s="74" t="s">
        <v>347</v>
      </c>
      <c r="K336" s="79" t="s">
        <v>1486</v>
      </c>
      <c r="L336" s="79" t="s">
        <v>453</v>
      </c>
      <c r="M336" s="79" t="s">
        <v>3069</v>
      </c>
      <c r="N336" s="79">
        <v>0.0</v>
      </c>
      <c r="O336" s="74"/>
      <c r="P336" s="80"/>
      <c r="Q336" s="79"/>
      <c r="R336" s="80"/>
      <c r="S336" s="78" t="s">
        <v>3070</v>
      </c>
      <c r="T336" s="101" t="s">
        <v>332</v>
      </c>
      <c r="U336" s="80" t="s">
        <v>332</v>
      </c>
      <c r="V336" s="102" t="s">
        <v>3071</v>
      </c>
      <c r="W336" s="79" t="s">
        <v>306</v>
      </c>
      <c r="X336" s="79" t="s">
        <v>306</v>
      </c>
      <c r="Y336" s="79"/>
      <c r="Z336" s="79"/>
    </row>
    <row r="337" ht="15.0" customHeight="1">
      <c r="A337" s="103" t="s">
        <v>24</v>
      </c>
      <c r="B337" s="77" t="s">
        <v>3073</v>
      </c>
      <c r="C337" s="80">
        <v>3.0611360815E10</v>
      </c>
      <c r="D337" s="79" t="s">
        <v>264</v>
      </c>
      <c r="E337" s="79" t="s">
        <v>2127</v>
      </c>
      <c r="F337" s="44">
        <v>2131.0</v>
      </c>
      <c r="G337" s="79" t="s">
        <v>97</v>
      </c>
      <c r="H337" s="80">
        <v>1702.0</v>
      </c>
      <c r="I337" s="79">
        <v>310010.0</v>
      </c>
      <c r="J337" s="74" t="s">
        <v>313</v>
      </c>
      <c r="K337" s="79" t="s">
        <v>1438</v>
      </c>
      <c r="L337" s="79" t="s">
        <v>1122</v>
      </c>
      <c r="M337" s="79"/>
      <c r="N337" s="79">
        <v>8.0</v>
      </c>
      <c r="O337" s="74"/>
      <c r="P337" s="80"/>
      <c r="Q337" s="79"/>
      <c r="R337" s="80"/>
      <c r="S337" s="80" t="s">
        <v>3074</v>
      </c>
      <c r="T337" s="101" t="s">
        <v>3075</v>
      </c>
      <c r="U337" s="80"/>
      <c r="V337" s="102" t="s">
        <v>429</v>
      </c>
      <c r="W337" s="79" t="s">
        <v>309</v>
      </c>
      <c r="X337" s="79" t="s">
        <v>309</v>
      </c>
      <c r="Y337" s="79"/>
      <c r="Z337" s="79"/>
    </row>
    <row r="338" ht="15.0" customHeight="1">
      <c r="A338" s="103" t="s">
        <v>24</v>
      </c>
      <c r="B338" s="79" t="s">
        <v>3076</v>
      </c>
      <c r="C338" s="79">
        <v>2.0122775543E10</v>
      </c>
      <c r="D338" s="77" t="s">
        <v>631</v>
      </c>
      <c r="E338" s="79" t="s">
        <v>1755</v>
      </c>
      <c r="F338" s="44">
        <v>3893.0</v>
      </c>
      <c r="G338" s="79" t="s">
        <v>15</v>
      </c>
      <c r="H338" s="80">
        <v>1678.0</v>
      </c>
      <c r="I338" s="79">
        <v>452990.0</v>
      </c>
      <c r="J338" s="74" t="s">
        <v>433</v>
      </c>
      <c r="K338" s="77" t="s">
        <v>3078</v>
      </c>
      <c r="L338" s="79"/>
      <c r="M338" s="77" t="s">
        <v>3079</v>
      </c>
      <c r="N338" s="79"/>
      <c r="O338" s="74"/>
      <c r="P338" s="80"/>
      <c r="Q338" s="79"/>
      <c r="R338" s="80"/>
      <c r="S338" s="80" t="s">
        <v>3080</v>
      </c>
      <c r="T338" s="101"/>
      <c r="U338" s="80"/>
      <c r="V338" s="102" t="s">
        <v>429</v>
      </c>
      <c r="W338" s="79"/>
      <c r="X338" s="79"/>
      <c r="Y338" s="79"/>
      <c r="Z338" s="79"/>
    </row>
    <row r="339" ht="15.0" customHeight="1">
      <c r="A339" s="103" t="s">
        <v>24</v>
      </c>
      <c r="B339" s="79" t="s">
        <v>3081</v>
      </c>
      <c r="C339" s="79">
        <v>2.0231242822E10</v>
      </c>
      <c r="D339" s="144" t="s">
        <v>631</v>
      </c>
      <c r="E339" s="79" t="s">
        <v>3082</v>
      </c>
      <c r="F339" s="44">
        <v>1131.0</v>
      </c>
      <c r="G339" s="79" t="s">
        <v>269</v>
      </c>
      <c r="H339" s="80">
        <v>1682.0</v>
      </c>
      <c r="I339" s="79">
        <v>711003.0</v>
      </c>
      <c r="J339" s="74" t="s">
        <v>433</v>
      </c>
      <c r="K339" s="77" t="s">
        <v>3084</v>
      </c>
      <c r="L339" s="79"/>
      <c r="M339" s="79"/>
      <c r="N339" s="79"/>
      <c r="O339" s="74"/>
      <c r="P339" s="80"/>
      <c r="Q339" s="79"/>
      <c r="R339" s="80"/>
      <c r="S339" s="78" t="s">
        <v>3085</v>
      </c>
      <c r="T339" s="101"/>
      <c r="U339" s="80"/>
      <c r="V339" s="102" t="s">
        <v>429</v>
      </c>
      <c r="W339" s="79"/>
      <c r="X339" s="79"/>
      <c r="Y339" s="79"/>
      <c r="Z339" s="79"/>
    </row>
    <row r="340" ht="15.0" customHeight="1">
      <c r="A340" s="103" t="s">
        <v>24</v>
      </c>
      <c r="B340" s="77" t="s">
        <v>3086</v>
      </c>
      <c r="C340" s="79">
        <v>3.0711215553E10</v>
      </c>
      <c r="D340" s="77" t="s">
        <v>264</v>
      </c>
      <c r="E340" s="77" t="s">
        <v>3087</v>
      </c>
      <c r="F340" s="128">
        <v>3873.0</v>
      </c>
      <c r="G340" s="79" t="s">
        <v>68</v>
      </c>
      <c r="H340" s="80">
        <v>1702.0</v>
      </c>
      <c r="I340" s="79">
        <v>329090.0</v>
      </c>
      <c r="J340" s="83" t="s">
        <v>327</v>
      </c>
      <c r="K340" s="77" t="s">
        <v>1307</v>
      </c>
      <c r="L340" s="79"/>
      <c r="M340" s="79"/>
      <c r="N340" s="79">
        <v>4.0</v>
      </c>
      <c r="O340" s="74"/>
      <c r="P340" s="80"/>
      <c r="Q340" s="79"/>
      <c r="R340" s="80"/>
      <c r="S340" s="78" t="s">
        <v>3088</v>
      </c>
      <c r="T340" s="101" t="s">
        <v>332</v>
      </c>
      <c r="U340" s="80" t="s">
        <v>332</v>
      </c>
      <c r="V340" s="102" t="s">
        <v>429</v>
      </c>
      <c r="W340" s="79" t="s">
        <v>306</v>
      </c>
      <c r="X340" s="79" t="s">
        <v>306</v>
      </c>
      <c r="Y340" s="79"/>
      <c r="Z340" s="79"/>
    </row>
    <row r="341" ht="15.0" customHeight="1">
      <c r="A341" s="103" t="s">
        <v>24</v>
      </c>
      <c r="B341" s="77" t="s">
        <v>3089</v>
      </c>
      <c r="C341" s="80">
        <v>3.0663797006E10</v>
      </c>
      <c r="D341" s="119" t="s">
        <v>264</v>
      </c>
      <c r="E341" s="79" t="s">
        <v>3091</v>
      </c>
      <c r="F341" s="44">
        <v>4240.0</v>
      </c>
      <c r="G341" s="79" t="s">
        <v>68</v>
      </c>
      <c r="H341" s="80">
        <v>1702.0</v>
      </c>
      <c r="I341" s="79">
        <v>829200.0</v>
      </c>
      <c r="J341" s="74" t="s">
        <v>433</v>
      </c>
      <c r="K341" s="79" t="s">
        <v>3092</v>
      </c>
      <c r="L341" s="79"/>
      <c r="M341" s="79"/>
      <c r="N341" s="79">
        <v>7.0</v>
      </c>
      <c r="O341" s="74"/>
      <c r="P341" s="80"/>
      <c r="Q341" s="79"/>
      <c r="R341" s="80"/>
      <c r="S341" s="78" t="s">
        <v>3093</v>
      </c>
      <c r="T341" s="101" t="s">
        <v>332</v>
      </c>
      <c r="U341" s="80" t="s">
        <v>332</v>
      </c>
      <c r="V341" s="102" t="s">
        <v>429</v>
      </c>
      <c r="W341" s="79" t="s">
        <v>306</v>
      </c>
      <c r="X341" s="79" t="s">
        <v>306</v>
      </c>
      <c r="Y341" s="79"/>
      <c r="Z341" s="79"/>
    </row>
    <row r="342" ht="15.75" customHeight="1">
      <c r="A342" s="76" t="s">
        <v>247</v>
      </c>
      <c r="B342" s="77" t="s">
        <v>3094</v>
      </c>
      <c r="C342" s="80">
        <v>3.0597048617E10</v>
      </c>
      <c r="D342" s="79" t="s">
        <v>264</v>
      </c>
      <c r="E342" s="79" t="s">
        <v>1369</v>
      </c>
      <c r="F342" s="128">
        <v>748.0</v>
      </c>
      <c r="G342" s="79" t="s">
        <v>68</v>
      </c>
      <c r="H342" s="80">
        <v>1702.0</v>
      </c>
      <c r="I342" s="79">
        <v>170202.0</v>
      </c>
      <c r="J342" s="74" t="s">
        <v>283</v>
      </c>
      <c r="K342" s="79" t="s">
        <v>1459</v>
      </c>
      <c r="L342" s="79"/>
      <c r="M342" s="77" t="s">
        <v>3096</v>
      </c>
      <c r="N342" s="79">
        <v>15.0</v>
      </c>
      <c r="O342" s="74" t="s">
        <v>3097</v>
      </c>
      <c r="P342" s="78" t="s">
        <v>3098</v>
      </c>
      <c r="Q342" s="79"/>
      <c r="R342" s="80"/>
      <c r="S342" s="78" t="s">
        <v>3099</v>
      </c>
      <c r="T342" s="78" t="s">
        <v>3100</v>
      </c>
      <c r="U342" s="101" t="s">
        <v>3101</v>
      </c>
      <c r="V342" s="98" t="s">
        <v>3102</v>
      </c>
      <c r="W342" s="79" t="s">
        <v>309</v>
      </c>
      <c r="X342" s="79" t="s">
        <v>309</v>
      </c>
      <c r="Y342" s="79" t="s">
        <v>309</v>
      </c>
      <c r="Z342" s="79"/>
    </row>
    <row r="343" ht="15.0" customHeight="1">
      <c r="A343" s="103" t="s">
        <v>24</v>
      </c>
      <c r="B343" s="77" t="s">
        <v>3103</v>
      </c>
      <c r="C343" s="79">
        <v>3.0577348282E10</v>
      </c>
      <c r="D343" s="77" t="s">
        <v>264</v>
      </c>
      <c r="E343" s="79" t="s">
        <v>1705</v>
      </c>
      <c r="F343" s="44">
        <v>51.0</v>
      </c>
      <c r="G343" s="79" t="s">
        <v>68</v>
      </c>
      <c r="H343" s="80">
        <v>1702.0</v>
      </c>
      <c r="I343" s="79">
        <v>341916.0</v>
      </c>
      <c r="J343" s="74" t="s">
        <v>283</v>
      </c>
      <c r="K343" s="79" t="s">
        <v>3105</v>
      </c>
      <c r="L343" s="79"/>
      <c r="M343" s="79"/>
      <c r="N343" s="79">
        <v>0.0</v>
      </c>
      <c r="O343" s="74"/>
      <c r="P343" s="80"/>
      <c r="Q343" s="79"/>
      <c r="R343" s="80"/>
      <c r="S343" s="80" t="s">
        <v>3106</v>
      </c>
      <c r="T343" s="101" t="s">
        <v>332</v>
      </c>
      <c r="U343" s="80" t="s">
        <v>332</v>
      </c>
      <c r="V343" s="102" t="s">
        <v>429</v>
      </c>
      <c r="W343" s="79" t="s">
        <v>306</v>
      </c>
      <c r="X343" s="79" t="s">
        <v>306</v>
      </c>
      <c r="Y343" s="79"/>
      <c r="Z343" s="79"/>
    </row>
    <row r="344" ht="15.0" customHeight="1">
      <c r="A344" s="76" t="s">
        <v>247</v>
      </c>
      <c r="B344" s="79" t="s">
        <v>3107</v>
      </c>
      <c r="C344" s="80">
        <v>3.0709123579E10</v>
      </c>
      <c r="D344" s="79" t="s">
        <v>264</v>
      </c>
      <c r="E344" s="77" t="s">
        <v>943</v>
      </c>
      <c r="F344" s="44">
        <v>3372.0</v>
      </c>
      <c r="G344" s="79" t="s">
        <v>68</v>
      </c>
      <c r="H344" s="80">
        <v>1702.0</v>
      </c>
      <c r="I344" s="79">
        <v>265101.0</v>
      </c>
      <c r="J344" s="83" t="s">
        <v>207</v>
      </c>
      <c r="K344" s="79" t="s">
        <v>2794</v>
      </c>
      <c r="L344" s="79" t="s">
        <v>369</v>
      </c>
      <c r="M344" s="79"/>
      <c r="N344" s="79">
        <v>4.0</v>
      </c>
      <c r="O344" s="83"/>
      <c r="P344" s="80"/>
      <c r="Q344" s="79" t="s">
        <v>3109</v>
      </c>
      <c r="R344" s="78" t="s">
        <v>3110</v>
      </c>
      <c r="S344" s="80" t="s">
        <v>3111</v>
      </c>
      <c r="T344" s="101" t="s">
        <v>3112</v>
      </c>
      <c r="U344" s="80" t="s">
        <v>332</v>
      </c>
      <c r="V344" s="102" t="s">
        <v>3113</v>
      </c>
      <c r="W344" s="79" t="s">
        <v>309</v>
      </c>
      <c r="X344" s="79" t="s">
        <v>309</v>
      </c>
      <c r="Y344" s="79" t="s">
        <v>309</v>
      </c>
      <c r="Z344" s="79"/>
    </row>
    <row r="345" ht="15.75" customHeight="1">
      <c r="A345" s="103" t="s">
        <v>24</v>
      </c>
      <c r="B345" s="77" t="s">
        <v>3115</v>
      </c>
      <c r="C345" s="80">
        <v>3.3504095059E10</v>
      </c>
      <c r="D345" s="119" t="s">
        <v>264</v>
      </c>
      <c r="E345" s="79" t="s">
        <v>633</v>
      </c>
      <c r="F345" s="44">
        <v>930.0</v>
      </c>
      <c r="G345" s="79" t="s">
        <v>68</v>
      </c>
      <c r="H345" s="80">
        <v>1702.0</v>
      </c>
      <c r="I345" s="79">
        <v>382418.0</v>
      </c>
      <c r="J345" s="74" t="s">
        <v>347</v>
      </c>
      <c r="K345" s="77" t="s">
        <v>3116</v>
      </c>
      <c r="L345" s="79" t="s">
        <v>662</v>
      </c>
      <c r="M345" s="79"/>
      <c r="N345" s="79">
        <v>0.0</v>
      </c>
      <c r="O345" s="74"/>
      <c r="P345" s="80"/>
      <c r="Q345" s="79"/>
      <c r="R345" s="80"/>
      <c r="S345" s="80" t="s">
        <v>3117</v>
      </c>
      <c r="T345" s="101" t="s">
        <v>332</v>
      </c>
      <c r="U345" s="80" t="s">
        <v>332</v>
      </c>
      <c r="V345" s="102" t="s">
        <v>429</v>
      </c>
      <c r="W345" s="79" t="s">
        <v>306</v>
      </c>
      <c r="X345" s="79" t="s">
        <v>306</v>
      </c>
      <c r="Y345" s="79"/>
      <c r="Z345" s="79"/>
    </row>
    <row r="346" ht="15.75" customHeight="1">
      <c r="A346" s="103" t="s">
        <v>24</v>
      </c>
      <c r="B346" s="77" t="s">
        <v>3119</v>
      </c>
      <c r="C346" s="80">
        <v>3.3555765059E10</v>
      </c>
      <c r="D346" s="79" t="s">
        <v>264</v>
      </c>
      <c r="E346" s="77" t="s">
        <v>1806</v>
      </c>
      <c r="F346" s="44">
        <v>4683.0</v>
      </c>
      <c r="G346" s="79" t="s">
        <v>15</v>
      </c>
      <c r="H346" s="80">
        <v>1678.0</v>
      </c>
      <c r="I346" s="79">
        <v>293090.0</v>
      </c>
      <c r="J346" s="74" t="s">
        <v>337</v>
      </c>
      <c r="K346" s="77" t="s">
        <v>407</v>
      </c>
      <c r="L346" s="79"/>
      <c r="M346" s="79"/>
      <c r="N346" s="79">
        <v>7.0</v>
      </c>
      <c r="O346" s="74"/>
      <c r="P346" s="80"/>
      <c r="Q346" s="79"/>
      <c r="R346" s="80"/>
      <c r="S346" s="80" t="s">
        <v>3121</v>
      </c>
      <c r="T346" s="85"/>
      <c r="U346" s="80" t="s">
        <v>332</v>
      </c>
      <c r="V346" s="102" t="s">
        <v>429</v>
      </c>
      <c r="W346" s="79" t="s">
        <v>309</v>
      </c>
      <c r="X346" s="79" t="s">
        <v>309</v>
      </c>
      <c r="Y346" s="79" t="s">
        <v>309</v>
      </c>
      <c r="Z346" s="79"/>
    </row>
    <row r="347" ht="15.75" customHeight="1">
      <c r="A347" s="76" t="s">
        <v>247</v>
      </c>
      <c r="B347" s="77" t="s">
        <v>3122</v>
      </c>
      <c r="C347" s="80">
        <v>3.0503958577E10</v>
      </c>
      <c r="D347" s="79" t="s">
        <v>264</v>
      </c>
      <c r="E347" s="79" t="s">
        <v>1323</v>
      </c>
      <c r="F347" s="44">
        <v>2653.0</v>
      </c>
      <c r="G347" s="79" t="s">
        <v>15</v>
      </c>
      <c r="H347" s="80">
        <v>1678.0</v>
      </c>
      <c r="I347" s="79">
        <v>259999.0</v>
      </c>
      <c r="J347" s="74" t="s">
        <v>347</v>
      </c>
      <c r="K347" s="77" t="s">
        <v>839</v>
      </c>
      <c r="L347" s="79" t="s">
        <v>453</v>
      </c>
      <c r="M347" s="79" t="s">
        <v>3125</v>
      </c>
      <c r="N347" s="79">
        <v>35.0</v>
      </c>
      <c r="O347" s="74"/>
      <c r="P347" s="80"/>
      <c r="Q347" s="79" t="s">
        <v>3126</v>
      </c>
      <c r="R347" s="80"/>
      <c r="S347" s="80" t="s">
        <v>3127</v>
      </c>
      <c r="T347" s="101" t="s">
        <v>3128</v>
      </c>
      <c r="U347" s="80"/>
      <c r="V347" s="102" t="s">
        <v>429</v>
      </c>
      <c r="W347" s="79" t="s">
        <v>309</v>
      </c>
      <c r="X347" s="79" t="s">
        <v>309</v>
      </c>
      <c r="Y347" s="79" t="s">
        <v>309</v>
      </c>
      <c r="Z347" s="79"/>
    </row>
    <row r="348" ht="15.75" customHeight="1">
      <c r="A348" s="103" t="s">
        <v>24</v>
      </c>
      <c r="B348" s="77" t="s">
        <v>3129</v>
      </c>
      <c r="C348" s="80">
        <v>3.0577374453E10</v>
      </c>
      <c r="D348" s="79" t="s">
        <v>264</v>
      </c>
      <c r="E348" s="79" t="s">
        <v>3130</v>
      </c>
      <c r="F348" s="44">
        <v>5829.0</v>
      </c>
      <c r="G348" s="79" t="s">
        <v>269</v>
      </c>
      <c r="H348" s="80">
        <v>1682.0</v>
      </c>
      <c r="I348" s="79">
        <v>259993.0</v>
      </c>
      <c r="J348" s="74" t="s">
        <v>347</v>
      </c>
      <c r="K348" s="129" t="s">
        <v>638</v>
      </c>
      <c r="L348" s="79" t="s">
        <v>453</v>
      </c>
      <c r="M348" s="79"/>
      <c r="N348" s="79">
        <v>2.0</v>
      </c>
      <c r="O348" s="74"/>
      <c r="P348" s="80"/>
      <c r="Q348" s="79"/>
      <c r="R348" s="80"/>
      <c r="S348" s="78" t="s">
        <v>3132</v>
      </c>
      <c r="T348" s="101" t="s">
        <v>332</v>
      </c>
      <c r="U348" s="80" t="s">
        <v>332</v>
      </c>
      <c r="V348" s="102" t="s">
        <v>429</v>
      </c>
      <c r="W348" s="79" t="s">
        <v>309</v>
      </c>
      <c r="X348" s="79" t="s">
        <v>309</v>
      </c>
      <c r="Y348" s="79"/>
      <c r="Z348" s="79"/>
    </row>
    <row r="349" ht="15.75" customHeight="1">
      <c r="A349" s="76" t="s">
        <v>247</v>
      </c>
      <c r="B349" s="77" t="s">
        <v>3133</v>
      </c>
      <c r="C349" s="80">
        <v>3.0640602771E10</v>
      </c>
      <c r="D349" s="79" t="s">
        <v>264</v>
      </c>
      <c r="E349" s="77" t="s">
        <v>97</v>
      </c>
      <c r="F349" s="44">
        <v>1847.0</v>
      </c>
      <c r="G349" s="79" t="s">
        <v>97</v>
      </c>
      <c r="H349" s="80">
        <v>1702.0</v>
      </c>
      <c r="I349" s="79">
        <v>221909.0</v>
      </c>
      <c r="J349" s="74" t="s">
        <v>88</v>
      </c>
      <c r="K349" s="77" t="s">
        <v>1186</v>
      </c>
      <c r="L349" s="79"/>
      <c r="M349" s="79"/>
      <c r="N349" s="79">
        <v>12.0</v>
      </c>
      <c r="O349" s="74"/>
      <c r="P349" s="80"/>
      <c r="Q349" s="79"/>
      <c r="R349" s="80"/>
      <c r="S349" s="78" t="s">
        <v>3135</v>
      </c>
      <c r="T349" s="78" t="s">
        <v>3136</v>
      </c>
      <c r="U349" s="78"/>
      <c r="V349" s="102" t="s">
        <v>429</v>
      </c>
      <c r="W349" s="79" t="s">
        <v>309</v>
      </c>
      <c r="X349" s="79" t="s">
        <v>309</v>
      </c>
      <c r="Y349" s="79" t="s">
        <v>309</v>
      </c>
      <c r="Z349" s="79"/>
    </row>
    <row r="350" ht="15.75" customHeight="1">
      <c r="A350" s="103" t="s">
        <v>24</v>
      </c>
      <c r="B350" s="77" t="s">
        <v>3137</v>
      </c>
      <c r="C350" s="80">
        <v>3.3714693099E10</v>
      </c>
      <c r="D350" s="79" t="s">
        <v>264</v>
      </c>
      <c r="E350" s="79" t="s">
        <v>1143</v>
      </c>
      <c r="F350" s="44">
        <v>3402.0</v>
      </c>
      <c r="G350" s="79" t="s">
        <v>15</v>
      </c>
      <c r="H350" s="80">
        <v>1678.0</v>
      </c>
      <c r="I350" s="79">
        <v>293090.0</v>
      </c>
      <c r="J350" s="74" t="s">
        <v>337</v>
      </c>
      <c r="K350" s="77" t="s">
        <v>407</v>
      </c>
      <c r="L350" s="79"/>
      <c r="M350" s="77" t="s">
        <v>3138</v>
      </c>
      <c r="N350" s="79">
        <v>7.0</v>
      </c>
      <c r="O350" s="74"/>
      <c r="P350" s="80"/>
      <c r="Q350" s="79"/>
      <c r="R350" s="80"/>
      <c r="S350" s="78" t="s">
        <v>3139</v>
      </c>
      <c r="T350" s="78" t="s">
        <v>3140</v>
      </c>
      <c r="U350" s="80" t="s">
        <v>332</v>
      </c>
      <c r="V350" s="98" t="s">
        <v>3141</v>
      </c>
      <c r="W350" s="79" t="s">
        <v>306</v>
      </c>
      <c r="X350" s="79" t="s">
        <v>306</v>
      </c>
      <c r="Y350" s="79"/>
      <c r="Z350" s="79"/>
    </row>
    <row r="351" ht="15.75" customHeight="1">
      <c r="A351" s="103" t="s">
        <v>24</v>
      </c>
      <c r="B351" s="77" t="s">
        <v>3143</v>
      </c>
      <c r="C351" s="80">
        <v>3.06638283E10</v>
      </c>
      <c r="D351" s="119" t="s">
        <v>264</v>
      </c>
      <c r="E351" s="79" t="s">
        <v>1095</v>
      </c>
      <c r="F351" s="44">
        <v>1832.0</v>
      </c>
      <c r="G351" s="79" t="s">
        <v>15</v>
      </c>
      <c r="H351" s="80">
        <v>1678.0</v>
      </c>
      <c r="I351" s="79">
        <v>862110.0</v>
      </c>
      <c r="J351" s="74" t="s">
        <v>433</v>
      </c>
      <c r="K351" s="77" t="s">
        <v>3144</v>
      </c>
      <c r="L351" s="79"/>
      <c r="M351" s="79"/>
      <c r="N351" s="79">
        <v>3.0</v>
      </c>
      <c r="O351" s="74"/>
      <c r="P351" s="80"/>
      <c r="Q351" s="79"/>
      <c r="R351" s="80"/>
      <c r="S351" s="80" t="s">
        <v>3145</v>
      </c>
      <c r="T351" s="101" t="s">
        <v>3146</v>
      </c>
      <c r="U351" s="80" t="s">
        <v>3147</v>
      </c>
      <c r="V351" s="243"/>
      <c r="W351" s="79" t="s">
        <v>306</v>
      </c>
      <c r="X351" s="79" t="s">
        <v>306</v>
      </c>
      <c r="Y351" s="79"/>
      <c r="Z351" s="79"/>
    </row>
    <row r="352" ht="15.0" customHeight="1">
      <c r="A352" s="76" t="s">
        <v>247</v>
      </c>
      <c r="B352" s="77" t="s">
        <v>1275</v>
      </c>
      <c r="C352" s="80">
        <v>3.0502893188E10</v>
      </c>
      <c r="D352" s="79" t="s">
        <v>264</v>
      </c>
      <c r="E352" s="126" t="s">
        <v>985</v>
      </c>
      <c r="F352" s="44">
        <v>3976.0</v>
      </c>
      <c r="G352" s="79" t="s">
        <v>15</v>
      </c>
      <c r="H352" s="80">
        <v>1678.0</v>
      </c>
      <c r="I352" s="79">
        <v>259999.0</v>
      </c>
      <c r="J352" s="74" t="s">
        <v>347</v>
      </c>
      <c r="K352" s="77" t="s">
        <v>839</v>
      </c>
      <c r="L352" s="79" t="s">
        <v>453</v>
      </c>
      <c r="M352" s="79" t="s">
        <v>3149</v>
      </c>
      <c r="N352" s="79">
        <v>87.0</v>
      </c>
      <c r="O352" s="83" t="s">
        <v>3150</v>
      </c>
      <c r="P352" s="78" t="s">
        <v>3151</v>
      </c>
      <c r="Q352" s="79" t="s">
        <v>3152</v>
      </c>
      <c r="R352" s="78" t="s">
        <v>3153</v>
      </c>
      <c r="S352" s="80" t="s">
        <v>3154</v>
      </c>
      <c r="T352" s="101" t="s">
        <v>332</v>
      </c>
      <c r="U352" s="78" t="s">
        <v>3155</v>
      </c>
      <c r="V352" s="102" t="s">
        <v>3156</v>
      </c>
      <c r="W352" s="79" t="s">
        <v>309</v>
      </c>
      <c r="X352" s="79" t="s">
        <v>309</v>
      </c>
      <c r="Y352" s="79" t="s">
        <v>309</v>
      </c>
      <c r="Z352" s="79"/>
    </row>
    <row r="353" ht="15.0" customHeight="1">
      <c r="A353" s="103" t="s">
        <v>24</v>
      </c>
      <c r="B353" s="77" t="s">
        <v>3157</v>
      </c>
      <c r="C353" s="79">
        <v>3.0502055301E10</v>
      </c>
      <c r="D353" s="77" t="s">
        <v>264</v>
      </c>
      <c r="E353" s="79" t="s">
        <v>2955</v>
      </c>
      <c r="F353" s="44">
        <v>134.0</v>
      </c>
      <c r="G353" s="79" t="s">
        <v>68</v>
      </c>
      <c r="H353" s="80">
        <v>1702.0</v>
      </c>
      <c r="I353" s="79">
        <v>210202.0</v>
      </c>
      <c r="J353" s="74" t="s">
        <v>283</v>
      </c>
      <c r="K353" s="77" t="s">
        <v>2004</v>
      </c>
      <c r="L353" s="79"/>
      <c r="M353" s="79"/>
      <c r="N353" s="79">
        <v>0.0</v>
      </c>
      <c r="O353" s="74"/>
      <c r="P353" s="80"/>
      <c r="Q353" s="79"/>
      <c r="R353" s="80"/>
      <c r="S353" s="80" t="s">
        <v>3159</v>
      </c>
      <c r="T353" s="101" t="s">
        <v>332</v>
      </c>
      <c r="U353" s="80" t="s">
        <v>332</v>
      </c>
      <c r="V353" s="102" t="s">
        <v>429</v>
      </c>
      <c r="W353" s="79" t="s">
        <v>306</v>
      </c>
      <c r="X353" s="79" t="s">
        <v>306</v>
      </c>
      <c r="Y353" s="79"/>
      <c r="Z353" s="79"/>
    </row>
    <row r="354" ht="15.0" customHeight="1">
      <c r="A354" s="76" t="s">
        <v>247</v>
      </c>
      <c r="B354" s="77" t="s">
        <v>1282</v>
      </c>
      <c r="C354" s="80">
        <v>3.0638285335E10</v>
      </c>
      <c r="D354" s="119" t="s">
        <v>264</v>
      </c>
      <c r="E354" s="79" t="s">
        <v>3160</v>
      </c>
      <c r="F354" s="44">
        <v>2290.0</v>
      </c>
      <c r="G354" s="79" t="s">
        <v>285</v>
      </c>
      <c r="H354" s="80">
        <v>1674.0</v>
      </c>
      <c r="I354" s="79">
        <v>107999.0</v>
      </c>
      <c r="J354" s="74" t="s">
        <v>22</v>
      </c>
      <c r="K354" s="77" t="s">
        <v>3161</v>
      </c>
      <c r="L354" s="79" t="s">
        <v>453</v>
      </c>
      <c r="M354" s="79" t="s">
        <v>3162</v>
      </c>
      <c r="N354" s="79">
        <v>80.0</v>
      </c>
      <c r="O354" s="129" t="s">
        <v>3164</v>
      </c>
      <c r="P354" s="85" t="s">
        <v>3165</v>
      </c>
      <c r="Q354" s="79" t="s">
        <v>3166</v>
      </c>
      <c r="R354" s="78" t="s">
        <v>3167</v>
      </c>
      <c r="S354" s="78" t="s">
        <v>3168</v>
      </c>
      <c r="T354" s="85" t="s">
        <v>3169</v>
      </c>
      <c r="U354" s="78" t="s">
        <v>3170</v>
      </c>
      <c r="V354" s="98" t="s">
        <v>3171</v>
      </c>
      <c r="W354" s="79" t="s">
        <v>309</v>
      </c>
      <c r="X354" s="79" t="s">
        <v>309</v>
      </c>
      <c r="Y354" s="79" t="s">
        <v>309</v>
      </c>
      <c r="Z354" s="79"/>
    </row>
    <row r="355" ht="15.75" customHeight="1">
      <c r="A355" s="76" t="s">
        <v>247</v>
      </c>
      <c r="B355" s="119" t="s">
        <v>1289</v>
      </c>
      <c r="C355" s="80">
        <v>2.0217307563E10</v>
      </c>
      <c r="D355" s="77" t="s">
        <v>631</v>
      </c>
      <c r="E355" s="79" t="s">
        <v>2362</v>
      </c>
      <c r="F355" s="44">
        <v>2154.0</v>
      </c>
      <c r="G355" s="79" t="s">
        <v>15</v>
      </c>
      <c r="H355" s="80">
        <v>1678.0</v>
      </c>
      <c r="I355" s="79">
        <v>259309.0</v>
      </c>
      <c r="J355" s="74" t="s">
        <v>347</v>
      </c>
      <c r="K355" s="77" t="s">
        <v>1121</v>
      </c>
      <c r="L355" s="79" t="s">
        <v>453</v>
      </c>
      <c r="M355" s="144" t="s">
        <v>3173</v>
      </c>
      <c r="N355" s="79"/>
      <c r="O355" s="129" t="s">
        <v>3174</v>
      </c>
      <c r="P355" s="85" t="s">
        <v>3175</v>
      </c>
      <c r="Q355" s="79"/>
      <c r="R355" s="80"/>
      <c r="S355" s="80" t="s">
        <v>3176</v>
      </c>
      <c r="T355" s="85" t="s">
        <v>3177</v>
      </c>
      <c r="U355" s="80"/>
      <c r="V355" s="102" t="s">
        <v>3178</v>
      </c>
      <c r="W355" s="79"/>
      <c r="X355" s="79"/>
      <c r="Y355" s="79" t="s">
        <v>309</v>
      </c>
      <c r="Z355" s="79"/>
    </row>
    <row r="356" ht="15.75" customHeight="1">
      <c r="A356" s="76" t="s">
        <v>247</v>
      </c>
      <c r="B356" s="77" t="s">
        <v>3179</v>
      </c>
      <c r="C356" s="80">
        <v>3.0534582761E10</v>
      </c>
      <c r="D356" s="79" t="s">
        <v>264</v>
      </c>
      <c r="E356" s="119" t="s">
        <v>1422</v>
      </c>
      <c r="F356" s="44">
        <v>691.0</v>
      </c>
      <c r="G356" s="79" t="s">
        <v>119</v>
      </c>
      <c r="H356" s="80">
        <v>1657.0</v>
      </c>
      <c r="I356" s="79">
        <v>210010.0</v>
      </c>
      <c r="J356" s="74" t="s">
        <v>316</v>
      </c>
      <c r="K356" s="79" t="s">
        <v>3181</v>
      </c>
      <c r="L356" s="79"/>
      <c r="M356" s="79"/>
      <c r="N356" s="79">
        <v>442.0</v>
      </c>
      <c r="O356" s="74" t="s">
        <v>3182</v>
      </c>
      <c r="P356" s="78" t="s">
        <v>3183</v>
      </c>
      <c r="Q356" s="79" t="s">
        <v>3184</v>
      </c>
      <c r="R356" s="85" t="s">
        <v>3185</v>
      </c>
      <c r="S356" s="80" t="s">
        <v>3186</v>
      </c>
      <c r="T356" s="101" t="s">
        <v>3187</v>
      </c>
      <c r="U356" s="78" t="s">
        <v>3188</v>
      </c>
      <c r="V356" s="102" t="s">
        <v>3189</v>
      </c>
      <c r="W356" s="79" t="s">
        <v>309</v>
      </c>
      <c r="X356" s="79" t="s">
        <v>309</v>
      </c>
      <c r="Y356" s="79" t="s">
        <v>309</v>
      </c>
      <c r="Z356" s="79"/>
    </row>
    <row r="357" ht="15.0" customHeight="1">
      <c r="A357" s="76" t="s">
        <v>247</v>
      </c>
      <c r="B357" s="129" t="s">
        <v>3190</v>
      </c>
      <c r="C357" s="101">
        <v>3.0708300752E10</v>
      </c>
      <c r="D357" s="79" t="s">
        <v>264</v>
      </c>
      <c r="E357" s="79" t="s">
        <v>3191</v>
      </c>
      <c r="F357" s="44">
        <v>2965.0</v>
      </c>
      <c r="G357" s="79" t="s">
        <v>68</v>
      </c>
      <c r="H357" s="80">
        <v>1702.0</v>
      </c>
      <c r="I357" s="79">
        <v>259999.0</v>
      </c>
      <c r="J357" s="74" t="s">
        <v>347</v>
      </c>
      <c r="K357" s="129" t="s">
        <v>839</v>
      </c>
      <c r="L357" s="79"/>
      <c r="M357" s="79"/>
      <c r="N357" s="79"/>
      <c r="O357" s="79"/>
      <c r="P357" s="80"/>
      <c r="Q357" s="79"/>
      <c r="R357" s="80"/>
      <c r="S357" s="80" t="s">
        <v>3193</v>
      </c>
      <c r="T357" s="85" t="s">
        <v>3194</v>
      </c>
      <c r="U357" s="80"/>
      <c r="V357" s="102" t="s">
        <v>3195</v>
      </c>
      <c r="W357" s="79"/>
      <c r="X357" s="79"/>
      <c r="Y357" s="79"/>
      <c r="Z357" s="79"/>
    </row>
    <row r="358" ht="15.0" customHeight="1">
      <c r="A358" s="103" t="s">
        <v>24</v>
      </c>
      <c r="B358" s="77" t="s">
        <v>3197</v>
      </c>
      <c r="C358" s="80">
        <v>3.0715504487E10</v>
      </c>
      <c r="D358" s="79" t="s">
        <v>264</v>
      </c>
      <c r="E358" s="79" t="s">
        <v>3198</v>
      </c>
      <c r="F358" s="210">
        <v>7130.0</v>
      </c>
      <c r="G358" s="119" t="s">
        <v>269</v>
      </c>
      <c r="H358" s="80">
        <v>1682.0</v>
      </c>
      <c r="I358" s="79">
        <v>439990.0</v>
      </c>
      <c r="J358" s="74" t="s">
        <v>125</v>
      </c>
      <c r="K358" s="144" t="s">
        <v>3199</v>
      </c>
      <c r="L358" s="79"/>
      <c r="M358" s="79" t="s">
        <v>3200</v>
      </c>
      <c r="N358" s="79"/>
      <c r="O358" s="79" t="s">
        <v>3201</v>
      </c>
      <c r="P358" s="240" t="s">
        <v>3202</v>
      </c>
      <c r="Q358" s="79"/>
      <c r="R358" s="80"/>
      <c r="S358" s="80"/>
      <c r="T358" s="101"/>
      <c r="U358" s="80"/>
      <c r="V358" s="102" t="s">
        <v>429</v>
      </c>
      <c r="W358" s="79"/>
      <c r="X358" s="79"/>
      <c r="Y358" s="79"/>
      <c r="Z358" s="79"/>
    </row>
    <row r="359" ht="15.75" customHeight="1">
      <c r="A359" s="76" t="s">
        <v>247</v>
      </c>
      <c r="B359" s="77" t="s">
        <v>3204</v>
      </c>
      <c r="C359" s="80">
        <v>3.0709599352E10</v>
      </c>
      <c r="D359" s="79" t="s">
        <v>264</v>
      </c>
      <c r="E359" s="77" t="s">
        <v>3205</v>
      </c>
      <c r="F359" s="44">
        <v>1209.0</v>
      </c>
      <c r="G359" s="79" t="s">
        <v>285</v>
      </c>
      <c r="H359" s="80">
        <v>1674.0</v>
      </c>
      <c r="I359" s="101">
        <v>141120.0</v>
      </c>
      <c r="J359" s="83" t="s">
        <v>448</v>
      </c>
      <c r="K359" s="144" t="s">
        <v>1712</v>
      </c>
      <c r="L359" s="79"/>
      <c r="M359" s="79" t="s">
        <v>3206</v>
      </c>
      <c r="N359" s="79"/>
      <c r="O359" s="79" t="s">
        <v>3208</v>
      </c>
      <c r="P359" s="80"/>
      <c r="Q359" s="79"/>
      <c r="R359" s="80"/>
      <c r="S359" s="78" t="s">
        <v>3209</v>
      </c>
      <c r="T359" s="101"/>
      <c r="U359" s="80"/>
      <c r="V359" s="102" t="s">
        <v>3210</v>
      </c>
      <c r="W359" s="79"/>
      <c r="X359" s="79"/>
      <c r="Y359" s="79"/>
      <c r="Z359" s="79"/>
    </row>
    <row r="360" ht="15.0" customHeight="1">
      <c r="A360" s="76" t="s">
        <v>247</v>
      </c>
      <c r="B360" s="77" t="s">
        <v>3212</v>
      </c>
      <c r="C360" s="80">
        <v>3.0709393436E10</v>
      </c>
      <c r="D360" s="79" t="s">
        <v>264</v>
      </c>
      <c r="E360" s="79" t="s">
        <v>1314</v>
      </c>
      <c r="F360" s="44">
        <v>4573.0</v>
      </c>
      <c r="G360" s="79" t="s">
        <v>15</v>
      </c>
      <c r="H360" s="80">
        <v>1678.0</v>
      </c>
      <c r="I360" s="79">
        <v>12290.0</v>
      </c>
      <c r="J360" s="74" t="s">
        <v>5</v>
      </c>
      <c r="K360" s="77" t="s">
        <v>3213</v>
      </c>
      <c r="L360" s="79"/>
      <c r="M360" s="79"/>
      <c r="N360" s="79">
        <v>0.0</v>
      </c>
      <c r="O360" s="83" t="s">
        <v>3214</v>
      </c>
      <c r="P360" s="80"/>
      <c r="Q360" s="176"/>
      <c r="R360" s="80"/>
      <c r="S360" s="78" t="s">
        <v>3216</v>
      </c>
      <c r="T360" s="101" t="s">
        <v>332</v>
      </c>
      <c r="U360" s="80" t="s">
        <v>332</v>
      </c>
      <c r="V360" s="102" t="s">
        <v>429</v>
      </c>
      <c r="W360" s="79" t="s">
        <v>309</v>
      </c>
      <c r="X360" s="79" t="s">
        <v>309</v>
      </c>
      <c r="Y360" s="79"/>
      <c r="Z360" s="79"/>
    </row>
    <row r="361" ht="15.75" customHeight="1">
      <c r="A361" s="76" t="s">
        <v>247</v>
      </c>
      <c r="B361" s="77" t="s">
        <v>3217</v>
      </c>
      <c r="C361" s="80">
        <v>3.3590878079E10</v>
      </c>
      <c r="D361" s="79" t="s">
        <v>264</v>
      </c>
      <c r="E361" s="79" t="s">
        <v>1246</v>
      </c>
      <c r="F361" s="44">
        <v>264.0</v>
      </c>
      <c r="G361" s="79" t="s">
        <v>68</v>
      </c>
      <c r="H361" s="80">
        <v>1702.0</v>
      </c>
      <c r="I361" s="79">
        <v>265101.0</v>
      </c>
      <c r="J361" s="83" t="s">
        <v>207</v>
      </c>
      <c r="K361" s="79" t="s">
        <v>2794</v>
      </c>
      <c r="L361" s="79"/>
      <c r="M361" s="79"/>
      <c r="N361" s="79">
        <v>6.0</v>
      </c>
      <c r="O361" s="74"/>
      <c r="P361" s="80"/>
      <c r="Q361" s="79"/>
      <c r="R361" s="80"/>
      <c r="S361" s="80" t="s">
        <v>3220</v>
      </c>
      <c r="T361" s="101" t="s">
        <v>3221</v>
      </c>
      <c r="U361" s="80" t="s">
        <v>3222</v>
      </c>
      <c r="V361" s="102" t="s">
        <v>3223</v>
      </c>
      <c r="W361" s="79" t="s">
        <v>309</v>
      </c>
      <c r="X361" s="79" t="s">
        <v>309</v>
      </c>
      <c r="Y361" s="79" t="s">
        <v>309</v>
      </c>
      <c r="Z361" s="79"/>
    </row>
    <row r="362" ht="15.0" customHeight="1">
      <c r="A362" s="76" t="s">
        <v>247</v>
      </c>
      <c r="B362" s="77" t="s">
        <v>1295</v>
      </c>
      <c r="C362" s="80">
        <v>3.0649592698E10</v>
      </c>
      <c r="D362" s="79" t="s">
        <v>264</v>
      </c>
      <c r="E362" s="77" t="s">
        <v>943</v>
      </c>
      <c r="F362" s="44">
        <v>4025.0</v>
      </c>
      <c r="G362" s="79" t="s">
        <v>15</v>
      </c>
      <c r="H362" s="80">
        <v>1678.0</v>
      </c>
      <c r="I362" s="79">
        <v>170910.0</v>
      </c>
      <c r="J362" s="74" t="s">
        <v>283</v>
      </c>
      <c r="K362" s="126" t="s">
        <v>3225</v>
      </c>
      <c r="L362" s="79"/>
      <c r="M362" s="77" t="s">
        <v>3226</v>
      </c>
      <c r="N362" s="79">
        <v>68.0</v>
      </c>
      <c r="O362" s="126" t="s">
        <v>3228</v>
      </c>
      <c r="P362" s="78" t="s">
        <v>3229</v>
      </c>
      <c r="Q362" s="79"/>
      <c r="R362" s="80"/>
      <c r="S362" s="80" t="s">
        <v>3230</v>
      </c>
      <c r="T362" s="101" t="s">
        <v>3231</v>
      </c>
      <c r="U362" s="80" t="s">
        <v>3232</v>
      </c>
      <c r="V362" s="86" t="s">
        <v>3233</v>
      </c>
      <c r="W362" s="79" t="s">
        <v>306</v>
      </c>
      <c r="X362" s="79" t="s">
        <v>3234</v>
      </c>
      <c r="Y362" s="79" t="s">
        <v>309</v>
      </c>
      <c r="Z362" s="79"/>
    </row>
    <row r="363" ht="15.75" customHeight="1">
      <c r="A363" s="103" t="s">
        <v>24</v>
      </c>
      <c r="B363" s="77" t="s">
        <v>3235</v>
      </c>
      <c r="C363" s="80">
        <v>3.0694613892E10</v>
      </c>
      <c r="D363" s="119" t="s">
        <v>264</v>
      </c>
      <c r="E363" s="79" t="s">
        <v>1569</v>
      </c>
      <c r="F363" s="44">
        <v>2952.0</v>
      </c>
      <c r="G363" s="79" t="s">
        <v>97</v>
      </c>
      <c r="H363" s="80">
        <v>1702.0</v>
      </c>
      <c r="I363" s="77">
        <v>259200.0</v>
      </c>
      <c r="J363" s="74" t="s">
        <v>347</v>
      </c>
      <c r="K363" s="79" t="s">
        <v>2529</v>
      </c>
      <c r="L363" s="79" t="s">
        <v>453</v>
      </c>
      <c r="M363" s="79"/>
      <c r="N363" s="79">
        <v>7.0</v>
      </c>
      <c r="O363" s="74"/>
      <c r="P363" s="80"/>
      <c r="Q363" s="79"/>
      <c r="R363" s="80"/>
      <c r="S363" s="80" t="s">
        <v>3237</v>
      </c>
      <c r="T363" s="101" t="s">
        <v>332</v>
      </c>
      <c r="U363" s="80" t="s">
        <v>332</v>
      </c>
      <c r="V363" s="102" t="s">
        <v>429</v>
      </c>
      <c r="W363" s="79" t="s">
        <v>306</v>
      </c>
      <c r="X363" s="79" t="s">
        <v>306</v>
      </c>
      <c r="Y363" s="79"/>
      <c r="Z363" s="79"/>
    </row>
    <row r="364" ht="15.75" customHeight="1">
      <c r="A364" s="76" t="s">
        <v>247</v>
      </c>
      <c r="B364" s="77" t="s">
        <v>3239</v>
      </c>
      <c r="C364" s="80">
        <v>3.0555713408E10</v>
      </c>
      <c r="D364" s="119" t="s">
        <v>264</v>
      </c>
      <c r="E364" s="79" t="s">
        <v>1569</v>
      </c>
      <c r="F364" s="44">
        <v>2952.0</v>
      </c>
      <c r="G364" s="79" t="s">
        <v>97</v>
      </c>
      <c r="H364" s="80">
        <v>1702.0</v>
      </c>
      <c r="I364" s="79">
        <v>289200.0</v>
      </c>
      <c r="J364" s="74" t="s">
        <v>347</v>
      </c>
      <c r="K364" s="79" t="s">
        <v>2529</v>
      </c>
      <c r="L364" s="79" t="s">
        <v>453</v>
      </c>
      <c r="M364" s="79"/>
      <c r="N364" s="79">
        <v>0.0</v>
      </c>
      <c r="O364" s="74"/>
      <c r="P364" s="80"/>
      <c r="Q364" s="79"/>
      <c r="R364" s="80"/>
      <c r="S364" s="78" t="s">
        <v>3237</v>
      </c>
      <c r="T364" s="101" t="s">
        <v>332</v>
      </c>
      <c r="U364" s="80" t="s">
        <v>332</v>
      </c>
      <c r="V364" s="102" t="s">
        <v>429</v>
      </c>
      <c r="W364" s="79" t="s">
        <v>306</v>
      </c>
      <c r="X364" s="79" t="s">
        <v>306</v>
      </c>
      <c r="Y364" s="79"/>
      <c r="Z364" s="79"/>
    </row>
    <row r="365" ht="15.75" customHeight="1">
      <c r="A365" s="103" t="s">
        <v>24</v>
      </c>
      <c r="B365" s="77" t="s">
        <v>3241</v>
      </c>
      <c r="C365" s="80">
        <v>3.0648874436E10</v>
      </c>
      <c r="D365" s="119" t="s">
        <v>264</v>
      </c>
      <c r="E365" s="79" t="s">
        <v>2902</v>
      </c>
      <c r="F365" s="44">
        <v>1191.0</v>
      </c>
      <c r="G365" s="79" t="s">
        <v>68</v>
      </c>
      <c r="H365" s="80">
        <v>1702.0</v>
      </c>
      <c r="I365" s="79">
        <v>271009.0</v>
      </c>
      <c r="J365" s="74" t="s">
        <v>347</v>
      </c>
      <c r="K365" s="77" t="s">
        <v>1082</v>
      </c>
      <c r="L365" s="79"/>
      <c r="M365" s="79"/>
      <c r="N365" s="79">
        <v>0.0</v>
      </c>
      <c r="O365" s="74"/>
      <c r="P365" s="80"/>
      <c r="Q365" s="79"/>
      <c r="R365" s="80"/>
      <c r="S365" s="80" t="s">
        <v>3243</v>
      </c>
      <c r="T365" s="101" t="s">
        <v>3244</v>
      </c>
      <c r="U365" s="80" t="s">
        <v>332</v>
      </c>
      <c r="V365" s="102" t="s">
        <v>429</v>
      </c>
      <c r="W365" s="79" t="s">
        <v>309</v>
      </c>
      <c r="X365" s="79" t="s">
        <v>309</v>
      </c>
      <c r="Y365" s="79"/>
      <c r="Z365" s="79"/>
    </row>
    <row r="366" ht="15.0" customHeight="1">
      <c r="A366" s="76" t="s">
        <v>247</v>
      </c>
      <c r="B366" s="79" t="s">
        <v>3245</v>
      </c>
      <c r="C366" s="101">
        <v>3.0716270382E10</v>
      </c>
      <c r="D366" s="79" t="s">
        <v>264</v>
      </c>
      <c r="E366" s="79" t="s">
        <v>3246</v>
      </c>
      <c r="F366" s="44">
        <v>1354.0</v>
      </c>
      <c r="G366" s="79" t="s">
        <v>285</v>
      </c>
      <c r="H366" s="80">
        <v>1675.0</v>
      </c>
      <c r="I366" s="79">
        <v>139400.0</v>
      </c>
      <c r="J366" s="74" t="s">
        <v>448</v>
      </c>
      <c r="K366" s="77" t="s">
        <v>3248</v>
      </c>
      <c r="L366" s="79"/>
      <c r="M366" s="79"/>
      <c r="N366" s="79"/>
      <c r="O366" s="79" t="s">
        <v>3249</v>
      </c>
      <c r="P366" s="78" t="s">
        <v>3250</v>
      </c>
      <c r="Q366" s="79"/>
      <c r="R366" s="78" t="s">
        <v>3251</v>
      </c>
      <c r="S366" s="78" t="s">
        <v>3252</v>
      </c>
      <c r="T366" s="101"/>
      <c r="U366" s="80"/>
      <c r="V366" s="98" t="s">
        <v>3253</v>
      </c>
      <c r="W366" s="79"/>
      <c r="X366" s="79"/>
      <c r="Y366" s="79"/>
      <c r="Z366" s="79"/>
    </row>
    <row r="367" ht="15.0" customHeight="1">
      <c r="A367" s="76" t="s">
        <v>247</v>
      </c>
      <c r="B367" s="77" t="s">
        <v>3255</v>
      </c>
      <c r="C367" s="80">
        <v>3.0709035173E10</v>
      </c>
      <c r="D367" s="79" t="s">
        <v>264</v>
      </c>
      <c r="E367" s="79" t="s">
        <v>3256</v>
      </c>
      <c r="F367" s="44">
        <v>1165.0</v>
      </c>
      <c r="G367" s="79" t="s">
        <v>269</v>
      </c>
      <c r="H367" s="80">
        <v>1682.0</v>
      </c>
      <c r="I367" s="79">
        <v>259993.0</v>
      </c>
      <c r="J367" s="74" t="s">
        <v>347</v>
      </c>
      <c r="K367" s="129" t="s">
        <v>638</v>
      </c>
      <c r="L367" s="79" t="s">
        <v>453</v>
      </c>
      <c r="M367" s="79" t="s">
        <v>3258</v>
      </c>
      <c r="N367" s="79">
        <v>2.0</v>
      </c>
      <c r="O367" s="74"/>
      <c r="P367" s="80"/>
      <c r="Q367" s="79"/>
      <c r="R367" s="80"/>
      <c r="S367" s="78" t="s">
        <v>3259</v>
      </c>
      <c r="T367" s="101" t="s">
        <v>332</v>
      </c>
      <c r="U367" s="80" t="s">
        <v>332</v>
      </c>
      <c r="V367" s="102" t="s">
        <v>3260</v>
      </c>
      <c r="W367" s="79" t="s">
        <v>309</v>
      </c>
      <c r="X367" s="79" t="s">
        <v>309</v>
      </c>
      <c r="Y367" s="79" t="s">
        <v>309</v>
      </c>
      <c r="Z367" s="79"/>
    </row>
    <row r="368" ht="15.0" customHeight="1">
      <c r="A368" s="76" t="s">
        <v>247</v>
      </c>
      <c r="B368" s="79" t="s">
        <v>3263</v>
      </c>
      <c r="C368" s="101">
        <v>3.064631842E10</v>
      </c>
      <c r="D368" s="79" t="s">
        <v>264</v>
      </c>
      <c r="E368" s="79" t="s">
        <v>1088</v>
      </c>
      <c r="F368" s="44">
        <v>5344.0</v>
      </c>
      <c r="G368" s="79" t="s">
        <v>15</v>
      </c>
      <c r="H368" s="80">
        <v>1678.0</v>
      </c>
      <c r="I368" s="79">
        <v>292000.0</v>
      </c>
      <c r="J368" s="74" t="s">
        <v>337</v>
      </c>
      <c r="K368" s="129" t="s">
        <v>3264</v>
      </c>
      <c r="L368" s="79"/>
      <c r="M368" s="79"/>
      <c r="N368" s="79"/>
      <c r="O368" s="79"/>
      <c r="P368" s="80"/>
      <c r="Q368" s="79"/>
      <c r="R368" s="80"/>
      <c r="S368" s="78" t="s">
        <v>3265</v>
      </c>
      <c r="T368" s="85" t="s">
        <v>3267</v>
      </c>
      <c r="U368" s="80"/>
      <c r="V368" s="102" t="s">
        <v>3268</v>
      </c>
      <c r="W368" s="79"/>
      <c r="X368" s="79"/>
      <c r="Y368" s="79"/>
      <c r="Z368" s="79"/>
    </row>
    <row r="369" ht="15.0" customHeight="1">
      <c r="A369" s="76" t="s">
        <v>247</v>
      </c>
      <c r="B369" s="77" t="s">
        <v>3269</v>
      </c>
      <c r="C369" s="80">
        <v>3.064631842E10</v>
      </c>
      <c r="D369" s="119" t="s">
        <v>264</v>
      </c>
      <c r="E369" s="79" t="s">
        <v>1088</v>
      </c>
      <c r="F369" s="44">
        <v>5344.0</v>
      </c>
      <c r="G369" s="79" t="s">
        <v>15</v>
      </c>
      <c r="H369" s="80">
        <v>1678.0</v>
      </c>
      <c r="I369" s="79">
        <v>292000.0</v>
      </c>
      <c r="J369" s="74" t="s">
        <v>347</v>
      </c>
      <c r="K369" s="79" t="s">
        <v>3271</v>
      </c>
      <c r="L369" s="79"/>
      <c r="M369" s="77" t="s">
        <v>3272</v>
      </c>
      <c r="N369" s="79">
        <v>40.0</v>
      </c>
      <c r="O369" s="74"/>
      <c r="P369" s="80"/>
      <c r="Q369" s="79"/>
      <c r="R369" s="80"/>
      <c r="S369" s="80" t="s">
        <v>3273</v>
      </c>
      <c r="T369" s="101" t="s">
        <v>332</v>
      </c>
      <c r="U369" s="80" t="s">
        <v>332</v>
      </c>
      <c r="V369" s="98" t="s">
        <v>3274</v>
      </c>
      <c r="W369" s="79" t="s">
        <v>309</v>
      </c>
      <c r="X369" s="79" t="s">
        <v>309</v>
      </c>
      <c r="Y369" s="79" t="s">
        <v>309</v>
      </c>
      <c r="Z369" s="79"/>
    </row>
    <row r="370" ht="15.0" customHeight="1">
      <c r="A370" s="76" t="s">
        <v>247</v>
      </c>
      <c r="B370" s="77" t="s">
        <v>3276</v>
      </c>
      <c r="C370" s="80">
        <v>3.0708799382E10</v>
      </c>
      <c r="D370" s="79" t="s">
        <v>264</v>
      </c>
      <c r="E370" s="79" t="s">
        <v>2362</v>
      </c>
      <c r="F370" s="44">
        <v>4138.0</v>
      </c>
      <c r="G370" s="79" t="s">
        <v>15</v>
      </c>
      <c r="H370" s="80">
        <v>1678.0</v>
      </c>
      <c r="I370" s="79">
        <v>310020.0</v>
      </c>
      <c r="J370" s="74" t="s">
        <v>347</v>
      </c>
      <c r="K370" s="79" t="s">
        <v>3277</v>
      </c>
      <c r="L370" s="79" t="s">
        <v>286</v>
      </c>
      <c r="M370" s="77" t="s">
        <v>3278</v>
      </c>
      <c r="N370" s="79">
        <v>11.0</v>
      </c>
      <c r="O370" s="83" t="s">
        <v>3279</v>
      </c>
      <c r="P370" s="78" t="s">
        <v>3281</v>
      </c>
      <c r="Q370" s="79"/>
      <c r="R370" s="80"/>
      <c r="S370" s="78" t="s">
        <v>3282</v>
      </c>
      <c r="T370" s="85" t="s">
        <v>3283</v>
      </c>
      <c r="U370" s="78"/>
      <c r="V370" s="102" t="s">
        <v>3284</v>
      </c>
      <c r="W370" s="79" t="s">
        <v>309</v>
      </c>
      <c r="X370" s="79" t="s">
        <v>309</v>
      </c>
      <c r="Y370" s="79" t="s">
        <v>309</v>
      </c>
      <c r="Z370" s="79"/>
    </row>
    <row r="371" ht="15.0" customHeight="1">
      <c r="A371" s="103" t="s">
        <v>24</v>
      </c>
      <c r="B371" s="79" t="s">
        <v>3286</v>
      </c>
      <c r="C371" s="80">
        <v>3.3517063849E10</v>
      </c>
      <c r="D371" s="79" t="s">
        <v>264</v>
      </c>
      <c r="E371" s="79" t="s">
        <v>3287</v>
      </c>
      <c r="F371" s="44">
        <v>1151.0</v>
      </c>
      <c r="G371" s="79" t="s">
        <v>249</v>
      </c>
      <c r="H371" s="80">
        <v>1676.0</v>
      </c>
      <c r="I371" s="79">
        <v>269309.0</v>
      </c>
      <c r="J371" s="74" t="s">
        <v>125</v>
      </c>
      <c r="K371" s="77" t="s">
        <v>3288</v>
      </c>
      <c r="L371" s="79" t="s">
        <v>453</v>
      </c>
      <c r="M371" s="79" t="s">
        <v>3289</v>
      </c>
      <c r="N371" s="79">
        <v>0.0</v>
      </c>
      <c r="O371" s="74"/>
      <c r="P371" s="114"/>
      <c r="Q371" s="79"/>
      <c r="R371" s="80"/>
      <c r="S371" s="80" t="s">
        <v>3290</v>
      </c>
      <c r="T371" s="101" t="s">
        <v>332</v>
      </c>
      <c r="U371" s="80" t="s">
        <v>332</v>
      </c>
      <c r="V371" s="102" t="s">
        <v>429</v>
      </c>
      <c r="W371" s="79" t="s">
        <v>309</v>
      </c>
      <c r="X371" s="79" t="s">
        <v>306</v>
      </c>
      <c r="Y371" s="79"/>
      <c r="Z371" s="79"/>
    </row>
    <row r="372" ht="15.0" customHeight="1">
      <c r="A372" s="76" t="s">
        <v>247</v>
      </c>
      <c r="B372" s="77" t="s">
        <v>3292</v>
      </c>
      <c r="C372" s="80">
        <v>3.0558238166E10</v>
      </c>
      <c r="D372" s="79" t="s">
        <v>264</v>
      </c>
      <c r="E372" s="79" t="s">
        <v>660</v>
      </c>
      <c r="F372" s="44">
        <v>4623.0</v>
      </c>
      <c r="G372" s="79" t="s">
        <v>15</v>
      </c>
      <c r="H372" s="80">
        <v>1678.0</v>
      </c>
      <c r="I372" s="79">
        <v>251101.0</v>
      </c>
      <c r="J372" s="74" t="s">
        <v>347</v>
      </c>
      <c r="K372" s="79" t="s">
        <v>1486</v>
      </c>
      <c r="L372" s="79" t="s">
        <v>453</v>
      </c>
      <c r="M372" s="79"/>
      <c r="N372" s="79">
        <v>3.0</v>
      </c>
      <c r="O372" s="74"/>
      <c r="P372" s="80"/>
      <c r="Q372" s="79"/>
      <c r="R372" s="80"/>
      <c r="S372" s="80" t="s">
        <v>3294</v>
      </c>
      <c r="T372" s="101" t="s">
        <v>3295</v>
      </c>
      <c r="U372" s="80" t="s">
        <v>332</v>
      </c>
      <c r="V372" s="102" t="s">
        <v>3296</v>
      </c>
      <c r="W372" s="79" t="s">
        <v>306</v>
      </c>
      <c r="X372" s="79" t="s">
        <v>306</v>
      </c>
      <c r="Y372" s="79" t="s">
        <v>309</v>
      </c>
      <c r="Z372" s="79"/>
    </row>
    <row r="373" ht="15.0" customHeight="1">
      <c r="A373" s="103" t="s">
        <v>24</v>
      </c>
      <c r="B373" s="144" t="s">
        <v>3297</v>
      </c>
      <c r="C373" s="101">
        <v>3.0701161994E10</v>
      </c>
      <c r="D373" s="144" t="s">
        <v>631</v>
      </c>
      <c r="E373" s="77" t="s">
        <v>1255</v>
      </c>
      <c r="F373" s="44">
        <v>9845.0</v>
      </c>
      <c r="G373" s="79" t="s">
        <v>119</v>
      </c>
      <c r="H373" s="101">
        <v>1657.0</v>
      </c>
      <c r="I373" s="119">
        <v>222010.0</v>
      </c>
      <c r="J373" s="83" t="s">
        <v>568</v>
      </c>
      <c r="K373" s="119" t="s">
        <v>1170</v>
      </c>
      <c r="L373" s="79" t="s">
        <v>453</v>
      </c>
      <c r="M373" s="144" t="s">
        <v>3298</v>
      </c>
      <c r="N373" s="119">
        <v>19.0</v>
      </c>
      <c r="O373" s="126"/>
      <c r="P373" s="101"/>
      <c r="Q373" s="79"/>
      <c r="R373" s="101"/>
      <c r="S373" s="85" t="s">
        <v>3300</v>
      </c>
      <c r="T373" s="85" t="s">
        <v>3301</v>
      </c>
      <c r="U373" s="101" t="s">
        <v>332</v>
      </c>
      <c r="V373" s="102" t="s">
        <v>3302</v>
      </c>
      <c r="W373" s="119" t="s">
        <v>309</v>
      </c>
      <c r="X373" s="119" t="s">
        <v>309</v>
      </c>
      <c r="Y373" s="79" t="s">
        <v>309</v>
      </c>
      <c r="Z373" s="79"/>
    </row>
    <row r="374" ht="15.0" customHeight="1">
      <c r="A374" s="76" t="s">
        <v>247</v>
      </c>
      <c r="B374" s="79" t="s">
        <v>1305</v>
      </c>
      <c r="C374" s="78" t="s">
        <v>2517</v>
      </c>
      <c r="D374" s="119" t="s">
        <v>264</v>
      </c>
      <c r="E374" s="79" t="s">
        <v>2319</v>
      </c>
      <c r="F374" s="44">
        <v>3733.0</v>
      </c>
      <c r="G374" s="79" t="s">
        <v>249</v>
      </c>
      <c r="H374" s="80">
        <v>1676.0</v>
      </c>
      <c r="I374" s="78" t="s">
        <v>2519</v>
      </c>
      <c r="J374" s="74" t="s">
        <v>57</v>
      </c>
      <c r="K374" s="126" t="s">
        <v>3305</v>
      </c>
      <c r="L374" s="126"/>
      <c r="M374" s="126"/>
      <c r="N374" s="79"/>
      <c r="O374" s="126" t="s">
        <v>3306</v>
      </c>
      <c r="P374" s="78" t="s">
        <v>3307</v>
      </c>
      <c r="Q374" s="79"/>
      <c r="R374" s="80"/>
      <c r="S374" s="78" t="s">
        <v>3308</v>
      </c>
      <c r="T374" s="101"/>
      <c r="U374" s="80"/>
      <c r="V374" s="102" t="s">
        <v>3309</v>
      </c>
      <c r="W374" s="79"/>
      <c r="X374" s="79"/>
      <c r="Y374" s="126" t="s">
        <v>309</v>
      </c>
      <c r="Z374" s="79"/>
    </row>
    <row r="375" ht="15.0" customHeight="1">
      <c r="A375" s="76" t="s">
        <v>247</v>
      </c>
      <c r="B375" s="77" t="s">
        <v>3311</v>
      </c>
      <c r="C375" s="80">
        <v>3.0613652767E10</v>
      </c>
      <c r="D375" s="79" t="s">
        <v>264</v>
      </c>
      <c r="E375" s="79" t="s">
        <v>1955</v>
      </c>
      <c r="F375" s="44">
        <v>3022.0</v>
      </c>
      <c r="G375" s="79" t="s">
        <v>68</v>
      </c>
      <c r="H375" s="80">
        <v>1702.0</v>
      </c>
      <c r="I375" s="79">
        <v>259993.0</v>
      </c>
      <c r="J375" s="74" t="s">
        <v>347</v>
      </c>
      <c r="K375" s="79" t="s">
        <v>638</v>
      </c>
      <c r="L375" s="79" t="s">
        <v>453</v>
      </c>
      <c r="M375" s="77" t="s">
        <v>3313</v>
      </c>
      <c r="N375" s="79">
        <v>2.0</v>
      </c>
      <c r="O375" s="74" t="s">
        <v>3314</v>
      </c>
      <c r="P375" s="80"/>
      <c r="Q375" s="79"/>
      <c r="R375" s="80"/>
      <c r="S375" s="101" t="s">
        <v>3315</v>
      </c>
      <c r="T375" s="85" t="s">
        <v>3316</v>
      </c>
      <c r="U375" s="80" t="s">
        <v>332</v>
      </c>
      <c r="V375" s="86" t="s">
        <v>3317</v>
      </c>
      <c r="W375" s="79" t="s">
        <v>309</v>
      </c>
      <c r="X375" s="79" t="s">
        <v>309</v>
      </c>
      <c r="Y375" s="79"/>
      <c r="Z375" s="79"/>
    </row>
    <row r="376" ht="15.0" customHeight="1">
      <c r="A376" s="76" t="s">
        <v>247</v>
      </c>
      <c r="B376" s="77" t="s">
        <v>3318</v>
      </c>
      <c r="C376" s="79">
        <v>2.0334946534E10</v>
      </c>
      <c r="D376" s="77" t="s">
        <v>631</v>
      </c>
      <c r="E376" s="79" t="s">
        <v>2938</v>
      </c>
      <c r="F376" s="44">
        <v>578.0</v>
      </c>
      <c r="G376" s="79" t="s">
        <v>68</v>
      </c>
      <c r="H376" s="80">
        <v>1702.0</v>
      </c>
      <c r="I376" s="79">
        <v>463199.0</v>
      </c>
      <c r="J376" s="74" t="s">
        <v>22</v>
      </c>
      <c r="K376" s="79" t="s">
        <v>3320</v>
      </c>
      <c r="L376" s="79"/>
      <c r="M376" s="79"/>
      <c r="N376" s="79"/>
      <c r="O376" s="74"/>
      <c r="P376" s="85" t="s">
        <v>3321</v>
      </c>
      <c r="Q376" s="79"/>
      <c r="R376" s="85" t="s">
        <v>3322</v>
      </c>
      <c r="S376" s="101" t="s">
        <v>3323</v>
      </c>
      <c r="T376" s="101"/>
      <c r="U376" s="80"/>
      <c r="V376" s="102" t="s">
        <v>3324</v>
      </c>
      <c r="W376" s="79"/>
      <c r="X376" s="79"/>
      <c r="Y376" s="79"/>
      <c r="Z376" s="79"/>
    </row>
    <row r="377" ht="15.75" customHeight="1">
      <c r="A377" s="76" t="s">
        <v>247</v>
      </c>
      <c r="B377" s="77" t="s">
        <v>3326</v>
      </c>
      <c r="C377" s="80">
        <v>3.071042364E10</v>
      </c>
      <c r="D377" s="119" t="s">
        <v>264</v>
      </c>
      <c r="E377" s="79" t="s">
        <v>1095</v>
      </c>
      <c r="F377" s="44">
        <v>3112.0</v>
      </c>
      <c r="G377" s="79" t="s">
        <v>15</v>
      </c>
      <c r="H377" s="80">
        <v>1678.0</v>
      </c>
      <c r="I377" s="79">
        <v>222090.0</v>
      </c>
      <c r="J377" s="83" t="s">
        <v>568</v>
      </c>
      <c r="K377" s="77" t="s">
        <v>569</v>
      </c>
      <c r="L377" s="79" t="s">
        <v>453</v>
      </c>
      <c r="M377" s="79"/>
      <c r="N377" s="79">
        <v>2.0</v>
      </c>
      <c r="O377" s="74"/>
      <c r="P377" s="80"/>
      <c r="Q377" s="79"/>
      <c r="R377" s="80"/>
      <c r="S377" s="78" t="s">
        <v>3328</v>
      </c>
      <c r="T377" s="85" t="s">
        <v>3329</v>
      </c>
      <c r="U377" s="80"/>
      <c r="V377" s="102" t="s">
        <v>3330</v>
      </c>
      <c r="W377" s="79" t="s">
        <v>306</v>
      </c>
      <c r="X377" s="79" t="s">
        <v>306</v>
      </c>
      <c r="Y377" s="79" t="s">
        <v>309</v>
      </c>
      <c r="Z377" s="79"/>
    </row>
    <row r="378" ht="15.75" customHeight="1">
      <c r="A378" s="76" t="s">
        <v>247</v>
      </c>
      <c r="B378" s="77" t="s">
        <v>3332</v>
      </c>
      <c r="C378" s="80">
        <v>3.3710813979E10</v>
      </c>
      <c r="D378" s="79" t="s">
        <v>264</v>
      </c>
      <c r="E378" s="79" t="s">
        <v>3333</v>
      </c>
      <c r="F378" s="44">
        <v>3260.0</v>
      </c>
      <c r="G378" s="79" t="s">
        <v>15</v>
      </c>
      <c r="H378" s="80">
        <v>1678.0</v>
      </c>
      <c r="I378" s="79">
        <v>259993.0</v>
      </c>
      <c r="J378" s="74" t="s">
        <v>347</v>
      </c>
      <c r="K378" s="129" t="s">
        <v>638</v>
      </c>
      <c r="L378" s="79" t="s">
        <v>453</v>
      </c>
      <c r="M378" s="79"/>
      <c r="N378" s="79">
        <v>4.0</v>
      </c>
      <c r="O378" s="74"/>
      <c r="P378" s="80"/>
      <c r="Q378" s="79"/>
      <c r="R378" s="80"/>
      <c r="S378" s="80" t="s">
        <v>3334</v>
      </c>
      <c r="T378" s="101" t="s">
        <v>3335</v>
      </c>
      <c r="U378" s="80" t="s">
        <v>332</v>
      </c>
      <c r="V378" s="102" t="s">
        <v>3337</v>
      </c>
      <c r="W378" s="79" t="s">
        <v>306</v>
      </c>
      <c r="X378" s="79" t="s">
        <v>306</v>
      </c>
      <c r="Y378" s="79" t="s">
        <v>309</v>
      </c>
      <c r="Z378" s="79"/>
    </row>
    <row r="379" ht="15.0" customHeight="1">
      <c r="A379" s="76" t="s">
        <v>247</v>
      </c>
      <c r="B379" s="246" t="s">
        <v>1308</v>
      </c>
      <c r="C379" s="247">
        <v>3.0711691479E10</v>
      </c>
      <c r="D379" s="79" t="s">
        <v>264</v>
      </c>
      <c r="E379" s="79" t="s">
        <v>3339</v>
      </c>
      <c r="F379" s="44">
        <v>5180.0</v>
      </c>
      <c r="G379" s="79" t="s">
        <v>15</v>
      </c>
      <c r="H379" s="80">
        <v>1678.0</v>
      </c>
      <c r="I379" s="80">
        <v>329090.0</v>
      </c>
      <c r="J379" s="74" t="s">
        <v>448</v>
      </c>
      <c r="K379" s="77" t="s">
        <v>3340</v>
      </c>
      <c r="L379" s="79"/>
      <c r="M379" s="79" t="s">
        <v>3341</v>
      </c>
      <c r="N379" s="79"/>
      <c r="O379" s="79" t="s">
        <v>3342</v>
      </c>
      <c r="P379" s="78" t="s">
        <v>3343</v>
      </c>
      <c r="Q379" s="79" t="s">
        <v>3344</v>
      </c>
      <c r="R379" s="78" t="s">
        <v>3345</v>
      </c>
      <c r="S379" s="78" t="s">
        <v>3346</v>
      </c>
      <c r="T379" s="101"/>
      <c r="U379" s="80"/>
      <c r="V379" s="102" t="s">
        <v>429</v>
      </c>
      <c r="W379" s="79"/>
      <c r="X379" s="79"/>
      <c r="Y379" s="79"/>
      <c r="Z379" s="79"/>
    </row>
    <row r="380" ht="15.0" customHeight="1">
      <c r="A380" s="76" t="s">
        <v>247</v>
      </c>
      <c r="B380" s="77" t="s">
        <v>1315</v>
      </c>
      <c r="C380" s="80">
        <v>3.0708268204E10</v>
      </c>
      <c r="D380" s="119" t="s">
        <v>264</v>
      </c>
      <c r="E380" s="77" t="s">
        <v>2646</v>
      </c>
      <c r="F380" s="44">
        <v>3551.0</v>
      </c>
      <c r="G380" s="79" t="s">
        <v>68</v>
      </c>
      <c r="H380" s="80">
        <v>1702.0</v>
      </c>
      <c r="I380" s="79">
        <v>141199.0</v>
      </c>
      <c r="J380" s="74" t="s">
        <v>448</v>
      </c>
      <c r="K380" s="77" t="s">
        <v>2765</v>
      </c>
      <c r="L380" s="79" t="s">
        <v>369</v>
      </c>
      <c r="M380" s="77" t="s">
        <v>3348</v>
      </c>
      <c r="N380" s="79">
        <v>13.0</v>
      </c>
      <c r="O380" s="83" t="s">
        <v>3349</v>
      </c>
      <c r="P380" s="78" t="s">
        <v>3350</v>
      </c>
      <c r="Q380" s="79" t="s">
        <v>3351</v>
      </c>
      <c r="R380" s="78" t="s">
        <v>3352</v>
      </c>
      <c r="S380" s="78" t="s">
        <v>3353</v>
      </c>
      <c r="T380" s="85" t="s">
        <v>3354</v>
      </c>
      <c r="U380" s="80" t="s">
        <v>332</v>
      </c>
      <c r="V380" s="98" t="s">
        <v>3355</v>
      </c>
      <c r="W380" s="79" t="s">
        <v>309</v>
      </c>
      <c r="X380" s="79" t="s">
        <v>309</v>
      </c>
      <c r="Y380" s="79" t="s">
        <v>309</v>
      </c>
      <c r="Z380" s="79"/>
    </row>
    <row r="381" ht="15.0" customHeight="1">
      <c r="A381" s="76" t="s">
        <v>247</v>
      </c>
      <c r="B381" s="77" t="s">
        <v>3357</v>
      </c>
      <c r="C381" s="79">
        <v>3.0707164065E10</v>
      </c>
      <c r="D381" s="77" t="s">
        <v>264</v>
      </c>
      <c r="E381" s="77" t="s">
        <v>1427</v>
      </c>
      <c r="F381" s="44">
        <v>4070.0</v>
      </c>
      <c r="G381" s="79" t="s">
        <v>15</v>
      </c>
      <c r="H381" s="80">
        <v>1678.0</v>
      </c>
      <c r="I381" s="79">
        <v>432200.0</v>
      </c>
      <c r="J381" s="74" t="s">
        <v>433</v>
      </c>
      <c r="K381" s="79" t="s">
        <v>3358</v>
      </c>
      <c r="L381" s="79"/>
      <c r="M381" s="77" t="s">
        <v>3359</v>
      </c>
      <c r="N381" s="79">
        <v>36.0</v>
      </c>
      <c r="O381" s="74"/>
      <c r="P381" s="80"/>
      <c r="Q381" s="79"/>
      <c r="R381" s="80"/>
      <c r="S381" s="78" t="s">
        <v>3361</v>
      </c>
      <c r="T381" s="101" t="s">
        <v>332</v>
      </c>
      <c r="U381" s="80" t="s">
        <v>332</v>
      </c>
      <c r="V381" s="98" t="s">
        <v>3362</v>
      </c>
      <c r="W381" s="79" t="s">
        <v>306</v>
      </c>
      <c r="X381" s="79" t="s">
        <v>306</v>
      </c>
      <c r="Y381" s="79" t="s">
        <v>309</v>
      </c>
      <c r="Z381" s="79"/>
    </row>
    <row r="382" ht="15.0" customHeight="1">
      <c r="A382" s="76" t="s">
        <v>247</v>
      </c>
      <c r="B382" s="77" t="s">
        <v>3363</v>
      </c>
      <c r="C382" s="80">
        <v>3.0503891863E10</v>
      </c>
      <c r="D382" s="119" t="s">
        <v>264</v>
      </c>
      <c r="E382" s="77" t="s">
        <v>1070</v>
      </c>
      <c r="F382" s="44">
        <v>415.0</v>
      </c>
      <c r="G382" s="79" t="s">
        <v>68</v>
      </c>
      <c r="H382" s="80">
        <v>1702.0</v>
      </c>
      <c r="I382" s="79">
        <v>101030.0</v>
      </c>
      <c r="J382" s="74" t="s">
        <v>22</v>
      </c>
      <c r="K382" s="79" t="s">
        <v>3365</v>
      </c>
      <c r="L382" s="79"/>
      <c r="M382" s="77" t="s">
        <v>3366</v>
      </c>
      <c r="N382" s="79">
        <v>181.0</v>
      </c>
      <c r="O382" s="126" t="s">
        <v>3367</v>
      </c>
      <c r="P382" s="101" t="s">
        <v>3368</v>
      </c>
      <c r="Q382" s="79" t="s">
        <v>3369</v>
      </c>
      <c r="R382" s="78" t="s">
        <v>3370</v>
      </c>
      <c r="S382" s="80" t="s">
        <v>3371</v>
      </c>
      <c r="T382" s="101" t="s">
        <v>3372</v>
      </c>
      <c r="U382" s="78" t="s">
        <v>3373</v>
      </c>
      <c r="V382" s="102" t="s">
        <v>3374</v>
      </c>
      <c r="W382" s="79" t="s">
        <v>309</v>
      </c>
      <c r="X382" s="79" t="s">
        <v>309</v>
      </c>
      <c r="Y382" s="79" t="s">
        <v>309</v>
      </c>
      <c r="Z382" s="79"/>
    </row>
    <row r="383" ht="15.0" customHeight="1">
      <c r="A383" s="103" t="s">
        <v>24</v>
      </c>
      <c r="B383" s="79" t="s">
        <v>3376</v>
      </c>
      <c r="C383" s="80">
        <v>2.0230453617E10</v>
      </c>
      <c r="D383" s="77" t="s">
        <v>631</v>
      </c>
      <c r="E383" s="79" t="s">
        <v>3377</v>
      </c>
      <c r="F383" s="44">
        <v>9120.0</v>
      </c>
      <c r="G383" s="79" t="s">
        <v>119</v>
      </c>
      <c r="H383" s="80">
        <v>1657.0</v>
      </c>
      <c r="I383" s="79">
        <v>259999.0</v>
      </c>
      <c r="J383" s="83" t="s">
        <v>347</v>
      </c>
      <c r="K383" s="77" t="s">
        <v>839</v>
      </c>
      <c r="L383" s="79"/>
      <c r="M383" s="79"/>
      <c r="N383" s="79"/>
      <c r="O383" s="74"/>
      <c r="P383" s="80"/>
      <c r="Q383" s="79"/>
      <c r="R383" s="80"/>
      <c r="S383" s="101" t="s">
        <v>3379</v>
      </c>
      <c r="T383" s="101"/>
      <c r="U383" s="80"/>
      <c r="V383" s="102" t="s">
        <v>429</v>
      </c>
      <c r="W383" s="79"/>
      <c r="X383" s="79"/>
      <c r="Y383" s="79"/>
      <c r="Z383" s="79"/>
    </row>
    <row r="384" ht="15.75" customHeight="1">
      <c r="A384" s="103" t="s">
        <v>24</v>
      </c>
      <c r="B384" s="79" t="s">
        <v>3380</v>
      </c>
      <c r="C384" s="80">
        <v>3.0645073831E10</v>
      </c>
      <c r="D384" s="144" t="s">
        <v>631</v>
      </c>
      <c r="E384" s="79" t="s">
        <v>15</v>
      </c>
      <c r="F384" s="44">
        <v>4426.0</v>
      </c>
      <c r="G384" s="79" t="s">
        <v>15</v>
      </c>
      <c r="H384" s="80">
        <v>1678.0</v>
      </c>
      <c r="I384" s="79">
        <v>181110.0</v>
      </c>
      <c r="J384" s="74" t="s">
        <v>448</v>
      </c>
      <c r="K384" s="79" t="s">
        <v>2206</v>
      </c>
      <c r="L384" s="79" t="s">
        <v>369</v>
      </c>
      <c r="M384" s="79" t="s">
        <v>3381</v>
      </c>
      <c r="N384" s="79">
        <v>4.0</v>
      </c>
      <c r="O384" s="74"/>
      <c r="P384" s="80"/>
      <c r="Q384" s="79"/>
      <c r="R384" s="80"/>
      <c r="S384" s="78" t="s">
        <v>3383</v>
      </c>
      <c r="T384" s="101" t="s">
        <v>332</v>
      </c>
      <c r="U384" s="80" t="s">
        <v>332</v>
      </c>
      <c r="V384" s="102" t="s">
        <v>429</v>
      </c>
      <c r="W384" s="79" t="s">
        <v>309</v>
      </c>
      <c r="X384" s="79" t="s">
        <v>309</v>
      </c>
      <c r="Y384" s="79"/>
      <c r="Z384" s="79"/>
    </row>
    <row r="385" ht="15.0" customHeight="1">
      <c r="A385" s="76" t="s">
        <v>247</v>
      </c>
      <c r="B385" s="77" t="s">
        <v>1327</v>
      </c>
      <c r="C385" s="80">
        <v>3.057687771E10</v>
      </c>
      <c r="D385" s="119" t="s">
        <v>264</v>
      </c>
      <c r="E385" s="79" t="s">
        <v>3191</v>
      </c>
      <c r="F385" s="44">
        <v>3631.0</v>
      </c>
      <c r="G385" s="79" t="s">
        <v>68</v>
      </c>
      <c r="H385" s="80">
        <v>1702.0</v>
      </c>
      <c r="I385" s="79">
        <v>259200.0</v>
      </c>
      <c r="J385" s="74" t="s">
        <v>337</v>
      </c>
      <c r="K385" s="79" t="s">
        <v>1324</v>
      </c>
      <c r="L385" s="79" t="s">
        <v>453</v>
      </c>
      <c r="M385" s="79" t="s">
        <v>3384</v>
      </c>
      <c r="N385" s="79">
        <v>50.0</v>
      </c>
      <c r="O385" s="74" t="s">
        <v>3386</v>
      </c>
      <c r="P385" s="78" t="s">
        <v>3387</v>
      </c>
      <c r="Q385" s="79"/>
      <c r="R385" s="80"/>
      <c r="S385" s="80" t="s">
        <v>3388</v>
      </c>
      <c r="T385" s="101" t="s">
        <v>3389</v>
      </c>
      <c r="U385" s="80" t="s">
        <v>3390</v>
      </c>
      <c r="V385" s="98" t="s">
        <v>3391</v>
      </c>
      <c r="W385" s="79" t="s">
        <v>309</v>
      </c>
      <c r="X385" s="79" t="s">
        <v>309</v>
      </c>
      <c r="Y385" s="79" t="s">
        <v>309</v>
      </c>
      <c r="Z385" s="79"/>
    </row>
    <row r="386" ht="15.75" customHeight="1">
      <c r="A386" s="103" t="s">
        <v>24</v>
      </c>
      <c r="B386" s="77" t="s">
        <v>3392</v>
      </c>
      <c r="C386" s="80">
        <v>3.0548863623E10</v>
      </c>
      <c r="D386" s="119" t="s">
        <v>264</v>
      </c>
      <c r="E386" s="79" t="s">
        <v>3394</v>
      </c>
      <c r="F386" s="44">
        <v>126.0</v>
      </c>
      <c r="G386" s="77" t="s">
        <v>226</v>
      </c>
      <c r="H386" s="80">
        <v>1674.0</v>
      </c>
      <c r="I386" s="79">
        <v>773090.0</v>
      </c>
      <c r="J386" s="74" t="s">
        <v>433</v>
      </c>
      <c r="K386" s="77" t="s">
        <v>3395</v>
      </c>
      <c r="L386" s="79"/>
      <c r="M386" s="79"/>
      <c r="N386" s="79">
        <v>15.0</v>
      </c>
      <c r="O386" s="74"/>
      <c r="P386" s="80"/>
      <c r="Q386" s="79"/>
      <c r="R386" s="80"/>
      <c r="S386" s="80" t="s">
        <v>3396</v>
      </c>
      <c r="T386" s="101" t="s">
        <v>332</v>
      </c>
      <c r="U386" s="80" t="s">
        <v>332</v>
      </c>
      <c r="V386" s="102" t="s">
        <v>429</v>
      </c>
      <c r="W386" s="79" t="s">
        <v>309</v>
      </c>
      <c r="X386" s="79" t="s">
        <v>309</v>
      </c>
      <c r="Y386" s="79" t="s">
        <v>309</v>
      </c>
      <c r="Z386" s="79"/>
    </row>
    <row r="387" ht="15.75" customHeight="1">
      <c r="A387" s="76" t="s">
        <v>247</v>
      </c>
      <c r="B387" s="77" t="s">
        <v>3398</v>
      </c>
      <c r="C387" s="80">
        <v>3.0711199639E10</v>
      </c>
      <c r="D387" s="119" t="s">
        <v>264</v>
      </c>
      <c r="E387" s="79" t="s">
        <v>826</v>
      </c>
      <c r="F387" s="44">
        <v>9040.0</v>
      </c>
      <c r="G387" s="79" t="s">
        <v>175</v>
      </c>
      <c r="H387" s="80">
        <v>1657.0</v>
      </c>
      <c r="I387" s="79">
        <v>410021.0</v>
      </c>
      <c r="J387" s="74" t="s">
        <v>125</v>
      </c>
      <c r="K387" s="77" t="s">
        <v>1264</v>
      </c>
      <c r="L387" s="79" t="s">
        <v>453</v>
      </c>
      <c r="M387" s="77" t="s">
        <v>3399</v>
      </c>
      <c r="N387" s="79">
        <v>0.0</v>
      </c>
      <c r="O387" s="74"/>
      <c r="P387" s="80"/>
      <c r="Q387" s="79"/>
      <c r="R387" s="80"/>
      <c r="S387" s="78" t="s">
        <v>3400</v>
      </c>
      <c r="T387" s="85" t="s">
        <v>3402</v>
      </c>
      <c r="U387" s="80" t="s">
        <v>332</v>
      </c>
      <c r="V387" s="102" t="s">
        <v>3403</v>
      </c>
      <c r="W387" s="79" t="s">
        <v>306</v>
      </c>
      <c r="X387" s="79" t="s">
        <v>306</v>
      </c>
      <c r="Y387" s="79"/>
      <c r="Z387" s="79"/>
    </row>
    <row r="388" ht="15.0" customHeight="1">
      <c r="A388" s="76" t="s">
        <v>247</v>
      </c>
      <c r="B388" s="77" t="s">
        <v>3404</v>
      </c>
      <c r="C388" s="80">
        <v>3.068525224E10</v>
      </c>
      <c r="D388" s="144" t="s">
        <v>631</v>
      </c>
      <c r="E388" s="79" t="s">
        <v>3405</v>
      </c>
      <c r="F388" s="128">
        <v>7838.0</v>
      </c>
      <c r="G388" s="79" t="s">
        <v>269</v>
      </c>
      <c r="H388" s="80">
        <v>1682.0</v>
      </c>
      <c r="I388" s="79">
        <v>310010.0</v>
      </c>
      <c r="J388" s="74" t="s">
        <v>313</v>
      </c>
      <c r="K388" s="79" t="s">
        <v>1438</v>
      </c>
      <c r="L388" s="79" t="s">
        <v>1122</v>
      </c>
      <c r="M388" s="79"/>
      <c r="N388" s="79">
        <v>0.0</v>
      </c>
      <c r="O388" s="74"/>
      <c r="P388" s="80"/>
      <c r="Q388" s="79"/>
      <c r="R388" s="80"/>
      <c r="S388" s="80" t="s">
        <v>3407</v>
      </c>
      <c r="T388" s="101" t="s">
        <v>332</v>
      </c>
      <c r="U388" s="80" t="s">
        <v>332</v>
      </c>
      <c r="V388" s="102" t="s">
        <v>429</v>
      </c>
      <c r="W388" s="79" t="s">
        <v>306</v>
      </c>
      <c r="X388" s="79" t="s">
        <v>306</v>
      </c>
      <c r="Y388" s="79" t="s">
        <v>309</v>
      </c>
      <c r="Z388" s="79"/>
    </row>
    <row r="389" ht="15.75" customHeight="1">
      <c r="A389" s="76" t="s">
        <v>247</v>
      </c>
      <c r="B389" s="77" t="s">
        <v>3408</v>
      </c>
      <c r="C389" s="80">
        <v>3.0708123303E10</v>
      </c>
      <c r="D389" s="119" t="s">
        <v>264</v>
      </c>
      <c r="E389" s="79" t="s">
        <v>3130</v>
      </c>
      <c r="F389" s="44">
        <v>6779.0</v>
      </c>
      <c r="G389" s="79" t="s">
        <v>134</v>
      </c>
      <c r="H389" s="80">
        <v>1682.0</v>
      </c>
      <c r="I389" s="79">
        <v>331301.0</v>
      </c>
      <c r="J389" s="74" t="s">
        <v>433</v>
      </c>
      <c r="K389" s="79" t="s">
        <v>3410</v>
      </c>
      <c r="L389" s="79"/>
      <c r="M389" s="79"/>
      <c r="N389" s="79">
        <v>5.0</v>
      </c>
      <c r="O389" s="74"/>
      <c r="P389" s="80"/>
      <c r="Q389" s="79"/>
      <c r="R389" s="80"/>
      <c r="S389" s="78" t="s">
        <v>3411</v>
      </c>
      <c r="T389" s="101" t="s">
        <v>3412</v>
      </c>
      <c r="U389" s="80" t="s">
        <v>332</v>
      </c>
      <c r="V389" s="98" t="s">
        <v>3413</v>
      </c>
      <c r="W389" s="79" t="s">
        <v>309</v>
      </c>
      <c r="X389" s="79" t="s">
        <v>309</v>
      </c>
      <c r="Y389" s="79" t="s">
        <v>309</v>
      </c>
      <c r="Z389" s="79"/>
    </row>
    <row r="390" ht="15.75" customHeight="1">
      <c r="A390" s="103" t="s">
        <v>24</v>
      </c>
      <c r="B390" s="77" t="s">
        <v>3415</v>
      </c>
      <c r="C390" s="80">
        <v>3.0707948392E10</v>
      </c>
      <c r="D390" s="119" t="s">
        <v>264</v>
      </c>
      <c r="E390" s="79" t="s">
        <v>1955</v>
      </c>
      <c r="F390" s="44">
        <v>4276.0</v>
      </c>
      <c r="G390" s="79" t="s">
        <v>68</v>
      </c>
      <c r="H390" s="80">
        <v>1702.0</v>
      </c>
      <c r="I390" s="79">
        <v>289309.0</v>
      </c>
      <c r="J390" s="74" t="s">
        <v>347</v>
      </c>
      <c r="K390" s="77" t="s">
        <v>2967</v>
      </c>
      <c r="L390" s="79"/>
      <c r="M390" s="79"/>
      <c r="N390" s="79">
        <v>0.0</v>
      </c>
      <c r="O390" s="74"/>
      <c r="P390" s="80"/>
      <c r="Q390" s="79"/>
      <c r="R390" s="80"/>
      <c r="S390" s="80" t="s">
        <v>3416</v>
      </c>
      <c r="T390" s="101" t="s">
        <v>332</v>
      </c>
      <c r="U390" s="80" t="s">
        <v>332</v>
      </c>
      <c r="V390" s="102" t="s">
        <v>429</v>
      </c>
      <c r="W390" s="79" t="s">
        <v>306</v>
      </c>
      <c r="X390" s="79" t="s">
        <v>306</v>
      </c>
      <c r="Y390" s="79"/>
      <c r="Z390" s="79"/>
    </row>
    <row r="391" ht="15.75" customHeight="1">
      <c r="A391" s="103" t="s">
        <v>24</v>
      </c>
      <c r="B391" s="79" t="s">
        <v>3418</v>
      </c>
      <c r="C391" s="80">
        <v>3.0502575933E10</v>
      </c>
      <c r="D391" s="119" t="s">
        <v>264</v>
      </c>
      <c r="E391" s="79" t="s">
        <v>1079</v>
      </c>
      <c r="F391" s="44">
        <v>5149.0</v>
      </c>
      <c r="G391" s="77" t="s">
        <v>15</v>
      </c>
      <c r="H391" s="80">
        <v>1702.0</v>
      </c>
      <c r="I391" s="79">
        <v>289910.0</v>
      </c>
      <c r="J391" s="74" t="s">
        <v>347</v>
      </c>
      <c r="K391" s="79" t="s">
        <v>3419</v>
      </c>
      <c r="L391" s="79" t="s">
        <v>453</v>
      </c>
      <c r="M391" s="79"/>
      <c r="N391" s="79">
        <v>0.0</v>
      </c>
      <c r="O391" s="74"/>
      <c r="P391" s="80"/>
      <c r="Q391" s="79"/>
      <c r="R391" s="80"/>
      <c r="S391" s="80" t="s">
        <v>3421</v>
      </c>
      <c r="T391" s="101" t="s">
        <v>3422</v>
      </c>
      <c r="U391" s="80" t="s">
        <v>3423</v>
      </c>
      <c r="V391" s="102" t="s">
        <v>429</v>
      </c>
      <c r="W391" s="79" t="s">
        <v>309</v>
      </c>
      <c r="X391" s="79" t="s">
        <v>309</v>
      </c>
      <c r="Y391" s="79"/>
      <c r="Z391" s="79"/>
    </row>
    <row r="392" ht="15.75" customHeight="1">
      <c r="A392" s="76" t="s">
        <v>247</v>
      </c>
      <c r="B392" s="77" t="s">
        <v>1330</v>
      </c>
      <c r="C392" s="80">
        <v>3.0712093494E10</v>
      </c>
      <c r="D392" s="119" t="s">
        <v>264</v>
      </c>
      <c r="E392" s="77" t="s">
        <v>97</v>
      </c>
      <c r="F392" s="128">
        <v>1351.0</v>
      </c>
      <c r="G392" s="79" t="s">
        <v>97</v>
      </c>
      <c r="H392" s="80">
        <v>1703.0</v>
      </c>
      <c r="I392" s="79">
        <v>711009.0</v>
      </c>
      <c r="J392" s="74" t="s">
        <v>125</v>
      </c>
      <c r="K392" s="77" t="s">
        <v>2325</v>
      </c>
      <c r="L392" s="79" t="s">
        <v>453</v>
      </c>
      <c r="M392" s="77" t="s">
        <v>3425</v>
      </c>
      <c r="N392" s="79"/>
      <c r="O392" s="74" t="s">
        <v>3426</v>
      </c>
      <c r="P392" s="78" t="s">
        <v>3427</v>
      </c>
      <c r="Q392" s="77" t="s">
        <v>3428</v>
      </c>
      <c r="R392" s="78" t="s">
        <v>3429</v>
      </c>
      <c r="S392" s="78" t="s">
        <v>3430</v>
      </c>
      <c r="T392" s="85" t="s">
        <v>3431</v>
      </c>
      <c r="U392" s="80"/>
      <c r="V392" s="102" t="s">
        <v>3432</v>
      </c>
      <c r="W392" s="79"/>
      <c r="X392" s="79"/>
      <c r="Y392" s="79" t="s">
        <v>309</v>
      </c>
      <c r="Z392" s="79"/>
    </row>
    <row r="393" ht="15.0" customHeight="1">
      <c r="A393" s="76" t="s">
        <v>247</v>
      </c>
      <c r="B393" s="77" t="s">
        <v>1337</v>
      </c>
      <c r="C393" s="80">
        <v>3.0714028991E10</v>
      </c>
      <c r="D393" s="79" t="s">
        <v>264</v>
      </c>
      <c r="E393" s="77" t="s">
        <v>2613</v>
      </c>
      <c r="F393" s="128">
        <v>2179.0</v>
      </c>
      <c r="G393" s="79" t="s">
        <v>15</v>
      </c>
      <c r="H393" s="80">
        <v>1678.0</v>
      </c>
      <c r="I393" s="79">
        <v>170102.0</v>
      </c>
      <c r="J393" s="74" t="s">
        <v>283</v>
      </c>
      <c r="K393" s="79" t="s">
        <v>3435</v>
      </c>
      <c r="L393" s="79" t="s">
        <v>453</v>
      </c>
      <c r="M393" s="79" t="s">
        <v>3436</v>
      </c>
      <c r="N393" s="79">
        <v>14.0</v>
      </c>
      <c r="O393" s="83" t="s">
        <v>3437</v>
      </c>
      <c r="P393" s="78" t="s">
        <v>3438</v>
      </c>
      <c r="Q393" s="77"/>
      <c r="R393" s="80"/>
      <c r="S393" s="78" t="s">
        <v>3439</v>
      </c>
      <c r="T393" s="85" t="s">
        <v>3440</v>
      </c>
      <c r="U393" s="78" t="s">
        <v>3441</v>
      </c>
      <c r="V393" s="102" t="s">
        <v>3442</v>
      </c>
      <c r="W393" s="79" t="s">
        <v>309</v>
      </c>
      <c r="X393" s="79" t="s">
        <v>309</v>
      </c>
      <c r="Y393" s="79" t="s">
        <v>309</v>
      </c>
      <c r="Z393" s="79"/>
    </row>
    <row r="394" ht="15.0" customHeight="1">
      <c r="A394" s="103" t="s">
        <v>24</v>
      </c>
      <c r="B394" s="77" t="s">
        <v>3444</v>
      </c>
      <c r="C394" s="80">
        <v>3.0714590061E10</v>
      </c>
      <c r="D394" s="79" t="s">
        <v>264</v>
      </c>
      <c r="E394" s="77" t="s">
        <v>2254</v>
      </c>
      <c r="F394" s="44">
        <v>2126.0</v>
      </c>
      <c r="G394" s="79" t="s">
        <v>175</v>
      </c>
      <c r="H394" s="80">
        <v>1657.0</v>
      </c>
      <c r="I394" s="79">
        <v>259993.0</v>
      </c>
      <c r="J394" s="74" t="s">
        <v>347</v>
      </c>
      <c r="K394" s="129" t="s">
        <v>638</v>
      </c>
      <c r="L394" s="79" t="s">
        <v>453</v>
      </c>
      <c r="M394" s="79"/>
      <c r="N394" s="79">
        <v>0.0</v>
      </c>
      <c r="O394" s="74"/>
      <c r="P394" s="80"/>
      <c r="Q394" s="79"/>
      <c r="R394" s="80"/>
      <c r="S394" s="80" t="s">
        <v>3445</v>
      </c>
      <c r="T394" s="101" t="s">
        <v>332</v>
      </c>
      <c r="U394" s="80" t="s">
        <v>332</v>
      </c>
      <c r="V394" s="102" t="s">
        <v>429</v>
      </c>
      <c r="W394" s="79" t="s">
        <v>306</v>
      </c>
      <c r="X394" s="79" t="s">
        <v>306</v>
      </c>
      <c r="Y394" s="79"/>
      <c r="Z394" s="79"/>
    </row>
    <row r="395" ht="15.0" customHeight="1">
      <c r="A395" s="103" t="s">
        <v>24</v>
      </c>
      <c r="B395" s="77" t="s">
        <v>3447</v>
      </c>
      <c r="C395" s="80">
        <v>3.0688403215E10</v>
      </c>
      <c r="D395" s="79" t="s">
        <v>264</v>
      </c>
      <c r="E395" s="79" t="s">
        <v>1755</v>
      </c>
      <c r="F395" s="44">
        <v>3180.0</v>
      </c>
      <c r="G395" s="79" t="s">
        <v>15</v>
      </c>
      <c r="H395" s="80">
        <v>1678.0</v>
      </c>
      <c r="I395" s="79">
        <v>221909.0</v>
      </c>
      <c r="J395" s="74" t="s">
        <v>88</v>
      </c>
      <c r="K395" s="82" t="s">
        <v>2473</v>
      </c>
      <c r="L395" s="79"/>
      <c r="M395" s="79"/>
      <c r="N395" s="79">
        <v>4.0</v>
      </c>
      <c r="O395" s="74"/>
      <c r="P395" s="80"/>
      <c r="Q395" s="79"/>
      <c r="R395" s="80"/>
      <c r="S395" s="78" t="s">
        <v>3449</v>
      </c>
      <c r="T395" s="85" t="s">
        <v>3450</v>
      </c>
      <c r="U395" s="78" t="s">
        <v>3451</v>
      </c>
      <c r="V395" s="102" t="s">
        <v>3452</v>
      </c>
      <c r="W395" s="79" t="s">
        <v>306</v>
      </c>
      <c r="X395" s="79" t="s">
        <v>306</v>
      </c>
      <c r="Y395" s="79" t="s">
        <v>309</v>
      </c>
      <c r="Z395" s="79"/>
    </row>
    <row r="396" ht="15.0" customHeight="1">
      <c r="A396" s="76" t="s">
        <v>247</v>
      </c>
      <c r="B396" s="77" t="s">
        <v>1345</v>
      </c>
      <c r="C396" s="80">
        <v>3.0591408093E10</v>
      </c>
      <c r="D396" s="119" t="s">
        <v>264</v>
      </c>
      <c r="E396" s="79" t="s">
        <v>1563</v>
      </c>
      <c r="F396" s="44">
        <v>3885.0</v>
      </c>
      <c r="G396" s="79" t="s">
        <v>15</v>
      </c>
      <c r="H396" s="80">
        <v>1678.0</v>
      </c>
      <c r="I396" s="77">
        <v>131209.0</v>
      </c>
      <c r="J396" s="74" t="s">
        <v>448</v>
      </c>
      <c r="K396" s="77" t="s">
        <v>3454</v>
      </c>
      <c r="L396" s="79"/>
      <c r="M396" s="77" t="s">
        <v>3455</v>
      </c>
      <c r="N396" s="79">
        <v>42.0</v>
      </c>
      <c r="O396" s="74" t="s">
        <v>3456</v>
      </c>
      <c r="P396" s="78" t="s">
        <v>3457</v>
      </c>
      <c r="Q396" s="79" t="s">
        <v>3458</v>
      </c>
      <c r="R396" s="78" t="s">
        <v>3459</v>
      </c>
      <c r="S396" s="78" t="s">
        <v>3460</v>
      </c>
      <c r="T396" s="85" t="s">
        <v>3461</v>
      </c>
      <c r="U396" s="78" t="s">
        <v>3462</v>
      </c>
      <c r="V396" s="102" t="s">
        <v>3463</v>
      </c>
      <c r="W396" s="79" t="s">
        <v>309</v>
      </c>
      <c r="X396" s="79" t="s">
        <v>309</v>
      </c>
      <c r="Y396" s="79" t="s">
        <v>309</v>
      </c>
      <c r="Z396" s="79"/>
    </row>
    <row r="397" ht="15.0" customHeight="1">
      <c r="A397" s="76" t="s">
        <v>247</v>
      </c>
      <c r="B397" s="77" t="s">
        <v>3465</v>
      </c>
      <c r="C397" s="80">
        <v>3.0516468625E10</v>
      </c>
      <c r="D397" s="119" t="s">
        <v>264</v>
      </c>
      <c r="E397" s="79" t="s">
        <v>3466</v>
      </c>
      <c r="F397" s="44">
        <v>3808.0</v>
      </c>
      <c r="G397" s="79" t="s">
        <v>68</v>
      </c>
      <c r="H397" s="80">
        <v>1702.0</v>
      </c>
      <c r="I397" s="77">
        <v>202200.0</v>
      </c>
      <c r="J397" s="74" t="s">
        <v>316</v>
      </c>
      <c r="K397" s="79" t="s">
        <v>3468</v>
      </c>
      <c r="L397" s="79"/>
      <c r="M397" s="79"/>
      <c r="N397" s="79">
        <v>0.0</v>
      </c>
      <c r="O397" s="74" t="s">
        <v>3469</v>
      </c>
      <c r="P397" s="78" t="s">
        <v>3470</v>
      </c>
      <c r="Q397" s="79"/>
      <c r="R397" s="80"/>
      <c r="S397" s="80" t="s">
        <v>3471</v>
      </c>
      <c r="T397" s="101" t="s">
        <v>3472</v>
      </c>
      <c r="U397" s="78" t="s">
        <v>3473</v>
      </c>
      <c r="V397" s="86" t="s">
        <v>3474</v>
      </c>
      <c r="W397" s="79" t="s">
        <v>309</v>
      </c>
      <c r="X397" s="79" t="s">
        <v>309</v>
      </c>
      <c r="Y397" s="79"/>
      <c r="Z397" s="79"/>
    </row>
    <row r="398" ht="15.0" customHeight="1">
      <c r="A398" s="103" t="s">
        <v>24</v>
      </c>
      <c r="B398" s="77" t="s">
        <v>3476</v>
      </c>
      <c r="C398" s="80">
        <v>3.0710763026E10</v>
      </c>
      <c r="D398" s="79" t="s">
        <v>264</v>
      </c>
      <c r="E398" s="77" t="s">
        <v>2518</v>
      </c>
      <c r="F398" s="128">
        <v>2706.0</v>
      </c>
      <c r="G398" s="77" t="s">
        <v>226</v>
      </c>
      <c r="H398" s="80">
        <v>1674.0</v>
      </c>
      <c r="I398" s="79">
        <v>141201.0</v>
      </c>
      <c r="J398" s="74" t="s">
        <v>448</v>
      </c>
      <c r="K398" s="79" t="s">
        <v>3477</v>
      </c>
      <c r="L398" s="79"/>
      <c r="M398" s="79"/>
      <c r="N398" s="79">
        <v>5.0</v>
      </c>
      <c r="O398" s="74"/>
      <c r="P398" s="80"/>
      <c r="Q398" s="79"/>
      <c r="R398" s="80"/>
      <c r="S398" s="78" t="s">
        <v>3478</v>
      </c>
      <c r="T398" s="101" t="s">
        <v>332</v>
      </c>
      <c r="U398" s="80" t="s">
        <v>332</v>
      </c>
      <c r="V398" s="102" t="s">
        <v>429</v>
      </c>
      <c r="W398" s="79" t="s">
        <v>306</v>
      </c>
      <c r="X398" s="79" t="s">
        <v>306</v>
      </c>
      <c r="Y398" s="79"/>
      <c r="Z398" s="79"/>
    </row>
    <row r="399" ht="15.0" customHeight="1">
      <c r="A399" s="76" t="s">
        <v>247</v>
      </c>
      <c r="B399" s="77" t="s">
        <v>3480</v>
      </c>
      <c r="C399" s="80">
        <v>3.059366407E10</v>
      </c>
      <c r="D399" s="79" t="s">
        <v>264</v>
      </c>
      <c r="E399" s="77" t="s">
        <v>3481</v>
      </c>
      <c r="F399" s="44">
        <v>5925.0</v>
      </c>
      <c r="G399" s="79" t="s">
        <v>134</v>
      </c>
      <c r="H399" s="80">
        <v>1682.0</v>
      </c>
      <c r="I399" s="79">
        <v>251909.0</v>
      </c>
      <c r="J399" s="74" t="s">
        <v>88</v>
      </c>
      <c r="K399" s="77" t="s">
        <v>2473</v>
      </c>
      <c r="L399" s="79"/>
      <c r="M399" s="77" t="s">
        <v>3482</v>
      </c>
      <c r="N399" s="79">
        <v>1.0</v>
      </c>
      <c r="O399" s="74"/>
      <c r="P399" s="80"/>
      <c r="Q399" s="79"/>
      <c r="R399" s="80"/>
      <c r="S399" s="78" t="s">
        <v>3483</v>
      </c>
      <c r="T399" s="85" t="s">
        <v>3485</v>
      </c>
      <c r="U399" s="80" t="s">
        <v>332</v>
      </c>
      <c r="V399" s="230" t="s">
        <v>3486</v>
      </c>
      <c r="W399" s="79" t="s">
        <v>309</v>
      </c>
      <c r="X399" s="79" t="s">
        <v>309</v>
      </c>
      <c r="Y399" s="79"/>
      <c r="Z399" s="79"/>
    </row>
    <row r="400" ht="15.0" customHeight="1">
      <c r="A400" s="76" t="s">
        <v>247</v>
      </c>
      <c r="B400" s="79" t="s">
        <v>3487</v>
      </c>
      <c r="C400" s="80">
        <v>2.0044143748E10</v>
      </c>
      <c r="D400" s="77" t="s">
        <v>631</v>
      </c>
      <c r="E400" s="79" t="s">
        <v>1045</v>
      </c>
      <c r="F400" s="128" t="s">
        <v>3488</v>
      </c>
      <c r="G400" s="79" t="s">
        <v>15</v>
      </c>
      <c r="H400" s="80">
        <v>1678.0</v>
      </c>
      <c r="I400" s="77">
        <v>681098.0</v>
      </c>
      <c r="J400" s="83" t="s">
        <v>433</v>
      </c>
      <c r="K400" s="77" t="s">
        <v>3489</v>
      </c>
      <c r="L400" s="79" t="s">
        <v>453</v>
      </c>
      <c r="M400" s="79"/>
      <c r="N400" s="79"/>
      <c r="O400" s="126" t="s">
        <v>3491</v>
      </c>
      <c r="P400" s="80"/>
      <c r="Q400" s="79" t="s">
        <v>3492</v>
      </c>
      <c r="R400" s="80"/>
      <c r="S400" s="80" t="s">
        <v>3493</v>
      </c>
      <c r="T400" s="101" t="s">
        <v>3494</v>
      </c>
      <c r="U400" s="80"/>
      <c r="V400" s="86" t="s">
        <v>3495</v>
      </c>
      <c r="W400" s="79"/>
      <c r="X400" s="79"/>
      <c r="Y400" s="79" t="s">
        <v>309</v>
      </c>
      <c r="Z400" s="79"/>
    </row>
    <row r="401" ht="15.0" customHeight="1">
      <c r="A401" s="76" t="s">
        <v>247</v>
      </c>
      <c r="B401" s="77" t="s">
        <v>3496</v>
      </c>
      <c r="C401" s="80">
        <v>3.3710049179E10</v>
      </c>
      <c r="D401" s="119" t="s">
        <v>264</v>
      </c>
      <c r="E401" s="79" t="s">
        <v>2669</v>
      </c>
      <c r="F401" s="44">
        <v>3168.0</v>
      </c>
      <c r="G401" s="79" t="s">
        <v>15</v>
      </c>
      <c r="H401" s="80">
        <v>1678.0</v>
      </c>
      <c r="I401" s="79">
        <v>241009.0</v>
      </c>
      <c r="J401" s="74" t="s">
        <v>347</v>
      </c>
      <c r="K401" s="77" t="s">
        <v>3498</v>
      </c>
      <c r="L401" s="79"/>
      <c r="M401" s="79"/>
      <c r="N401" s="79">
        <v>5.0</v>
      </c>
      <c r="O401" s="74"/>
      <c r="P401" s="80"/>
      <c r="Q401" s="79" t="s">
        <v>3499</v>
      </c>
      <c r="R401" s="80"/>
      <c r="S401" s="78" t="s">
        <v>3500</v>
      </c>
      <c r="T401" s="85" t="s">
        <v>3501</v>
      </c>
      <c r="U401" s="78" t="s">
        <v>3502</v>
      </c>
      <c r="V401" s="102" t="s">
        <v>3503</v>
      </c>
      <c r="W401" s="79" t="s">
        <v>309</v>
      </c>
      <c r="X401" s="79" t="s">
        <v>309</v>
      </c>
      <c r="Y401" s="79" t="s">
        <v>309</v>
      </c>
      <c r="Z401" s="79"/>
    </row>
    <row r="402" ht="15.0" customHeight="1">
      <c r="A402" s="103" t="s">
        <v>24</v>
      </c>
      <c r="B402" s="77" t="s">
        <v>3504</v>
      </c>
      <c r="C402" s="80">
        <v>3.070857441E10</v>
      </c>
      <c r="D402" s="119" t="s">
        <v>264</v>
      </c>
      <c r="E402" s="77" t="s">
        <v>3506</v>
      </c>
      <c r="F402" s="44">
        <v>5036.0</v>
      </c>
      <c r="G402" s="79" t="s">
        <v>15</v>
      </c>
      <c r="H402" s="80">
        <v>1678.0</v>
      </c>
      <c r="I402" s="79">
        <v>433020.0</v>
      </c>
      <c r="J402" s="74" t="s">
        <v>125</v>
      </c>
      <c r="K402" s="79" t="s">
        <v>3507</v>
      </c>
      <c r="L402" s="79" t="s">
        <v>453</v>
      </c>
      <c r="M402" s="79"/>
      <c r="N402" s="79">
        <v>0.0</v>
      </c>
      <c r="O402" s="74"/>
      <c r="P402" s="80"/>
      <c r="Q402" s="79"/>
      <c r="R402" s="80"/>
      <c r="S402" s="80" t="s">
        <v>3508</v>
      </c>
      <c r="T402" s="101" t="s">
        <v>332</v>
      </c>
      <c r="U402" s="80" t="s">
        <v>332</v>
      </c>
      <c r="V402" s="102" t="s">
        <v>429</v>
      </c>
      <c r="W402" s="79" t="s">
        <v>306</v>
      </c>
      <c r="X402" s="79" t="s">
        <v>306</v>
      </c>
      <c r="Y402" s="79"/>
      <c r="Z402" s="79"/>
    </row>
    <row r="403" ht="15.0" customHeight="1">
      <c r="A403" s="103" t="s">
        <v>24</v>
      </c>
      <c r="B403" s="77" t="s">
        <v>3510</v>
      </c>
      <c r="C403" s="79">
        <v>3.3504171669E10</v>
      </c>
      <c r="D403" s="77" t="s">
        <v>264</v>
      </c>
      <c r="E403" s="79" t="s">
        <v>3511</v>
      </c>
      <c r="F403" s="44">
        <v>5054.0</v>
      </c>
      <c r="G403" s="79" t="s">
        <v>269</v>
      </c>
      <c r="H403" s="80">
        <v>1682.0</v>
      </c>
      <c r="I403" s="79">
        <v>289100.0</v>
      </c>
      <c r="J403" s="74" t="s">
        <v>347</v>
      </c>
      <c r="K403" s="77" t="s">
        <v>3512</v>
      </c>
      <c r="L403" s="79" t="s">
        <v>453</v>
      </c>
      <c r="M403" s="79"/>
      <c r="N403" s="79">
        <v>0.0</v>
      </c>
      <c r="O403" s="74"/>
      <c r="P403" s="80"/>
      <c r="Q403" s="79"/>
      <c r="R403" s="80"/>
      <c r="S403" s="80" t="s">
        <v>3514</v>
      </c>
      <c r="T403" s="101" t="s">
        <v>332</v>
      </c>
      <c r="U403" s="80" t="s">
        <v>332</v>
      </c>
      <c r="V403" s="102" t="s">
        <v>429</v>
      </c>
      <c r="W403" s="79" t="s">
        <v>306</v>
      </c>
      <c r="X403" s="79" t="s">
        <v>306</v>
      </c>
      <c r="Y403" s="79"/>
      <c r="Z403" s="79"/>
    </row>
    <row r="404" ht="15.0" customHeight="1">
      <c r="A404" s="76" t="s">
        <v>247</v>
      </c>
      <c r="B404" s="77" t="s">
        <v>3515</v>
      </c>
      <c r="C404" s="80">
        <v>3.0523041815E10</v>
      </c>
      <c r="D404" s="79" t="s">
        <v>264</v>
      </c>
      <c r="E404" s="77" t="s">
        <v>608</v>
      </c>
      <c r="F404" s="44">
        <v>3240.0</v>
      </c>
      <c r="G404" s="79" t="s">
        <v>15</v>
      </c>
      <c r="H404" s="80">
        <v>1678.0</v>
      </c>
      <c r="I404" s="79">
        <v>239900.0</v>
      </c>
      <c r="J404" s="74" t="s">
        <v>347</v>
      </c>
      <c r="K404" s="77" t="s">
        <v>3517</v>
      </c>
      <c r="L404" s="79" t="s">
        <v>453</v>
      </c>
      <c r="M404" s="79"/>
      <c r="N404" s="79">
        <v>28.0</v>
      </c>
      <c r="O404" s="74"/>
      <c r="P404" s="80"/>
      <c r="Q404" s="79" t="s">
        <v>3518</v>
      </c>
      <c r="R404" s="80"/>
      <c r="S404" s="78" t="s">
        <v>3519</v>
      </c>
      <c r="T404" s="101" t="s">
        <v>3520</v>
      </c>
      <c r="U404" s="80" t="s">
        <v>332</v>
      </c>
      <c r="V404" s="86" t="s">
        <v>3521</v>
      </c>
      <c r="W404" s="79" t="s">
        <v>309</v>
      </c>
      <c r="X404" s="79" t="s">
        <v>309</v>
      </c>
      <c r="Y404" s="79"/>
      <c r="Z404" s="79"/>
    </row>
    <row r="405" ht="15.0" customHeight="1">
      <c r="A405" s="76" t="s">
        <v>247</v>
      </c>
      <c r="B405" s="77" t="s">
        <v>3523</v>
      </c>
      <c r="C405" s="80">
        <v>3.0589958442E10</v>
      </c>
      <c r="D405" s="119" t="s">
        <v>264</v>
      </c>
      <c r="E405" s="79" t="s">
        <v>678</v>
      </c>
      <c r="F405" s="44">
        <v>4747.0</v>
      </c>
      <c r="G405" s="79" t="s">
        <v>15</v>
      </c>
      <c r="H405" s="80">
        <v>1678.0</v>
      </c>
      <c r="I405" s="77">
        <v>275099.0</v>
      </c>
      <c r="J405" s="83" t="s">
        <v>261</v>
      </c>
      <c r="K405" s="77" t="s">
        <v>3524</v>
      </c>
      <c r="L405" s="79"/>
      <c r="M405" s="79"/>
      <c r="N405" s="79">
        <v>0.0</v>
      </c>
      <c r="O405" s="74"/>
      <c r="P405" s="80"/>
      <c r="Q405" s="79"/>
      <c r="R405" s="80"/>
      <c r="S405" s="101" t="s">
        <v>3526</v>
      </c>
      <c r="T405" s="101" t="s">
        <v>332</v>
      </c>
      <c r="U405" s="80" t="s">
        <v>332</v>
      </c>
      <c r="V405" s="102" t="s">
        <v>429</v>
      </c>
      <c r="W405" s="79" t="s">
        <v>309</v>
      </c>
      <c r="X405" s="79" t="s">
        <v>309</v>
      </c>
      <c r="Y405" s="79" t="s">
        <v>309</v>
      </c>
      <c r="Z405" s="79"/>
    </row>
    <row r="406" ht="15.0" customHeight="1">
      <c r="A406" s="103" t="s">
        <v>24</v>
      </c>
      <c r="B406" s="77" t="s">
        <v>3527</v>
      </c>
      <c r="C406" s="80">
        <v>3.0710761465E10</v>
      </c>
      <c r="D406" s="119" t="s">
        <v>264</v>
      </c>
      <c r="E406" s="79" t="s">
        <v>2916</v>
      </c>
      <c r="F406" s="44">
        <v>6576.0</v>
      </c>
      <c r="G406" s="79" t="s">
        <v>119</v>
      </c>
      <c r="H406" s="80">
        <v>1657.0</v>
      </c>
      <c r="I406" s="79">
        <v>410021.0</v>
      </c>
      <c r="J406" s="74" t="s">
        <v>125</v>
      </c>
      <c r="K406" s="77" t="s">
        <v>2957</v>
      </c>
      <c r="L406" s="79" t="s">
        <v>453</v>
      </c>
      <c r="M406" s="79"/>
      <c r="N406" s="79">
        <v>1.0</v>
      </c>
      <c r="O406" s="83" t="s">
        <v>3529</v>
      </c>
      <c r="P406" s="80"/>
      <c r="Q406" s="77" t="s">
        <v>3530</v>
      </c>
      <c r="R406" s="80"/>
      <c r="S406" s="80"/>
      <c r="T406" s="101" t="s">
        <v>332</v>
      </c>
      <c r="U406" s="80" t="s">
        <v>332</v>
      </c>
      <c r="V406" s="102" t="s">
        <v>429</v>
      </c>
      <c r="W406" s="79" t="s">
        <v>306</v>
      </c>
      <c r="X406" s="79" t="s">
        <v>306</v>
      </c>
      <c r="Y406" s="79"/>
      <c r="Z406" s="79"/>
    </row>
    <row r="407" ht="15.0" customHeight="1">
      <c r="A407" s="103" t="s">
        <v>24</v>
      </c>
      <c r="B407" s="79" t="s">
        <v>3531</v>
      </c>
      <c r="C407" s="80">
        <v>3.0597985726E10</v>
      </c>
      <c r="D407" s="77" t="s">
        <v>631</v>
      </c>
      <c r="E407" s="79" t="s">
        <v>2003</v>
      </c>
      <c r="F407" s="44">
        <v>4059.0</v>
      </c>
      <c r="G407" s="79" t="s">
        <v>68</v>
      </c>
      <c r="H407" s="80">
        <v>1702.0</v>
      </c>
      <c r="I407" s="79">
        <v>361010.0</v>
      </c>
      <c r="J407" s="74" t="s">
        <v>313</v>
      </c>
      <c r="K407" s="79" t="s">
        <v>2534</v>
      </c>
      <c r="L407" s="79" t="s">
        <v>1122</v>
      </c>
      <c r="M407" s="79"/>
      <c r="N407" s="79">
        <v>0.0</v>
      </c>
      <c r="O407" s="74"/>
      <c r="P407" s="80"/>
      <c r="Q407" s="79"/>
      <c r="R407" s="80"/>
      <c r="S407" s="78" t="s">
        <v>3533</v>
      </c>
      <c r="T407" s="101" t="s">
        <v>332</v>
      </c>
      <c r="U407" s="80" t="s">
        <v>332</v>
      </c>
      <c r="V407" s="102" t="s">
        <v>429</v>
      </c>
      <c r="W407" s="79" t="s">
        <v>306</v>
      </c>
      <c r="X407" s="79" t="s">
        <v>306</v>
      </c>
      <c r="Y407" s="79"/>
      <c r="Z407" s="79"/>
    </row>
    <row r="408" ht="15.0" customHeight="1">
      <c r="A408" s="103" t="s">
        <v>24</v>
      </c>
      <c r="B408" s="77" t="s">
        <v>3534</v>
      </c>
      <c r="C408" s="80">
        <v>3.0711117845E10</v>
      </c>
      <c r="D408" s="119" t="s">
        <v>264</v>
      </c>
      <c r="E408" s="126" t="s">
        <v>696</v>
      </c>
      <c r="F408" s="44">
        <v>4166.0</v>
      </c>
      <c r="G408" s="79" t="s">
        <v>15</v>
      </c>
      <c r="H408" s="80">
        <v>1678.0</v>
      </c>
      <c r="I408" s="79">
        <v>281900.0</v>
      </c>
      <c r="J408" s="74" t="s">
        <v>347</v>
      </c>
      <c r="K408" s="77" t="s">
        <v>3537</v>
      </c>
      <c r="L408" s="79" t="s">
        <v>662</v>
      </c>
      <c r="M408" s="77" t="s">
        <v>3538</v>
      </c>
      <c r="N408" s="79">
        <v>4.0</v>
      </c>
      <c r="O408" s="74"/>
      <c r="P408" s="80"/>
      <c r="Q408" s="79"/>
      <c r="R408" s="80"/>
      <c r="S408" s="80" t="s">
        <v>3539</v>
      </c>
      <c r="T408" s="85"/>
      <c r="U408" s="80" t="s">
        <v>332</v>
      </c>
      <c r="V408" s="98" t="s">
        <v>3540</v>
      </c>
      <c r="W408" s="79" t="s">
        <v>309</v>
      </c>
      <c r="X408" s="79" t="s">
        <v>309</v>
      </c>
      <c r="Y408" s="79"/>
      <c r="Z408" s="79"/>
    </row>
    <row r="409" ht="15.0" customHeight="1">
      <c r="A409" s="103" t="s">
        <v>24</v>
      </c>
      <c r="B409" s="77" t="s">
        <v>3542</v>
      </c>
      <c r="C409" s="80">
        <v>3.0709053384E10</v>
      </c>
      <c r="D409" s="119" t="s">
        <v>264</v>
      </c>
      <c r="E409" s="77" t="s">
        <v>2902</v>
      </c>
      <c r="F409" s="44">
        <v>260.0</v>
      </c>
      <c r="G409" s="79" t="s">
        <v>68</v>
      </c>
      <c r="H409" s="80">
        <v>1702.0</v>
      </c>
      <c r="I409" s="79">
        <v>259309.0</v>
      </c>
      <c r="J409" s="74" t="s">
        <v>347</v>
      </c>
      <c r="K409" s="77" t="s">
        <v>1121</v>
      </c>
      <c r="L409" s="79"/>
      <c r="M409" s="79"/>
      <c r="N409" s="79">
        <v>2.0</v>
      </c>
      <c r="O409" s="74"/>
      <c r="P409" s="80"/>
      <c r="Q409" s="79"/>
      <c r="R409" s="80"/>
      <c r="S409" s="78" t="s">
        <v>3544</v>
      </c>
      <c r="T409" s="101" t="s">
        <v>332</v>
      </c>
      <c r="U409" s="80" t="s">
        <v>332</v>
      </c>
      <c r="V409" s="102" t="s">
        <v>429</v>
      </c>
      <c r="W409" s="79" t="s">
        <v>306</v>
      </c>
      <c r="X409" s="79" t="s">
        <v>306</v>
      </c>
      <c r="Y409" s="79"/>
      <c r="Z409" s="79"/>
    </row>
    <row r="410" ht="15.0" customHeight="1">
      <c r="A410" s="76" t="s">
        <v>247</v>
      </c>
      <c r="B410" s="77" t="s">
        <v>3545</v>
      </c>
      <c r="C410" s="80">
        <v>3.0655286469E10</v>
      </c>
      <c r="D410" s="79" t="s">
        <v>264</v>
      </c>
      <c r="E410" s="79" t="s">
        <v>1860</v>
      </c>
      <c r="F410" s="44">
        <v>3143.0</v>
      </c>
      <c r="G410" s="79" t="s">
        <v>15</v>
      </c>
      <c r="H410" s="80">
        <v>1678.0</v>
      </c>
      <c r="I410" s="79">
        <v>231090.0</v>
      </c>
      <c r="J410" s="74" t="s">
        <v>457</v>
      </c>
      <c r="K410" s="77" t="s">
        <v>2477</v>
      </c>
      <c r="L410" s="79"/>
      <c r="M410" s="79"/>
      <c r="N410" s="79">
        <v>49.0</v>
      </c>
      <c r="O410" s="74"/>
      <c r="P410" s="80"/>
      <c r="Q410" s="79"/>
      <c r="R410" s="80"/>
      <c r="S410" s="80" t="s">
        <v>3547</v>
      </c>
      <c r="T410" s="101" t="s">
        <v>3548</v>
      </c>
      <c r="U410" s="80" t="s">
        <v>3549</v>
      </c>
      <c r="V410" s="102" t="s">
        <v>3550</v>
      </c>
      <c r="W410" s="79" t="s">
        <v>309</v>
      </c>
      <c r="X410" s="79" t="s">
        <v>309</v>
      </c>
      <c r="Y410" s="79" t="s">
        <v>309</v>
      </c>
      <c r="Z410" s="79"/>
    </row>
    <row r="411" ht="15.0" customHeight="1">
      <c r="A411" s="76" t="s">
        <v>247</v>
      </c>
      <c r="B411" s="77" t="s">
        <v>1346</v>
      </c>
      <c r="C411" s="85">
        <v>3.0655286469E10</v>
      </c>
      <c r="D411" s="77" t="s">
        <v>264</v>
      </c>
      <c r="E411" s="77" t="s">
        <v>3552</v>
      </c>
      <c r="F411" s="128">
        <v>3158.0</v>
      </c>
      <c r="G411" s="77" t="s">
        <v>15</v>
      </c>
      <c r="H411" s="78">
        <v>1678.0</v>
      </c>
      <c r="I411" s="78">
        <v>231090.0</v>
      </c>
      <c r="J411" s="83" t="s">
        <v>457</v>
      </c>
      <c r="K411" s="77" t="s">
        <v>2477</v>
      </c>
      <c r="L411" s="79"/>
      <c r="M411" s="77" t="s">
        <v>3554</v>
      </c>
      <c r="N411" s="77">
        <v>49.0</v>
      </c>
      <c r="O411" s="77" t="s">
        <v>3555</v>
      </c>
      <c r="P411" s="78" t="s">
        <v>3556</v>
      </c>
      <c r="Q411" s="79"/>
      <c r="R411" s="80"/>
      <c r="S411" s="78" t="s">
        <v>3557</v>
      </c>
      <c r="T411" s="85" t="s">
        <v>3548</v>
      </c>
      <c r="U411" s="78" t="s">
        <v>3558</v>
      </c>
      <c r="V411" s="102" t="s">
        <v>3550</v>
      </c>
      <c r="W411" s="79"/>
      <c r="X411" s="79"/>
      <c r="Y411" s="79"/>
      <c r="Z411" s="79"/>
    </row>
    <row r="412" ht="15.0" customHeight="1">
      <c r="A412" s="76" t="s">
        <v>247</v>
      </c>
      <c r="B412" s="77" t="s">
        <v>3559</v>
      </c>
      <c r="C412" s="80">
        <v>3.0709522066E10</v>
      </c>
      <c r="D412" s="79" t="s">
        <v>264</v>
      </c>
      <c r="E412" s="79" t="s">
        <v>1965</v>
      </c>
      <c r="F412" s="44">
        <v>4796.0</v>
      </c>
      <c r="G412" s="79" t="s">
        <v>15</v>
      </c>
      <c r="H412" s="80">
        <v>1678.0</v>
      </c>
      <c r="I412" s="79">
        <v>202320.0</v>
      </c>
      <c r="J412" s="74" t="s">
        <v>316</v>
      </c>
      <c r="K412" s="79" t="s">
        <v>3561</v>
      </c>
      <c r="L412" s="79" t="s">
        <v>369</v>
      </c>
      <c r="M412" s="79" t="s">
        <v>3562</v>
      </c>
      <c r="N412" s="79">
        <v>20.0</v>
      </c>
      <c r="O412" s="83" t="s">
        <v>3563</v>
      </c>
      <c r="P412" s="78" t="s">
        <v>3564</v>
      </c>
      <c r="Q412" s="119" t="s">
        <v>3565</v>
      </c>
      <c r="R412" s="85" t="s">
        <v>3566</v>
      </c>
      <c r="S412" s="80" t="s">
        <v>3567</v>
      </c>
      <c r="T412" s="101" t="s">
        <v>3568</v>
      </c>
      <c r="U412" s="80"/>
      <c r="V412" s="102" t="s">
        <v>3569</v>
      </c>
      <c r="W412" s="79" t="s">
        <v>309</v>
      </c>
      <c r="X412" s="79" t="s">
        <v>309</v>
      </c>
      <c r="Y412" s="79" t="s">
        <v>309</v>
      </c>
      <c r="Z412" s="79"/>
    </row>
    <row r="413" ht="15.0" customHeight="1">
      <c r="A413" s="103" t="s">
        <v>24</v>
      </c>
      <c r="B413" s="77" t="s">
        <v>3571</v>
      </c>
      <c r="C413" s="80">
        <v>3.0551469863E10</v>
      </c>
      <c r="D413" s="119" t="s">
        <v>264</v>
      </c>
      <c r="E413" s="77" t="s">
        <v>1176</v>
      </c>
      <c r="F413" s="44">
        <v>4105.0</v>
      </c>
      <c r="G413" s="79" t="s">
        <v>68</v>
      </c>
      <c r="H413" s="80">
        <v>1702.0</v>
      </c>
      <c r="I413" s="79">
        <v>275099.0</v>
      </c>
      <c r="J413" s="83" t="s">
        <v>207</v>
      </c>
      <c r="K413" s="77" t="s">
        <v>1527</v>
      </c>
      <c r="L413" s="79"/>
      <c r="M413" s="77" t="s">
        <v>3573</v>
      </c>
      <c r="N413" s="79">
        <v>16.0</v>
      </c>
      <c r="O413" s="74"/>
      <c r="P413" s="80"/>
      <c r="Q413" s="79"/>
      <c r="R413" s="80"/>
      <c r="S413" s="78" t="s">
        <v>3574</v>
      </c>
      <c r="T413" s="85" t="s">
        <v>3575</v>
      </c>
      <c r="U413" s="80" t="s">
        <v>332</v>
      </c>
      <c r="V413" s="237" t="s">
        <v>3576</v>
      </c>
      <c r="W413" s="79" t="s">
        <v>309</v>
      </c>
      <c r="X413" s="79" t="s">
        <v>309</v>
      </c>
      <c r="Y413" s="79"/>
      <c r="Z413" s="79"/>
    </row>
    <row r="414" ht="15.0" customHeight="1">
      <c r="A414" s="103" t="s">
        <v>24</v>
      </c>
      <c r="B414" s="79" t="s">
        <v>3578</v>
      </c>
      <c r="C414" s="79">
        <v>2.0254452247E10</v>
      </c>
      <c r="D414" s="144" t="s">
        <v>631</v>
      </c>
      <c r="E414" s="79" t="s">
        <v>2007</v>
      </c>
      <c r="F414" s="128" t="s">
        <v>3579</v>
      </c>
      <c r="G414" s="79" t="s">
        <v>15</v>
      </c>
      <c r="H414" s="80">
        <v>1678.0</v>
      </c>
      <c r="I414" s="77">
        <v>251101.0</v>
      </c>
      <c r="J414" s="83" t="s">
        <v>347</v>
      </c>
      <c r="K414" s="77" t="s">
        <v>3580</v>
      </c>
      <c r="L414" s="79"/>
      <c r="M414" s="79"/>
      <c r="N414" s="79"/>
      <c r="O414" s="74"/>
      <c r="P414" s="80"/>
      <c r="Q414" s="79"/>
      <c r="R414" s="80"/>
      <c r="S414" s="78" t="s">
        <v>3582</v>
      </c>
      <c r="T414" s="101"/>
      <c r="U414" s="80"/>
      <c r="V414" s="102" t="s">
        <v>429</v>
      </c>
      <c r="W414" s="79"/>
      <c r="X414" s="79"/>
      <c r="Y414" s="79"/>
      <c r="Z414" s="79"/>
    </row>
    <row r="415" ht="15.0" customHeight="1">
      <c r="A415" s="76" t="s">
        <v>247</v>
      </c>
      <c r="B415" s="77" t="s">
        <v>3583</v>
      </c>
      <c r="C415" s="80">
        <v>3.0574603788E10</v>
      </c>
      <c r="D415" s="79" t="s">
        <v>264</v>
      </c>
      <c r="E415" s="79" t="s">
        <v>3087</v>
      </c>
      <c r="F415" s="44">
        <v>4045.0</v>
      </c>
      <c r="G415" s="79" t="s">
        <v>68</v>
      </c>
      <c r="H415" s="80">
        <v>1702.0</v>
      </c>
      <c r="I415" s="79">
        <v>202320.0</v>
      </c>
      <c r="J415" s="74" t="s">
        <v>316</v>
      </c>
      <c r="K415" s="79" t="s">
        <v>3585</v>
      </c>
      <c r="L415" s="79"/>
      <c r="M415" s="77" t="s">
        <v>142</v>
      </c>
      <c r="N415" s="79">
        <v>37.0</v>
      </c>
      <c r="O415" s="74"/>
      <c r="P415" s="80"/>
      <c r="Q415" s="79"/>
      <c r="R415" s="80"/>
      <c r="S415" s="80" t="s">
        <v>3586</v>
      </c>
      <c r="T415" s="101" t="s">
        <v>3587</v>
      </c>
      <c r="U415" s="80" t="s">
        <v>332</v>
      </c>
      <c r="V415" s="98" t="s">
        <v>3588</v>
      </c>
      <c r="W415" s="79" t="s">
        <v>309</v>
      </c>
      <c r="X415" s="79" t="s">
        <v>309</v>
      </c>
      <c r="Y415" s="79" t="s">
        <v>309</v>
      </c>
      <c r="Z415" s="79"/>
    </row>
    <row r="416" ht="15.0" customHeight="1">
      <c r="A416" s="76" t="s">
        <v>247</v>
      </c>
      <c r="B416" s="77" t="s">
        <v>3590</v>
      </c>
      <c r="C416" s="80">
        <v>3.0687516709E10</v>
      </c>
      <c r="D416" s="79" t="s">
        <v>264</v>
      </c>
      <c r="E416" s="77" t="s">
        <v>1458</v>
      </c>
      <c r="F416" s="44">
        <v>4865.0</v>
      </c>
      <c r="G416" s="79" t="s">
        <v>15</v>
      </c>
      <c r="H416" s="80">
        <v>1678.0</v>
      </c>
      <c r="I416" s="79">
        <v>273190.0</v>
      </c>
      <c r="J416" s="74" t="s">
        <v>347</v>
      </c>
      <c r="K416" s="77" t="s">
        <v>3591</v>
      </c>
      <c r="L416" s="79"/>
      <c r="M416" s="77" t="s">
        <v>3592</v>
      </c>
      <c r="N416" s="79">
        <v>119.0</v>
      </c>
      <c r="O416" s="74"/>
      <c r="P416" s="80"/>
      <c r="Q416" s="79"/>
      <c r="R416" s="80"/>
      <c r="S416" s="78" t="s">
        <v>3594</v>
      </c>
      <c r="T416" s="80" t="s">
        <v>3595</v>
      </c>
      <c r="U416" s="101" t="s">
        <v>3596</v>
      </c>
      <c r="V416" s="98" t="s">
        <v>3597</v>
      </c>
      <c r="W416" s="79" t="s">
        <v>309</v>
      </c>
      <c r="X416" s="79" t="s">
        <v>309</v>
      </c>
      <c r="Y416" s="79" t="s">
        <v>309</v>
      </c>
      <c r="Z416" s="79"/>
    </row>
    <row r="417" ht="15.0" customHeight="1">
      <c r="A417" s="76" t="s">
        <v>247</v>
      </c>
      <c r="B417" s="77" t="s">
        <v>3598</v>
      </c>
      <c r="C417" s="80">
        <v>3.0505151433E10</v>
      </c>
      <c r="D417" s="119" t="s">
        <v>264</v>
      </c>
      <c r="E417" s="79" t="s">
        <v>1045</v>
      </c>
      <c r="F417" s="44">
        <v>3645.0</v>
      </c>
      <c r="G417" s="79" t="s">
        <v>15</v>
      </c>
      <c r="H417" s="80">
        <v>1678.0</v>
      </c>
      <c r="I417" s="79">
        <v>281500.0</v>
      </c>
      <c r="J417" s="74" t="s">
        <v>347</v>
      </c>
      <c r="K417" s="79" t="s">
        <v>2890</v>
      </c>
      <c r="L417" s="79"/>
      <c r="M417" s="77" t="s">
        <v>3600</v>
      </c>
      <c r="N417" s="79">
        <v>17.0</v>
      </c>
      <c r="O417" s="83"/>
      <c r="P417" s="80"/>
      <c r="Q417" s="79"/>
      <c r="R417" s="80"/>
      <c r="S417" s="78" t="s">
        <v>3601</v>
      </c>
      <c r="T417" s="78" t="s">
        <v>3602</v>
      </c>
      <c r="U417" s="78" t="s">
        <v>3603</v>
      </c>
      <c r="V417" s="98" t="s">
        <v>3604</v>
      </c>
      <c r="W417" s="79" t="s">
        <v>309</v>
      </c>
      <c r="X417" s="79" t="s">
        <v>309</v>
      </c>
      <c r="Y417" s="79" t="s">
        <v>309</v>
      </c>
      <c r="Z417" s="79"/>
    </row>
    <row r="418" ht="15.0" customHeight="1">
      <c r="A418" s="103" t="s">
        <v>24</v>
      </c>
      <c r="B418" s="77" t="s">
        <v>3598</v>
      </c>
      <c r="C418" s="85">
        <v>3.0505151433E10</v>
      </c>
      <c r="D418" s="77" t="s">
        <v>264</v>
      </c>
      <c r="E418" s="77" t="s">
        <v>1045</v>
      </c>
      <c r="F418" s="128">
        <v>3645.0</v>
      </c>
      <c r="G418" s="77" t="s">
        <v>15</v>
      </c>
      <c r="H418" s="78">
        <v>1678.0</v>
      </c>
      <c r="I418" s="78">
        <v>281500.0</v>
      </c>
      <c r="J418" s="74" t="s">
        <v>347</v>
      </c>
      <c r="K418" s="77" t="s">
        <v>3607</v>
      </c>
      <c r="L418" s="79"/>
      <c r="M418" s="77" t="s">
        <v>3608</v>
      </c>
      <c r="N418" s="79"/>
      <c r="O418" s="79"/>
      <c r="P418" s="80"/>
      <c r="Q418" s="79"/>
      <c r="R418" s="80"/>
      <c r="S418" s="78" t="s">
        <v>3601</v>
      </c>
      <c r="T418" s="101"/>
      <c r="U418" s="80"/>
      <c r="V418" s="102" t="s">
        <v>3604</v>
      </c>
      <c r="W418" s="79"/>
      <c r="X418" s="79"/>
      <c r="Y418" s="79"/>
      <c r="Z418" s="79"/>
    </row>
    <row r="419" ht="15.0" customHeight="1">
      <c r="A419" s="103" t="s">
        <v>24</v>
      </c>
      <c r="B419" s="77" t="s">
        <v>3609</v>
      </c>
      <c r="C419" s="80">
        <v>3.064105792E10</v>
      </c>
      <c r="D419" s="119" t="s">
        <v>264</v>
      </c>
      <c r="E419" s="79" t="s">
        <v>1965</v>
      </c>
      <c r="F419" s="44">
        <v>4746.0</v>
      </c>
      <c r="G419" s="79" t="s">
        <v>15</v>
      </c>
      <c r="H419" s="80">
        <v>1678.0</v>
      </c>
      <c r="I419" s="79">
        <v>269191.0</v>
      </c>
      <c r="J419" s="74" t="s">
        <v>125</v>
      </c>
      <c r="K419" s="79" t="s">
        <v>3611</v>
      </c>
      <c r="L419" s="79" t="s">
        <v>453</v>
      </c>
      <c r="M419" s="79"/>
      <c r="N419" s="79">
        <v>0.0</v>
      </c>
      <c r="O419" s="74"/>
      <c r="P419" s="80"/>
      <c r="Q419" s="79"/>
      <c r="R419" s="80"/>
      <c r="S419" s="80" t="s">
        <v>3612</v>
      </c>
      <c r="T419" s="101" t="s">
        <v>332</v>
      </c>
      <c r="U419" s="80" t="s">
        <v>332</v>
      </c>
      <c r="V419" s="102" t="s">
        <v>429</v>
      </c>
      <c r="W419" s="79" t="s">
        <v>306</v>
      </c>
      <c r="X419" s="79" t="s">
        <v>306</v>
      </c>
      <c r="Y419" s="79"/>
      <c r="Z419" s="79"/>
    </row>
    <row r="420" ht="15.0" customHeight="1">
      <c r="A420" s="76" t="s">
        <v>247</v>
      </c>
      <c r="B420" s="77" t="s">
        <v>1354</v>
      </c>
      <c r="C420" s="80">
        <v>3.0708214236E10</v>
      </c>
      <c r="D420" s="119" t="s">
        <v>264</v>
      </c>
      <c r="E420" s="79" t="s">
        <v>3614</v>
      </c>
      <c r="F420" s="44">
        <v>1963.0</v>
      </c>
      <c r="G420" s="79" t="s">
        <v>119</v>
      </c>
      <c r="H420" s="80">
        <v>1657.0</v>
      </c>
      <c r="I420" s="79">
        <v>429090.0</v>
      </c>
      <c r="J420" s="74" t="s">
        <v>125</v>
      </c>
      <c r="K420" s="77" t="s">
        <v>2860</v>
      </c>
      <c r="L420" s="79" t="s">
        <v>453</v>
      </c>
      <c r="M420" s="79"/>
      <c r="N420" s="79">
        <v>41.0</v>
      </c>
      <c r="O420" s="74" t="s">
        <v>3615</v>
      </c>
      <c r="P420" s="78" t="s">
        <v>3616</v>
      </c>
      <c r="Q420" s="79" t="s">
        <v>3617</v>
      </c>
      <c r="R420" s="78" t="s">
        <v>3618</v>
      </c>
      <c r="S420" s="78" t="s">
        <v>3619</v>
      </c>
      <c r="T420" s="85" t="s">
        <v>3620</v>
      </c>
      <c r="U420" s="78" t="s">
        <v>3621</v>
      </c>
      <c r="V420" s="102" t="s">
        <v>3622</v>
      </c>
      <c r="W420" s="79" t="s">
        <v>306</v>
      </c>
      <c r="X420" s="79" t="s">
        <v>306</v>
      </c>
      <c r="Y420" s="79" t="s">
        <v>309</v>
      </c>
      <c r="Z420" s="79"/>
    </row>
    <row r="421" ht="15.0" customHeight="1">
      <c r="A421" s="76" t="s">
        <v>247</v>
      </c>
      <c r="B421" s="79" t="s">
        <v>3624</v>
      </c>
      <c r="C421" s="80">
        <v>2.0083934329E10</v>
      </c>
      <c r="D421" s="77" t="s">
        <v>631</v>
      </c>
      <c r="E421" s="77" t="s">
        <v>266</v>
      </c>
      <c r="F421" s="44">
        <v>2928.0</v>
      </c>
      <c r="G421" s="79" t="s">
        <v>15</v>
      </c>
      <c r="H421" s="80">
        <v>1678.0</v>
      </c>
      <c r="I421" s="79">
        <v>281900.0</v>
      </c>
      <c r="J421" s="74" t="s">
        <v>337</v>
      </c>
      <c r="K421" s="77" t="s">
        <v>2217</v>
      </c>
      <c r="L421" s="79" t="s">
        <v>369</v>
      </c>
      <c r="M421" s="79" t="s">
        <v>3626</v>
      </c>
      <c r="N421" s="79"/>
      <c r="O421" s="74"/>
      <c r="P421" s="80"/>
      <c r="Q421" s="79"/>
      <c r="R421" s="80"/>
      <c r="S421" s="80" t="s">
        <v>3627</v>
      </c>
      <c r="T421" s="85" t="s">
        <v>3628</v>
      </c>
      <c r="U421" s="80"/>
      <c r="V421" s="102" t="s">
        <v>3629</v>
      </c>
      <c r="W421" s="79"/>
      <c r="X421" s="79"/>
      <c r="Y421" s="79"/>
      <c r="Z421" s="79"/>
    </row>
    <row r="422" ht="15.0" customHeight="1">
      <c r="A422" s="76" t="s">
        <v>247</v>
      </c>
      <c r="B422" s="79" t="s">
        <v>3630</v>
      </c>
      <c r="C422" s="80">
        <v>3.0708728728E10</v>
      </c>
      <c r="D422" s="79" t="s">
        <v>264</v>
      </c>
      <c r="E422" s="79" t="s">
        <v>1376</v>
      </c>
      <c r="F422" s="44">
        <v>2104.0</v>
      </c>
      <c r="G422" s="79" t="s">
        <v>68</v>
      </c>
      <c r="H422" s="80">
        <v>1702.0</v>
      </c>
      <c r="I422" s="79">
        <v>259999.0</v>
      </c>
      <c r="J422" s="74" t="s">
        <v>337</v>
      </c>
      <c r="K422" s="77" t="s">
        <v>839</v>
      </c>
      <c r="L422" s="79" t="s">
        <v>453</v>
      </c>
      <c r="M422" s="79" t="s">
        <v>3632</v>
      </c>
      <c r="N422" s="79"/>
      <c r="O422" s="83" t="s">
        <v>3633</v>
      </c>
      <c r="P422" s="80"/>
      <c r="Q422" s="79" t="s">
        <v>3634</v>
      </c>
      <c r="R422" s="80"/>
      <c r="S422" s="80" t="s">
        <v>3635</v>
      </c>
      <c r="T422" s="101" t="s">
        <v>3636</v>
      </c>
      <c r="U422" s="80"/>
      <c r="V422" s="102" t="s">
        <v>3637</v>
      </c>
      <c r="W422" s="79"/>
      <c r="X422" s="79"/>
      <c r="Y422" s="79"/>
      <c r="Z422" s="79"/>
    </row>
    <row r="423" ht="15.0" customHeight="1">
      <c r="A423" s="103" t="s">
        <v>24</v>
      </c>
      <c r="B423" s="77" t="s">
        <v>3638</v>
      </c>
      <c r="C423" s="80">
        <v>3.0677270965E10</v>
      </c>
      <c r="D423" s="119" t="s">
        <v>264</v>
      </c>
      <c r="E423" s="79" t="s">
        <v>478</v>
      </c>
      <c r="F423" s="44">
        <v>12250.0</v>
      </c>
      <c r="G423" s="79" t="s">
        <v>68</v>
      </c>
      <c r="H423" s="80">
        <v>1702.0</v>
      </c>
      <c r="I423" s="79">
        <v>524190.0</v>
      </c>
      <c r="J423" s="74" t="s">
        <v>433</v>
      </c>
      <c r="K423" s="77" t="s">
        <v>3640</v>
      </c>
      <c r="L423" s="79"/>
      <c r="M423" s="79"/>
      <c r="N423" s="79">
        <v>14.0</v>
      </c>
      <c r="O423" s="74"/>
      <c r="P423" s="80"/>
      <c r="Q423" s="79"/>
      <c r="R423" s="80"/>
      <c r="S423" s="114" t="s">
        <v>3641</v>
      </c>
      <c r="T423" s="101" t="s">
        <v>332</v>
      </c>
      <c r="U423" s="80" t="s">
        <v>332</v>
      </c>
      <c r="V423" s="102" t="s">
        <v>429</v>
      </c>
      <c r="W423" s="79" t="s">
        <v>306</v>
      </c>
      <c r="X423" s="79" t="s">
        <v>306</v>
      </c>
      <c r="Y423" s="79"/>
      <c r="Z423" s="79"/>
    </row>
    <row r="424" ht="15.0" customHeight="1">
      <c r="A424" s="76" t="s">
        <v>247</v>
      </c>
      <c r="B424" s="77" t="s">
        <v>3643</v>
      </c>
      <c r="C424" s="80">
        <v>3.070799296E10</v>
      </c>
      <c r="D424" s="79" t="s">
        <v>264</v>
      </c>
      <c r="E424" s="126" t="s">
        <v>985</v>
      </c>
      <c r="F424" s="44">
        <v>5872.0</v>
      </c>
      <c r="G424" s="79" t="s">
        <v>15</v>
      </c>
      <c r="H424" s="80">
        <v>1678.0</v>
      </c>
      <c r="I424" s="79">
        <v>259993.0</v>
      </c>
      <c r="J424" s="74" t="s">
        <v>347</v>
      </c>
      <c r="K424" s="129" t="s">
        <v>638</v>
      </c>
      <c r="L424" s="79" t="s">
        <v>453</v>
      </c>
      <c r="M424" s="79"/>
      <c r="N424" s="79">
        <v>8.0</v>
      </c>
      <c r="O424" s="83" t="s">
        <v>3644</v>
      </c>
      <c r="P424" s="78" t="s">
        <v>3645</v>
      </c>
      <c r="Q424" s="79" t="s">
        <v>3646</v>
      </c>
      <c r="R424" s="80"/>
      <c r="S424" s="80" t="s">
        <v>3647</v>
      </c>
      <c r="T424" s="101" t="s">
        <v>332</v>
      </c>
      <c r="U424" s="80" t="s">
        <v>332</v>
      </c>
      <c r="V424" s="102" t="s">
        <v>3648</v>
      </c>
      <c r="W424" s="79" t="s">
        <v>309</v>
      </c>
      <c r="X424" s="79" t="s">
        <v>309</v>
      </c>
      <c r="Y424" s="79" t="s">
        <v>309</v>
      </c>
      <c r="Z424" s="79"/>
    </row>
    <row r="425" ht="15.0" customHeight="1">
      <c r="A425" s="76" t="s">
        <v>247</v>
      </c>
      <c r="B425" s="144" t="s">
        <v>3650</v>
      </c>
      <c r="C425" s="101">
        <v>3.0623294648E10</v>
      </c>
      <c r="D425" s="119" t="s">
        <v>264</v>
      </c>
      <c r="E425" s="119" t="s">
        <v>1644</v>
      </c>
      <c r="F425" s="210">
        <v>1653.0</v>
      </c>
      <c r="G425" s="119" t="s">
        <v>119</v>
      </c>
      <c r="H425" s="101">
        <v>1657.0</v>
      </c>
      <c r="I425" s="119">
        <v>222010.0</v>
      </c>
      <c r="J425" s="83" t="s">
        <v>568</v>
      </c>
      <c r="K425" s="119" t="s">
        <v>1170</v>
      </c>
      <c r="L425" s="119" t="s">
        <v>453</v>
      </c>
      <c r="M425" s="144" t="s">
        <v>3651</v>
      </c>
      <c r="N425" s="119">
        <v>25.0</v>
      </c>
      <c r="O425" s="126" t="s">
        <v>3653</v>
      </c>
      <c r="P425" s="85" t="s">
        <v>3654</v>
      </c>
      <c r="Q425" s="77" t="s">
        <v>3655</v>
      </c>
      <c r="R425" s="78" t="s">
        <v>3656</v>
      </c>
      <c r="S425" s="85" t="s">
        <v>3657</v>
      </c>
      <c r="T425" s="85" t="s">
        <v>3658</v>
      </c>
      <c r="U425" s="85"/>
      <c r="V425" s="102" t="s">
        <v>3659</v>
      </c>
      <c r="W425" s="119" t="s">
        <v>309</v>
      </c>
      <c r="X425" s="119" t="s">
        <v>309</v>
      </c>
      <c r="Y425" s="119"/>
      <c r="Z425" s="119"/>
    </row>
    <row r="426" ht="15.0" customHeight="1">
      <c r="A426" s="103" t="s">
        <v>24</v>
      </c>
      <c r="B426" s="79" t="s">
        <v>3661</v>
      </c>
      <c r="C426" s="80">
        <v>3.0685299506E10</v>
      </c>
      <c r="D426" s="144" t="s">
        <v>631</v>
      </c>
      <c r="E426" s="79" t="s">
        <v>3662</v>
      </c>
      <c r="F426" s="44">
        <v>2719.0</v>
      </c>
      <c r="G426" s="77" t="s">
        <v>226</v>
      </c>
      <c r="H426" s="80">
        <v>1674.0</v>
      </c>
      <c r="I426" s="79">
        <v>934011.0</v>
      </c>
      <c r="J426" s="74" t="s">
        <v>433</v>
      </c>
      <c r="K426" s="77" t="s">
        <v>3663</v>
      </c>
      <c r="L426" s="79"/>
      <c r="M426" s="79"/>
      <c r="N426" s="79">
        <v>0.0</v>
      </c>
      <c r="O426" s="74"/>
      <c r="P426" s="80"/>
      <c r="Q426" s="79"/>
      <c r="R426" s="80"/>
      <c r="S426" s="80" t="s">
        <v>3664</v>
      </c>
      <c r="T426" s="101" t="s">
        <v>332</v>
      </c>
      <c r="U426" s="80" t="s">
        <v>332</v>
      </c>
      <c r="V426" s="102" t="s">
        <v>429</v>
      </c>
      <c r="W426" s="79" t="s">
        <v>306</v>
      </c>
      <c r="X426" s="79" t="s">
        <v>306</v>
      </c>
      <c r="Y426" s="79"/>
      <c r="Z426" s="79"/>
    </row>
    <row r="427" ht="15.0" customHeight="1">
      <c r="A427" s="76" t="s">
        <v>247</v>
      </c>
      <c r="B427" s="77" t="s">
        <v>1360</v>
      </c>
      <c r="C427" s="80">
        <v>3.0708255838E10</v>
      </c>
      <c r="D427" s="79" t="s">
        <v>264</v>
      </c>
      <c r="E427" s="79" t="s">
        <v>2333</v>
      </c>
      <c r="F427" s="44">
        <v>2695.0</v>
      </c>
      <c r="G427" s="79" t="s">
        <v>97</v>
      </c>
      <c r="H427" s="80">
        <v>1702.0</v>
      </c>
      <c r="I427" s="79">
        <v>139209.0</v>
      </c>
      <c r="J427" s="74" t="s">
        <v>448</v>
      </c>
      <c r="K427" s="77" t="s">
        <v>3666</v>
      </c>
      <c r="L427" s="79" t="s">
        <v>369</v>
      </c>
      <c r="M427" s="77" t="s">
        <v>3667</v>
      </c>
      <c r="N427" s="79">
        <v>39.0</v>
      </c>
      <c r="O427" s="83" t="s">
        <v>3668</v>
      </c>
      <c r="P427" s="78" t="s">
        <v>3669</v>
      </c>
      <c r="Q427" s="79" t="s">
        <v>3670</v>
      </c>
      <c r="R427" s="78" t="s">
        <v>3671</v>
      </c>
      <c r="S427" s="78" t="s">
        <v>3672</v>
      </c>
      <c r="T427" s="101" t="s">
        <v>332</v>
      </c>
      <c r="U427" s="80" t="s">
        <v>332</v>
      </c>
      <c r="V427" s="102" t="s">
        <v>3673</v>
      </c>
      <c r="W427" s="79" t="s">
        <v>309</v>
      </c>
      <c r="X427" s="79" t="s">
        <v>309</v>
      </c>
      <c r="Y427" s="79" t="s">
        <v>309</v>
      </c>
      <c r="Z427" s="79"/>
    </row>
    <row r="428" ht="15.0" customHeight="1">
      <c r="A428" s="76" t="s">
        <v>247</v>
      </c>
      <c r="B428" s="77" t="s">
        <v>3675</v>
      </c>
      <c r="C428" s="80">
        <v>3.0566151061E10</v>
      </c>
      <c r="D428" s="79" t="s">
        <v>264</v>
      </c>
      <c r="E428" s="79" t="s">
        <v>3676</v>
      </c>
      <c r="F428" s="44">
        <v>1343.0</v>
      </c>
      <c r="G428" s="77" t="s">
        <v>226</v>
      </c>
      <c r="H428" s="80">
        <v>1674.0</v>
      </c>
      <c r="I428" s="79">
        <v>107911.0</v>
      </c>
      <c r="J428" s="74" t="s">
        <v>22</v>
      </c>
      <c r="K428" s="79" t="s">
        <v>3677</v>
      </c>
      <c r="L428" s="79"/>
      <c r="M428" s="77" t="s">
        <v>3678</v>
      </c>
      <c r="N428" s="79">
        <v>17.0</v>
      </c>
      <c r="O428" s="74"/>
      <c r="P428" s="80"/>
      <c r="Q428" s="79"/>
      <c r="R428" s="80"/>
      <c r="S428" s="78" t="s">
        <v>3680</v>
      </c>
      <c r="T428" s="85" t="s">
        <v>3681</v>
      </c>
      <c r="U428" s="80" t="s">
        <v>332</v>
      </c>
      <c r="V428" s="102" t="s">
        <v>3682</v>
      </c>
      <c r="W428" s="79" t="s">
        <v>309</v>
      </c>
      <c r="X428" s="79" t="s">
        <v>309</v>
      </c>
      <c r="Y428" s="79" t="s">
        <v>309</v>
      </c>
      <c r="Z428" s="79"/>
    </row>
    <row r="429" ht="15.0" customHeight="1">
      <c r="A429" s="103" t="s">
        <v>24</v>
      </c>
      <c r="B429" s="77" t="s">
        <v>3683</v>
      </c>
      <c r="C429" s="79">
        <v>3.3708917139E10</v>
      </c>
      <c r="D429" s="77" t="s">
        <v>264</v>
      </c>
      <c r="E429" s="79" t="s">
        <v>1525</v>
      </c>
      <c r="F429" s="44">
        <v>3140.0</v>
      </c>
      <c r="G429" s="79" t="s">
        <v>68</v>
      </c>
      <c r="H429" s="80">
        <v>1702.0</v>
      </c>
      <c r="I429" s="79">
        <v>210910.0</v>
      </c>
      <c r="J429" s="74" t="s">
        <v>283</v>
      </c>
      <c r="K429" s="79" t="s">
        <v>3685</v>
      </c>
      <c r="L429" s="79"/>
      <c r="M429" s="79"/>
      <c r="N429" s="79">
        <v>0.0</v>
      </c>
      <c r="O429" s="74"/>
      <c r="P429" s="80"/>
      <c r="Q429" s="176"/>
      <c r="R429" s="80"/>
      <c r="S429" s="80" t="s">
        <v>3686</v>
      </c>
      <c r="T429" s="101" t="s">
        <v>332</v>
      </c>
      <c r="U429" s="80" t="s">
        <v>332</v>
      </c>
      <c r="V429" s="102" t="s">
        <v>429</v>
      </c>
      <c r="W429" s="79" t="s">
        <v>306</v>
      </c>
      <c r="X429" s="79" t="s">
        <v>306</v>
      </c>
      <c r="Y429" s="79"/>
      <c r="Z429" s="79"/>
    </row>
    <row r="430" ht="15.0" customHeight="1">
      <c r="A430" s="76" t="s">
        <v>247</v>
      </c>
      <c r="B430" s="77" t="s">
        <v>3688</v>
      </c>
      <c r="C430" s="79">
        <v>3.0610752698E10</v>
      </c>
      <c r="D430" s="77" t="s">
        <v>264</v>
      </c>
      <c r="E430" s="79" t="s">
        <v>1563</v>
      </c>
      <c r="F430" s="128">
        <v>4656.0</v>
      </c>
      <c r="G430" s="79" t="s">
        <v>15</v>
      </c>
      <c r="H430" s="80">
        <v>1678.0</v>
      </c>
      <c r="I430" s="79">
        <v>170990.0</v>
      </c>
      <c r="J430" s="74" t="s">
        <v>283</v>
      </c>
      <c r="K430" s="77" t="s">
        <v>2385</v>
      </c>
      <c r="L430" s="79"/>
      <c r="M430" s="77" t="s">
        <v>3690</v>
      </c>
      <c r="N430" s="79">
        <v>28.0</v>
      </c>
      <c r="O430" s="74"/>
      <c r="P430" s="80"/>
      <c r="Q430" s="79"/>
      <c r="R430" s="80"/>
      <c r="S430" s="80" t="s">
        <v>3691</v>
      </c>
      <c r="T430" s="101" t="s">
        <v>3692</v>
      </c>
      <c r="U430" s="80" t="s">
        <v>3693</v>
      </c>
      <c r="V430" s="102" t="s">
        <v>3694</v>
      </c>
      <c r="W430" s="79" t="s">
        <v>309</v>
      </c>
      <c r="X430" s="79" t="s">
        <v>309</v>
      </c>
      <c r="Y430" s="79" t="s">
        <v>309</v>
      </c>
      <c r="Z430" s="79"/>
    </row>
    <row r="431" ht="15.0" customHeight="1">
      <c r="A431" s="76" t="s">
        <v>247</v>
      </c>
      <c r="B431" s="77" t="s">
        <v>3696</v>
      </c>
      <c r="C431" s="78">
        <v>3.0710690711E10</v>
      </c>
      <c r="D431" s="119" t="s">
        <v>264</v>
      </c>
      <c r="E431" s="79" t="s">
        <v>1944</v>
      </c>
      <c r="F431" s="44">
        <v>608.0</v>
      </c>
      <c r="G431" s="79" t="s">
        <v>68</v>
      </c>
      <c r="H431" s="80">
        <v>1702.0</v>
      </c>
      <c r="I431" s="79">
        <v>89300.0</v>
      </c>
      <c r="J431" s="74" t="s">
        <v>356</v>
      </c>
      <c r="K431" s="79" t="s">
        <v>3697</v>
      </c>
      <c r="L431" s="79"/>
      <c r="M431" s="79"/>
      <c r="N431" s="79">
        <v>4.0</v>
      </c>
      <c r="O431" s="74" t="s">
        <v>3698</v>
      </c>
      <c r="P431" s="80"/>
      <c r="Q431" s="79" t="s">
        <v>3699</v>
      </c>
      <c r="R431" s="80"/>
      <c r="S431" s="78" t="s">
        <v>3701</v>
      </c>
      <c r="T431" s="101" t="s">
        <v>3702</v>
      </c>
      <c r="U431" s="78" t="s">
        <v>3703</v>
      </c>
      <c r="V431" s="102" t="s">
        <v>429</v>
      </c>
      <c r="W431" s="79" t="s">
        <v>309</v>
      </c>
      <c r="X431" s="79" t="s">
        <v>309</v>
      </c>
      <c r="Y431" s="79"/>
      <c r="Z431" s="79"/>
    </row>
    <row r="432" ht="15.0" customHeight="1">
      <c r="A432" s="76" t="s">
        <v>247</v>
      </c>
      <c r="B432" s="77" t="s">
        <v>3704</v>
      </c>
      <c r="C432" s="80">
        <v>3.0645030911E10</v>
      </c>
      <c r="D432" s="119" t="s">
        <v>264</v>
      </c>
      <c r="E432" s="79" t="s">
        <v>826</v>
      </c>
      <c r="F432" s="44">
        <v>10580.0</v>
      </c>
      <c r="G432" s="79" t="s">
        <v>175</v>
      </c>
      <c r="H432" s="80">
        <v>1657.0</v>
      </c>
      <c r="I432" s="77">
        <v>131209.0</v>
      </c>
      <c r="J432" s="74" t="s">
        <v>448</v>
      </c>
      <c r="K432" s="77" t="s">
        <v>3454</v>
      </c>
      <c r="L432" s="79"/>
      <c r="M432" s="77" t="s">
        <v>3705</v>
      </c>
      <c r="N432" s="79">
        <v>1.0</v>
      </c>
      <c r="O432" s="74"/>
      <c r="P432" s="80"/>
      <c r="Q432" s="79"/>
      <c r="R432" s="80"/>
      <c r="S432" s="78" t="s">
        <v>3707</v>
      </c>
      <c r="T432" s="78" t="s">
        <v>3708</v>
      </c>
      <c r="U432" s="78" t="s">
        <v>3709</v>
      </c>
      <c r="V432" s="102" t="s">
        <v>3710</v>
      </c>
      <c r="W432" s="79" t="s">
        <v>309</v>
      </c>
      <c r="X432" s="79" t="s">
        <v>309</v>
      </c>
      <c r="Y432" s="79" t="s">
        <v>309</v>
      </c>
      <c r="Z432" s="79"/>
    </row>
    <row r="433" ht="15.0" customHeight="1">
      <c r="A433" s="103" t="s">
        <v>24</v>
      </c>
      <c r="B433" s="79" t="s">
        <v>3712</v>
      </c>
      <c r="C433" s="80">
        <v>2.7250448401E10</v>
      </c>
      <c r="D433" s="77" t="s">
        <v>631</v>
      </c>
      <c r="E433" s="77" t="s">
        <v>2774</v>
      </c>
      <c r="F433" s="44">
        <v>2281.0</v>
      </c>
      <c r="G433" s="77" t="s">
        <v>226</v>
      </c>
      <c r="H433" s="78">
        <v>1674.0</v>
      </c>
      <c r="I433" s="79">
        <v>141130.0</v>
      </c>
      <c r="J433" s="74" t="s">
        <v>448</v>
      </c>
      <c r="K433" s="77" t="s">
        <v>1564</v>
      </c>
      <c r="L433" s="79" t="s">
        <v>369</v>
      </c>
      <c r="M433" s="79"/>
      <c r="N433" s="79"/>
      <c r="O433" s="74"/>
      <c r="P433" s="80"/>
      <c r="Q433" s="79"/>
      <c r="R433" s="80"/>
      <c r="S433" s="78" t="s">
        <v>3713</v>
      </c>
      <c r="T433" s="101"/>
      <c r="U433" s="80"/>
      <c r="V433" s="102" t="s">
        <v>429</v>
      </c>
      <c r="W433" s="79"/>
      <c r="X433" s="79"/>
      <c r="Y433" s="79"/>
      <c r="Z433" s="79"/>
    </row>
    <row r="434" ht="15.0" customHeight="1">
      <c r="A434" s="76" t="s">
        <v>247</v>
      </c>
      <c r="B434" s="77" t="s">
        <v>3714</v>
      </c>
      <c r="C434" s="80">
        <v>3.0708167483E10</v>
      </c>
      <c r="D434" s="79" t="s">
        <v>264</v>
      </c>
      <c r="E434" s="79" t="s">
        <v>1088</v>
      </c>
      <c r="F434" s="44">
        <v>5064.0</v>
      </c>
      <c r="G434" s="79" t="s">
        <v>15</v>
      </c>
      <c r="H434" s="80">
        <v>1678.0</v>
      </c>
      <c r="I434" s="79">
        <v>293090.0</v>
      </c>
      <c r="J434" s="74" t="s">
        <v>337</v>
      </c>
      <c r="K434" s="77" t="s">
        <v>407</v>
      </c>
      <c r="L434" s="79"/>
      <c r="M434" s="77" t="s">
        <v>3715</v>
      </c>
      <c r="N434" s="79">
        <v>33.0</v>
      </c>
      <c r="O434" s="83" t="s">
        <v>3716</v>
      </c>
      <c r="P434" s="80"/>
      <c r="Q434" s="77" t="s">
        <v>3718</v>
      </c>
      <c r="R434" s="78" t="s">
        <v>3719</v>
      </c>
      <c r="S434" s="80" t="s">
        <v>3720</v>
      </c>
      <c r="T434" s="101" t="s">
        <v>3721</v>
      </c>
      <c r="U434" s="78" t="s">
        <v>3722</v>
      </c>
      <c r="V434" s="102" t="s">
        <v>2808</v>
      </c>
      <c r="W434" s="79" t="s">
        <v>309</v>
      </c>
      <c r="X434" s="79" t="s">
        <v>309</v>
      </c>
      <c r="Y434" s="79" t="s">
        <v>309</v>
      </c>
      <c r="Z434" s="79"/>
    </row>
    <row r="435" ht="15.0" customHeight="1">
      <c r="A435" s="76" t="s">
        <v>247</v>
      </c>
      <c r="B435" s="79" t="s">
        <v>3723</v>
      </c>
      <c r="C435" s="80">
        <v>3.0663831549E10</v>
      </c>
      <c r="D435" s="79" t="s">
        <v>264</v>
      </c>
      <c r="E435" s="79" t="s">
        <v>15</v>
      </c>
      <c r="F435" s="44">
        <v>4070.0</v>
      </c>
      <c r="G435" s="79" t="s">
        <v>15</v>
      </c>
      <c r="H435" s="80">
        <v>1678.0</v>
      </c>
      <c r="I435" s="79">
        <v>310010.0</v>
      </c>
      <c r="J435" s="74" t="s">
        <v>313</v>
      </c>
      <c r="K435" s="79" t="s">
        <v>1438</v>
      </c>
      <c r="L435" s="79" t="s">
        <v>1122</v>
      </c>
      <c r="M435" s="79"/>
      <c r="N435" s="79">
        <v>25.0</v>
      </c>
      <c r="O435" s="74" t="s">
        <v>3725</v>
      </c>
      <c r="P435" s="80"/>
      <c r="Q435" s="79" t="s">
        <v>3726</v>
      </c>
      <c r="R435" s="80"/>
      <c r="S435" s="80" t="s">
        <v>3727</v>
      </c>
      <c r="T435" s="101" t="s">
        <v>3728</v>
      </c>
      <c r="U435" s="80" t="s">
        <v>3729</v>
      </c>
      <c r="V435" s="102" t="s">
        <v>429</v>
      </c>
      <c r="W435" s="79" t="s">
        <v>309</v>
      </c>
      <c r="X435" s="79" t="s">
        <v>309</v>
      </c>
      <c r="Y435" s="79" t="s">
        <v>309</v>
      </c>
      <c r="Z435" s="79"/>
    </row>
    <row r="436" ht="15.0" customHeight="1">
      <c r="A436" s="76" t="s">
        <v>247</v>
      </c>
      <c r="B436" s="77" t="s">
        <v>3731</v>
      </c>
      <c r="C436" s="80">
        <v>3.3709302839E10</v>
      </c>
      <c r="D436" s="79" t="s">
        <v>264</v>
      </c>
      <c r="E436" s="79" t="s">
        <v>826</v>
      </c>
      <c r="F436" s="44">
        <v>8649.0</v>
      </c>
      <c r="G436" s="79" t="s">
        <v>175</v>
      </c>
      <c r="H436" s="80">
        <v>1657.0</v>
      </c>
      <c r="I436" s="77">
        <v>281301.0</v>
      </c>
      <c r="J436" s="74" t="s">
        <v>347</v>
      </c>
      <c r="K436" s="77" t="s">
        <v>2670</v>
      </c>
      <c r="L436" s="79"/>
      <c r="M436" s="77" t="s">
        <v>3732</v>
      </c>
      <c r="N436" s="79">
        <v>2.0</v>
      </c>
      <c r="O436" s="74"/>
      <c r="P436" s="80"/>
      <c r="Q436" s="79"/>
      <c r="R436" s="80"/>
      <c r="S436" s="78" t="s">
        <v>3733</v>
      </c>
      <c r="T436" s="85" t="s">
        <v>3735</v>
      </c>
      <c r="U436" s="80" t="s">
        <v>332</v>
      </c>
      <c r="V436" s="102" t="s">
        <v>3736</v>
      </c>
      <c r="W436" s="79" t="s">
        <v>309</v>
      </c>
      <c r="X436" s="79" t="s">
        <v>309</v>
      </c>
      <c r="Y436" s="79" t="s">
        <v>309</v>
      </c>
      <c r="Z436" s="79"/>
    </row>
    <row r="437" ht="15.0" customHeight="1">
      <c r="A437" s="76" t="s">
        <v>247</v>
      </c>
      <c r="B437" s="77" t="s">
        <v>1366</v>
      </c>
      <c r="C437" s="80">
        <v>3.3710516249E10</v>
      </c>
      <c r="D437" s="79" t="s">
        <v>264</v>
      </c>
      <c r="E437" s="79" t="s">
        <v>1965</v>
      </c>
      <c r="F437" s="44">
        <v>4751.0</v>
      </c>
      <c r="G437" s="79" t="s">
        <v>15</v>
      </c>
      <c r="H437" s="80">
        <v>1678.0</v>
      </c>
      <c r="I437" s="79">
        <v>466399.0</v>
      </c>
      <c r="J437" s="74" t="s">
        <v>125</v>
      </c>
      <c r="K437" s="77" t="s">
        <v>3738</v>
      </c>
      <c r="L437" s="79" t="s">
        <v>453</v>
      </c>
      <c r="M437" s="77" t="s">
        <v>3739</v>
      </c>
      <c r="N437" s="79">
        <v>4.0</v>
      </c>
      <c r="O437" s="74" t="s">
        <v>3740</v>
      </c>
      <c r="P437" s="85" t="s">
        <v>3741</v>
      </c>
      <c r="Q437" s="79" t="s">
        <v>3742</v>
      </c>
      <c r="R437" s="85" t="s">
        <v>3743</v>
      </c>
      <c r="S437" s="78" t="s">
        <v>3743</v>
      </c>
      <c r="T437" s="85" t="s">
        <v>3744</v>
      </c>
      <c r="U437" s="80"/>
      <c r="V437" s="98" t="s">
        <v>3745</v>
      </c>
      <c r="W437" s="79" t="s">
        <v>309</v>
      </c>
      <c r="X437" s="79" t="s">
        <v>309</v>
      </c>
      <c r="Y437" s="79" t="s">
        <v>309</v>
      </c>
      <c r="Z437" s="79"/>
    </row>
    <row r="438" ht="15.0" customHeight="1">
      <c r="A438" s="103" t="s">
        <v>24</v>
      </c>
      <c r="B438" s="77" t="s">
        <v>3747</v>
      </c>
      <c r="C438" s="80">
        <v>3.070840008E10</v>
      </c>
      <c r="D438" s="77" t="s">
        <v>264</v>
      </c>
      <c r="E438" s="79" t="s">
        <v>1357</v>
      </c>
      <c r="F438" s="44">
        <v>4982.0</v>
      </c>
      <c r="G438" s="79" t="s">
        <v>15</v>
      </c>
      <c r="H438" s="80">
        <v>1678.0</v>
      </c>
      <c r="I438" s="79">
        <v>273190.0</v>
      </c>
      <c r="J438" s="74" t="s">
        <v>347</v>
      </c>
      <c r="K438" s="77" t="s">
        <v>3591</v>
      </c>
      <c r="L438" s="79"/>
      <c r="M438" s="79"/>
      <c r="N438" s="79">
        <v>12.0</v>
      </c>
      <c r="O438" s="74"/>
      <c r="P438" s="80"/>
      <c r="Q438" s="79"/>
      <c r="R438" s="80"/>
      <c r="S438" s="80" t="s">
        <v>3749</v>
      </c>
      <c r="T438" s="101" t="s">
        <v>3750</v>
      </c>
      <c r="U438" s="80" t="s">
        <v>332</v>
      </c>
      <c r="V438" s="102" t="s">
        <v>3751</v>
      </c>
      <c r="W438" s="79" t="s">
        <v>309</v>
      </c>
      <c r="X438" s="79" t="s">
        <v>309</v>
      </c>
      <c r="Y438" s="79"/>
      <c r="Z438" s="79"/>
    </row>
    <row r="439" ht="15.0" customHeight="1">
      <c r="A439" s="76" t="s">
        <v>247</v>
      </c>
      <c r="B439" s="77" t="s">
        <v>1374</v>
      </c>
      <c r="C439" s="80">
        <v>3.0626907241E10</v>
      </c>
      <c r="D439" s="119" t="s">
        <v>264</v>
      </c>
      <c r="E439" s="77" t="s">
        <v>1221</v>
      </c>
      <c r="F439" s="128">
        <v>8220.0</v>
      </c>
      <c r="G439" s="79" t="s">
        <v>119</v>
      </c>
      <c r="H439" s="80">
        <v>1657.0</v>
      </c>
      <c r="I439" s="79">
        <v>293099.0</v>
      </c>
      <c r="J439" s="83" t="s">
        <v>207</v>
      </c>
      <c r="K439" s="77" t="s">
        <v>1064</v>
      </c>
      <c r="L439" s="79"/>
      <c r="M439" s="79"/>
      <c r="N439" s="79">
        <v>0.0</v>
      </c>
      <c r="O439" s="74" t="s">
        <v>3753</v>
      </c>
      <c r="P439" s="78" t="s">
        <v>3754</v>
      </c>
      <c r="Q439" s="79"/>
      <c r="R439" s="80"/>
      <c r="S439" s="78" t="s">
        <v>3755</v>
      </c>
      <c r="T439" s="101" t="s">
        <v>332</v>
      </c>
      <c r="U439" s="80" t="s">
        <v>332</v>
      </c>
      <c r="V439" s="102" t="s">
        <v>3757</v>
      </c>
      <c r="W439" s="79" t="s">
        <v>309</v>
      </c>
      <c r="X439" s="79" t="s">
        <v>309</v>
      </c>
      <c r="Y439" s="79"/>
      <c r="Z439" s="79"/>
    </row>
    <row r="440" ht="15.0" customHeight="1">
      <c r="A440" s="103" t="s">
        <v>24</v>
      </c>
      <c r="B440" s="77" t="s">
        <v>3758</v>
      </c>
      <c r="C440" s="80">
        <v>3.0574073118E10</v>
      </c>
      <c r="D440" s="119" t="s">
        <v>264</v>
      </c>
      <c r="E440" s="79" t="s">
        <v>2443</v>
      </c>
      <c r="F440" s="44">
        <v>15.0</v>
      </c>
      <c r="G440" s="79" t="s">
        <v>68</v>
      </c>
      <c r="H440" s="80">
        <v>1702.0</v>
      </c>
      <c r="I440" s="79">
        <v>181120.0</v>
      </c>
      <c r="J440" s="74" t="s">
        <v>448</v>
      </c>
      <c r="K440" s="79" t="s">
        <v>3760</v>
      </c>
      <c r="L440" s="79" t="s">
        <v>369</v>
      </c>
      <c r="M440" s="79"/>
      <c r="N440" s="79">
        <v>0.0</v>
      </c>
      <c r="O440" s="74"/>
      <c r="P440" s="80"/>
      <c r="Q440" s="79"/>
      <c r="R440" s="80"/>
      <c r="S440" s="80" t="s">
        <v>3761</v>
      </c>
      <c r="T440" s="101" t="s">
        <v>332</v>
      </c>
      <c r="U440" s="80" t="s">
        <v>332</v>
      </c>
      <c r="V440" s="102" t="s">
        <v>429</v>
      </c>
      <c r="W440" s="79" t="s">
        <v>309</v>
      </c>
      <c r="X440" s="79" t="s">
        <v>309</v>
      </c>
      <c r="Y440" s="79"/>
      <c r="Z440" s="79"/>
    </row>
    <row r="441" ht="15.0" customHeight="1">
      <c r="A441" s="76" t="s">
        <v>247</v>
      </c>
      <c r="B441" s="77" t="s">
        <v>3762</v>
      </c>
      <c r="C441" s="80">
        <v>3.0632180426E10</v>
      </c>
      <c r="D441" s="119" t="s">
        <v>264</v>
      </c>
      <c r="E441" s="126" t="s">
        <v>696</v>
      </c>
      <c r="F441" s="44">
        <v>4454.0</v>
      </c>
      <c r="G441" s="79" t="s">
        <v>15</v>
      </c>
      <c r="H441" s="80">
        <v>1678.0</v>
      </c>
      <c r="I441" s="79">
        <v>141110.0</v>
      </c>
      <c r="J441" s="74" t="s">
        <v>448</v>
      </c>
      <c r="K441" s="79" t="s">
        <v>2206</v>
      </c>
      <c r="L441" s="79" t="s">
        <v>369</v>
      </c>
      <c r="M441" s="79"/>
      <c r="N441" s="79">
        <v>19.0</v>
      </c>
      <c r="O441" s="74"/>
      <c r="P441" s="80"/>
      <c r="Q441" s="79"/>
      <c r="R441" s="80"/>
      <c r="S441" s="85" t="s">
        <v>3764</v>
      </c>
      <c r="T441" s="80" t="s">
        <v>3765</v>
      </c>
      <c r="U441" s="80"/>
      <c r="V441" s="98" t="s">
        <v>3766</v>
      </c>
      <c r="W441" s="79" t="s">
        <v>309</v>
      </c>
      <c r="X441" s="79" t="s">
        <v>309</v>
      </c>
      <c r="Y441" s="79"/>
      <c r="Z441" s="79"/>
    </row>
    <row r="442" ht="15.0" customHeight="1">
      <c r="A442" s="103" t="s">
        <v>24</v>
      </c>
      <c r="B442" s="77" t="s">
        <v>3768</v>
      </c>
      <c r="C442" s="80">
        <v>3.0714858374E10</v>
      </c>
      <c r="D442" s="119" t="s">
        <v>264</v>
      </c>
      <c r="E442" s="79" t="s">
        <v>2669</v>
      </c>
      <c r="F442" s="44">
        <v>4512.0</v>
      </c>
      <c r="G442" s="79" t="s">
        <v>15</v>
      </c>
      <c r="H442" s="80">
        <v>1678.0</v>
      </c>
      <c r="I442" s="79">
        <v>107129.0</v>
      </c>
      <c r="J442" s="74" t="s">
        <v>22</v>
      </c>
      <c r="K442" s="77" t="s">
        <v>3769</v>
      </c>
      <c r="L442" s="79"/>
      <c r="M442" s="79"/>
      <c r="N442" s="79">
        <v>2.0</v>
      </c>
      <c r="O442" s="74"/>
      <c r="P442" s="80"/>
      <c r="Q442" s="79"/>
      <c r="R442" s="80"/>
      <c r="S442" s="78" t="s">
        <v>3771</v>
      </c>
      <c r="T442" s="101" t="s">
        <v>332</v>
      </c>
      <c r="U442" s="80" t="s">
        <v>332</v>
      </c>
      <c r="V442" s="243"/>
      <c r="W442" s="79" t="s">
        <v>306</v>
      </c>
      <c r="X442" s="79" t="s">
        <v>306</v>
      </c>
      <c r="Y442" s="79"/>
      <c r="Z442" s="79"/>
    </row>
    <row r="443" ht="15.0" customHeight="1">
      <c r="A443" s="76" t="s">
        <v>247</v>
      </c>
      <c r="B443" s="77" t="s">
        <v>1382</v>
      </c>
      <c r="C443" s="80">
        <v>3.3646693999E10</v>
      </c>
      <c r="D443" s="119" t="s">
        <v>264</v>
      </c>
      <c r="E443" s="77" t="s">
        <v>3772</v>
      </c>
      <c r="F443" s="44">
        <v>1620.0</v>
      </c>
      <c r="G443" s="79" t="s">
        <v>249</v>
      </c>
      <c r="H443" s="80">
        <v>1676.0</v>
      </c>
      <c r="I443" s="79">
        <v>279000.0</v>
      </c>
      <c r="J443" s="83" t="s">
        <v>207</v>
      </c>
      <c r="K443" s="77" t="s">
        <v>2081</v>
      </c>
      <c r="L443" s="79"/>
      <c r="M443" s="77" t="s">
        <v>3773</v>
      </c>
      <c r="N443" s="79">
        <v>6.0</v>
      </c>
      <c r="O443" s="83" t="s">
        <v>3774</v>
      </c>
      <c r="P443" s="78" t="s">
        <v>3775</v>
      </c>
      <c r="Q443" s="79"/>
      <c r="R443" s="80"/>
      <c r="S443" s="78" t="s">
        <v>3776</v>
      </c>
      <c r="T443" s="80" t="s">
        <v>3777</v>
      </c>
      <c r="U443" s="101" t="s">
        <v>3779</v>
      </c>
      <c r="V443" s="102" t="s">
        <v>3780</v>
      </c>
      <c r="W443" s="79" t="s">
        <v>309</v>
      </c>
      <c r="X443" s="79" t="s">
        <v>309</v>
      </c>
      <c r="Y443" s="79" t="s">
        <v>309</v>
      </c>
      <c r="Z443" s="79"/>
    </row>
    <row r="444" ht="15.0" customHeight="1">
      <c r="A444" s="103" t="s">
        <v>24</v>
      </c>
      <c r="B444" s="77" t="s">
        <v>3781</v>
      </c>
      <c r="C444" s="80">
        <v>3.0619313271E10</v>
      </c>
      <c r="D444" s="119" t="s">
        <v>264</v>
      </c>
      <c r="E444" s="77" t="s">
        <v>3783</v>
      </c>
      <c r="F444" s="44">
        <v>6293.0</v>
      </c>
      <c r="G444" s="77" t="s">
        <v>47</v>
      </c>
      <c r="H444" s="80">
        <v>1684.0</v>
      </c>
      <c r="I444" s="79">
        <v>452100.0</v>
      </c>
      <c r="J444" s="74" t="s">
        <v>125</v>
      </c>
      <c r="K444" s="79" t="s">
        <v>1534</v>
      </c>
      <c r="L444" s="79" t="s">
        <v>453</v>
      </c>
      <c r="M444" s="79"/>
      <c r="N444" s="79">
        <v>0.0</v>
      </c>
      <c r="O444" s="74"/>
      <c r="P444" s="80"/>
      <c r="Q444" s="79"/>
      <c r="R444" s="80"/>
      <c r="S444" s="80" t="s">
        <v>3784</v>
      </c>
      <c r="T444" s="101" t="s">
        <v>3785</v>
      </c>
      <c r="U444" s="80" t="s">
        <v>3786</v>
      </c>
      <c r="V444" s="102" t="s">
        <v>429</v>
      </c>
      <c r="W444" s="79" t="s">
        <v>306</v>
      </c>
      <c r="X444" s="79" t="s">
        <v>306</v>
      </c>
      <c r="Y444" s="79"/>
      <c r="Z444" s="79"/>
    </row>
    <row r="445" ht="15.0" customHeight="1">
      <c r="A445" s="76" t="s">
        <v>247</v>
      </c>
      <c r="B445" s="77" t="s">
        <v>3787</v>
      </c>
      <c r="C445" s="80">
        <v>3.0710416717E10</v>
      </c>
      <c r="D445" s="79" t="s">
        <v>264</v>
      </c>
      <c r="E445" s="77" t="s">
        <v>3789</v>
      </c>
      <c r="F445" s="44">
        <v>1057.0</v>
      </c>
      <c r="G445" s="79" t="s">
        <v>269</v>
      </c>
      <c r="H445" s="80">
        <v>1682.0</v>
      </c>
      <c r="I445" s="79">
        <v>410011.0</v>
      </c>
      <c r="J445" s="74" t="s">
        <v>125</v>
      </c>
      <c r="K445" s="77" t="s">
        <v>3790</v>
      </c>
      <c r="L445" s="79"/>
      <c r="M445" s="79" t="s">
        <v>3791</v>
      </c>
      <c r="N445" s="79"/>
      <c r="O445" s="74"/>
      <c r="P445" s="80"/>
      <c r="Q445" s="79"/>
      <c r="R445" s="80"/>
      <c r="S445" s="78" t="s">
        <v>3792</v>
      </c>
      <c r="T445" s="101"/>
      <c r="U445" s="80"/>
      <c r="V445" s="102" t="s">
        <v>3793</v>
      </c>
      <c r="W445" s="79"/>
      <c r="X445" s="79"/>
      <c r="Y445" s="79"/>
      <c r="Z445" s="79"/>
    </row>
    <row r="446" ht="15.0" customHeight="1">
      <c r="A446" s="103" t="s">
        <v>24</v>
      </c>
      <c r="B446" s="77" t="s">
        <v>3795</v>
      </c>
      <c r="C446" s="80">
        <v>3.0611394E10</v>
      </c>
      <c r="D446" s="119" t="s">
        <v>264</v>
      </c>
      <c r="E446" s="79" t="s">
        <v>1228</v>
      </c>
      <c r="F446" s="44">
        <v>3676.0</v>
      </c>
      <c r="G446" s="79" t="s">
        <v>249</v>
      </c>
      <c r="H446" s="80">
        <v>1676.0</v>
      </c>
      <c r="I446" s="79">
        <v>410011.0</v>
      </c>
      <c r="J446" s="74" t="s">
        <v>125</v>
      </c>
      <c r="K446" s="79" t="s">
        <v>1829</v>
      </c>
      <c r="L446" s="79" t="s">
        <v>453</v>
      </c>
      <c r="M446" s="79"/>
      <c r="N446" s="79">
        <v>3.0</v>
      </c>
      <c r="O446" s="74"/>
      <c r="P446" s="80"/>
      <c r="Q446" s="79"/>
      <c r="R446" s="80"/>
      <c r="S446" s="78" t="s">
        <v>3796</v>
      </c>
      <c r="T446" s="101" t="s">
        <v>332</v>
      </c>
      <c r="U446" s="80" t="s">
        <v>332</v>
      </c>
      <c r="V446" s="102" t="s">
        <v>3798</v>
      </c>
      <c r="W446" s="79" t="s">
        <v>306</v>
      </c>
      <c r="X446" s="79" t="s">
        <v>306</v>
      </c>
      <c r="Y446" s="79"/>
      <c r="Z446" s="79"/>
    </row>
    <row r="447" ht="15.0" customHeight="1">
      <c r="A447" s="76" t="s">
        <v>247</v>
      </c>
      <c r="B447" s="77" t="s">
        <v>1391</v>
      </c>
      <c r="C447" s="80">
        <v>3.0710769652E10</v>
      </c>
      <c r="D447" s="79" t="s">
        <v>264</v>
      </c>
      <c r="E447" s="77" t="s">
        <v>943</v>
      </c>
      <c r="F447" s="44">
        <v>4431.0</v>
      </c>
      <c r="G447" s="79" t="s">
        <v>15</v>
      </c>
      <c r="H447" s="80">
        <v>1678.0</v>
      </c>
      <c r="I447" s="79">
        <v>251101.0</v>
      </c>
      <c r="J447" s="74" t="s">
        <v>347</v>
      </c>
      <c r="K447" s="79" t="s">
        <v>1486</v>
      </c>
      <c r="L447" s="79" t="s">
        <v>453</v>
      </c>
      <c r="M447" s="79"/>
      <c r="N447" s="79">
        <v>8.0</v>
      </c>
      <c r="O447" s="74" t="s">
        <v>3800</v>
      </c>
      <c r="P447" s="78" t="s">
        <v>3801</v>
      </c>
      <c r="Q447" s="79"/>
      <c r="R447" s="80"/>
      <c r="S447" s="80"/>
      <c r="T447" s="101" t="s">
        <v>332</v>
      </c>
      <c r="U447" s="80" t="s">
        <v>332</v>
      </c>
      <c r="V447" s="102" t="s">
        <v>3802</v>
      </c>
      <c r="W447" s="79" t="s">
        <v>306</v>
      </c>
      <c r="X447" s="79" t="s">
        <v>306</v>
      </c>
      <c r="Y447" s="79"/>
      <c r="Z447" s="79"/>
    </row>
    <row r="448" ht="15.0" customHeight="1">
      <c r="A448" s="103" t="s">
        <v>24</v>
      </c>
      <c r="B448" s="77" t="s">
        <v>3804</v>
      </c>
      <c r="C448" s="80">
        <v>3.0714418048E10</v>
      </c>
      <c r="D448" s="119" t="s">
        <v>264</v>
      </c>
      <c r="E448" s="77" t="s">
        <v>1578</v>
      </c>
      <c r="F448" s="44">
        <v>2134.0</v>
      </c>
      <c r="G448" s="79" t="s">
        <v>175</v>
      </c>
      <c r="H448" s="80">
        <v>1657.0</v>
      </c>
      <c r="I448" s="79">
        <v>410011.0</v>
      </c>
      <c r="J448" s="74" t="s">
        <v>125</v>
      </c>
      <c r="K448" s="79" t="s">
        <v>1829</v>
      </c>
      <c r="L448" s="79" t="s">
        <v>453</v>
      </c>
      <c r="M448" s="79"/>
      <c r="N448" s="79">
        <v>1.0</v>
      </c>
      <c r="O448" s="74"/>
      <c r="P448" s="80"/>
      <c r="Q448" s="79"/>
      <c r="R448" s="80"/>
      <c r="S448" s="78" t="s">
        <v>3806</v>
      </c>
      <c r="T448" s="101" t="s">
        <v>332</v>
      </c>
      <c r="U448" s="80" t="s">
        <v>332</v>
      </c>
      <c r="V448" s="102" t="s">
        <v>429</v>
      </c>
      <c r="W448" s="79" t="s">
        <v>306</v>
      </c>
      <c r="X448" s="79" t="s">
        <v>306</v>
      </c>
      <c r="Y448" s="79"/>
      <c r="Z448" s="79"/>
    </row>
    <row r="449" ht="15.0" customHeight="1">
      <c r="A449" s="76" t="s">
        <v>247</v>
      </c>
      <c r="B449" s="79" t="s">
        <v>3807</v>
      </c>
      <c r="C449" s="80">
        <v>2.02516219E10</v>
      </c>
      <c r="D449" s="77" t="s">
        <v>631</v>
      </c>
      <c r="E449" s="144" t="s">
        <v>3809</v>
      </c>
      <c r="F449" s="128">
        <v>2545.0</v>
      </c>
      <c r="G449" s="79" t="s">
        <v>175</v>
      </c>
      <c r="H449" s="80">
        <v>1657.0</v>
      </c>
      <c r="I449" s="79">
        <v>281301.0</v>
      </c>
      <c r="J449" s="74" t="s">
        <v>261</v>
      </c>
      <c r="K449" s="77" t="s">
        <v>2670</v>
      </c>
      <c r="L449" s="79"/>
      <c r="M449" s="79"/>
      <c r="N449" s="79"/>
      <c r="O449" s="74"/>
      <c r="P449" s="80"/>
      <c r="Q449" s="79"/>
      <c r="R449" s="80"/>
      <c r="S449" s="78" t="s">
        <v>3810</v>
      </c>
      <c r="T449" s="85" t="s">
        <v>3811</v>
      </c>
      <c r="U449" s="78" t="s">
        <v>3812</v>
      </c>
      <c r="V449" s="102" t="s">
        <v>3813</v>
      </c>
      <c r="W449" s="79"/>
      <c r="X449" s="79"/>
      <c r="Y449" s="79"/>
      <c r="Z449" s="79"/>
    </row>
    <row r="450" ht="15.0" customHeight="1">
      <c r="A450" s="76" t="s">
        <v>247</v>
      </c>
      <c r="B450" s="77" t="s">
        <v>3815</v>
      </c>
      <c r="C450" s="80">
        <v>3.0685320351E10</v>
      </c>
      <c r="D450" s="144" t="s">
        <v>631</v>
      </c>
      <c r="E450" s="79" t="s">
        <v>2312</v>
      </c>
      <c r="F450" s="44">
        <v>3892.0</v>
      </c>
      <c r="G450" s="79" t="s">
        <v>15</v>
      </c>
      <c r="H450" s="80">
        <v>1678.0</v>
      </c>
      <c r="I450" s="79">
        <v>222090.0</v>
      </c>
      <c r="J450" s="83" t="s">
        <v>568</v>
      </c>
      <c r="K450" s="77" t="s">
        <v>569</v>
      </c>
      <c r="L450" s="79" t="s">
        <v>453</v>
      </c>
      <c r="M450" s="79"/>
      <c r="N450" s="79">
        <v>0.0</v>
      </c>
      <c r="O450" s="74"/>
      <c r="P450" s="80"/>
      <c r="Q450" s="79"/>
      <c r="R450" s="80"/>
      <c r="S450" s="80" t="s">
        <v>3817</v>
      </c>
      <c r="T450" s="101" t="s">
        <v>332</v>
      </c>
      <c r="U450" s="80" t="s">
        <v>332</v>
      </c>
      <c r="V450" s="102" t="s">
        <v>429</v>
      </c>
      <c r="W450" s="79" t="s">
        <v>306</v>
      </c>
      <c r="X450" s="79" t="s">
        <v>306</v>
      </c>
      <c r="Y450" s="79" t="s">
        <v>309</v>
      </c>
      <c r="Z450" s="79"/>
    </row>
    <row r="451" ht="15.0" customHeight="1">
      <c r="A451" s="76" t="s">
        <v>247</v>
      </c>
      <c r="B451" s="77" t="s">
        <v>3818</v>
      </c>
      <c r="C451" s="79">
        <v>3.0707979204E10</v>
      </c>
      <c r="D451" s="77" t="s">
        <v>264</v>
      </c>
      <c r="E451" s="77" t="s">
        <v>1427</v>
      </c>
      <c r="F451" s="44">
        <v>3593.0</v>
      </c>
      <c r="G451" s="79" t="s">
        <v>15</v>
      </c>
      <c r="H451" s="80">
        <v>1678.0</v>
      </c>
      <c r="I451" s="79">
        <v>181109.0</v>
      </c>
      <c r="J451" s="74" t="s">
        <v>238</v>
      </c>
      <c r="K451" s="77" t="s">
        <v>1545</v>
      </c>
      <c r="L451" s="79"/>
      <c r="M451" s="79"/>
      <c r="N451" s="79">
        <v>12.0</v>
      </c>
      <c r="O451" s="83" t="s">
        <v>3820</v>
      </c>
      <c r="P451" s="80"/>
      <c r="Q451" s="77"/>
      <c r="R451" s="80"/>
      <c r="S451" s="80" t="s">
        <v>3821</v>
      </c>
      <c r="T451" s="85" t="s">
        <v>3822</v>
      </c>
      <c r="U451" s="78" t="s">
        <v>3822</v>
      </c>
      <c r="V451" s="102" t="s">
        <v>3823</v>
      </c>
      <c r="W451" s="79" t="s">
        <v>309</v>
      </c>
      <c r="X451" s="79" t="s">
        <v>309</v>
      </c>
      <c r="Y451" s="79" t="s">
        <v>309</v>
      </c>
      <c r="Z451" s="79"/>
    </row>
    <row r="452" ht="15.0" customHeight="1">
      <c r="A452" s="76" t="s">
        <v>247</v>
      </c>
      <c r="B452" s="129" t="s">
        <v>3825</v>
      </c>
      <c r="C452" s="101">
        <v>3.0711622183E10</v>
      </c>
      <c r="D452" s="79" t="s">
        <v>264</v>
      </c>
      <c r="E452" s="77" t="s">
        <v>3826</v>
      </c>
      <c r="F452" s="44">
        <v>1460.0</v>
      </c>
      <c r="G452" s="79" t="s">
        <v>269</v>
      </c>
      <c r="H452" s="80">
        <v>1682.0</v>
      </c>
      <c r="I452" s="79">
        <v>292000.0</v>
      </c>
      <c r="J452" s="74" t="s">
        <v>337</v>
      </c>
      <c r="K452" s="144" t="s">
        <v>3827</v>
      </c>
      <c r="L452" s="79"/>
      <c r="M452" s="79"/>
      <c r="N452" s="79"/>
      <c r="O452" s="79"/>
      <c r="P452" s="80"/>
      <c r="Q452" s="79"/>
      <c r="R452" s="80"/>
      <c r="S452" s="78" t="s">
        <v>3828</v>
      </c>
      <c r="T452" s="101"/>
      <c r="U452" s="80"/>
      <c r="V452" s="98" t="s">
        <v>3829</v>
      </c>
      <c r="W452" s="79"/>
      <c r="X452" s="79"/>
      <c r="Y452" s="79"/>
      <c r="Z452" s="79"/>
    </row>
    <row r="453" ht="15.0" customHeight="1">
      <c r="A453" s="103" t="s">
        <v>24</v>
      </c>
      <c r="B453" s="77" t="s">
        <v>3830</v>
      </c>
      <c r="C453" s="80">
        <v>3.0707180745E10</v>
      </c>
      <c r="D453" s="119" t="s">
        <v>264</v>
      </c>
      <c r="E453" s="77" t="s">
        <v>1079</v>
      </c>
      <c r="F453" s="128">
        <v>4875.0</v>
      </c>
      <c r="G453" s="77" t="s">
        <v>15</v>
      </c>
      <c r="H453" s="78">
        <v>1678.0</v>
      </c>
      <c r="I453" s="79">
        <v>410021.0</v>
      </c>
      <c r="J453" s="74" t="s">
        <v>125</v>
      </c>
      <c r="K453" s="77" t="s">
        <v>1264</v>
      </c>
      <c r="L453" s="79" t="s">
        <v>453</v>
      </c>
      <c r="M453" s="79"/>
      <c r="N453" s="79">
        <v>25.0</v>
      </c>
      <c r="O453" s="74"/>
      <c r="P453" s="80"/>
      <c r="Q453" s="79"/>
      <c r="R453" s="80"/>
      <c r="S453" s="78" t="s">
        <v>3831</v>
      </c>
      <c r="T453" s="101" t="s">
        <v>332</v>
      </c>
      <c r="U453" s="80" t="s">
        <v>332</v>
      </c>
      <c r="V453" s="102" t="s">
        <v>3832</v>
      </c>
      <c r="W453" s="79" t="s">
        <v>309</v>
      </c>
      <c r="X453" s="79" t="s">
        <v>309</v>
      </c>
      <c r="Y453" s="79"/>
      <c r="Z453" s="79"/>
    </row>
    <row r="454" ht="15.0" customHeight="1">
      <c r="A454" s="76" t="s">
        <v>247</v>
      </c>
      <c r="B454" s="77" t="s">
        <v>1398</v>
      </c>
      <c r="C454" s="85" t="s">
        <v>2517</v>
      </c>
      <c r="D454" s="77" t="s">
        <v>264</v>
      </c>
      <c r="E454" s="77" t="s">
        <v>3833</v>
      </c>
      <c r="F454" s="128">
        <v>4895.0</v>
      </c>
      <c r="G454" s="77" t="s">
        <v>15</v>
      </c>
      <c r="H454" s="78">
        <v>1678.0</v>
      </c>
      <c r="I454" s="78">
        <v>530010.0</v>
      </c>
      <c r="J454" s="83" t="s">
        <v>433</v>
      </c>
      <c r="K454" s="77"/>
      <c r="L454" s="79"/>
      <c r="M454" s="77" t="s">
        <v>3834</v>
      </c>
      <c r="N454" s="79"/>
      <c r="O454" s="152" t="s">
        <v>3835</v>
      </c>
      <c r="P454" s="153" t="s">
        <v>3836</v>
      </c>
      <c r="Q454" s="208" t="s">
        <v>3837</v>
      </c>
      <c r="R454" s="153" t="s">
        <v>3838</v>
      </c>
      <c r="S454" s="78" t="s">
        <v>3838</v>
      </c>
      <c r="T454" s="101"/>
      <c r="U454" s="80"/>
      <c r="V454" s="102" t="s">
        <v>3839</v>
      </c>
      <c r="W454" s="79"/>
      <c r="X454" s="79"/>
      <c r="Y454" s="79"/>
      <c r="Z454" s="79"/>
    </row>
    <row r="455" ht="15.0" customHeight="1">
      <c r="A455" s="76" t="s">
        <v>247</v>
      </c>
      <c r="B455" s="77" t="s">
        <v>3840</v>
      </c>
      <c r="C455" s="79">
        <v>3.0568652599E10</v>
      </c>
      <c r="D455" s="119" t="s">
        <v>3841</v>
      </c>
      <c r="E455" s="79" t="s">
        <v>2540</v>
      </c>
      <c r="F455" s="44">
        <v>4991.0</v>
      </c>
      <c r="G455" s="79" t="s">
        <v>15</v>
      </c>
      <c r="H455" s="80">
        <v>1678.0</v>
      </c>
      <c r="I455" s="79">
        <v>911100.0</v>
      </c>
      <c r="J455" s="74" t="s">
        <v>433</v>
      </c>
      <c r="K455" s="77" t="s">
        <v>3842</v>
      </c>
      <c r="L455" s="79"/>
      <c r="M455" s="79"/>
      <c r="N455" s="79">
        <v>4.0</v>
      </c>
      <c r="O455" s="74"/>
      <c r="P455" s="80"/>
      <c r="Q455" s="79"/>
      <c r="R455" s="80"/>
      <c r="S455" s="80" t="s">
        <v>3843</v>
      </c>
      <c r="T455" s="101" t="s">
        <v>332</v>
      </c>
      <c r="U455" s="80" t="s">
        <v>332</v>
      </c>
      <c r="V455" s="102" t="s">
        <v>429</v>
      </c>
      <c r="W455" s="79" t="s">
        <v>306</v>
      </c>
      <c r="X455" s="79" t="s">
        <v>306</v>
      </c>
      <c r="Y455" s="79" t="s">
        <v>309</v>
      </c>
      <c r="Z455" s="79"/>
    </row>
    <row r="456" ht="15.0" customHeight="1">
      <c r="A456" s="76" t="s">
        <v>247</v>
      </c>
      <c r="B456" s="79" t="s">
        <v>3844</v>
      </c>
      <c r="C456" s="79">
        <v>3.0554835313E10</v>
      </c>
      <c r="D456" s="119" t="s">
        <v>3841</v>
      </c>
      <c r="E456" s="79" t="s">
        <v>3845</v>
      </c>
      <c r="F456" s="44">
        <v>1845.0</v>
      </c>
      <c r="G456" s="79" t="s">
        <v>134</v>
      </c>
      <c r="H456" s="80">
        <v>1682.0</v>
      </c>
      <c r="I456" s="79">
        <v>360010.0</v>
      </c>
      <c r="J456" s="74" t="s">
        <v>433</v>
      </c>
      <c r="K456" s="79" t="s">
        <v>3846</v>
      </c>
      <c r="L456" s="79"/>
      <c r="M456" s="79"/>
      <c r="N456" s="79">
        <v>55.0</v>
      </c>
      <c r="O456" s="74"/>
      <c r="P456" s="80"/>
      <c r="Q456" s="79"/>
      <c r="R456" s="80"/>
      <c r="S456" s="80" t="s">
        <v>3847</v>
      </c>
      <c r="T456" s="101" t="s">
        <v>3848</v>
      </c>
      <c r="U456" s="80" t="s">
        <v>332</v>
      </c>
      <c r="V456" s="102" t="s">
        <v>429</v>
      </c>
      <c r="W456" s="79" t="s">
        <v>309</v>
      </c>
      <c r="X456" s="79" t="s">
        <v>309</v>
      </c>
      <c r="Y456" s="79" t="s">
        <v>309</v>
      </c>
      <c r="Z456" s="79"/>
    </row>
    <row r="457" ht="15.0" customHeight="1">
      <c r="A457" s="76" t="s">
        <v>247</v>
      </c>
      <c r="B457" s="79" t="s">
        <v>3849</v>
      </c>
      <c r="C457" s="79">
        <v>3.0714586315E10</v>
      </c>
      <c r="D457" s="119" t="s">
        <v>3841</v>
      </c>
      <c r="E457" s="79" t="s">
        <v>2177</v>
      </c>
      <c r="F457" s="44">
        <v>3674.0</v>
      </c>
      <c r="G457" s="79" t="s">
        <v>15</v>
      </c>
      <c r="H457" s="80">
        <v>1678.0</v>
      </c>
      <c r="I457" s="79">
        <v>310010.0</v>
      </c>
      <c r="J457" s="74" t="s">
        <v>313</v>
      </c>
      <c r="K457" s="79" t="s">
        <v>1438</v>
      </c>
      <c r="L457" s="79" t="s">
        <v>1122</v>
      </c>
      <c r="M457" s="79"/>
      <c r="N457" s="79">
        <v>0.0</v>
      </c>
      <c r="O457" s="74"/>
      <c r="P457" s="80"/>
      <c r="Q457" s="79"/>
      <c r="R457" s="80"/>
      <c r="S457" s="80" t="s">
        <v>3850</v>
      </c>
      <c r="T457" s="101" t="s">
        <v>332</v>
      </c>
      <c r="U457" s="80" t="s">
        <v>332</v>
      </c>
      <c r="V457" s="102" t="s">
        <v>429</v>
      </c>
      <c r="W457" s="79" t="s">
        <v>306</v>
      </c>
      <c r="X457" s="79" t="s">
        <v>306</v>
      </c>
      <c r="Y457" s="79" t="s">
        <v>309</v>
      </c>
      <c r="Z457" s="79"/>
    </row>
    <row r="458" ht="15.0" customHeight="1">
      <c r="A458" s="76" t="s">
        <v>247</v>
      </c>
      <c r="B458" s="79" t="s">
        <v>3851</v>
      </c>
      <c r="C458" s="79">
        <v>3.0708933623E10</v>
      </c>
      <c r="D458" s="119" t="s">
        <v>3841</v>
      </c>
      <c r="E458" s="79" t="s">
        <v>3466</v>
      </c>
      <c r="F458" s="44">
        <v>3808.0</v>
      </c>
      <c r="G458" s="79" t="s">
        <v>68</v>
      </c>
      <c r="H458" s="80">
        <v>1702.0</v>
      </c>
      <c r="I458" s="79">
        <v>202200.0</v>
      </c>
      <c r="J458" s="74" t="s">
        <v>316</v>
      </c>
      <c r="K458" s="79" t="s">
        <v>2635</v>
      </c>
      <c r="L458" s="79"/>
      <c r="M458" s="79"/>
      <c r="N458" s="79">
        <v>0.0</v>
      </c>
      <c r="O458" s="74"/>
      <c r="P458" s="80"/>
      <c r="Q458" s="79"/>
      <c r="R458" s="80"/>
      <c r="S458" s="80" t="s">
        <v>3852</v>
      </c>
      <c r="T458" s="101" t="s">
        <v>332</v>
      </c>
      <c r="U458" s="80" t="s">
        <v>332</v>
      </c>
      <c r="V458" s="102" t="s">
        <v>3853</v>
      </c>
      <c r="W458" s="79" t="s">
        <v>306</v>
      </c>
      <c r="X458" s="79" t="s">
        <v>306</v>
      </c>
      <c r="Y458" s="79" t="s">
        <v>309</v>
      </c>
      <c r="Z458" s="79"/>
    </row>
    <row r="459" ht="15.0" customHeight="1">
      <c r="A459" s="76" t="s">
        <v>247</v>
      </c>
      <c r="B459" s="79" t="s">
        <v>1405</v>
      </c>
      <c r="C459" s="79">
        <v>3.0707967958E10</v>
      </c>
      <c r="D459" s="119" t="s">
        <v>3841</v>
      </c>
      <c r="E459" s="79" t="s">
        <v>1955</v>
      </c>
      <c r="F459" s="44">
        <v>3652.0</v>
      </c>
      <c r="G459" s="79" t="s">
        <v>68</v>
      </c>
      <c r="H459" s="80">
        <v>1702.0</v>
      </c>
      <c r="I459" s="79">
        <v>181200.0</v>
      </c>
      <c r="J459" s="74" t="s">
        <v>238</v>
      </c>
      <c r="K459" s="79" t="s">
        <v>1833</v>
      </c>
      <c r="L459" s="79"/>
      <c r="M459" s="79" t="s">
        <v>3854</v>
      </c>
      <c r="N459" s="79">
        <v>0.0</v>
      </c>
      <c r="O459" s="74" t="s">
        <v>3855</v>
      </c>
      <c r="P459" s="80"/>
      <c r="Q459" s="79" t="s">
        <v>3856</v>
      </c>
      <c r="R459" s="80"/>
      <c r="S459" s="80" t="s">
        <v>3857</v>
      </c>
      <c r="T459" s="101" t="s">
        <v>3858</v>
      </c>
      <c r="U459" s="80" t="s">
        <v>332</v>
      </c>
      <c r="V459" s="102" t="s">
        <v>429</v>
      </c>
      <c r="W459" s="79" t="s">
        <v>306</v>
      </c>
      <c r="X459" s="79" t="s">
        <v>306</v>
      </c>
      <c r="Y459" s="79" t="s">
        <v>309</v>
      </c>
      <c r="Z459" s="79"/>
    </row>
    <row r="460" ht="15.0" customHeight="1">
      <c r="A460" s="103" t="s">
        <v>24</v>
      </c>
      <c r="B460" s="79" t="s">
        <v>3859</v>
      </c>
      <c r="C460" s="79">
        <v>3.0712281479E10</v>
      </c>
      <c r="D460" s="119" t="s">
        <v>3841</v>
      </c>
      <c r="E460" s="79" t="s">
        <v>1525</v>
      </c>
      <c r="F460" s="44">
        <v>3075.0</v>
      </c>
      <c r="G460" s="79" t="s">
        <v>68</v>
      </c>
      <c r="H460" s="80">
        <v>1702.0</v>
      </c>
      <c r="I460" s="79">
        <v>851220.0</v>
      </c>
      <c r="J460" s="74" t="s">
        <v>433</v>
      </c>
      <c r="K460" s="77" t="s">
        <v>3860</v>
      </c>
      <c r="L460" s="79"/>
      <c r="M460" s="79"/>
      <c r="N460" s="79">
        <v>0.0</v>
      </c>
      <c r="O460" s="74"/>
      <c r="P460" s="80"/>
      <c r="Q460" s="79"/>
      <c r="R460" s="80"/>
      <c r="S460" s="80"/>
      <c r="T460" s="101" t="s">
        <v>332</v>
      </c>
      <c r="U460" s="80" t="s">
        <v>332</v>
      </c>
      <c r="V460" s="102" t="s">
        <v>429</v>
      </c>
      <c r="W460" s="79" t="s">
        <v>306</v>
      </c>
      <c r="X460" s="79" t="s">
        <v>306</v>
      </c>
      <c r="Y460" s="79" t="s">
        <v>309</v>
      </c>
      <c r="Z460" s="79"/>
    </row>
    <row r="461" ht="15.75" customHeight="1">
      <c r="A461" s="76" t="s">
        <v>247</v>
      </c>
      <c r="B461" s="79" t="s">
        <v>3861</v>
      </c>
      <c r="C461" s="79">
        <v>3.0711284695E10</v>
      </c>
      <c r="D461" s="119" t="s">
        <v>3841</v>
      </c>
      <c r="E461" s="77" t="s">
        <v>2383</v>
      </c>
      <c r="F461" s="44">
        <v>10028.0</v>
      </c>
      <c r="G461" s="79" t="s">
        <v>175</v>
      </c>
      <c r="H461" s="80">
        <v>1657.0</v>
      </c>
      <c r="I461" s="79">
        <v>919900.0</v>
      </c>
      <c r="J461" s="74" t="s">
        <v>433</v>
      </c>
      <c r="K461" s="77" t="s">
        <v>3862</v>
      </c>
      <c r="L461" s="79"/>
      <c r="M461" s="79"/>
      <c r="N461" s="79">
        <v>0.0</v>
      </c>
      <c r="O461" s="74"/>
      <c r="P461" s="80"/>
      <c r="Q461" s="79"/>
      <c r="R461" s="80"/>
      <c r="S461" s="80" t="s">
        <v>3863</v>
      </c>
      <c r="T461" s="101" t="s">
        <v>3864</v>
      </c>
      <c r="U461" s="80" t="s">
        <v>3865</v>
      </c>
      <c r="V461" s="102" t="s">
        <v>429</v>
      </c>
      <c r="W461" s="79" t="s">
        <v>306</v>
      </c>
      <c r="X461" s="79" t="s">
        <v>306</v>
      </c>
      <c r="Y461" s="79" t="s">
        <v>309</v>
      </c>
      <c r="Z461" s="79"/>
    </row>
    <row r="462" ht="15.75" customHeight="1">
      <c r="A462" s="76" t="s">
        <v>247</v>
      </c>
      <c r="B462" s="79" t="s">
        <v>3866</v>
      </c>
      <c r="C462" s="79">
        <v>3.071100411E10</v>
      </c>
      <c r="D462" s="119" t="s">
        <v>3841</v>
      </c>
      <c r="E462" s="79" t="s">
        <v>3867</v>
      </c>
      <c r="F462" s="44">
        <v>3632.0</v>
      </c>
      <c r="G462" s="79" t="s">
        <v>15</v>
      </c>
      <c r="H462" s="80">
        <v>1678.0</v>
      </c>
      <c r="I462" s="79">
        <v>919900.0</v>
      </c>
      <c r="J462" s="74" t="s">
        <v>433</v>
      </c>
      <c r="K462" s="77" t="s">
        <v>3862</v>
      </c>
      <c r="L462" s="79"/>
      <c r="M462" s="79"/>
      <c r="N462" s="79">
        <v>0.0</v>
      </c>
      <c r="O462" s="74"/>
      <c r="P462" s="80"/>
      <c r="Q462" s="79"/>
      <c r="R462" s="80"/>
      <c r="S462" s="78" t="s">
        <v>3868</v>
      </c>
      <c r="T462" s="101" t="s">
        <v>332</v>
      </c>
      <c r="U462" s="80" t="s">
        <v>332</v>
      </c>
      <c r="V462" s="102" t="s">
        <v>429</v>
      </c>
      <c r="W462" s="79" t="s">
        <v>306</v>
      </c>
      <c r="X462" s="79" t="s">
        <v>306</v>
      </c>
      <c r="Y462" s="79"/>
      <c r="Z462" s="79"/>
    </row>
    <row r="463" ht="15.75" customHeight="1">
      <c r="A463" s="76" t="s">
        <v>247</v>
      </c>
      <c r="B463" s="79" t="s">
        <v>3869</v>
      </c>
      <c r="C463" s="80">
        <v>3.0710059574E10</v>
      </c>
      <c r="D463" s="77" t="s">
        <v>3841</v>
      </c>
      <c r="E463" s="79" t="s">
        <v>1221</v>
      </c>
      <c r="F463" s="44">
        <v>8845.0</v>
      </c>
      <c r="G463" s="79" t="s">
        <v>119</v>
      </c>
      <c r="H463" s="80">
        <v>1657.0</v>
      </c>
      <c r="I463" s="79">
        <v>310010.0</v>
      </c>
      <c r="J463" s="74" t="s">
        <v>313</v>
      </c>
      <c r="K463" s="79" t="s">
        <v>1438</v>
      </c>
      <c r="L463" s="79" t="s">
        <v>1122</v>
      </c>
      <c r="M463" s="79"/>
      <c r="N463" s="79">
        <v>0.0</v>
      </c>
      <c r="O463" s="74" t="s">
        <v>3870</v>
      </c>
      <c r="P463" s="78" t="s">
        <v>3871</v>
      </c>
      <c r="Q463" s="79"/>
      <c r="R463" s="80"/>
      <c r="S463" s="80" t="s">
        <v>3872</v>
      </c>
      <c r="T463" s="101" t="s">
        <v>3873</v>
      </c>
      <c r="U463" s="80" t="s">
        <v>332</v>
      </c>
      <c r="V463" s="102" t="s">
        <v>3874</v>
      </c>
      <c r="W463" s="79" t="s">
        <v>309</v>
      </c>
      <c r="X463" s="79" t="s">
        <v>309</v>
      </c>
      <c r="Y463" s="79" t="s">
        <v>309</v>
      </c>
      <c r="Z463" s="79"/>
    </row>
    <row r="464" ht="15.75" customHeight="1">
      <c r="A464" s="76" t="s">
        <v>247</v>
      </c>
      <c r="B464" s="77" t="s">
        <v>1415</v>
      </c>
      <c r="C464" s="79">
        <v>3.071172449E10</v>
      </c>
      <c r="D464" s="119" t="s">
        <v>3841</v>
      </c>
      <c r="E464" s="79" t="s">
        <v>3875</v>
      </c>
      <c r="F464" s="44">
        <v>4289.0</v>
      </c>
      <c r="G464" s="79" t="s">
        <v>15</v>
      </c>
      <c r="H464" s="80">
        <v>1678.0</v>
      </c>
      <c r="I464" s="79">
        <v>154999.0</v>
      </c>
      <c r="J464" s="74" t="s">
        <v>22</v>
      </c>
      <c r="K464" s="77" t="s">
        <v>3876</v>
      </c>
      <c r="L464" s="79"/>
      <c r="M464" s="79"/>
      <c r="N464" s="79">
        <v>0.0</v>
      </c>
      <c r="O464" s="74" t="s">
        <v>3877</v>
      </c>
      <c r="P464" s="78" t="s">
        <v>3878</v>
      </c>
      <c r="Q464" s="79"/>
      <c r="R464" s="80"/>
      <c r="S464" s="80" t="s">
        <v>3879</v>
      </c>
      <c r="T464" s="101" t="s">
        <v>332</v>
      </c>
      <c r="U464" s="80" t="s">
        <v>332</v>
      </c>
      <c r="V464" s="102" t="s">
        <v>429</v>
      </c>
      <c r="W464" s="79" t="s">
        <v>306</v>
      </c>
      <c r="X464" s="79" t="s">
        <v>306</v>
      </c>
      <c r="Y464" s="79" t="s">
        <v>309</v>
      </c>
      <c r="Z464" s="79"/>
    </row>
    <row r="465" ht="15.0" customHeight="1">
      <c r="A465" s="103" t="s">
        <v>24</v>
      </c>
      <c r="B465" s="77" t="s">
        <v>3880</v>
      </c>
      <c r="C465" s="79">
        <v>3.0711284601E10</v>
      </c>
      <c r="D465" s="119" t="s">
        <v>3841</v>
      </c>
      <c r="E465" s="79" t="s">
        <v>2267</v>
      </c>
      <c r="F465" s="44">
        <v>1864.0</v>
      </c>
      <c r="G465" s="79" t="s">
        <v>68</v>
      </c>
      <c r="H465" s="80">
        <v>1702.0</v>
      </c>
      <c r="I465" s="79">
        <v>919900.0</v>
      </c>
      <c r="J465" s="74" t="s">
        <v>433</v>
      </c>
      <c r="K465" s="77" t="s">
        <v>3881</v>
      </c>
      <c r="L465" s="79"/>
      <c r="M465" s="79"/>
      <c r="N465" s="79">
        <v>0.0</v>
      </c>
      <c r="O465" s="74"/>
      <c r="P465" s="80"/>
      <c r="Q465" s="77" t="s">
        <v>188</v>
      </c>
      <c r="R465" s="80"/>
      <c r="S465" s="80"/>
      <c r="T465" s="101" t="s">
        <v>332</v>
      </c>
      <c r="U465" s="80" t="s">
        <v>332</v>
      </c>
      <c r="V465" s="102" t="s">
        <v>429</v>
      </c>
      <c r="W465" s="79" t="s">
        <v>306</v>
      </c>
      <c r="X465" s="79" t="s">
        <v>306</v>
      </c>
      <c r="Y465" s="79"/>
      <c r="Z465" s="79"/>
    </row>
    <row r="466" ht="15.0" customHeight="1">
      <c r="A466" s="103" t="s">
        <v>24</v>
      </c>
      <c r="B466" s="77" t="s">
        <v>3882</v>
      </c>
      <c r="C466" s="80">
        <v>3.066382021E10</v>
      </c>
      <c r="D466" s="144" t="s">
        <v>3841</v>
      </c>
      <c r="E466" s="79" t="s">
        <v>1369</v>
      </c>
      <c r="F466" s="44">
        <v>1763.0</v>
      </c>
      <c r="G466" s="79" t="s">
        <v>97</v>
      </c>
      <c r="H466" s="80">
        <v>1702.0</v>
      </c>
      <c r="I466" s="79">
        <v>324019.0</v>
      </c>
      <c r="J466" s="74" t="s">
        <v>73</v>
      </c>
      <c r="K466" s="77" t="s">
        <v>3883</v>
      </c>
      <c r="L466" s="79"/>
      <c r="M466" s="79"/>
      <c r="N466" s="79">
        <v>0.0</v>
      </c>
      <c r="O466" s="74"/>
      <c r="P466" s="80"/>
      <c r="Q466" s="79"/>
      <c r="R466" s="80"/>
      <c r="S466" s="80" t="s">
        <v>3884</v>
      </c>
      <c r="T466" s="101"/>
      <c r="U466" s="80" t="s">
        <v>332</v>
      </c>
      <c r="V466" s="102" t="s">
        <v>429</v>
      </c>
      <c r="W466" s="79" t="s">
        <v>306</v>
      </c>
      <c r="X466" s="79" t="s">
        <v>306</v>
      </c>
      <c r="Y466" s="79"/>
      <c r="Z466" s="79"/>
    </row>
    <row r="467" ht="15.0" customHeight="1">
      <c r="A467" s="76" t="s">
        <v>247</v>
      </c>
      <c r="B467" s="79" t="s">
        <v>3885</v>
      </c>
      <c r="C467" s="79">
        <v>3.0684745022E10</v>
      </c>
      <c r="D467" s="119" t="s">
        <v>3841</v>
      </c>
      <c r="E467" s="77" t="s">
        <v>3886</v>
      </c>
      <c r="F467" s="44">
        <v>5102.0</v>
      </c>
      <c r="G467" s="79" t="s">
        <v>119</v>
      </c>
      <c r="H467" s="80">
        <v>1657.0</v>
      </c>
      <c r="I467" s="79">
        <v>949990.0</v>
      </c>
      <c r="J467" s="74" t="s">
        <v>433</v>
      </c>
      <c r="K467" s="77" t="s">
        <v>3881</v>
      </c>
      <c r="L467" s="79"/>
      <c r="M467" s="79"/>
      <c r="N467" s="79">
        <v>0.0</v>
      </c>
      <c r="O467" s="74"/>
      <c r="P467" s="78" t="s">
        <v>3887</v>
      </c>
      <c r="Q467" s="79"/>
      <c r="R467" s="80"/>
      <c r="S467" s="80" t="s">
        <v>3888</v>
      </c>
      <c r="T467" s="85" t="s">
        <v>3889</v>
      </c>
      <c r="U467" s="80" t="s">
        <v>332</v>
      </c>
      <c r="V467" s="102" t="s">
        <v>429</v>
      </c>
      <c r="W467" s="79" t="s">
        <v>306</v>
      </c>
      <c r="X467" s="79" t="s">
        <v>306</v>
      </c>
      <c r="Y467" s="79" t="s">
        <v>309</v>
      </c>
      <c r="Z467" s="79"/>
    </row>
    <row r="468" ht="15.0" customHeight="1">
      <c r="A468" s="76" t="s">
        <v>247</v>
      </c>
      <c r="B468" s="77" t="s">
        <v>1426</v>
      </c>
      <c r="C468" s="80">
        <v>3.0569776046E10</v>
      </c>
      <c r="D468" s="119" t="s">
        <v>264</v>
      </c>
      <c r="E468" s="79" t="s">
        <v>1904</v>
      </c>
      <c r="F468" s="44">
        <v>2891.0</v>
      </c>
      <c r="G468" s="79" t="s">
        <v>15</v>
      </c>
      <c r="H468" s="80">
        <v>1678.0</v>
      </c>
      <c r="I468" s="79">
        <v>243200.0</v>
      </c>
      <c r="J468" s="74" t="s">
        <v>347</v>
      </c>
      <c r="K468" s="79" t="s">
        <v>1277</v>
      </c>
      <c r="L468" s="79" t="s">
        <v>453</v>
      </c>
      <c r="M468" s="79" t="s">
        <v>3890</v>
      </c>
      <c r="N468" s="79">
        <v>2.0</v>
      </c>
      <c r="O468" s="74" t="s">
        <v>3208</v>
      </c>
      <c r="P468" s="80"/>
      <c r="Q468" s="79"/>
      <c r="R468" s="80"/>
      <c r="S468" s="80" t="s">
        <v>3891</v>
      </c>
      <c r="T468" s="85" t="s">
        <v>3892</v>
      </c>
      <c r="U468" s="80" t="s">
        <v>332</v>
      </c>
      <c r="V468" s="102" t="s">
        <v>3893</v>
      </c>
      <c r="W468" s="79" t="s">
        <v>306</v>
      </c>
      <c r="X468" s="79" t="s">
        <v>306</v>
      </c>
      <c r="Y468" s="79" t="s">
        <v>309</v>
      </c>
      <c r="Z468" s="79"/>
    </row>
    <row r="469" ht="15.75" customHeight="1">
      <c r="A469" s="103" t="s">
        <v>24</v>
      </c>
      <c r="B469" s="79" t="s">
        <v>3894</v>
      </c>
      <c r="C469" s="80">
        <v>3.0597629849E10</v>
      </c>
      <c r="D469" s="79" t="s">
        <v>264</v>
      </c>
      <c r="E469" s="79" t="s">
        <v>3895</v>
      </c>
      <c r="F469" s="44">
        <v>2790.0</v>
      </c>
      <c r="G469" s="79" t="s">
        <v>15</v>
      </c>
      <c r="H469" s="80">
        <v>1678.0</v>
      </c>
      <c r="I469" s="79">
        <v>289993.0</v>
      </c>
      <c r="J469" s="74" t="s">
        <v>347</v>
      </c>
      <c r="K469" s="129" t="s">
        <v>638</v>
      </c>
      <c r="L469" s="79" t="s">
        <v>453</v>
      </c>
      <c r="M469" s="79"/>
      <c r="N469" s="79">
        <v>0.0</v>
      </c>
      <c r="O469" s="74"/>
      <c r="P469" s="80"/>
      <c r="Q469" s="79"/>
      <c r="R469" s="80"/>
      <c r="S469" s="80" t="s">
        <v>3897</v>
      </c>
      <c r="T469" s="101" t="s">
        <v>332</v>
      </c>
      <c r="U469" s="80" t="s">
        <v>332</v>
      </c>
      <c r="V469" s="102" t="s">
        <v>429</v>
      </c>
      <c r="W469" s="79" t="s">
        <v>306</v>
      </c>
      <c r="X469" s="79" t="s">
        <v>306</v>
      </c>
      <c r="Y469" s="79"/>
      <c r="Z469" s="79"/>
    </row>
    <row r="470" ht="15.75" customHeight="1">
      <c r="A470" s="76" t="s">
        <v>247</v>
      </c>
      <c r="B470" s="77" t="s">
        <v>3898</v>
      </c>
      <c r="C470" s="80">
        <v>3.0711052328E10</v>
      </c>
      <c r="D470" s="119" t="s">
        <v>264</v>
      </c>
      <c r="E470" s="79" t="s">
        <v>1363</v>
      </c>
      <c r="F470" s="44">
        <v>4327.0</v>
      </c>
      <c r="G470" s="79" t="s">
        <v>15</v>
      </c>
      <c r="H470" s="80">
        <v>1678.0</v>
      </c>
      <c r="I470" s="77">
        <v>222090.0</v>
      </c>
      <c r="J470" s="83" t="s">
        <v>568</v>
      </c>
      <c r="K470" s="77" t="s">
        <v>569</v>
      </c>
      <c r="L470" s="79" t="s">
        <v>453</v>
      </c>
      <c r="M470" s="77" t="s">
        <v>3899</v>
      </c>
      <c r="N470" s="79">
        <v>3.0</v>
      </c>
      <c r="O470" s="74"/>
      <c r="P470" s="80"/>
      <c r="Q470" s="79"/>
      <c r="R470" s="80"/>
      <c r="S470" s="80" t="s">
        <v>3900</v>
      </c>
      <c r="T470" s="101" t="s">
        <v>332</v>
      </c>
      <c r="U470" s="80" t="s">
        <v>332</v>
      </c>
      <c r="V470" s="102" t="s">
        <v>429</v>
      </c>
      <c r="W470" s="79" t="s">
        <v>306</v>
      </c>
      <c r="X470" s="79" t="s">
        <v>306</v>
      </c>
      <c r="Y470" s="79"/>
      <c r="Z470" s="79"/>
    </row>
    <row r="471" ht="15.75" customHeight="1">
      <c r="A471" s="103" t="s">
        <v>24</v>
      </c>
      <c r="B471" s="77" t="s">
        <v>3901</v>
      </c>
      <c r="C471" s="80">
        <v>3.0663796182E10</v>
      </c>
      <c r="D471" s="119" t="s">
        <v>264</v>
      </c>
      <c r="E471" s="79" t="s">
        <v>2641</v>
      </c>
      <c r="F471" s="44">
        <v>3755.0</v>
      </c>
      <c r="G471" s="79" t="s">
        <v>68</v>
      </c>
      <c r="H471" s="80">
        <v>1702.0</v>
      </c>
      <c r="I471" s="79">
        <v>452200.0</v>
      </c>
      <c r="J471" s="74" t="s">
        <v>125</v>
      </c>
      <c r="K471" s="79" t="s">
        <v>3902</v>
      </c>
      <c r="L471" s="79" t="s">
        <v>453</v>
      </c>
      <c r="M471" s="79"/>
      <c r="N471" s="79">
        <v>0.0</v>
      </c>
      <c r="O471" s="74"/>
      <c r="P471" s="80"/>
      <c r="Q471" s="79"/>
      <c r="R471" s="80"/>
      <c r="S471" s="78" t="s">
        <v>3903</v>
      </c>
      <c r="T471" s="101" t="s">
        <v>332</v>
      </c>
      <c r="U471" s="80" t="s">
        <v>332</v>
      </c>
      <c r="V471" s="102" t="s">
        <v>429</v>
      </c>
      <c r="W471" s="79" t="s">
        <v>306</v>
      </c>
      <c r="X471" s="79" t="s">
        <v>306</v>
      </c>
      <c r="Y471" s="79"/>
      <c r="Z471" s="79"/>
    </row>
    <row r="472" ht="15.0" customHeight="1">
      <c r="A472" s="76" t="s">
        <v>247</v>
      </c>
      <c r="B472" s="77" t="s">
        <v>3904</v>
      </c>
      <c r="C472" s="80">
        <v>3.0711310432E10</v>
      </c>
      <c r="D472" s="79" t="s">
        <v>264</v>
      </c>
      <c r="E472" s="77" t="s">
        <v>2678</v>
      </c>
      <c r="F472" s="44">
        <v>8170.0</v>
      </c>
      <c r="G472" s="79" t="s">
        <v>119</v>
      </c>
      <c r="H472" s="80">
        <v>1657.0</v>
      </c>
      <c r="I472" s="79">
        <v>310010.0</v>
      </c>
      <c r="J472" s="74" t="s">
        <v>313</v>
      </c>
      <c r="K472" s="79" t="s">
        <v>1438</v>
      </c>
      <c r="L472" s="79" t="s">
        <v>1122</v>
      </c>
      <c r="M472" s="79"/>
      <c r="N472" s="79">
        <v>11.0</v>
      </c>
      <c r="O472" s="74"/>
      <c r="P472" s="80"/>
      <c r="Q472" s="79"/>
      <c r="R472" s="80"/>
      <c r="S472" s="80" t="s">
        <v>3905</v>
      </c>
      <c r="T472" s="80" t="s">
        <v>332</v>
      </c>
      <c r="U472" s="80" t="s">
        <v>332</v>
      </c>
      <c r="V472" s="102" t="s">
        <v>429</v>
      </c>
      <c r="W472" s="79" t="s">
        <v>306</v>
      </c>
      <c r="X472" s="79" t="s">
        <v>306</v>
      </c>
      <c r="Y472" s="79" t="s">
        <v>309</v>
      </c>
      <c r="Z472" s="79"/>
    </row>
    <row r="473" ht="15.75" customHeight="1">
      <c r="A473" s="76" t="s">
        <v>247</v>
      </c>
      <c r="B473" s="79" t="s">
        <v>1435</v>
      </c>
      <c r="C473" s="80">
        <v>2.3298474069E10</v>
      </c>
      <c r="D473" s="77" t="s">
        <v>631</v>
      </c>
      <c r="E473" s="79" t="s">
        <v>1045</v>
      </c>
      <c r="F473" s="44" t="s">
        <v>3906</v>
      </c>
      <c r="G473" s="79" t="s">
        <v>15</v>
      </c>
      <c r="H473" s="80">
        <v>1678.0</v>
      </c>
      <c r="I473" s="79">
        <v>181109.0</v>
      </c>
      <c r="J473" s="74" t="s">
        <v>238</v>
      </c>
      <c r="K473" s="77" t="s">
        <v>1545</v>
      </c>
      <c r="L473" s="79"/>
      <c r="M473" s="79" t="s">
        <v>3907</v>
      </c>
      <c r="N473" s="79"/>
      <c r="O473" s="74" t="s">
        <v>3908</v>
      </c>
      <c r="P473" s="85" t="s">
        <v>3909</v>
      </c>
      <c r="Q473" s="79"/>
      <c r="R473" s="80"/>
      <c r="S473" s="78" t="s">
        <v>3910</v>
      </c>
      <c r="T473" s="80"/>
      <c r="U473" s="80"/>
      <c r="V473" s="102" t="s">
        <v>429</v>
      </c>
      <c r="W473" s="79"/>
      <c r="X473" s="79"/>
      <c r="Y473" s="79"/>
      <c r="Z473" s="79"/>
    </row>
    <row r="474" ht="15.0" customHeight="1">
      <c r="A474" s="76" t="s">
        <v>247</v>
      </c>
      <c r="B474" s="77" t="s">
        <v>1440</v>
      </c>
      <c r="C474" s="80">
        <v>3.0709244961E10</v>
      </c>
      <c r="D474" s="79" t="s">
        <v>264</v>
      </c>
      <c r="E474" s="79" t="s">
        <v>2362</v>
      </c>
      <c r="F474" s="44">
        <v>3041.0</v>
      </c>
      <c r="G474" s="79" t="s">
        <v>15</v>
      </c>
      <c r="H474" s="80">
        <v>1678.0</v>
      </c>
      <c r="I474" s="79">
        <v>259999.0</v>
      </c>
      <c r="J474" s="74" t="s">
        <v>347</v>
      </c>
      <c r="K474" s="77" t="s">
        <v>839</v>
      </c>
      <c r="L474" s="79" t="s">
        <v>453</v>
      </c>
      <c r="M474" s="79"/>
      <c r="N474" s="79">
        <v>7.0</v>
      </c>
      <c r="O474" s="129" t="s">
        <v>3911</v>
      </c>
      <c r="P474" s="78">
        <v>1.139201106E9</v>
      </c>
      <c r="Q474" s="77" t="s">
        <v>3912</v>
      </c>
      <c r="R474" s="78">
        <v>1.149393168E9</v>
      </c>
      <c r="S474" s="78" t="s">
        <v>3913</v>
      </c>
      <c r="T474" s="101" t="s">
        <v>332</v>
      </c>
      <c r="U474" s="80" t="s">
        <v>332</v>
      </c>
      <c r="V474" s="102" t="s">
        <v>3914</v>
      </c>
      <c r="W474" s="79" t="s">
        <v>309</v>
      </c>
      <c r="X474" s="79" t="s">
        <v>309</v>
      </c>
      <c r="Y474" s="79" t="s">
        <v>309</v>
      </c>
      <c r="Z474" s="79"/>
    </row>
    <row r="475" ht="15.0" customHeight="1">
      <c r="A475" s="76" t="s">
        <v>247</v>
      </c>
      <c r="B475" s="77" t="s">
        <v>1447</v>
      </c>
      <c r="C475" s="268">
        <v>3.0716071851E10</v>
      </c>
      <c r="D475" s="79" t="s">
        <v>264</v>
      </c>
      <c r="E475" s="79" t="s">
        <v>2079</v>
      </c>
      <c r="F475" s="44">
        <v>801.0</v>
      </c>
      <c r="G475" s="79" t="s">
        <v>119</v>
      </c>
      <c r="H475" s="80">
        <v>1657.0</v>
      </c>
      <c r="I475" s="80">
        <v>522099.0</v>
      </c>
      <c r="J475" s="74" t="s">
        <v>433</v>
      </c>
      <c r="K475" s="77" t="s">
        <v>3915</v>
      </c>
      <c r="L475" s="79"/>
      <c r="M475" s="79" t="s">
        <v>3916</v>
      </c>
      <c r="N475" s="79"/>
      <c r="O475" s="79" t="s">
        <v>3917</v>
      </c>
      <c r="P475" s="78" t="s">
        <v>3918</v>
      </c>
      <c r="Q475" s="79"/>
      <c r="R475" s="80"/>
      <c r="S475" s="80"/>
      <c r="T475" s="101"/>
      <c r="U475" s="80"/>
      <c r="V475" s="102" t="s">
        <v>429</v>
      </c>
      <c r="W475" s="79"/>
      <c r="X475" s="79"/>
      <c r="Y475" s="79"/>
      <c r="Z475" s="79"/>
    </row>
    <row r="476" ht="15.0" customHeight="1">
      <c r="A476" s="76" t="s">
        <v>247</v>
      </c>
      <c r="B476" s="77" t="s">
        <v>3919</v>
      </c>
      <c r="C476" s="79">
        <v>3.054788507E10</v>
      </c>
      <c r="D476" s="77" t="s">
        <v>264</v>
      </c>
      <c r="E476" s="77" t="s">
        <v>3068</v>
      </c>
      <c r="F476" s="128" t="s">
        <v>3920</v>
      </c>
      <c r="G476" s="79" t="s">
        <v>119</v>
      </c>
      <c r="H476" s="80">
        <v>1657.0</v>
      </c>
      <c r="I476" s="79">
        <v>170202.0</v>
      </c>
      <c r="J476" s="74" t="s">
        <v>283</v>
      </c>
      <c r="K476" s="79" t="s">
        <v>1459</v>
      </c>
      <c r="L476" s="79"/>
      <c r="M476" s="79" t="s">
        <v>3921</v>
      </c>
      <c r="N476" s="79">
        <v>206.0</v>
      </c>
      <c r="O476" s="74"/>
      <c r="P476" s="80"/>
      <c r="Q476" s="79" t="s">
        <v>3922</v>
      </c>
      <c r="R476" s="78" t="s">
        <v>3923</v>
      </c>
      <c r="S476" s="80" t="s">
        <v>3924</v>
      </c>
      <c r="T476" s="101" t="s">
        <v>3925</v>
      </c>
      <c r="U476" s="80" t="s">
        <v>332</v>
      </c>
      <c r="V476" s="102" t="s">
        <v>3926</v>
      </c>
      <c r="W476" s="79" t="s">
        <v>309</v>
      </c>
      <c r="X476" s="79" t="s">
        <v>309</v>
      </c>
      <c r="Y476" s="79" t="s">
        <v>309</v>
      </c>
      <c r="Z476" s="79"/>
    </row>
    <row r="477" ht="15.0" customHeight="1">
      <c r="A477" s="76" t="s">
        <v>247</v>
      </c>
      <c r="B477" s="77" t="s">
        <v>3927</v>
      </c>
      <c r="C477" s="80">
        <v>3.0685282476E10</v>
      </c>
      <c r="D477" s="79" t="s">
        <v>264</v>
      </c>
      <c r="E477" s="79" t="s">
        <v>3928</v>
      </c>
      <c r="F477" s="44">
        <v>2946.0</v>
      </c>
      <c r="G477" s="79" t="s">
        <v>15</v>
      </c>
      <c r="H477" s="80">
        <v>1678.0</v>
      </c>
      <c r="I477" s="79">
        <v>202320.0</v>
      </c>
      <c r="J477" s="74" t="s">
        <v>316</v>
      </c>
      <c r="K477" s="79" t="s">
        <v>3585</v>
      </c>
      <c r="L477" s="79"/>
      <c r="M477" s="79"/>
      <c r="N477" s="79">
        <v>14.0</v>
      </c>
      <c r="O477" s="74"/>
      <c r="P477" s="80"/>
      <c r="Q477" s="79"/>
      <c r="R477" s="80"/>
      <c r="S477" s="78" t="s">
        <v>3929</v>
      </c>
      <c r="T477" s="101" t="s">
        <v>332</v>
      </c>
      <c r="U477" s="80" t="s">
        <v>332</v>
      </c>
      <c r="V477" s="102" t="s">
        <v>3930</v>
      </c>
      <c r="W477" s="79" t="s">
        <v>309</v>
      </c>
      <c r="X477" s="79" t="s">
        <v>309</v>
      </c>
      <c r="Y477" s="79" t="s">
        <v>309</v>
      </c>
      <c r="Z477" s="79"/>
    </row>
    <row r="478" ht="15.0" customHeight="1">
      <c r="A478" s="103" t="s">
        <v>24</v>
      </c>
      <c r="B478" s="77" t="s">
        <v>3931</v>
      </c>
      <c r="C478" s="80">
        <v>3.0707889825E10</v>
      </c>
      <c r="D478" s="79" t="s">
        <v>264</v>
      </c>
      <c r="E478" s="79" t="s">
        <v>1246</v>
      </c>
      <c r="F478" s="44">
        <v>232.0</v>
      </c>
      <c r="G478" s="79" t="s">
        <v>68</v>
      </c>
      <c r="H478" s="80">
        <v>1702.0</v>
      </c>
      <c r="I478" s="79">
        <v>242490.0</v>
      </c>
      <c r="J478" s="74" t="s">
        <v>316</v>
      </c>
      <c r="K478" s="79" t="s">
        <v>3932</v>
      </c>
      <c r="L478" s="79"/>
      <c r="M478" s="79"/>
      <c r="N478" s="79">
        <v>0.0</v>
      </c>
      <c r="O478" s="74"/>
      <c r="P478" s="80"/>
      <c r="Q478" s="79"/>
      <c r="R478" s="80"/>
      <c r="S478" s="78" t="s">
        <v>3933</v>
      </c>
      <c r="T478" s="85" t="s">
        <v>3934</v>
      </c>
      <c r="U478" s="78" t="s">
        <v>3935</v>
      </c>
      <c r="V478" s="102" t="s">
        <v>429</v>
      </c>
      <c r="W478" s="79" t="s">
        <v>306</v>
      </c>
      <c r="X478" s="79" t="s">
        <v>306</v>
      </c>
      <c r="Y478" s="79"/>
      <c r="Z478" s="79"/>
    </row>
    <row r="479" ht="15.0" customHeight="1">
      <c r="A479" s="76" t="s">
        <v>247</v>
      </c>
      <c r="B479" s="79" t="s">
        <v>3937</v>
      </c>
      <c r="C479" s="80">
        <v>3.0650954722E10</v>
      </c>
      <c r="D479" s="77" t="s">
        <v>631</v>
      </c>
      <c r="E479" s="79" t="s">
        <v>2362</v>
      </c>
      <c r="F479" s="44">
        <v>0.0</v>
      </c>
      <c r="G479" s="79" t="s">
        <v>15</v>
      </c>
      <c r="H479" s="80">
        <v>1678.0</v>
      </c>
      <c r="I479" s="79">
        <v>329030.0</v>
      </c>
      <c r="J479" s="83" t="s">
        <v>207</v>
      </c>
      <c r="K479" s="79" t="s">
        <v>3938</v>
      </c>
      <c r="L479" s="79"/>
      <c r="M479" s="79"/>
      <c r="N479" s="79">
        <v>0.0</v>
      </c>
      <c r="O479" s="270"/>
      <c r="P479" s="80"/>
      <c r="Q479" s="79"/>
      <c r="R479" s="80"/>
      <c r="S479" s="80" t="s">
        <v>3939</v>
      </c>
      <c r="T479" s="200" t="s">
        <v>332</v>
      </c>
      <c r="U479" s="80" t="s">
        <v>332</v>
      </c>
      <c r="V479" s="102" t="s">
        <v>429</v>
      </c>
      <c r="W479" s="79" t="s">
        <v>306</v>
      </c>
      <c r="X479" s="79" t="s">
        <v>306</v>
      </c>
      <c r="Y479" s="79" t="s">
        <v>309</v>
      </c>
      <c r="Z479" s="79"/>
    </row>
    <row r="480" ht="15.0" customHeight="1">
      <c r="A480" s="76" t="s">
        <v>247</v>
      </c>
      <c r="B480" s="77" t="s">
        <v>3940</v>
      </c>
      <c r="C480" s="80">
        <v>3.0554294967E10</v>
      </c>
      <c r="D480" s="144" t="s">
        <v>631</v>
      </c>
      <c r="E480" s="77" t="s">
        <v>1765</v>
      </c>
      <c r="F480" s="44">
        <v>2963.0</v>
      </c>
      <c r="G480" s="79" t="s">
        <v>15</v>
      </c>
      <c r="H480" s="80">
        <v>1678.0</v>
      </c>
      <c r="I480" s="79">
        <v>259200.0</v>
      </c>
      <c r="J480" s="74" t="s">
        <v>347</v>
      </c>
      <c r="K480" s="79" t="s">
        <v>1324</v>
      </c>
      <c r="L480" s="79" t="s">
        <v>453</v>
      </c>
      <c r="M480" s="79"/>
      <c r="N480" s="79">
        <v>17.0</v>
      </c>
      <c r="O480" s="74"/>
      <c r="P480" s="80"/>
      <c r="Q480" s="79"/>
      <c r="R480" s="80"/>
      <c r="S480" s="78" t="s">
        <v>3941</v>
      </c>
      <c r="T480" s="101" t="s">
        <v>332</v>
      </c>
      <c r="U480" s="80" t="s">
        <v>332</v>
      </c>
      <c r="V480" s="102" t="s">
        <v>429</v>
      </c>
      <c r="W480" s="79" t="s">
        <v>306</v>
      </c>
      <c r="X480" s="79" t="s">
        <v>306</v>
      </c>
      <c r="Y480" s="79" t="s">
        <v>309</v>
      </c>
      <c r="Z480" s="79"/>
    </row>
    <row r="481" ht="15.0" customHeight="1">
      <c r="A481" s="76" t="s">
        <v>247</v>
      </c>
      <c r="B481" s="77" t="s">
        <v>1452</v>
      </c>
      <c r="C481" s="80">
        <v>3.0658781851E10</v>
      </c>
      <c r="D481" s="119" t="s">
        <v>264</v>
      </c>
      <c r="E481" s="79" t="s">
        <v>3942</v>
      </c>
      <c r="F481" s="44">
        <v>1425.0</v>
      </c>
      <c r="G481" s="79" t="s">
        <v>269</v>
      </c>
      <c r="H481" s="80">
        <v>1682.0</v>
      </c>
      <c r="I481" s="79">
        <v>141199.0</v>
      </c>
      <c r="J481" s="74" t="s">
        <v>448</v>
      </c>
      <c r="K481" s="77" t="s">
        <v>2765</v>
      </c>
      <c r="L481" s="79" t="s">
        <v>369</v>
      </c>
      <c r="M481" s="79"/>
      <c r="N481" s="79">
        <v>25.0</v>
      </c>
      <c r="O481" s="74" t="s">
        <v>3943</v>
      </c>
      <c r="P481" s="78" t="s">
        <v>3944</v>
      </c>
      <c r="Q481" s="79" t="s">
        <v>3945</v>
      </c>
      <c r="R481" s="80"/>
      <c r="S481" s="80" t="s">
        <v>3946</v>
      </c>
      <c r="T481" s="101" t="s">
        <v>332</v>
      </c>
      <c r="U481" s="80" t="s">
        <v>332</v>
      </c>
      <c r="V481" s="102" t="s">
        <v>3947</v>
      </c>
      <c r="W481" s="79" t="s">
        <v>309</v>
      </c>
      <c r="X481" s="79" t="s">
        <v>309</v>
      </c>
      <c r="Y481" s="79" t="s">
        <v>309</v>
      </c>
      <c r="Z481" s="79"/>
    </row>
    <row r="482" ht="15.0" customHeight="1">
      <c r="A482" s="76" t="s">
        <v>247</v>
      </c>
      <c r="B482" s="77" t="s">
        <v>1457</v>
      </c>
      <c r="C482" s="80">
        <v>3.0710386729E10</v>
      </c>
      <c r="D482" s="79" t="s">
        <v>264</v>
      </c>
      <c r="E482" s="79" t="s">
        <v>3948</v>
      </c>
      <c r="F482" s="44">
        <v>775.0</v>
      </c>
      <c r="G482" s="79" t="s">
        <v>68</v>
      </c>
      <c r="H482" s="80">
        <v>1702.0</v>
      </c>
      <c r="I482" s="79">
        <v>251101.0</v>
      </c>
      <c r="J482" s="74" t="s">
        <v>347</v>
      </c>
      <c r="K482" s="79" t="s">
        <v>1486</v>
      </c>
      <c r="L482" s="79" t="s">
        <v>453</v>
      </c>
      <c r="M482" s="79"/>
      <c r="N482" s="79">
        <v>22.0</v>
      </c>
      <c r="O482" s="74" t="s">
        <v>2819</v>
      </c>
      <c r="P482" s="78" t="s">
        <v>3949</v>
      </c>
      <c r="Q482" s="79"/>
      <c r="R482" s="80"/>
      <c r="S482" s="80" t="s">
        <v>3950</v>
      </c>
      <c r="T482" s="101" t="s">
        <v>3951</v>
      </c>
      <c r="U482" s="80"/>
      <c r="V482" s="102" t="s">
        <v>3952</v>
      </c>
      <c r="W482" s="79" t="s">
        <v>306</v>
      </c>
      <c r="X482" s="79" t="s">
        <v>306</v>
      </c>
      <c r="Y482" s="79" t="s">
        <v>309</v>
      </c>
      <c r="Z482" s="79"/>
    </row>
    <row r="483" ht="15.0" customHeight="1">
      <c r="A483" s="76" t="s">
        <v>247</v>
      </c>
      <c r="B483" s="77" t="s">
        <v>3953</v>
      </c>
      <c r="C483" s="80">
        <v>3.0628204485E10</v>
      </c>
      <c r="D483" s="119" t="s">
        <v>264</v>
      </c>
      <c r="E483" s="79" t="s">
        <v>3954</v>
      </c>
      <c r="F483" s="44">
        <v>3864.0</v>
      </c>
      <c r="G483" s="79" t="s">
        <v>68</v>
      </c>
      <c r="H483" s="80">
        <v>1702.0</v>
      </c>
      <c r="I483" s="79">
        <v>289200.0</v>
      </c>
      <c r="J483" s="74" t="s">
        <v>347</v>
      </c>
      <c r="K483" s="79" t="s">
        <v>2529</v>
      </c>
      <c r="L483" s="79" t="s">
        <v>453</v>
      </c>
      <c r="M483" s="79"/>
      <c r="N483" s="79">
        <v>0.0</v>
      </c>
      <c r="O483" s="74"/>
      <c r="P483" s="80"/>
      <c r="Q483" s="79"/>
      <c r="R483" s="80"/>
      <c r="S483" s="80" t="s">
        <v>3951</v>
      </c>
      <c r="T483" s="101" t="s">
        <v>3950</v>
      </c>
      <c r="U483" s="80" t="s">
        <v>332</v>
      </c>
      <c r="V483" s="102" t="s">
        <v>3955</v>
      </c>
      <c r="W483" s="79" t="s">
        <v>306</v>
      </c>
      <c r="X483" s="79" t="s">
        <v>306</v>
      </c>
      <c r="Y483" s="79" t="s">
        <v>309</v>
      </c>
      <c r="Z483" s="79"/>
    </row>
    <row r="484" ht="15.0" customHeight="1">
      <c r="A484" s="76" t="s">
        <v>247</v>
      </c>
      <c r="B484" s="77" t="s">
        <v>3956</v>
      </c>
      <c r="C484" s="80">
        <v>3.0708201916E10</v>
      </c>
      <c r="D484" s="79" t="s">
        <v>264</v>
      </c>
      <c r="E484" s="79" t="s">
        <v>1369</v>
      </c>
      <c r="F484" s="44">
        <v>1965.0</v>
      </c>
      <c r="G484" s="79" t="s">
        <v>97</v>
      </c>
      <c r="H484" s="80">
        <v>1702.0</v>
      </c>
      <c r="I484" s="79">
        <v>231090.0</v>
      </c>
      <c r="J484" s="74" t="s">
        <v>457</v>
      </c>
      <c r="K484" s="77" t="s">
        <v>2477</v>
      </c>
      <c r="L484" s="79"/>
      <c r="M484" s="77" t="s">
        <v>3957</v>
      </c>
      <c r="N484" s="79">
        <v>6.0</v>
      </c>
      <c r="O484" s="74"/>
      <c r="P484" s="80"/>
      <c r="Q484" s="79"/>
      <c r="R484" s="80"/>
      <c r="S484" s="78" t="s">
        <v>3958</v>
      </c>
      <c r="T484" s="80" t="s">
        <v>3959</v>
      </c>
      <c r="U484" s="85" t="s">
        <v>3959</v>
      </c>
      <c r="V484" s="98" t="s">
        <v>3960</v>
      </c>
      <c r="W484" s="79" t="s">
        <v>306</v>
      </c>
      <c r="X484" s="79" t="s">
        <v>306</v>
      </c>
      <c r="Y484" s="79" t="s">
        <v>309</v>
      </c>
      <c r="Z484" s="79"/>
    </row>
    <row r="485" ht="15.0" customHeight="1">
      <c r="A485" s="103" t="s">
        <v>24</v>
      </c>
      <c r="B485" s="77" t="s">
        <v>3961</v>
      </c>
      <c r="C485" s="80">
        <v>3.0708201258E10</v>
      </c>
      <c r="D485" s="119" t="s">
        <v>264</v>
      </c>
      <c r="E485" s="79" t="s">
        <v>3962</v>
      </c>
      <c r="F485" s="44">
        <v>3550.0</v>
      </c>
      <c r="G485" s="79" t="s">
        <v>68</v>
      </c>
      <c r="H485" s="80">
        <v>1702.0</v>
      </c>
      <c r="I485" s="79">
        <v>259200.0</v>
      </c>
      <c r="J485" s="74" t="s">
        <v>347</v>
      </c>
      <c r="K485" s="79" t="s">
        <v>1324</v>
      </c>
      <c r="L485" s="79" t="s">
        <v>453</v>
      </c>
      <c r="M485" s="79"/>
      <c r="N485" s="79">
        <v>5.0</v>
      </c>
      <c r="O485" s="74"/>
      <c r="P485" s="80"/>
      <c r="Q485" s="79"/>
      <c r="R485" s="80"/>
      <c r="S485" s="78" t="s">
        <v>3964</v>
      </c>
      <c r="T485" s="101" t="s">
        <v>332</v>
      </c>
      <c r="U485" s="80" t="s">
        <v>332</v>
      </c>
      <c r="V485" s="102" t="s">
        <v>429</v>
      </c>
      <c r="W485" s="79" t="s">
        <v>306</v>
      </c>
      <c r="X485" s="79" t="s">
        <v>306</v>
      </c>
      <c r="Y485" s="79" t="s">
        <v>309</v>
      </c>
      <c r="Z485" s="79"/>
    </row>
    <row r="486" ht="15.0" customHeight="1">
      <c r="A486" s="76" t="s">
        <v>247</v>
      </c>
      <c r="B486" s="77" t="s">
        <v>3965</v>
      </c>
      <c r="C486" s="80">
        <v>3.0684040002E10</v>
      </c>
      <c r="D486" s="119" t="s">
        <v>264</v>
      </c>
      <c r="E486" s="79" t="s">
        <v>3966</v>
      </c>
      <c r="F486" s="44">
        <v>2661.0</v>
      </c>
      <c r="G486" s="79" t="s">
        <v>97</v>
      </c>
      <c r="H486" s="80">
        <v>1702.0</v>
      </c>
      <c r="I486" s="79">
        <v>131300.0</v>
      </c>
      <c r="J486" s="74" t="s">
        <v>448</v>
      </c>
      <c r="K486" s="79" t="s">
        <v>2680</v>
      </c>
      <c r="L486" s="79"/>
      <c r="M486" s="79"/>
      <c r="N486" s="79">
        <v>18.0</v>
      </c>
      <c r="O486" s="74"/>
      <c r="P486" s="80"/>
      <c r="Q486" s="79"/>
      <c r="R486" s="80"/>
      <c r="S486" s="78" t="s">
        <v>3968</v>
      </c>
      <c r="T486" s="85" t="s">
        <v>3968</v>
      </c>
      <c r="U486" s="80" t="s">
        <v>332</v>
      </c>
      <c r="V486" s="102" t="s">
        <v>3969</v>
      </c>
      <c r="W486" s="79" t="s">
        <v>309</v>
      </c>
      <c r="X486" s="79" t="s">
        <v>309</v>
      </c>
      <c r="Y486" s="79" t="s">
        <v>309</v>
      </c>
      <c r="Z486" s="79"/>
    </row>
    <row r="487" ht="15.0" customHeight="1">
      <c r="A487" s="103" t="s">
        <v>24</v>
      </c>
      <c r="B487" s="77" t="s">
        <v>3970</v>
      </c>
      <c r="C487" s="79">
        <v>3.0709542318E10</v>
      </c>
      <c r="D487" s="77" t="s">
        <v>264</v>
      </c>
      <c r="E487" s="79" t="s">
        <v>1911</v>
      </c>
      <c r="F487" s="44">
        <v>4092.0</v>
      </c>
      <c r="G487" s="79" t="s">
        <v>68</v>
      </c>
      <c r="H487" s="80">
        <v>1702.0</v>
      </c>
      <c r="I487" s="77">
        <v>581300.0</v>
      </c>
      <c r="J487" s="74" t="s">
        <v>283</v>
      </c>
      <c r="K487" s="79" t="s">
        <v>3971</v>
      </c>
      <c r="L487" s="79"/>
      <c r="M487" s="79"/>
      <c r="N487" s="79">
        <v>3.0</v>
      </c>
      <c r="O487" s="74"/>
      <c r="P487" s="80"/>
      <c r="Q487" s="79"/>
      <c r="R487" s="80"/>
      <c r="S487" s="80"/>
      <c r="T487" s="101" t="s">
        <v>332</v>
      </c>
      <c r="U487" s="80" t="s">
        <v>332</v>
      </c>
      <c r="V487" s="102" t="s">
        <v>429</v>
      </c>
      <c r="W487" s="79" t="s">
        <v>306</v>
      </c>
      <c r="X487" s="79" t="s">
        <v>306</v>
      </c>
      <c r="Y487" s="79" t="s">
        <v>309</v>
      </c>
      <c r="Z487" s="79"/>
    </row>
    <row r="488" ht="15.0" customHeight="1">
      <c r="A488" s="76" t="s">
        <v>247</v>
      </c>
      <c r="B488" s="77" t="s">
        <v>3972</v>
      </c>
      <c r="C488" s="80">
        <v>3.0712327657E10</v>
      </c>
      <c r="D488" s="119" t="s">
        <v>264</v>
      </c>
      <c r="E488" s="77" t="s">
        <v>2646</v>
      </c>
      <c r="F488" s="44">
        <v>3651.0</v>
      </c>
      <c r="G488" s="79" t="s">
        <v>68</v>
      </c>
      <c r="H488" s="80">
        <v>1702.0</v>
      </c>
      <c r="I488" s="77">
        <v>181200.0</v>
      </c>
      <c r="J488" s="83" t="s">
        <v>433</v>
      </c>
      <c r="K488" s="77" t="s">
        <v>1833</v>
      </c>
      <c r="L488" s="79" t="s">
        <v>453</v>
      </c>
      <c r="M488" s="79"/>
      <c r="N488" s="79">
        <v>2.0</v>
      </c>
      <c r="O488" s="74"/>
      <c r="P488" s="80"/>
      <c r="Q488" s="79"/>
      <c r="R488" s="80"/>
      <c r="S488" s="78" t="s">
        <v>3973</v>
      </c>
      <c r="T488" s="101" t="s">
        <v>332</v>
      </c>
      <c r="U488" s="80" t="s">
        <v>332</v>
      </c>
      <c r="V488" s="102" t="s">
        <v>3974</v>
      </c>
      <c r="W488" s="79" t="s">
        <v>306</v>
      </c>
      <c r="X488" s="79" t="s">
        <v>306</v>
      </c>
      <c r="Y488" s="79" t="s">
        <v>309</v>
      </c>
      <c r="Z488" s="79"/>
    </row>
    <row r="489" ht="15.0" customHeight="1">
      <c r="A489" s="103" t="s">
        <v>24</v>
      </c>
      <c r="B489" s="77" t="s">
        <v>3975</v>
      </c>
      <c r="C489" s="80">
        <v>3.064708564E10</v>
      </c>
      <c r="D489" s="119" t="s">
        <v>264</v>
      </c>
      <c r="E489" s="79" t="s">
        <v>3976</v>
      </c>
      <c r="F489" s="44">
        <v>1175.0</v>
      </c>
      <c r="G489" s="77" t="s">
        <v>226</v>
      </c>
      <c r="H489" s="80">
        <v>1674.0</v>
      </c>
      <c r="I489" s="79">
        <v>292600.0</v>
      </c>
      <c r="J489" s="74" t="s">
        <v>347</v>
      </c>
      <c r="K489" s="79" t="s">
        <v>3977</v>
      </c>
      <c r="L489" s="79" t="s">
        <v>662</v>
      </c>
      <c r="M489" s="79"/>
      <c r="N489" s="79">
        <v>0.0</v>
      </c>
      <c r="O489" s="74"/>
      <c r="P489" s="80"/>
      <c r="Q489" s="79"/>
      <c r="R489" s="80"/>
      <c r="S489" s="80" t="s">
        <v>3978</v>
      </c>
      <c r="T489" s="101" t="s">
        <v>3979</v>
      </c>
      <c r="U489" s="80" t="s">
        <v>3978</v>
      </c>
      <c r="V489" s="102" t="s">
        <v>429</v>
      </c>
      <c r="W489" s="79" t="s">
        <v>306</v>
      </c>
      <c r="X489" s="79" t="s">
        <v>306</v>
      </c>
      <c r="Y489" s="79"/>
      <c r="Z489" s="79"/>
    </row>
    <row r="490" ht="15.75" customHeight="1">
      <c r="A490" s="76" t="s">
        <v>247</v>
      </c>
      <c r="B490" s="77" t="s">
        <v>3980</v>
      </c>
      <c r="C490" s="80">
        <v>3.0709143057E10</v>
      </c>
      <c r="D490" s="119" t="s">
        <v>264</v>
      </c>
      <c r="E490" s="126" t="s">
        <v>3981</v>
      </c>
      <c r="F490" s="44">
        <v>3561.0</v>
      </c>
      <c r="G490" s="79" t="s">
        <v>249</v>
      </c>
      <c r="H490" s="80">
        <v>1676.0</v>
      </c>
      <c r="I490" s="79">
        <v>960990.0</v>
      </c>
      <c r="J490" s="74" t="s">
        <v>433</v>
      </c>
      <c r="K490" s="77" t="s">
        <v>3982</v>
      </c>
      <c r="L490" s="79"/>
      <c r="M490" s="79"/>
      <c r="N490" s="79">
        <v>4.0</v>
      </c>
      <c r="O490" s="74"/>
      <c r="P490" s="80"/>
      <c r="Q490" s="79"/>
      <c r="R490" s="80"/>
      <c r="S490" s="78" t="s">
        <v>3983</v>
      </c>
      <c r="T490" s="101" t="s">
        <v>332</v>
      </c>
      <c r="U490" s="80" t="s">
        <v>332</v>
      </c>
      <c r="V490" s="102" t="s">
        <v>3984</v>
      </c>
      <c r="W490" s="79" t="s">
        <v>306</v>
      </c>
      <c r="X490" s="79" t="s">
        <v>306</v>
      </c>
      <c r="Y490" s="79"/>
      <c r="Z490" s="79"/>
    </row>
    <row r="491" ht="15.0" customHeight="1">
      <c r="A491" s="103" t="s">
        <v>24</v>
      </c>
      <c r="B491" s="77" t="s">
        <v>3986</v>
      </c>
      <c r="C491" s="80">
        <v>3.0710933754E10</v>
      </c>
      <c r="D491" s="119" t="s">
        <v>264</v>
      </c>
      <c r="E491" s="79" t="s">
        <v>3987</v>
      </c>
      <c r="F491" s="44">
        <v>9480.0</v>
      </c>
      <c r="G491" s="79" t="s">
        <v>119</v>
      </c>
      <c r="H491" s="80">
        <v>1657.0</v>
      </c>
      <c r="I491" s="79">
        <v>243200.0</v>
      </c>
      <c r="J491" s="74" t="s">
        <v>347</v>
      </c>
      <c r="K491" s="79" t="s">
        <v>1277</v>
      </c>
      <c r="L491" s="79" t="s">
        <v>453</v>
      </c>
      <c r="M491" s="79"/>
      <c r="N491" s="79">
        <v>2.0</v>
      </c>
      <c r="O491" s="42"/>
      <c r="P491" s="80"/>
      <c r="Q491" s="79"/>
      <c r="R491" s="80"/>
      <c r="S491" s="80" t="s">
        <v>3988</v>
      </c>
      <c r="T491" s="101" t="s">
        <v>332</v>
      </c>
      <c r="U491" s="80" t="s">
        <v>332</v>
      </c>
      <c r="V491" s="102" t="s">
        <v>429</v>
      </c>
      <c r="W491" s="79" t="s">
        <v>306</v>
      </c>
      <c r="X491" s="79" t="s">
        <v>306</v>
      </c>
      <c r="Y491" s="79"/>
      <c r="Z491" s="79"/>
    </row>
    <row r="492" ht="15.75" customHeight="1">
      <c r="A492" s="76" t="s">
        <v>247</v>
      </c>
      <c r="B492" s="77" t="s">
        <v>3989</v>
      </c>
      <c r="C492" s="80">
        <v>3.0711813469E10</v>
      </c>
      <c r="D492" s="119" t="s">
        <v>264</v>
      </c>
      <c r="E492" s="79" t="s">
        <v>3990</v>
      </c>
      <c r="F492" s="44">
        <v>8666.0</v>
      </c>
      <c r="G492" s="79" t="s">
        <v>119</v>
      </c>
      <c r="H492" s="80">
        <v>1657.0</v>
      </c>
      <c r="I492" s="79">
        <v>251102.0</v>
      </c>
      <c r="J492" s="74" t="s">
        <v>347</v>
      </c>
      <c r="K492" s="79" t="s">
        <v>1611</v>
      </c>
      <c r="L492" s="79" t="s">
        <v>453</v>
      </c>
      <c r="M492" s="79"/>
      <c r="N492" s="79">
        <v>5.0</v>
      </c>
      <c r="O492" s="74"/>
      <c r="P492" s="80"/>
      <c r="Q492" s="79"/>
      <c r="R492" s="80"/>
      <c r="S492" s="78" t="s">
        <v>3991</v>
      </c>
      <c r="T492" s="101" t="s">
        <v>332</v>
      </c>
      <c r="U492" s="80" t="s">
        <v>332</v>
      </c>
      <c r="V492" s="102" t="s">
        <v>3992</v>
      </c>
      <c r="W492" s="79" t="s">
        <v>309</v>
      </c>
      <c r="X492" s="79" t="s">
        <v>309</v>
      </c>
      <c r="Y492" s="79" t="s">
        <v>309</v>
      </c>
      <c r="Z492" s="79"/>
    </row>
    <row r="493" ht="15.0" customHeight="1">
      <c r="A493" s="76" t="s">
        <v>247</v>
      </c>
      <c r="B493" s="77" t="s">
        <v>3993</v>
      </c>
      <c r="C493" s="85">
        <v>2.0936205896E10</v>
      </c>
      <c r="D493" s="144" t="s">
        <v>631</v>
      </c>
      <c r="E493" s="77" t="s">
        <v>1376</v>
      </c>
      <c r="F493" s="44">
        <v>1430.0</v>
      </c>
      <c r="G493" s="79" t="s">
        <v>68</v>
      </c>
      <c r="H493" s="80">
        <v>1702.0</v>
      </c>
      <c r="I493" s="77">
        <v>271010.0</v>
      </c>
      <c r="J493" s="74" t="s">
        <v>337</v>
      </c>
      <c r="K493" s="77" t="s">
        <v>3994</v>
      </c>
      <c r="L493" s="79"/>
      <c r="M493" s="79"/>
      <c r="N493" s="79"/>
      <c r="O493" s="74"/>
      <c r="P493" s="80"/>
      <c r="Q493" s="79"/>
      <c r="R493" s="80"/>
      <c r="S493" s="80" t="s">
        <v>3995</v>
      </c>
      <c r="T493" s="101"/>
      <c r="U493" s="80"/>
      <c r="V493" s="102" t="s">
        <v>429</v>
      </c>
      <c r="W493" s="79"/>
      <c r="X493" s="79"/>
      <c r="Y493" s="79" t="s">
        <v>309</v>
      </c>
      <c r="Z493" s="79"/>
    </row>
    <row r="494" ht="15.75" customHeight="1">
      <c r="A494" s="76" t="s">
        <v>247</v>
      </c>
      <c r="B494" s="77" t="s">
        <v>3963</v>
      </c>
      <c r="C494" s="80">
        <v>3.0707735291E10</v>
      </c>
      <c r="D494" s="119" t="s">
        <v>264</v>
      </c>
      <c r="E494" s="77" t="s">
        <v>3996</v>
      </c>
      <c r="F494" s="128">
        <v>2047.0</v>
      </c>
      <c r="G494" s="77" t="s">
        <v>15</v>
      </c>
      <c r="H494" s="78">
        <v>1678.0</v>
      </c>
      <c r="I494" s="79">
        <v>281900.0</v>
      </c>
      <c r="J494" s="74" t="s">
        <v>347</v>
      </c>
      <c r="K494" s="77" t="s">
        <v>2217</v>
      </c>
      <c r="L494" s="79" t="s">
        <v>662</v>
      </c>
      <c r="M494" s="79"/>
      <c r="N494" s="79">
        <v>6.0</v>
      </c>
      <c r="O494" s="271" t="s">
        <v>3997</v>
      </c>
      <c r="P494" s="242" t="s">
        <v>3998</v>
      </c>
      <c r="Q494" s="79" t="s">
        <v>3999</v>
      </c>
      <c r="R494" s="78" t="s">
        <v>4000</v>
      </c>
      <c r="S494" s="80" t="s">
        <v>4001</v>
      </c>
      <c r="T494" s="85" t="s">
        <v>4002</v>
      </c>
      <c r="U494" s="78" t="s">
        <v>4003</v>
      </c>
      <c r="V494" s="102" t="s">
        <v>4004</v>
      </c>
      <c r="W494" s="79" t="s">
        <v>306</v>
      </c>
      <c r="X494" s="79" t="s">
        <v>306</v>
      </c>
      <c r="Y494" s="79" t="s">
        <v>309</v>
      </c>
      <c r="Z494" s="79"/>
    </row>
    <row r="495" ht="15.0" customHeight="1">
      <c r="A495" s="76" t="s">
        <v>247</v>
      </c>
      <c r="B495" s="79" t="s">
        <v>4005</v>
      </c>
      <c r="C495" s="80">
        <v>2.0203493127E10</v>
      </c>
      <c r="D495" s="77" t="s">
        <v>631</v>
      </c>
      <c r="E495" s="77" t="s">
        <v>4006</v>
      </c>
      <c r="F495" s="44">
        <v>242.0</v>
      </c>
      <c r="G495" s="79" t="s">
        <v>68</v>
      </c>
      <c r="H495" s="80">
        <v>1702.0</v>
      </c>
      <c r="I495" s="77">
        <v>469090.0</v>
      </c>
      <c r="J495" s="74" t="s">
        <v>347</v>
      </c>
      <c r="K495" s="77" t="s">
        <v>4007</v>
      </c>
      <c r="L495" s="79" t="s">
        <v>662</v>
      </c>
      <c r="M495" s="79"/>
      <c r="N495" s="79">
        <v>100.0</v>
      </c>
      <c r="O495" s="74"/>
      <c r="P495" s="114"/>
      <c r="Q495" s="79"/>
      <c r="R495" s="80"/>
      <c r="S495" s="80" t="s">
        <v>4008</v>
      </c>
      <c r="T495" s="101"/>
      <c r="U495" s="80"/>
      <c r="V495" s="102" t="s">
        <v>4009</v>
      </c>
      <c r="W495" s="79"/>
      <c r="X495" s="79"/>
      <c r="Y495" s="79"/>
      <c r="Z495" s="79"/>
    </row>
    <row r="496" ht="15.0" customHeight="1">
      <c r="A496" s="103" t="s">
        <v>24</v>
      </c>
      <c r="B496" s="77" t="s">
        <v>4010</v>
      </c>
      <c r="C496" s="80">
        <v>3.0708091398E10</v>
      </c>
      <c r="D496" s="119" t="s">
        <v>264</v>
      </c>
      <c r="E496" s="79" t="s">
        <v>826</v>
      </c>
      <c r="F496" s="44">
        <v>8649.0</v>
      </c>
      <c r="G496" s="79" t="s">
        <v>175</v>
      </c>
      <c r="H496" s="80">
        <v>1657.0</v>
      </c>
      <c r="I496" s="77">
        <v>281301.0</v>
      </c>
      <c r="J496" s="74" t="s">
        <v>347</v>
      </c>
      <c r="K496" s="77" t="s">
        <v>2670</v>
      </c>
      <c r="L496" s="79" t="s">
        <v>662</v>
      </c>
      <c r="M496" s="79"/>
      <c r="N496" s="79">
        <v>1.0</v>
      </c>
      <c r="O496" s="74"/>
      <c r="P496" s="80"/>
      <c r="Q496" s="79"/>
      <c r="R496" s="80"/>
      <c r="S496" s="80" t="s">
        <v>3733</v>
      </c>
      <c r="T496" s="101" t="s">
        <v>332</v>
      </c>
      <c r="U496" s="80" t="s">
        <v>332</v>
      </c>
      <c r="V496" s="102" t="s">
        <v>4011</v>
      </c>
      <c r="W496" s="79" t="s">
        <v>306</v>
      </c>
      <c r="X496" s="79" t="s">
        <v>306</v>
      </c>
      <c r="Y496" s="79"/>
      <c r="Z496" s="79"/>
    </row>
    <row r="497" ht="15.75" customHeight="1">
      <c r="A497" s="76" t="s">
        <v>247</v>
      </c>
      <c r="B497" s="77" t="s">
        <v>4012</v>
      </c>
      <c r="C497" s="80">
        <v>3.0682920471E10</v>
      </c>
      <c r="D497" s="79" t="s">
        <v>264</v>
      </c>
      <c r="E497" s="77" t="s">
        <v>3068</v>
      </c>
      <c r="F497" s="128">
        <v>6621.0</v>
      </c>
      <c r="G497" s="79" t="s">
        <v>119</v>
      </c>
      <c r="H497" s="80">
        <v>1657.0</v>
      </c>
      <c r="I497" s="79">
        <v>329020.0</v>
      </c>
      <c r="J497" s="74" t="s">
        <v>313</v>
      </c>
      <c r="K497" s="79" t="s">
        <v>4013</v>
      </c>
      <c r="L497" s="79"/>
      <c r="M497" s="79"/>
      <c r="N497" s="79">
        <v>7.0</v>
      </c>
      <c r="O497" s="74"/>
      <c r="P497" s="80"/>
      <c r="Q497" s="79"/>
      <c r="R497" s="80"/>
      <c r="S497" s="78" t="s">
        <v>4014</v>
      </c>
      <c r="T497" s="101" t="s">
        <v>332</v>
      </c>
      <c r="U497" s="80" t="s">
        <v>332</v>
      </c>
      <c r="V497" s="102" t="s">
        <v>4015</v>
      </c>
      <c r="W497" s="79" t="s">
        <v>309</v>
      </c>
      <c r="X497" s="79" t="s">
        <v>309</v>
      </c>
      <c r="Y497" s="79" t="s">
        <v>309</v>
      </c>
      <c r="Z497" s="79"/>
    </row>
    <row r="498" ht="15.0" customHeight="1">
      <c r="A498" s="103" t="s">
        <v>24</v>
      </c>
      <c r="B498" s="77" t="s">
        <v>4016</v>
      </c>
      <c r="C498" s="80">
        <v>3.0661168311E10</v>
      </c>
      <c r="D498" s="119" t="s">
        <v>264</v>
      </c>
      <c r="E498" s="79" t="s">
        <v>3198</v>
      </c>
      <c r="F498" s="44">
        <v>6605.0</v>
      </c>
      <c r="G498" s="79" t="s">
        <v>269</v>
      </c>
      <c r="H498" s="80">
        <v>1682.0</v>
      </c>
      <c r="I498" s="79">
        <v>869090.0</v>
      </c>
      <c r="J498" s="74" t="s">
        <v>433</v>
      </c>
      <c r="K498" s="77" t="s">
        <v>4018</v>
      </c>
      <c r="L498" s="79"/>
      <c r="M498" s="79"/>
      <c r="N498" s="79">
        <v>31.0</v>
      </c>
      <c r="O498" s="74"/>
      <c r="P498" s="80"/>
      <c r="Q498" s="79"/>
      <c r="R498" s="80"/>
      <c r="S498" s="78" t="s">
        <v>4019</v>
      </c>
      <c r="T498" s="101" t="s">
        <v>4020</v>
      </c>
      <c r="U498" s="80" t="s">
        <v>4021</v>
      </c>
      <c r="V498" s="102" t="s">
        <v>4022</v>
      </c>
      <c r="W498" s="79" t="s">
        <v>306</v>
      </c>
      <c r="X498" s="79" t="s">
        <v>306</v>
      </c>
      <c r="Y498" s="79"/>
      <c r="Z498" s="79"/>
    </row>
    <row r="499" ht="15.0" customHeight="1">
      <c r="A499" s="76" t="s">
        <v>247</v>
      </c>
      <c r="B499" s="77" t="s">
        <v>4024</v>
      </c>
      <c r="C499" s="101">
        <v>3.0715845136E10</v>
      </c>
      <c r="D499" s="79" t="s">
        <v>264</v>
      </c>
      <c r="E499" s="77" t="s">
        <v>1683</v>
      </c>
      <c r="F499" s="44">
        <v>3432.0</v>
      </c>
      <c r="G499" s="79" t="s">
        <v>15</v>
      </c>
      <c r="H499" s="80">
        <v>1678.0</v>
      </c>
      <c r="I499" s="79">
        <v>259999.0</v>
      </c>
      <c r="J499" s="74" t="s">
        <v>347</v>
      </c>
      <c r="K499" s="144" t="s">
        <v>839</v>
      </c>
      <c r="L499" s="79"/>
      <c r="M499" s="79"/>
      <c r="N499" s="79"/>
      <c r="O499" s="79"/>
      <c r="P499" s="80"/>
      <c r="Q499" s="79"/>
      <c r="R499" s="80"/>
      <c r="S499" s="80" t="s">
        <v>4025</v>
      </c>
      <c r="T499" s="85" t="s">
        <v>4026</v>
      </c>
      <c r="U499" s="80"/>
      <c r="V499" s="102" t="s">
        <v>4027</v>
      </c>
      <c r="W499" s="79"/>
      <c r="X499" s="79"/>
      <c r="Y499" s="79"/>
      <c r="Z499" s="79"/>
    </row>
    <row r="500" ht="15.0" customHeight="1">
      <c r="A500" s="103" t="s">
        <v>24</v>
      </c>
      <c r="B500" s="77" t="s">
        <v>4029</v>
      </c>
      <c r="C500" s="80">
        <v>3.0708390522E10</v>
      </c>
      <c r="D500" s="119" t="s">
        <v>264</v>
      </c>
      <c r="E500" s="79" t="s">
        <v>4030</v>
      </c>
      <c r="F500" s="44">
        <v>0.0</v>
      </c>
      <c r="G500" s="79" t="s">
        <v>119</v>
      </c>
      <c r="H500" s="80">
        <v>1657.0</v>
      </c>
      <c r="I500" s="79">
        <v>743000.0</v>
      </c>
      <c r="J500" s="74" t="s">
        <v>410</v>
      </c>
      <c r="K500" s="79" t="s">
        <v>4031</v>
      </c>
      <c r="L500" s="79"/>
      <c r="M500" s="79"/>
      <c r="N500" s="79">
        <v>0.0</v>
      </c>
      <c r="O500" s="83" t="s">
        <v>4032</v>
      </c>
      <c r="P500" s="78" t="s">
        <v>4033</v>
      </c>
      <c r="Q500" s="79"/>
      <c r="R500" s="80"/>
      <c r="S500" s="78" t="s">
        <v>4034</v>
      </c>
      <c r="T500" s="101" t="s">
        <v>332</v>
      </c>
      <c r="U500" s="80" t="s">
        <v>332</v>
      </c>
      <c r="V500" s="102" t="s">
        <v>429</v>
      </c>
      <c r="W500" s="79" t="s">
        <v>306</v>
      </c>
      <c r="X500" s="79" t="s">
        <v>306</v>
      </c>
      <c r="Y500" s="79"/>
      <c r="Z500" s="79"/>
    </row>
    <row r="501" ht="15.0" customHeight="1">
      <c r="A501" s="103" t="s">
        <v>24</v>
      </c>
      <c r="B501" s="77" t="s">
        <v>4035</v>
      </c>
      <c r="C501" s="80">
        <v>3.0562716145E10</v>
      </c>
      <c r="D501" s="79" t="s">
        <v>264</v>
      </c>
      <c r="E501" s="77" t="s">
        <v>1683</v>
      </c>
      <c r="F501" s="44">
        <v>3750.0</v>
      </c>
      <c r="G501" s="79" t="s">
        <v>15</v>
      </c>
      <c r="H501" s="80">
        <v>1678.0</v>
      </c>
      <c r="I501" s="79">
        <v>289993.0</v>
      </c>
      <c r="J501" s="74" t="s">
        <v>347</v>
      </c>
      <c r="K501" s="129" t="s">
        <v>638</v>
      </c>
      <c r="L501" s="79" t="s">
        <v>453</v>
      </c>
      <c r="M501" s="79"/>
      <c r="N501" s="79">
        <v>0.0</v>
      </c>
      <c r="O501" s="74"/>
      <c r="P501" s="80"/>
      <c r="Q501" s="79"/>
      <c r="R501" s="80"/>
      <c r="S501" s="80" t="s">
        <v>4036</v>
      </c>
      <c r="T501" s="101" t="s">
        <v>332</v>
      </c>
      <c r="U501" s="80" t="s">
        <v>332</v>
      </c>
      <c r="V501" s="102" t="s">
        <v>429</v>
      </c>
      <c r="W501" s="79" t="s">
        <v>309</v>
      </c>
      <c r="X501" s="79" t="s">
        <v>309</v>
      </c>
      <c r="Y501" s="79"/>
      <c r="Z501" s="79"/>
    </row>
    <row r="502" ht="15.0" customHeight="1">
      <c r="A502" s="76" t="s">
        <v>247</v>
      </c>
      <c r="B502" s="77" t="s">
        <v>3967</v>
      </c>
      <c r="C502" s="80">
        <v>3.0711557071E10</v>
      </c>
      <c r="D502" s="79" t="s">
        <v>264</v>
      </c>
      <c r="E502" s="79" t="s">
        <v>15</v>
      </c>
      <c r="F502" s="44">
        <v>3118.0</v>
      </c>
      <c r="G502" s="79" t="s">
        <v>15</v>
      </c>
      <c r="H502" s="80">
        <v>1678.0</v>
      </c>
      <c r="I502" s="79">
        <v>432990.0</v>
      </c>
      <c r="J502" s="74" t="s">
        <v>433</v>
      </c>
      <c r="K502" s="77" t="s">
        <v>4038</v>
      </c>
      <c r="L502" s="79"/>
      <c r="M502" s="77" t="s">
        <v>4039</v>
      </c>
      <c r="N502" s="79">
        <v>7.0</v>
      </c>
      <c r="O502" s="74" t="s">
        <v>4040</v>
      </c>
      <c r="P502" s="78" t="s">
        <v>4041</v>
      </c>
      <c r="Q502" s="77" t="s">
        <v>4042</v>
      </c>
      <c r="R502" s="78" t="s">
        <v>4043</v>
      </c>
      <c r="S502" s="78" t="s">
        <v>4044</v>
      </c>
      <c r="T502" s="85" t="s">
        <v>4045</v>
      </c>
      <c r="U502" s="80" t="s">
        <v>332</v>
      </c>
      <c r="V502" s="102" t="s">
        <v>4046</v>
      </c>
      <c r="W502" s="79" t="s">
        <v>306</v>
      </c>
      <c r="X502" s="79" t="s">
        <v>306</v>
      </c>
      <c r="Y502" s="79" t="s">
        <v>1963</v>
      </c>
      <c r="Z502" s="79"/>
    </row>
    <row r="503" ht="15.0" customHeight="1">
      <c r="A503" s="76" t="s">
        <v>247</v>
      </c>
      <c r="B503" s="77" t="s">
        <v>1466</v>
      </c>
      <c r="C503" s="80">
        <v>3.0715079875E10</v>
      </c>
      <c r="D503" s="79" t="s">
        <v>264</v>
      </c>
      <c r="E503" s="79" t="s">
        <v>2246</v>
      </c>
      <c r="F503" s="44">
        <v>4230.0</v>
      </c>
      <c r="G503" s="79" t="s">
        <v>15</v>
      </c>
      <c r="H503" s="80">
        <v>1678.0</v>
      </c>
      <c r="I503" s="77">
        <v>282909.0</v>
      </c>
      <c r="J503" s="74" t="s">
        <v>347</v>
      </c>
      <c r="K503" s="77" t="s">
        <v>2642</v>
      </c>
      <c r="L503" s="79"/>
      <c r="M503" s="79"/>
      <c r="N503" s="79"/>
      <c r="O503" s="83" t="s">
        <v>4048</v>
      </c>
      <c r="P503" s="78" t="s">
        <v>4049</v>
      </c>
      <c r="Q503" s="79"/>
      <c r="R503" s="80"/>
      <c r="S503" s="80"/>
      <c r="T503" s="101"/>
      <c r="U503" s="80"/>
      <c r="V503" s="102" t="s">
        <v>4051</v>
      </c>
      <c r="W503" s="79"/>
      <c r="X503" s="79"/>
      <c r="Y503" s="79"/>
      <c r="Z503" s="79"/>
    </row>
    <row r="504" ht="15.0" customHeight="1">
      <c r="A504" s="103" t="s">
        <v>24</v>
      </c>
      <c r="B504" s="79" t="s">
        <v>4052</v>
      </c>
      <c r="C504" s="80">
        <v>3.0636166622E10</v>
      </c>
      <c r="D504" s="144" t="s">
        <v>631</v>
      </c>
      <c r="E504" s="79" t="s">
        <v>3511</v>
      </c>
      <c r="F504" s="44">
        <v>5555.0</v>
      </c>
      <c r="G504" s="79" t="s">
        <v>269</v>
      </c>
      <c r="H504" s="80">
        <v>1682.0</v>
      </c>
      <c r="I504" s="79">
        <v>452100.0</v>
      </c>
      <c r="J504" s="74" t="s">
        <v>125</v>
      </c>
      <c r="K504" s="79" t="s">
        <v>1534</v>
      </c>
      <c r="L504" s="79" t="s">
        <v>453</v>
      </c>
      <c r="M504" s="79"/>
      <c r="N504" s="79">
        <v>0.0</v>
      </c>
      <c r="O504" s="74"/>
      <c r="P504" s="80"/>
      <c r="Q504" s="79"/>
      <c r="R504" s="80"/>
      <c r="S504" s="80" t="s">
        <v>4054</v>
      </c>
      <c r="T504" s="101" t="s">
        <v>332</v>
      </c>
      <c r="U504" s="80" t="s">
        <v>332</v>
      </c>
      <c r="V504" s="102" t="s">
        <v>429</v>
      </c>
      <c r="W504" s="79" t="s">
        <v>306</v>
      </c>
      <c r="X504" s="79" t="s">
        <v>306</v>
      </c>
      <c r="Y504" s="79"/>
      <c r="Z504" s="79"/>
    </row>
    <row r="505" ht="15.75" customHeight="1">
      <c r="A505" s="103" t="s">
        <v>24</v>
      </c>
      <c r="B505" s="77" t="s">
        <v>4055</v>
      </c>
      <c r="C505" s="80">
        <v>3.3709560749E10</v>
      </c>
      <c r="D505" s="119" t="s">
        <v>264</v>
      </c>
      <c r="E505" s="77" t="s">
        <v>4056</v>
      </c>
      <c r="F505" s="128">
        <v>1275.0</v>
      </c>
      <c r="G505" s="77" t="s">
        <v>226</v>
      </c>
      <c r="H505" s="80">
        <v>1674.0</v>
      </c>
      <c r="I505" s="79">
        <v>131209.0</v>
      </c>
      <c r="J505" s="74" t="s">
        <v>448</v>
      </c>
      <c r="K505" s="77" t="s">
        <v>3454</v>
      </c>
      <c r="L505" s="79"/>
      <c r="M505" s="79"/>
      <c r="N505" s="79">
        <v>0.0</v>
      </c>
      <c r="O505" s="74"/>
      <c r="P505" s="80"/>
      <c r="Q505" s="79"/>
      <c r="R505" s="80"/>
      <c r="S505" s="78" t="s">
        <v>4057</v>
      </c>
      <c r="T505" s="101" t="s">
        <v>332</v>
      </c>
      <c r="U505" s="80" t="s">
        <v>332</v>
      </c>
      <c r="V505" s="102" t="s">
        <v>429</v>
      </c>
      <c r="W505" s="79" t="s">
        <v>306</v>
      </c>
      <c r="X505" s="79" t="s">
        <v>306</v>
      </c>
      <c r="Y505" s="79"/>
      <c r="Z505" s="79"/>
    </row>
    <row r="506" ht="15.75" customHeight="1">
      <c r="A506" s="76" t="s">
        <v>247</v>
      </c>
      <c r="B506" s="77" t="s">
        <v>4058</v>
      </c>
      <c r="C506" s="80">
        <v>2.0276440455E10</v>
      </c>
      <c r="D506" s="77" t="s">
        <v>631</v>
      </c>
      <c r="E506" s="79" t="s">
        <v>1212</v>
      </c>
      <c r="F506" s="44">
        <v>4680.0</v>
      </c>
      <c r="G506" s="79" t="s">
        <v>68</v>
      </c>
      <c r="H506" s="80">
        <v>1702.0</v>
      </c>
      <c r="I506" s="79">
        <v>432190.0</v>
      </c>
      <c r="J506" s="83" t="s">
        <v>207</v>
      </c>
      <c r="K506" s="77" t="s">
        <v>4059</v>
      </c>
      <c r="L506" s="79"/>
      <c r="M506" s="79"/>
      <c r="N506" s="79"/>
      <c r="O506" s="74"/>
      <c r="P506" s="80"/>
      <c r="Q506" s="79"/>
      <c r="R506" s="80"/>
      <c r="S506" s="80" t="s">
        <v>4060</v>
      </c>
      <c r="T506" s="85" t="s">
        <v>4061</v>
      </c>
      <c r="U506" s="80"/>
      <c r="V506" s="102" t="s">
        <v>4062</v>
      </c>
      <c r="W506" s="79"/>
      <c r="X506" s="79"/>
      <c r="Y506" s="79"/>
      <c r="Z506" s="79"/>
    </row>
    <row r="507" ht="15.75" customHeight="1">
      <c r="A507" s="76" t="s">
        <v>247</v>
      </c>
      <c r="B507" s="79" t="s">
        <v>4063</v>
      </c>
      <c r="C507" s="80">
        <v>2.0083929716E10</v>
      </c>
      <c r="D507" s="77" t="s">
        <v>631</v>
      </c>
      <c r="E507" s="79" t="s">
        <v>359</v>
      </c>
      <c r="F507" s="44">
        <v>4891.0</v>
      </c>
      <c r="G507" s="79" t="s">
        <v>15</v>
      </c>
      <c r="H507" s="80">
        <v>1678.0</v>
      </c>
      <c r="I507" s="79">
        <v>492280.0</v>
      </c>
      <c r="J507" s="74" t="s">
        <v>433</v>
      </c>
      <c r="K507" s="77" t="s">
        <v>4065</v>
      </c>
      <c r="L507" s="79" t="s">
        <v>453</v>
      </c>
      <c r="M507" s="79" t="s">
        <v>4066</v>
      </c>
      <c r="N507" s="79"/>
      <c r="O507" s="74" t="s">
        <v>4067</v>
      </c>
      <c r="P507" s="80"/>
      <c r="Q507" s="79" t="s">
        <v>4068</v>
      </c>
      <c r="R507" s="80"/>
      <c r="S507" s="78" t="s">
        <v>4069</v>
      </c>
      <c r="T507" s="85" t="s">
        <v>4070</v>
      </c>
      <c r="U507" s="78" t="s">
        <v>4071</v>
      </c>
      <c r="V507" s="102" t="s">
        <v>4072</v>
      </c>
      <c r="W507" s="79"/>
      <c r="X507" s="79"/>
      <c r="Y507" s="79" t="s">
        <v>309</v>
      </c>
      <c r="Z507" s="79"/>
    </row>
    <row r="508" ht="15.75" customHeight="1">
      <c r="A508" s="103" t="s">
        <v>24</v>
      </c>
      <c r="B508" s="77" t="s">
        <v>4074</v>
      </c>
      <c r="C508" s="80">
        <v>3.0709509752E10</v>
      </c>
      <c r="D508" s="119" t="s">
        <v>264</v>
      </c>
      <c r="E508" s="79" t="s">
        <v>1357</v>
      </c>
      <c r="F508" s="44">
        <v>5186.0</v>
      </c>
      <c r="G508" s="79" t="s">
        <v>15</v>
      </c>
      <c r="H508" s="80">
        <v>1678.0</v>
      </c>
      <c r="I508" s="79">
        <v>410011.0</v>
      </c>
      <c r="J508" s="74" t="s">
        <v>125</v>
      </c>
      <c r="K508" s="79" t="s">
        <v>1829</v>
      </c>
      <c r="L508" s="79" t="s">
        <v>453</v>
      </c>
      <c r="M508" s="79"/>
      <c r="N508" s="79">
        <v>0.0</v>
      </c>
      <c r="O508" s="74"/>
      <c r="P508" s="80"/>
      <c r="Q508" s="79"/>
      <c r="R508" s="80"/>
      <c r="S508" s="80"/>
      <c r="T508" s="101" t="s">
        <v>332</v>
      </c>
      <c r="U508" s="80" t="s">
        <v>332</v>
      </c>
      <c r="V508" s="102" t="s">
        <v>429</v>
      </c>
      <c r="W508" s="79" t="s">
        <v>306</v>
      </c>
      <c r="X508" s="79" t="s">
        <v>306</v>
      </c>
      <c r="Y508" s="79" t="s">
        <v>309</v>
      </c>
      <c r="Z508" s="79"/>
    </row>
    <row r="509" ht="15.0" customHeight="1">
      <c r="A509" s="103" t="s">
        <v>24</v>
      </c>
      <c r="B509" s="77" t="s">
        <v>4077</v>
      </c>
      <c r="C509" s="79">
        <v>3.0707331859E10</v>
      </c>
      <c r="D509" s="77" t="s">
        <v>264</v>
      </c>
      <c r="E509" s="79" t="s">
        <v>2902</v>
      </c>
      <c r="F509" s="44">
        <v>698.0</v>
      </c>
      <c r="G509" s="79" t="s">
        <v>68</v>
      </c>
      <c r="H509" s="80">
        <v>1702.0</v>
      </c>
      <c r="I509" s="79">
        <v>152011.0</v>
      </c>
      <c r="J509" s="74" t="s">
        <v>73</v>
      </c>
      <c r="K509" s="79" t="s">
        <v>1471</v>
      </c>
      <c r="L509" s="79"/>
      <c r="M509" s="79"/>
      <c r="N509" s="79">
        <v>3.0</v>
      </c>
      <c r="O509" s="74"/>
      <c r="P509" s="80"/>
      <c r="Q509" s="79"/>
      <c r="R509" s="80"/>
      <c r="S509" s="78" t="s">
        <v>4078</v>
      </c>
      <c r="T509" s="85" t="s">
        <v>4079</v>
      </c>
      <c r="U509" s="80" t="s">
        <v>332</v>
      </c>
      <c r="V509" s="102" t="s">
        <v>429</v>
      </c>
      <c r="W509" s="79" t="s">
        <v>306</v>
      </c>
      <c r="X509" s="79" t="s">
        <v>306</v>
      </c>
      <c r="Y509" s="79"/>
      <c r="Z509" s="79"/>
    </row>
    <row r="510" ht="15.0" customHeight="1">
      <c r="A510" s="103" t="s">
        <v>24</v>
      </c>
      <c r="B510" s="77" t="s">
        <v>4080</v>
      </c>
      <c r="C510" s="79">
        <v>3.0711858012E10</v>
      </c>
      <c r="D510" s="77" t="s">
        <v>264</v>
      </c>
      <c r="E510" s="79" t="s">
        <v>723</v>
      </c>
      <c r="F510" s="44">
        <v>4525.0</v>
      </c>
      <c r="G510" s="79" t="s">
        <v>15</v>
      </c>
      <c r="H510" s="80">
        <v>1678.0</v>
      </c>
      <c r="I510" s="79">
        <v>259100.0</v>
      </c>
      <c r="J510" s="74" t="s">
        <v>347</v>
      </c>
      <c r="K510" s="79" t="s">
        <v>1329</v>
      </c>
      <c r="L510" s="79" t="s">
        <v>453</v>
      </c>
      <c r="M510" s="79"/>
      <c r="N510" s="79">
        <v>2.0</v>
      </c>
      <c r="O510" s="74"/>
      <c r="P510" s="80"/>
      <c r="Q510" s="79"/>
      <c r="R510" s="80"/>
      <c r="S510" s="80"/>
      <c r="T510" s="101" t="s">
        <v>332</v>
      </c>
      <c r="U510" s="80" t="s">
        <v>332</v>
      </c>
      <c r="V510" s="102" t="s">
        <v>429</v>
      </c>
      <c r="W510" s="79" t="s">
        <v>306</v>
      </c>
      <c r="X510" s="79" t="s">
        <v>306</v>
      </c>
      <c r="Y510" s="79"/>
      <c r="Z510" s="79"/>
    </row>
    <row r="511" ht="15.0" customHeight="1">
      <c r="A511" s="76" t="s">
        <v>247</v>
      </c>
      <c r="B511" s="77" t="s">
        <v>4082</v>
      </c>
      <c r="C511" s="80">
        <v>3.0710341717E10</v>
      </c>
      <c r="D511" s="79" t="s">
        <v>264</v>
      </c>
      <c r="E511" s="79" t="s">
        <v>723</v>
      </c>
      <c r="F511" s="44">
        <v>4632.0</v>
      </c>
      <c r="G511" s="79" t="s">
        <v>15</v>
      </c>
      <c r="H511" s="80">
        <v>1678.0</v>
      </c>
      <c r="I511" s="79">
        <v>310020.0</v>
      </c>
      <c r="J511" s="74" t="s">
        <v>313</v>
      </c>
      <c r="K511" s="79" t="s">
        <v>3277</v>
      </c>
      <c r="L511" s="79" t="s">
        <v>453</v>
      </c>
      <c r="M511" s="77" t="s">
        <v>4083</v>
      </c>
      <c r="N511" s="79">
        <v>7.0</v>
      </c>
      <c r="O511" s="83" t="s">
        <v>4084</v>
      </c>
      <c r="P511" s="78">
        <v>1.139010657E9</v>
      </c>
      <c r="Q511" s="79" t="s">
        <v>4085</v>
      </c>
      <c r="R511" s="80"/>
      <c r="S511" s="78" t="s">
        <v>4086</v>
      </c>
      <c r="T511" s="85">
        <v>1.156974923E9</v>
      </c>
      <c r="U511" s="85" t="s">
        <v>4087</v>
      </c>
      <c r="V511" s="102" t="s">
        <v>4088</v>
      </c>
      <c r="W511" s="79" t="s">
        <v>309</v>
      </c>
      <c r="X511" s="79" t="s">
        <v>309</v>
      </c>
      <c r="Y511" s="79" t="s">
        <v>309</v>
      </c>
      <c r="Z511" s="79"/>
    </row>
    <row r="512" ht="15.75" customHeight="1">
      <c r="A512" s="76" t="s">
        <v>247</v>
      </c>
      <c r="B512" s="77" t="s">
        <v>4089</v>
      </c>
      <c r="C512" s="79">
        <v>3.0503970755E10</v>
      </c>
      <c r="D512" s="77" t="s">
        <v>264</v>
      </c>
      <c r="E512" s="79" t="s">
        <v>1711</v>
      </c>
      <c r="F512" s="44">
        <v>5440.0</v>
      </c>
      <c r="G512" s="79" t="s">
        <v>15</v>
      </c>
      <c r="H512" s="80">
        <v>1678.0</v>
      </c>
      <c r="I512" s="79">
        <v>259100.0</v>
      </c>
      <c r="J512" s="74" t="s">
        <v>347</v>
      </c>
      <c r="K512" s="79" t="s">
        <v>1329</v>
      </c>
      <c r="L512" s="79" t="s">
        <v>453</v>
      </c>
      <c r="M512" s="79"/>
      <c r="N512" s="79">
        <v>4.0</v>
      </c>
      <c r="O512" s="74"/>
      <c r="P512" s="80"/>
      <c r="Q512" s="79"/>
      <c r="R512" s="80"/>
      <c r="S512" s="78" t="s">
        <v>4091</v>
      </c>
      <c r="T512" s="101" t="s">
        <v>332</v>
      </c>
      <c r="U512" s="80" t="s">
        <v>332</v>
      </c>
      <c r="V512" s="102" t="s">
        <v>429</v>
      </c>
      <c r="W512" s="79" t="s">
        <v>309</v>
      </c>
      <c r="X512" s="79" t="s">
        <v>309</v>
      </c>
      <c r="Y512" s="79" t="s">
        <v>309</v>
      </c>
      <c r="Z512" s="79"/>
    </row>
    <row r="513" ht="15.75" customHeight="1">
      <c r="A513" s="103" t="s">
        <v>24</v>
      </c>
      <c r="B513" s="77" t="s">
        <v>4092</v>
      </c>
      <c r="C513" s="80">
        <v>3.0523248177E10</v>
      </c>
      <c r="D513" s="119" t="s">
        <v>264</v>
      </c>
      <c r="E513" s="79" t="s">
        <v>15</v>
      </c>
      <c r="F513" s="44">
        <v>3743.0</v>
      </c>
      <c r="G513" s="79" t="s">
        <v>15</v>
      </c>
      <c r="H513" s="80">
        <v>1678.0</v>
      </c>
      <c r="I513" s="79">
        <v>292500.0</v>
      </c>
      <c r="J513" s="74" t="s">
        <v>347</v>
      </c>
      <c r="K513" s="79" t="s">
        <v>4093</v>
      </c>
      <c r="L513" s="79" t="s">
        <v>662</v>
      </c>
      <c r="M513" s="79"/>
      <c r="N513" s="79">
        <v>0.0</v>
      </c>
      <c r="O513" s="74"/>
      <c r="P513" s="80"/>
      <c r="Q513" s="79"/>
      <c r="R513" s="80"/>
      <c r="S513" s="80" t="s">
        <v>4095</v>
      </c>
      <c r="T513" s="101" t="s">
        <v>332</v>
      </c>
      <c r="U513" s="80" t="s">
        <v>332</v>
      </c>
      <c r="V513" s="102" t="s">
        <v>429</v>
      </c>
      <c r="W513" s="79" t="s">
        <v>306</v>
      </c>
      <c r="X513" s="79" t="s">
        <v>306</v>
      </c>
      <c r="Y513" s="79" t="s">
        <v>309</v>
      </c>
      <c r="Z513" s="79"/>
    </row>
    <row r="514" ht="15.75" customHeight="1">
      <c r="A514" s="76" t="s">
        <v>247</v>
      </c>
      <c r="B514" s="77" t="s">
        <v>4096</v>
      </c>
      <c r="C514" s="80">
        <v>3.0708655062E10</v>
      </c>
      <c r="D514" s="79" t="s">
        <v>264</v>
      </c>
      <c r="E514" s="77" t="s">
        <v>3287</v>
      </c>
      <c r="F514" s="128">
        <v>1979.0</v>
      </c>
      <c r="G514" s="77" t="s">
        <v>249</v>
      </c>
      <c r="H514" s="78">
        <v>1676.0</v>
      </c>
      <c r="I514" s="79">
        <v>139209.0</v>
      </c>
      <c r="J514" s="74" t="s">
        <v>448</v>
      </c>
      <c r="K514" s="77" t="s">
        <v>539</v>
      </c>
      <c r="L514" s="79" t="s">
        <v>369</v>
      </c>
      <c r="M514" s="79"/>
      <c r="N514" s="79">
        <v>2.0</v>
      </c>
      <c r="O514" s="83" t="s">
        <v>4097</v>
      </c>
      <c r="P514" s="78" t="s">
        <v>4098</v>
      </c>
      <c r="Q514" s="79"/>
      <c r="R514" s="80"/>
      <c r="S514" s="80" t="s">
        <v>4099</v>
      </c>
      <c r="T514" s="101" t="s">
        <v>4100</v>
      </c>
      <c r="U514" s="80" t="s">
        <v>4101</v>
      </c>
      <c r="V514" s="102" t="s">
        <v>4103</v>
      </c>
      <c r="W514" s="79" t="s">
        <v>309</v>
      </c>
      <c r="X514" s="79" t="s">
        <v>309</v>
      </c>
      <c r="Y514" s="79" t="s">
        <v>309</v>
      </c>
      <c r="Z514" s="79"/>
    </row>
    <row r="515" ht="15.75" customHeight="1">
      <c r="A515" s="76" t="s">
        <v>247</v>
      </c>
      <c r="B515" s="79" t="s">
        <v>4104</v>
      </c>
      <c r="C515" s="101">
        <v>3.07119771E10</v>
      </c>
      <c r="D515" s="79" t="s">
        <v>264</v>
      </c>
      <c r="E515" s="79" t="s">
        <v>1904</v>
      </c>
      <c r="F515" s="44">
        <v>2673.0</v>
      </c>
      <c r="G515" s="79" t="s">
        <v>15</v>
      </c>
      <c r="H515" s="80">
        <v>1678.0</v>
      </c>
      <c r="I515" s="101">
        <v>281700.0</v>
      </c>
      <c r="J515" s="74" t="s">
        <v>347</v>
      </c>
      <c r="K515" s="129" t="s">
        <v>4105</v>
      </c>
      <c r="L515" s="79"/>
      <c r="M515" s="126" t="s">
        <v>4106</v>
      </c>
      <c r="N515" s="79"/>
      <c r="O515" s="79" t="s">
        <v>4107</v>
      </c>
      <c r="P515" s="78" t="s">
        <v>4108</v>
      </c>
      <c r="Q515" s="79"/>
      <c r="R515" s="80"/>
      <c r="S515" s="80" t="s">
        <v>4109</v>
      </c>
      <c r="T515" s="101" t="s">
        <v>4110</v>
      </c>
      <c r="U515" s="80"/>
      <c r="V515" s="102" t="s">
        <v>4111</v>
      </c>
      <c r="W515" s="79"/>
      <c r="X515" s="79"/>
      <c r="Y515" s="79"/>
      <c r="Z515" s="79"/>
    </row>
    <row r="516" ht="15.0" customHeight="1">
      <c r="A516" s="103" t="s">
        <v>24</v>
      </c>
      <c r="B516" s="77" t="s">
        <v>4112</v>
      </c>
      <c r="C516" s="80">
        <v>3.0639606461E10</v>
      </c>
      <c r="D516" s="119" t="s">
        <v>264</v>
      </c>
      <c r="E516" s="79" t="s">
        <v>1629</v>
      </c>
      <c r="F516" s="44">
        <v>973.0</v>
      </c>
      <c r="G516" s="79" t="s">
        <v>269</v>
      </c>
      <c r="H516" s="80">
        <v>1682.0</v>
      </c>
      <c r="I516" s="79">
        <v>289999.0</v>
      </c>
      <c r="J516" s="74" t="s">
        <v>347</v>
      </c>
      <c r="K516" s="77" t="s">
        <v>4114</v>
      </c>
      <c r="L516" s="79" t="s">
        <v>453</v>
      </c>
      <c r="M516" s="79"/>
      <c r="N516" s="79">
        <v>0.0</v>
      </c>
      <c r="O516" s="74"/>
      <c r="P516" s="80"/>
      <c r="Q516" s="79"/>
      <c r="R516" s="80"/>
      <c r="S516" s="80" t="s">
        <v>4115</v>
      </c>
      <c r="T516" s="101" t="s">
        <v>4116</v>
      </c>
      <c r="U516" s="80" t="s">
        <v>4117</v>
      </c>
      <c r="V516" s="102" t="s">
        <v>429</v>
      </c>
      <c r="W516" s="79" t="s">
        <v>309</v>
      </c>
      <c r="X516" s="79" t="s">
        <v>309</v>
      </c>
      <c r="Y516" s="79"/>
      <c r="Z516" s="79"/>
    </row>
    <row r="517" ht="15.75" customHeight="1">
      <c r="A517" s="76" t="s">
        <v>247</v>
      </c>
      <c r="B517" s="77" t="s">
        <v>4118</v>
      </c>
      <c r="C517" s="80">
        <v>3.0685264257E10</v>
      </c>
      <c r="D517" s="79" t="s">
        <v>264</v>
      </c>
      <c r="E517" s="79" t="s">
        <v>1114</v>
      </c>
      <c r="F517" s="44">
        <v>4557.0</v>
      </c>
      <c r="G517" s="79" t="s">
        <v>68</v>
      </c>
      <c r="H517" s="80">
        <v>1702.0</v>
      </c>
      <c r="I517" s="79">
        <v>313000.0</v>
      </c>
      <c r="J517" s="74" t="s">
        <v>347</v>
      </c>
      <c r="K517" s="79" t="s">
        <v>4119</v>
      </c>
      <c r="L517" s="79"/>
      <c r="M517" s="79"/>
      <c r="N517" s="79">
        <v>0.0</v>
      </c>
      <c r="O517" s="74"/>
      <c r="P517" s="80"/>
      <c r="Q517" s="79"/>
      <c r="R517" s="80"/>
      <c r="S517" s="78" t="s">
        <v>4121</v>
      </c>
      <c r="T517" s="85" t="s">
        <v>4122</v>
      </c>
      <c r="U517" s="78" t="s">
        <v>4123</v>
      </c>
      <c r="V517" s="102" t="s">
        <v>4124</v>
      </c>
      <c r="W517" s="79" t="s">
        <v>306</v>
      </c>
      <c r="X517" s="79" t="s">
        <v>306</v>
      </c>
      <c r="Y517" s="79"/>
      <c r="Z517" s="79"/>
    </row>
    <row r="518" ht="15.75" customHeight="1">
      <c r="A518" s="76" t="s">
        <v>247</v>
      </c>
      <c r="B518" s="79" t="s">
        <v>4125</v>
      </c>
      <c r="C518" s="80">
        <v>2.0224194936E10</v>
      </c>
      <c r="D518" s="77" t="s">
        <v>631</v>
      </c>
      <c r="E518" s="79" t="s">
        <v>4126</v>
      </c>
      <c r="F518" s="44">
        <v>1705.0</v>
      </c>
      <c r="G518" s="79" t="s">
        <v>249</v>
      </c>
      <c r="H518" s="80">
        <v>1676.0</v>
      </c>
      <c r="I518" s="79">
        <v>431210.0</v>
      </c>
      <c r="J518" s="74" t="s">
        <v>125</v>
      </c>
      <c r="K518" s="77" t="s">
        <v>4127</v>
      </c>
      <c r="L518" s="79" t="s">
        <v>453</v>
      </c>
      <c r="M518" s="77" t="s">
        <v>4128</v>
      </c>
      <c r="N518" s="79"/>
      <c r="O518" s="83" t="s">
        <v>4129</v>
      </c>
      <c r="P518" s="78" t="s">
        <v>4130</v>
      </c>
      <c r="Q518" s="79"/>
      <c r="R518" s="80"/>
      <c r="S518" s="78"/>
      <c r="T518" s="101"/>
      <c r="U518" s="80"/>
      <c r="V518" s="230" t="s">
        <v>4132</v>
      </c>
      <c r="W518" s="79"/>
      <c r="X518" s="79"/>
      <c r="Y518" s="79"/>
      <c r="Z518" s="79"/>
    </row>
    <row r="519" ht="15.75" customHeight="1">
      <c r="A519" s="103" t="s">
        <v>24</v>
      </c>
      <c r="B519" s="79" t="s">
        <v>4133</v>
      </c>
      <c r="C519" s="80">
        <v>3.0624693112E10</v>
      </c>
      <c r="D519" s="119" t="s">
        <v>264</v>
      </c>
      <c r="E519" s="79" t="s">
        <v>660</v>
      </c>
      <c r="F519" s="44">
        <v>4290.0</v>
      </c>
      <c r="G519" s="79" t="s">
        <v>15</v>
      </c>
      <c r="H519" s="80">
        <v>1678.0</v>
      </c>
      <c r="I519" s="79">
        <v>152020.0</v>
      </c>
      <c r="J519" s="74" t="s">
        <v>22</v>
      </c>
      <c r="K519" s="79" t="s">
        <v>4134</v>
      </c>
      <c r="L519" s="79"/>
      <c r="M519" s="79"/>
      <c r="N519" s="79">
        <v>0.0</v>
      </c>
      <c r="O519" s="74"/>
      <c r="P519" s="80"/>
      <c r="Q519" s="79"/>
      <c r="R519" s="80"/>
      <c r="S519" s="80" t="s">
        <v>4136</v>
      </c>
      <c r="T519" s="101" t="s">
        <v>4137</v>
      </c>
      <c r="U519" s="80" t="s">
        <v>332</v>
      </c>
      <c r="V519" s="102" t="s">
        <v>429</v>
      </c>
      <c r="W519" s="79" t="s">
        <v>306</v>
      </c>
      <c r="X519" s="79" t="s">
        <v>306</v>
      </c>
      <c r="Y519" s="79"/>
      <c r="Z519" s="79"/>
    </row>
    <row r="520" ht="15.0" customHeight="1">
      <c r="A520" s="76" t="s">
        <v>247</v>
      </c>
      <c r="B520" s="77" t="s">
        <v>4138</v>
      </c>
      <c r="C520" s="79">
        <v>3.0707071075E10</v>
      </c>
      <c r="D520" s="77" t="s">
        <v>264</v>
      </c>
      <c r="E520" s="77" t="s">
        <v>2646</v>
      </c>
      <c r="F520" s="44">
        <v>3726.0</v>
      </c>
      <c r="G520" s="79" t="s">
        <v>68</v>
      </c>
      <c r="H520" s="80">
        <v>1702.0</v>
      </c>
      <c r="I520" s="77">
        <v>329090.0</v>
      </c>
      <c r="J520" s="83" t="s">
        <v>347</v>
      </c>
      <c r="K520" s="77" t="s">
        <v>4140</v>
      </c>
      <c r="L520" s="79"/>
      <c r="M520" s="79"/>
      <c r="N520" s="79">
        <v>15.0</v>
      </c>
      <c r="O520" s="74"/>
      <c r="P520" s="80"/>
      <c r="Q520" s="79"/>
      <c r="R520" s="80"/>
      <c r="S520" s="78" t="s">
        <v>4141</v>
      </c>
      <c r="T520" s="85" t="s">
        <v>4142</v>
      </c>
      <c r="U520" s="80" t="s">
        <v>332</v>
      </c>
      <c r="V520" s="102" t="s">
        <v>4143</v>
      </c>
      <c r="W520" s="79" t="s">
        <v>306</v>
      </c>
      <c r="X520" s="79" t="s">
        <v>306</v>
      </c>
      <c r="Y520" s="79" t="s">
        <v>309</v>
      </c>
      <c r="Z520" s="79"/>
    </row>
    <row r="521" ht="15.0" customHeight="1">
      <c r="A521" s="76" t="s">
        <v>247</v>
      </c>
      <c r="B521" s="77" t="s">
        <v>4144</v>
      </c>
      <c r="C521" s="80">
        <v>3.0711994528E10</v>
      </c>
      <c r="D521" s="119" t="s">
        <v>264</v>
      </c>
      <c r="E521" s="79" t="s">
        <v>1442</v>
      </c>
      <c r="F521" s="44">
        <v>3321.0</v>
      </c>
      <c r="G521" s="79" t="s">
        <v>68</v>
      </c>
      <c r="H521" s="80">
        <v>1702.0</v>
      </c>
      <c r="I521" s="79">
        <v>275020.0</v>
      </c>
      <c r="J521" s="83" t="s">
        <v>207</v>
      </c>
      <c r="K521" s="79" t="s">
        <v>4146</v>
      </c>
      <c r="L521" s="79"/>
      <c r="M521" s="79"/>
      <c r="N521" s="79">
        <v>0.0</v>
      </c>
      <c r="O521" s="74"/>
      <c r="P521" s="80"/>
      <c r="Q521" s="79"/>
      <c r="R521" s="80"/>
      <c r="S521" s="78" t="s">
        <v>4147</v>
      </c>
      <c r="T521" s="101" t="s">
        <v>332</v>
      </c>
      <c r="U521" s="80" t="s">
        <v>332</v>
      </c>
      <c r="V521" s="102" t="s">
        <v>429</v>
      </c>
      <c r="W521" s="79" t="s">
        <v>306</v>
      </c>
      <c r="X521" s="79" t="s">
        <v>306</v>
      </c>
      <c r="Y521" s="79" t="s">
        <v>309</v>
      </c>
      <c r="Z521" s="79"/>
    </row>
    <row r="522" ht="15.75" customHeight="1">
      <c r="A522" s="76" t="s">
        <v>247</v>
      </c>
      <c r="B522" s="77" t="s">
        <v>4148</v>
      </c>
      <c r="C522" s="80">
        <v>3.0547469271E10</v>
      </c>
      <c r="D522" s="119" t="s">
        <v>264</v>
      </c>
      <c r="E522" s="79" t="s">
        <v>2669</v>
      </c>
      <c r="F522" s="44">
        <v>3160.0</v>
      </c>
      <c r="G522" s="79" t="s">
        <v>15</v>
      </c>
      <c r="H522" s="80">
        <v>1678.0</v>
      </c>
      <c r="I522" s="79">
        <v>181200.0</v>
      </c>
      <c r="J522" s="74" t="s">
        <v>433</v>
      </c>
      <c r="K522" s="79" t="s">
        <v>1833</v>
      </c>
      <c r="L522" s="79"/>
      <c r="M522" s="79"/>
      <c r="N522" s="79">
        <v>5.0</v>
      </c>
      <c r="O522" s="74"/>
      <c r="P522" s="80"/>
      <c r="Q522" s="79"/>
      <c r="R522" s="80"/>
      <c r="S522" s="78" t="s">
        <v>4149</v>
      </c>
      <c r="T522" s="275" t="s">
        <v>4150</v>
      </c>
      <c r="U522" s="80" t="s">
        <v>332</v>
      </c>
      <c r="V522" s="102" t="s">
        <v>4151</v>
      </c>
      <c r="W522" s="79" t="s">
        <v>306</v>
      </c>
      <c r="X522" s="79" t="s">
        <v>306</v>
      </c>
      <c r="Y522" s="79" t="s">
        <v>309</v>
      </c>
      <c r="Z522" s="79"/>
    </row>
    <row r="523" ht="15.75" customHeight="1">
      <c r="A523" s="76" t="s">
        <v>247</v>
      </c>
      <c r="B523" s="79" t="s">
        <v>1470</v>
      </c>
      <c r="C523" s="80">
        <v>3.0629358788E10</v>
      </c>
      <c r="D523" s="79" t="s">
        <v>264</v>
      </c>
      <c r="E523" s="79" t="s">
        <v>3287</v>
      </c>
      <c r="F523" s="44">
        <v>1171.0</v>
      </c>
      <c r="G523" s="79" t="s">
        <v>249</v>
      </c>
      <c r="H523" s="80">
        <v>1676.0</v>
      </c>
      <c r="I523" s="79">
        <v>259999.0</v>
      </c>
      <c r="J523" s="74" t="s">
        <v>347</v>
      </c>
      <c r="K523" s="77" t="s">
        <v>839</v>
      </c>
      <c r="L523" s="79" t="s">
        <v>369</v>
      </c>
      <c r="M523" s="79" t="s">
        <v>4153</v>
      </c>
      <c r="N523" s="79">
        <v>17.0</v>
      </c>
      <c r="O523" s="74" t="s">
        <v>4154</v>
      </c>
      <c r="P523" s="78" t="s">
        <v>4155</v>
      </c>
      <c r="Q523" s="77" t="s">
        <v>4156</v>
      </c>
      <c r="R523" s="78" t="s">
        <v>4157</v>
      </c>
      <c r="S523" s="80" t="s">
        <v>4158</v>
      </c>
      <c r="T523" s="101" t="s">
        <v>4159</v>
      </c>
      <c r="U523" s="80" t="s">
        <v>332</v>
      </c>
      <c r="V523" s="102" t="s">
        <v>4160</v>
      </c>
      <c r="W523" s="79" t="s">
        <v>309</v>
      </c>
      <c r="X523" s="79" t="s">
        <v>309</v>
      </c>
      <c r="Y523" s="79" t="s">
        <v>309</v>
      </c>
      <c r="Z523" s="79"/>
    </row>
    <row r="524" ht="15.0" customHeight="1">
      <c r="A524" s="103" t="s">
        <v>24</v>
      </c>
      <c r="B524" s="77" t="s">
        <v>4161</v>
      </c>
      <c r="C524" s="80">
        <v>3.0695512178E10</v>
      </c>
      <c r="D524" s="119" t="s">
        <v>264</v>
      </c>
      <c r="E524" s="79" t="s">
        <v>4162</v>
      </c>
      <c r="F524" s="44">
        <v>5643.0</v>
      </c>
      <c r="G524" s="79" t="s">
        <v>15</v>
      </c>
      <c r="H524" s="80">
        <v>1678.0</v>
      </c>
      <c r="I524" s="79">
        <v>523090.0</v>
      </c>
      <c r="J524" s="74" t="s">
        <v>433</v>
      </c>
      <c r="K524" s="77" t="s">
        <v>1842</v>
      </c>
      <c r="L524" s="79"/>
      <c r="M524" s="79"/>
      <c r="N524" s="79">
        <v>3.0</v>
      </c>
      <c r="O524" s="74"/>
      <c r="P524" s="80"/>
      <c r="Q524" s="79"/>
      <c r="R524" s="80"/>
      <c r="S524" s="80" t="s">
        <v>4164</v>
      </c>
      <c r="T524" s="101" t="s">
        <v>4165</v>
      </c>
      <c r="U524" s="80" t="s">
        <v>332</v>
      </c>
      <c r="V524" s="102" t="s">
        <v>429</v>
      </c>
      <c r="W524" s="79" t="s">
        <v>306</v>
      </c>
      <c r="X524" s="79" t="s">
        <v>306</v>
      </c>
      <c r="Y524" s="79"/>
      <c r="Z524" s="79"/>
    </row>
    <row r="525" ht="15.75" customHeight="1">
      <c r="A525" s="103" t="s">
        <v>24</v>
      </c>
      <c r="B525" s="77" t="s">
        <v>4166</v>
      </c>
      <c r="C525" s="80">
        <v>3.0644187795E10</v>
      </c>
      <c r="D525" s="119" t="s">
        <v>264</v>
      </c>
      <c r="E525" s="79" t="s">
        <v>2831</v>
      </c>
      <c r="F525" s="44">
        <v>6435.0</v>
      </c>
      <c r="G525" s="79" t="s">
        <v>119</v>
      </c>
      <c r="H525" s="80">
        <v>1657.0</v>
      </c>
      <c r="I525" s="79">
        <v>293020.0</v>
      </c>
      <c r="J525" s="83" t="s">
        <v>207</v>
      </c>
      <c r="K525" s="79" t="s">
        <v>4167</v>
      </c>
      <c r="L525" s="79"/>
      <c r="M525" s="79"/>
      <c r="N525" s="79">
        <v>0.0</v>
      </c>
      <c r="O525" s="74"/>
      <c r="P525" s="80"/>
      <c r="Q525" s="79"/>
      <c r="R525" s="80"/>
      <c r="S525" s="80" t="s">
        <v>4168</v>
      </c>
      <c r="T525" s="101" t="s">
        <v>332</v>
      </c>
      <c r="U525" s="80" t="s">
        <v>332</v>
      </c>
      <c r="V525" s="102" t="s">
        <v>429</v>
      </c>
      <c r="W525" s="79" t="s">
        <v>309</v>
      </c>
      <c r="X525" s="79" t="s">
        <v>309</v>
      </c>
      <c r="Y525" s="79"/>
      <c r="Z525" s="79"/>
    </row>
    <row r="526" ht="15.0" customHeight="1">
      <c r="A526" s="76" t="s">
        <v>247</v>
      </c>
      <c r="B526" s="77" t="s">
        <v>4169</v>
      </c>
      <c r="C526" s="80">
        <v>3.0712247327E10</v>
      </c>
      <c r="D526" s="79" t="s">
        <v>264</v>
      </c>
      <c r="E526" s="79" t="s">
        <v>314</v>
      </c>
      <c r="F526" s="44">
        <v>4981.0</v>
      </c>
      <c r="G526" s="79" t="s">
        <v>15</v>
      </c>
      <c r="H526" s="80">
        <v>1678.0</v>
      </c>
      <c r="I526" s="79">
        <v>259999.0</v>
      </c>
      <c r="J526" s="74" t="s">
        <v>347</v>
      </c>
      <c r="K526" s="77" t="s">
        <v>839</v>
      </c>
      <c r="L526" s="79" t="s">
        <v>453</v>
      </c>
      <c r="M526" s="79"/>
      <c r="N526" s="79">
        <v>8.0</v>
      </c>
      <c r="O526" s="74" t="s">
        <v>4170</v>
      </c>
      <c r="P526" s="78" t="s">
        <v>4171</v>
      </c>
      <c r="Q526" s="79"/>
      <c r="R526" s="80"/>
      <c r="S526" s="80" t="s">
        <v>4172</v>
      </c>
      <c r="T526" s="101" t="s">
        <v>332</v>
      </c>
      <c r="U526" s="80" t="s">
        <v>332</v>
      </c>
      <c r="V526" s="102" t="s">
        <v>4173</v>
      </c>
      <c r="W526" s="79" t="s">
        <v>306</v>
      </c>
      <c r="X526" s="79" t="s">
        <v>306</v>
      </c>
      <c r="Y526" s="79" t="s">
        <v>309</v>
      </c>
      <c r="Z526" s="79"/>
    </row>
    <row r="527" ht="15.0" customHeight="1">
      <c r="A527" s="76" t="s">
        <v>247</v>
      </c>
      <c r="B527" s="77" t="s">
        <v>4174</v>
      </c>
      <c r="C527" s="80">
        <v>3.3712135749E10</v>
      </c>
      <c r="D527" s="119" t="s">
        <v>264</v>
      </c>
      <c r="E527" s="79" t="s">
        <v>564</v>
      </c>
      <c r="F527" s="44">
        <v>4309.0</v>
      </c>
      <c r="G527" s="79" t="s">
        <v>68</v>
      </c>
      <c r="H527" s="80">
        <v>1702.0</v>
      </c>
      <c r="I527" s="77">
        <v>275010.0</v>
      </c>
      <c r="J527" s="74" t="s">
        <v>347</v>
      </c>
      <c r="K527" s="77" t="s">
        <v>4175</v>
      </c>
      <c r="L527" s="79" t="s">
        <v>453</v>
      </c>
      <c r="M527" s="77" t="s">
        <v>4176</v>
      </c>
      <c r="N527" s="79">
        <v>1.0</v>
      </c>
      <c r="O527" s="74"/>
      <c r="P527" s="80"/>
      <c r="Q527" s="79"/>
      <c r="R527" s="80"/>
      <c r="S527" s="78" t="s">
        <v>4177</v>
      </c>
      <c r="T527" s="78" t="s">
        <v>4178</v>
      </c>
      <c r="U527" s="80" t="s">
        <v>332</v>
      </c>
      <c r="V527" s="230" t="s">
        <v>4179</v>
      </c>
      <c r="W527" s="79" t="s">
        <v>309</v>
      </c>
      <c r="X527" s="79" t="s">
        <v>309</v>
      </c>
      <c r="Y527" s="79"/>
      <c r="Z527" s="79"/>
    </row>
    <row r="528" ht="15.75" customHeight="1">
      <c r="A528" s="76" t="s">
        <v>247</v>
      </c>
      <c r="B528" s="77" t="s">
        <v>4180</v>
      </c>
      <c r="C528" s="80">
        <v>3.0572523558E10</v>
      </c>
      <c r="D528" s="79" t="s">
        <v>264</v>
      </c>
      <c r="E528" s="77" t="s">
        <v>4181</v>
      </c>
      <c r="F528" s="128">
        <v>4192.0</v>
      </c>
      <c r="G528" s="79" t="s">
        <v>15</v>
      </c>
      <c r="H528" s="80">
        <v>1678.0</v>
      </c>
      <c r="I528" s="79">
        <v>202101.0</v>
      </c>
      <c r="J528" s="74" t="s">
        <v>316</v>
      </c>
      <c r="K528" s="79" t="s">
        <v>4183</v>
      </c>
      <c r="L528" s="79"/>
      <c r="M528" s="79"/>
      <c r="N528" s="79">
        <v>4.0</v>
      </c>
      <c r="O528" s="74"/>
      <c r="P528" s="80"/>
      <c r="Q528" s="79"/>
      <c r="R528" s="80"/>
      <c r="S528" s="80" t="s">
        <v>4184</v>
      </c>
      <c r="T528" s="101" t="s">
        <v>4185</v>
      </c>
      <c r="U528" s="80" t="s">
        <v>332</v>
      </c>
      <c r="V528" s="102" t="s">
        <v>4186</v>
      </c>
      <c r="W528" s="79" t="s">
        <v>309</v>
      </c>
      <c r="X528" s="79" t="s">
        <v>309</v>
      </c>
      <c r="Y528" s="79" t="s">
        <v>309</v>
      </c>
      <c r="Z528" s="79"/>
    </row>
    <row r="529" ht="15.75" customHeight="1">
      <c r="A529" s="103" t="s">
        <v>24</v>
      </c>
      <c r="B529" s="79" t="s">
        <v>4187</v>
      </c>
      <c r="C529" s="79">
        <v>2.0177177653E10</v>
      </c>
      <c r="D529" s="144" t="s">
        <v>631</v>
      </c>
      <c r="E529" s="119" t="s">
        <v>1422</v>
      </c>
      <c r="F529" s="44" t="s">
        <v>4188</v>
      </c>
      <c r="G529" s="79" t="s">
        <v>175</v>
      </c>
      <c r="H529" s="80">
        <v>1657.0</v>
      </c>
      <c r="I529" s="77">
        <v>662010.0</v>
      </c>
      <c r="J529" s="74" t="s">
        <v>433</v>
      </c>
      <c r="K529" s="77" t="s">
        <v>4189</v>
      </c>
      <c r="L529" s="79"/>
      <c r="M529" s="79"/>
      <c r="N529" s="79"/>
      <c r="O529" s="74"/>
      <c r="P529" s="80"/>
      <c r="Q529" s="79"/>
      <c r="R529" s="80"/>
      <c r="S529" s="78" t="s">
        <v>4190</v>
      </c>
      <c r="T529" s="101"/>
      <c r="U529" s="80"/>
      <c r="V529" s="102" t="s">
        <v>429</v>
      </c>
      <c r="W529" s="79"/>
      <c r="X529" s="79"/>
      <c r="Y529" s="79"/>
      <c r="Z529" s="79"/>
    </row>
    <row r="530" ht="15.75" customHeight="1">
      <c r="A530" s="76" t="s">
        <v>247</v>
      </c>
      <c r="B530" s="77" t="s">
        <v>1473</v>
      </c>
      <c r="C530" s="101">
        <v>3.0714825263E10</v>
      </c>
      <c r="D530" s="119" t="s">
        <v>264</v>
      </c>
      <c r="E530" s="79" t="s">
        <v>1726</v>
      </c>
      <c r="F530" s="44">
        <v>2825.0</v>
      </c>
      <c r="G530" s="79" t="s">
        <v>15</v>
      </c>
      <c r="H530" s="80">
        <v>1678.0</v>
      </c>
      <c r="I530" s="79">
        <v>101030.0</v>
      </c>
      <c r="J530" s="74" t="s">
        <v>22</v>
      </c>
      <c r="K530" s="79" t="s">
        <v>3365</v>
      </c>
      <c r="L530" s="79"/>
      <c r="M530" s="79"/>
      <c r="N530" s="79">
        <v>0.0</v>
      </c>
      <c r="O530" s="74" t="s">
        <v>4192</v>
      </c>
      <c r="P530" s="78" t="s">
        <v>4193</v>
      </c>
      <c r="Q530" s="79" t="s">
        <v>4194</v>
      </c>
      <c r="R530" s="78" t="s">
        <v>4195</v>
      </c>
      <c r="S530" s="80" t="s">
        <v>4196</v>
      </c>
      <c r="T530" s="101" t="s">
        <v>332</v>
      </c>
      <c r="U530" s="80" t="s">
        <v>332</v>
      </c>
      <c r="V530" s="102" t="s">
        <v>429</v>
      </c>
      <c r="W530" s="79" t="s">
        <v>306</v>
      </c>
      <c r="X530" s="79" t="s">
        <v>306</v>
      </c>
      <c r="Y530" s="79"/>
      <c r="Z530" s="79"/>
    </row>
    <row r="531" ht="15.0" customHeight="1">
      <c r="A531" s="76" t="s">
        <v>247</v>
      </c>
      <c r="B531" s="77" t="s">
        <v>4197</v>
      </c>
      <c r="C531" s="80">
        <v>3.0641101326E10</v>
      </c>
      <c r="D531" s="79" t="s">
        <v>264</v>
      </c>
      <c r="E531" s="77" t="s">
        <v>97</v>
      </c>
      <c r="F531" s="44">
        <v>1751.0</v>
      </c>
      <c r="G531" s="79" t="s">
        <v>97</v>
      </c>
      <c r="H531" s="80">
        <v>1702.0</v>
      </c>
      <c r="I531" s="79">
        <v>231090.0</v>
      </c>
      <c r="J531" s="74" t="s">
        <v>457</v>
      </c>
      <c r="K531" s="77" t="s">
        <v>2477</v>
      </c>
      <c r="L531" s="79"/>
      <c r="M531" s="79"/>
      <c r="N531" s="79">
        <v>16.0</v>
      </c>
      <c r="O531" s="74"/>
      <c r="P531" s="80"/>
      <c r="Q531" s="79"/>
      <c r="R531" s="80"/>
      <c r="S531" s="80" t="s">
        <v>4198</v>
      </c>
      <c r="T531" s="101" t="s">
        <v>332</v>
      </c>
      <c r="U531" s="80" t="s">
        <v>332</v>
      </c>
      <c r="V531" s="102" t="s">
        <v>429</v>
      </c>
      <c r="W531" s="79" t="s">
        <v>306</v>
      </c>
      <c r="X531" s="79" t="s">
        <v>306</v>
      </c>
      <c r="Y531" s="79" t="s">
        <v>309</v>
      </c>
      <c r="Z531" s="79"/>
    </row>
    <row r="532" ht="15.75" customHeight="1">
      <c r="A532" s="103" t="s">
        <v>24</v>
      </c>
      <c r="B532" s="77" t="s">
        <v>4199</v>
      </c>
      <c r="C532" s="80">
        <v>3.0618656914E10</v>
      </c>
      <c r="D532" s="79" t="s">
        <v>264</v>
      </c>
      <c r="E532" s="79" t="s">
        <v>1607</v>
      </c>
      <c r="F532" s="44">
        <v>5518.0</v>
      </c>
      <c r="G532" s="79" t="s">
        <v>15</v>
      </c>
      <c r="H532" s="80">
        <v>1678.0</v>
      </c>
      <c r="I532" s="79">
        <v>361010.0</v>
      </c>
      <c r="J532" s="74" t="s">
        <v>313</v>
      </c>
      <c r="K532" s="79" t="s">
        <v>2534</v>
      </c>
      <c r="L532" s="79" t="s">
        <v>1122</v>
      </c>
      <c r="M532" s="79"/>
      <c r="N532" s="79">
        <v>1.0</v>
      </c>
      <c r="O532" s="74"/>
      <c r="P532" s="80"/>
      <c r="Q532" s="79"/>
      <c r="R532" s="80"/>
      <c r="S532" s="80" t="s">
        <v>4200</v>
      </c>
      <c r="T532" s="85" t="s">
        <v>4201</v>
      </c>
      <c r="U532" s="80" t="s">
        <v>332</v>
      </c>
      <c r="V532" s="102" t="s">
        <v>429</v>
      </c>
      <c r="W532" s="79" t="s">
        <v>309</v>
      </c>
      <c r="X532" s="79" t="s">
        <v>309</v>
      </c>
      <c r="Y532" s="79"/>
      <c r="Z532" s="79"/>
    </row>
    <row r="533" ht="15.75" customHeight="1">
      <c r="A533" s="76" t="s">
        <v>247</v>
      </c>
      <c r="B533" s="77" t="s">
        <v>4202</v>
      </c>
      <c r="C533" s="80">
        <v>3.0708664282E10</v>
      </c>
      <c r="D533" s="119" t="s">
        <v>264</v>
      </c>
      <c r="E533" s="79" t="s">
        <v>2883</v>
      </c>
      <c r="F533" s="44">
        <v>3619.0</v>
      </c>
      <c r="G533" s="79" t="s">
        <v>68</v>
      </c>
      <c r="H533" s="80">
        <v>1702.0</v>
      </c>
      <c r="I533" s="79">
        <v>131300.0</v>
      </c>
      <c r="J533" s="74" t="s">
        <v>448</v>
      </c>
      <c r="K533" s="79" t="s">
        <v>2680</v>
      </c>
      <c r="L533" s="79"/>
      <c r="M533" s="79"/>
      <c r="N533" s="79">
        <v>5.0</v>
      </c>
      <c r="O533" s="74"/>
      <c r="P533" s="80"/>
      <c r="Q533" s="79"/>
      <c r="R533" s="80"/>
      <c r="S533" s="80" t="s">
        <v>4204</v>
      </c>
      <c r="T533" s="276" t="s">
        <v>4205</v>
      </c>
      <c r="U533" s="80" t="s">
        <v>332</v>
      </c>
      <c r="V533" s="102" t="s">
        <v>429</v>
      </c>
      <c r="W533" s="79" t="s">
        <v>306</v>
      </c>
      <c r="X533" s="79" t="s">
        <v>306</v>
      </c>
      <c r="Y533" s="79"/>
      <c r="Z533" s="79"/>
    </row>
    <row r="534" ht="15.0" customHeight="1">
      <c r="A534" s="76" t="s">
        <v>247</v>
      </c>
      <c r="B534" s="77" t="s">
        <v>1478</v>
      </c>
      <c r="C534" s="80">
        <v>3.070901194E10</v>
      </c>
      <c r="D534" s="79" t="s">
        <v>264</v>
      </c>
      <c r="E534" s="79" t="s">
        <v>1357</v>
      </c>
      <c r="F534" s="44">
        <v>4560.0</v>
      </c>
      <c r="G534" s="79" t="s">
        <v>15</v>
      </c>
      <c r="H534" s="80">
        <v>1678.0</v>
      </c>
      <c r="I534" s="79">
        <v>202320.0</v>
      </c>
      <c r="J534" s="74" t="s">
        <v>316</v>
      </c>
      <c r="K534" s="79" t="s">
        <v>3585</v>
      </c>
      <c r="L534" s="79" t="s">
        <v>369</v>
      </c>
      <c r="M534" s="79" t="s">
        <v>4206</v>
      </c>
      <c r="N534" s="79" t="s">
        <v>4207</v>
      </c>
      <c r="O534" s="83" t="s">
        <v>4208</v>
      </c>
      <c r="P534" s="78" t="s">
        <v>4209</v>
      </c>
      <c r="Q534" s="77" t="s">
        <v>4210</v>
      </c>
      <c r="R534" s="78"/>
      <c r="S534" s="80" t="s">
        <v>4211</v>
      </c>
      <c r="T534" s="101" t="s">
        <v>332</v>
      </c>
      <c r="U534" s="80" t="s">
        <v>332</v>
      </c>
      <c r="V534" s="102" t="s">
        <v>4212</v>
      </c>
      <c r="W534" s="79" t="s">
        <v>309</v>
      </c>
      <c r="X534" s="79" t="s">
        <v>309</v>
      </c>
      <c r="Y534" s="79" t="s">
        <v>309</v>
      </c>
      <c r="Z534" s="79"/>
    </row>
    <row r="535" ht="15.0" customHeight="1">
      <c r="A535" s="76" t="s">
        <v>247</v>
      </c>
      <c r="B535" s="77" t="s">
        <v>4213</v>
      </c>
      <c r="C535" s="80">
        <v>3.0708818891E10</v>
      </c>
      <c r="D535" s="79" t="s">
        <v>264</v>
      </c>
      <c r="E535" s="79" t="s">
        <v>1314</v>
      </c>
      <c r="F535" s="44">
        <v>4635.0</v>
      </c>
      <c r="G535" s="79" t="s">
        <v>15</v>
      </c>
      <c r="H535" s="80">
        <v>1678.0</v>
      </c>
      <c r="I535" s="79">
        <v>274000.0</v>
      </c>
      <c r="J535" s="83" t="s">
        <v>207</v>
      </c>
      <c r="K535" s="79" t="s">
        <v>2067</v>
      </c>
      <c r="L535" s="79"/>
      <c r="M535" s="77" t="s">
        <v>4214</v>
      </c>
      <c r="N535" s="79">
        <v>8.0</v>
      </c>
      <c r="O535" s="74"/>
      <c r="P535" s="80"/>
      <c r="Q535" s="79"/>
      <c r="R535" s="80"/>
      <c r="S535" s="80" t="s">
        <v>4215</v>
      </c>
      <c r="T535" s="101" t="s">
        <v>4216</v>
      </c>
      <c r="U535" s="80" t="s">
        <v>332</v>
      </c>
      <c r="V535" s="102" t="s">
        <v>4217</v>
      </c>
      <c r="W535" s="79" t="s">
        <v>309</v>
      </c>
      <c r="X535" s="79" t="s">
        <v>309</v>
      </c>
      <c r="Y535" s="79" t="s">
        <v>309</v>
      </c>
      <c r="Z535" s="79"/>
    </row>
    <row r="536" ht="15.75" customHeight="1">
      <c r="A536" s="103" t="s">
        <v>24</v>
      </c>
      <c r="B536" s="77" t="s">
        <v>4218</v>
      </c>
      <c r="C536" s="80">
        <v>3.0653922767E10</v>
      </c>
      <c r="D536" s="79" t="s">
        <v>264</v>
      </c>
      <c r="E536" s="79" t="s">
        <v>3614</v>
      </c>
      <c r="F536" s="44">
        <v>2430.0</v>
      </c>
      <c r="G536" s="79" t="s">
        <v>175</v>
      </c>
      <c r="H536" s="80">
        <v>1657.0</v>
      </c>
      <c r="I536" s="79">
        <v>210102.0</v>
      </c>
      <c r="J536" s="74" t="s">
        <v>283</v>
      </c>
      <c r="K536" s="77" t="s">
        <v>3435</v>
      </c>
      <c r="L536" s="79"/>
      <c r="M536" s="77" t="s">
        <v>4219</v>
      </c>
      <c r="N536" s="79">
        <v>0.0</v>
      </c>
      <c r="O536" s="74"/>
      <c r="P536" s="80"/>
      <c r="Q536" s="79"/>
      <c r="R536" s="80"/>
      <c r="S536" s="80" t="s">
        <v>4220</v>
      </c>
      <c r="T536" s="101" t="s">
        <v>4221</v>
      </c>
      <c r="U536" s="80" t="s">
        <v>4222</v>
      </c>
      <c r="V536" s="102" t="s">
        <v>429</v>
      </c>
      <c r="W536" s="79" t="s">
        <v>309</v>
      </c>
      <c r="X536" s="79" t="s">
        <v>309</v>
      </c>
      <c r="Y536" s="79" t="s">
        <v>309</v>
      </c>
      <c r="Z536" s="79"/>
    </row>
    <row r="537" ht="15.0" customHeight="1">
      <c r="A537" s="76" t="s">
        <v>247</v>
      </c>
      <c r="B537" s="77" t="s">
        <v>1484</v>
      </c>
      <c r="C537" s="80">
        <v>3.0711288674E10</v>
      </c>
      <c r="D537" s="119" t="s">
        <v>264</v>
      </c>
      <c r="E537" s="77" t="s">
        <v>4223</v>
      </c>
      <c r="F537" s="128">
        <v>1959.0</v>
      </c>
      <c r="G537" s="79" t="s">
        <v>15</v>
      </c>
      <c r="H537" s="80">
        <v>1678.0</v>
      </c>
      <c r="I537" s="79">
        <v>243200.0</v>
      </c>
      <c r="J537" s="74" t="s">
        <v>347</v>
      </c>
      <c r="K537" s="79" t="s">
        <v>1277</v>
      </c>
      <c r="L537" s="79" t="s">
        <v>453</v>
      </c>
      <c r="M537" s="77" t="s">
        <v>4224</v>
      </c>
      <c r="N537" s="79">
        <v>20.0</v>
      </c>
      <c r="O537" s="74" t="s">
        <v>4225</v>
      </c>
      <c r="P537" s="78" t="s">
        <v>4226</v>
      </c>
      <c r="Q537" s="119" t="s">
        <v>4227</v>
      </c>
      <c r="R537" s="85" t="s">
        <v>4228</v>
      </c>
      <c r="S537" s="78" t="s">
        <v>4229</v>
      </c>
      <c r="T537" s="80" t="s">
        <v>4230</v>
      </c>
      <c r="U537" s="78"/>
      <c r="V537" s="102" t="s">
        <v>4231</v>
      </c>
      <c r="W537" s="79" t="s">
        <v>309</v>
      </c>
      <c r="X537" s="79" t="s">
        <v>309</v>
      </c>
      <c r="Y537" s="79" t="s">
        <v>309</v>
      </c>
      <c r="Z537" s="79"/>
    </row>
    <row r="538" ht="15.75" customHeight="1">
      <c r="A538" s="103" t="s">
        <v>24</v>
      </c>
      <c r="B538" s="77" t="s">
        <v>4232</v>
      </c>
      <c r="C538" s="80">
        <v>3.0708291524E10</v>
      </c>
      <c r="D538" s="119" t="s">
        <v>264</v>
      </c>
      <c r="E538" s="79" t="s">
        <v>4233</v>
      </c>
      <c r="F538" s="44">
        <v>5120.0</v>
      </c>
      <c r="G538" s="79" t="s">
        <v>15</v>
      </c>
      <c r="H538" s="80">
        <v>1678.0</v>
      </c>
      <c r="I538" s="79">
        <v>292909.0</v>
      </c>
      <c r="J538" s="74" t="s">
        <v>347</v>
      </c>
      <c r="K538" s="77" t="s">
        <v>4234</v>
      </c>
      <c r="L538" s="79" t="s">
        <v>662</v>
      </c>
      <c r="M538" s="79"/>
      <c r="N538" s="79">
        <v>0.0</v>
      </c>
      <c r="O538" s="74"/>
      <c r="P538" s="80"/>
      <c r="Q538" s="79"/>
      <c r="R538" s="80"/>
      <c r="S538" s="80" t="s">
        <v>4235</v>
      </c>
      <c r="T538" s="101" t="s">
        <v>4236</v>
      </c>
      <c r="U538" s="80" t="s">
        <v>332</v>
      </c>
      <c r="V538" s="102" t="s">
        <v>429</v>
      </c>
      <c r="W538" s="79" t="s">
        <v>309</v>
      </c>
      <c r="X538" s="79" t="s">
        <v>309</v>
      </c>
      <c r="Y538" s="79"/>
      <c r="Z538" s="79"/>
    </row>
    <row r="539" ht="15.0" customHeight="1">
      <c r="A539" s="76" t="s">
        <v>247</v>
      </c>
      <c r="B539" s="77" t="s">
        <v>1493</v>
      </c>
      <c r="C539" s="80">
        <v>3.0716969491E10</v>
      </c>
      <c r="D539" s="79" t="s">
        <v>264</v>
      </c>
      <c r="E539" s="79" t="s">
        <v>1882</v>
      </c>
      <c r="F539" s="44">
        <v>4850.0</v>
      </c>
      <c r="G539" s="79" t="s">
        <v>15</v>
      </c>
      <c r="H539" s="80">
        <v>1678.0</v>
      </c>
      <c r="I539" s="79">
        <v>107129.0</v>
      </c>
      <c r="J539" s="74" t="s">
        <v>22</v>
      </c>
      <c r="K539" s="77" t="s">
        <v>4238</v>
      </c>
      <c r="L539" s="79"/>
      <c r="M539" s="79" t="s">
        <v>4239</v>
      </c>
      <c r="N539" s="79"/>
      <c r="O539" s="79" t="s">
        <v>4240</v>
      </c>
      <c r="P539" s="78" t="s">
        <v>4241</v>
      </c>
      <c r="Q539" s="79"/>
      <c r="R539" s="78" t="s">
        <v>4242</v>
      </c>
      <c r="S539" s="80"/>
      <c r="T539" s="101"/>
      <c r="U539" s="80"/>
      <c r="V539" s="98" t="s">
        <v>4243</v>
      </c>
      <c r="W539" s="79"/>
      <c r="X539" s="79"/>
      <c r="Y539" s="79"/>
      <c r="Z539" s="79"/>
    </row>
    <row r="540" ht="15.0" customHeight="1">
      <c r="A540" s="103" t="s">
        <v>24</v>
      </c>
      <c r="B540" s="79" t="s">
        <v>4244</v>
      </c>
      <c r="C540" s="80">
        <v>2.3318775249E10</v>
      </c>
      <c r="D540" s="77" t="s">
        <v>631</v>
      </c>
      <c r="E540" s="79" t="s">
        <v>3466</v>
      </c>
      <c r="F540" s="44">
        <v>6734.0</v>
      </c>
      <c r="G540" s="79" t="s">
        <v>119</v>
      </c>
      <c r="H540" s="80">
        <v>1657.0</v>
      </c>
      <c r="I540" s="79">
        <v>259309.0</v>
      </c>
      <c r="J540" s="74" t="s">
        <v>261</v>
      </c>
      <c r="K540" s="77" t="s">
        <v>1121</v>
      </c>
      <c r="L540" s="79"/>
      <c r="M540" s="79"/>
      <c r="N540" s="79"/>
      <c r="O540" s="74"/>
      <c r="P540" s="80"/>
      <c r="Q540" s="79"/>
      <c r="R540" s="80"/>
      <c r="S540" s="78" t="s">
        <v>4245</v>
      </c>
      <c r="T540" s="101"/>
      <c r="U540" s="80"/>
      <c r="V540" s="102" t="s">
        <v>429</v>
      </c>
      <c r="W540" s="79"/>
      <c r="X540" s="79"/>
      <c r="Y540" s="79"/>
      <c r="Z540" s="79"/>
    </row>
    <row r="541" ht="15.0" customHeight="1">
      <c r="A541" s="76" t="s">
        <v>247</v>
      </c>
      <c r="B541" s="77" t="s">
        <v>4247</v>
      </c>
      <c r="C541" s="80">
        <v>3.0573520315E10</v>
      </c>
      <c r="D541" s="144" t="s">
        <v>631</v>
      </c>
      <c r="E541" s="79" t="s">
        <v>2641</v>
      </c>
      <c r="F541" s="44">
        <v>3442.0</v>
      </c>
      <c r="G541" s="79" t="s">
        <v>68</v>
      </c>
      <c r="H541" s="80">
        <v>1702.0</v>
      </c>
      <c r="I541" s="79">
        <v>181109.0</v>
      </c>
      <c r="J541" s="74" t="s">
        <v>238</v>
      </c>
      <c r="K541" s="77" t="s">
        <v>1545</v>
      </c>
      <c r="L541" s="79"/>
      <c r="M541" s="79"/>
      <c r="N541" s="79">
        <v>2.0</v>
      </c>
      <c r="O541" s="74"/>
      <c r="P541" s="80"/>
      <c r="Q541" s="79"/>
      <c r="R541" s="80"/>
      <c r="S541" s="78" t="s">
        <v>4248</v>
      </c>
      <c r="T541" s="101" t="s">
        <v>332</v>
      </c>
      <c r="U541" s="80" t="s">
        <v>332</v>
      </c>
      <c r="V541" s="102" t="s">
        <v>429</v>
      </c>
      <c r="W541" s="79" t="s">
        <v>306</v>
      </c>
      <c r="X541" s="79" t="s">
        <v>306</v>
      </c>
      <c r="Y541" s="79" t="s">
        <v>309</v>
      </c>
      <c r="Z541" s="79"/>
    </row>
    <row r="542" ht="15.0" customHeight="1">
      <c r="A542" s="76" t="s">
        <v>247</v>
      </c>
      <c r="B542" s="77" t="s">
        <v>1502</v>
      </c>
      <c r="C542" s="80">
        <v>2.0164981925E10</v>
      </c>
      <c r="D542" s="144" t="s">
        <v>631</v>
      </c>
      <c r="E542" s="79" t="s">
        <v>1781</v>
      </c>
      <c r="F542" s="44">
        <v>1560.0</v>
      </c>
      <c r="G542" s="79" t="s">
        <v>119</v>
      </c>
      <c r="H542" s="80">
        <v>1657.0</v>
      </c>
      <c r="I542" s="79">
        <v>110412.0</v>
      </c>
      <c r="J542" s="74" t="s">
        <v>22</v>
      </c>
      <c r="K542" s="77" t="s">
        <v>4249</v>
      </c>
      <c r="L542" s="79" t="s">
        <v>453</v>
      </c>
      <c r="M542" s="77" t="s">
        <v>4250</v>
      </c>
      <c r="N542" s="79"/>
      <c r="O542" s="83" t="s">
        <v>4251</v>
      </c>
      <c r="P542" s="80" t="s">
        <v>4252</v>
      </c>
      <c r="Q542" s="80"/>
      <c r="R542" s="80"/>
      <c r="S542" s="80"/>
      <c r="T542" s="101"/>
      <c r="U542" s="80"/>
      <c r="V542" s="102" t="s">
        <v>429</v>
      </c>
      <c r="W542" s="79"/>
      <c r="X542" s="79"/>
      <c r="Y542" s="79"/>
      <c r="Z542" s="79"/>
    </row>
    <row r="543" ht="15.0" customHeight="1">
      <c r="A543" s="76" t="s">
        <v>247</v>
      </c>
      <c r="B543" s="77" t="s">
        <v>4254</v>
      </c>
      <c r="C543" s="80">
        <v>3.062292647E10</v>
      </c>
      <c r="D543" s="79" t="s">
        <v>264</v>
      </c>
      <c r="E543" s="77" t="s">
        <v>608</v>
      </c>
      <c r="F543" s="44">
        <v>2964.0</v>
      </c>
      <c r="G543" s="79" t="s">
        <v>15</v>
      </c>
      <c r="H543" s="80">
        <v>1678.0</v>
      </c>
      <c r="I543" s="79">
        <v>251101.0</v>
      </c>
      <c r="J543" s="74" t="s">
        <v>347</v>
      </c>
      <c r="K543" s="79" t="s">
        <v>1486</v>
      </c>
      <c r="L543" s="79" t="s">
        <v>453</v>
      </c>
      <c r="M543" s="79"/>
      <c r="N543" s="79">
        <v>12.0</v>
      </c>
      <c r="O543" s="74"/>
      <c r="P543" s="80"/>
      <c r="Q543" s="79" t="s">
        <v>4255</v>
      </c>
      <c r="R543" s="80"/>
      <c r="S543" s="78" t="s">
        <v>4256</v>
      </c>
      <c r="T543" s="101" t="s">
        <v>332</v>
      </c>
      <c r="U543" s="80" t="s">
        <v>332</v>
      </c>
      <c r="V543" s="102" t="s">
        <v>4258</v>
      </c>
      <c r="W543" s="79" t="s">
        <v>306</v>
      </c>
      <c r="X543" s="79" t="s">
        <v>306</v>
      </c>
      <c r="Y543" s="79" t="s">
        <v>309</v>
      </c>
      <c r="Z543" s="79"/>
    </row>
    <row r="544" ht="15.0" customHeight="1">
      <c r="A544" s="103" t="s">
        <v>24</v>
      </c>
      <c r="B544" s="77" t="s">
        <v>4259</v>
      </c>
      <c r="C544" s="80">
        <v>3.0643372076E10</v>
      </c>
      <c r="D544" s="119" t="s">
        <v>264</v>
      </c>
      <c r="E544" s="79" t="s">
        <v>1911</v>
      </c>
      <c r="F544" s="44">
        <v>3545.0</v>
      </c>
      <c r="G544" s="79" t="s">
        <v>68</v>
      </c>
      <c r="H544" s="80">
        <v>1702.0</v>
      </c>
      <c r="I544" s="79">
        <v>851190.0</v>
      </c>
      <c r="J544" s="74" t="s">
        <v>433</v>
      </c>
      <c r="K544" s="77" t="s">
        <v>4260</v>
      </c>
      <c r="L544" s="79"/>
      <c r="M544" s="79"/>
      <c r="N544" s="79">
        <v>0.0</v>
      </c>
      <c r="O544" s="74"/>
      <c r="P544" s="80"/>
      <c r="Q544" s="79"/>
      <c r="R544" s="80"/>
      <c r="S544" s="78" t="s">
        <v>4261</v>
      </c>
      <c r="T544" s="101" t="s">
        <v>332</v>
      </c>
      <c r="U544" s="80" t="s">
        <v>332</v>
      </c>
      <c r="V544" s="102" t="s">
        <v>429</v>
      </c>
      <c r="W544" s="79" t="s">
        <v>306</v>
      </c>
      <c r="X544" s="79" t="s">
        <v>306</v>
      </c>
      <c r="Y544" s="79"/>
      <c r="Z544" s="79"/>
    </row>
    <row r="545" ht="15.0" customHeight="1">
      <c r="A545" s="103" t="s">
        <v>24</v>
      </c>
      <c r="B545" s="77" t="s">
        <v>4262</v>
      </c>
      <c r="C545" s="80">
        <v>3.070114391E10</v>
      </c>
      <c r="D545" s="79" t="s">
        <v>264</v>
      </c>
      <c r="E545" s="79" t="s">
        <v>1079</v>
      </c>
      <c r="F545" s="44">
        <v>5250.0</v>
      </c>
      <c r="G545" s="79" t="s">
        <v>15</v>
      </c>
      <c r="H545" s="80">
        <v>1678.0</v>
      </c>
      <c r="I545" s="79">
        <v>281101.0</v>
      </c>
      <c r="J545" s="74" t="s">
        <v>347</v>
      </c>
      <c r="K545" s="79" t="s">
        <v>4263</v>
      </c>
      <c r="L545" s="79" t="s">
        <v>453</v>
      </c>
      <c r="M545" s="79"/>
      <c r="N545" s="79">
        <v>0.0</v>
      </c>
      <c r="O545" s="74"/>
      <c r="P545" s="80"/>
      <c r="Q545" s="79"/>
      <c r="R545" s="80"/>
      <c r="S545" s="78" t="s">
        <v>4264</v>
      </c>
      <c r="T545" s="85" t="s">
        <v>4264</v>
      </c>
      <c r="U545" s="80" t="s">
        <v>332</v>
      </c>
      <c r="V545" s="102" t="s">
        <v>429</v>
      </c>
      <c r="W545" s="79" t="s">
        <v>306</v>
      </c>
      <c r="X545" s="79" t="s">
        <v>306</v>
      </c>
      <c r="Y545" s="79"/>
      <c r="Z545" s="79"/>
    </row>
    <row r="546" ht="15.0" customHeight="1">
      <c r="A546" s="76" t="s">
        <v>247</v>
      </c>
      <c r="B546" s="77" t="s">
        <v>4265</v>
      </c>
      <c r="C546" s="80">
        <v>3.0685262106E10</v>
      </c>
      <c r="D546" s="144" t="s">
        <v>631</v>
      </c>
      <c r="E546" s="79" t="s">
        <v>4266</v>
      </c>
      <c r="F546" s="44">
        <v>5381.0</v>
      </c>
      <c r="G546" s="79" t="s">
        <v>15</v>
      </c>
      <c r="H546" s="80">
        <v>1678.0</v>
      </c>
      <c r="I546" s="79">
        <v>222090.0</v>
      </c>
      <c r="J546" s="83" t="s">
        <v>568</v>
      </c>
      <c r="K546" s="77" t="s">
        <v>569</v>
      </c>
      <c r="L546" s="79" t="s">
        <v>453</v>
      </c>
      <c r="M546" s="79"/>
      <c r="N546" s="79">
        <v>3.0</v>
      </c>
      <c r="O546" s="42"/>
      <c r="P546" s="80"/>
      <c r="Q546" s="79"/>
      <c r="R546" s="80"/>
      <c r="S546" s="80" t="s">
        <v>4267</v>
      </c>
      <c r="T546" s="101" t="s">
        <v>332</v>
      </c>
      <c r="U546" s="80" t="s">
        <v>332</v>
      </c>
      <c r="V546" s="102" t="s">
        <v>429</v>
      </c>
      <c r="W546" s="79" t="s">
        <v>306</v>
      </c>
      <c r="X546" s="79" t="s">
        <v>306</v>
      </c>
      <c r="Y546" s="79" t="s">
        <v>309</v>
      </c>
      <c r="Z546" s="79"/>
    </row>
    <row r="547" ht="15.0" customHeight="1">
      <c r="A547" s="76" t="s">
        <v>247</v>
      </c>
      <c r="B547" s="79" t="s">
        <v>4268</v>
      </c>
      <c r="C547" s="80">
        <v>3.0520941033E10</v>
      </c>
      <c r="D547" s="77" t="s">
        <v>631</v>
      </c>
      <c r="E547" s="79" t="s">
        <v>4269</v>
      </c>
      <c r="F547" s="44">
        <v>517.0</v>
      </c>
      <c r="G547" s="77" t="s">
        <v>226</v>
      </c>
      <c r="H547" s="80">
        <v>1674.0</v>
      </c>
      <c r="I547" s="79">
        <v>361010.0</v>
      </c>
      <c r="J547" s="74" t="s">
        <v>313</v>
      </c>
      <c r="K547" s="79" t="s">
        <v>2534</v>
      </c>
      <c r="L547" s="79" t="s">
        <v>1122</v>
      </c>
      <c r="M547" s="79"/>
      <c r="N547" s="79">
        <v>0.0</v>
      </c>
      <c r="O547" s="74"/>
      <c r="P547" s="80"/>
      <c r="Q547" s="79"/>
      <c r="R547" s="80"/>
      <c r="S547" s="80" t="s">
        <v>4271</v>
      </c>
      <c r="T547" s="101" t="s">
        <v>332</v>
      </c>
      <c r="U547" s="80" t="s">
        <v>332</v>
      </c>
      <c r="V547" s="102" t="s">
        <v>429</v>
      </c>
      <c r="W547" s="79" t="s">
        <v>309</v>
      </c>
      <c r="X547" s="79" t="s">
        <v>309</v>
      </c>
      <c r="Y547" s="79" t="s">
        <v>309</v>
      </c>
      <c r="Z547" s="79"/>
    </row>
    <row r="548" ht="15.0" customHeight="1">
      <c r="A548" s="103" t="s">
        <v>24</v>
      </c>
      <c r="B548" s="77" t="s">
        <v>4272</v>
      </c>
      <c r="C548" s="80">
        <v>3.050554793E10</v>
      </c>
      <c r="D548" s="79" t="s">
        <v>264</v>
      </c>
      <c r="E548" s="77" t="s">
        <v>4273</v>
      </c>
      <c r="F548" s="44">
        <v>2293.0</v>
      </c>
      <c r="G548" s="79" t="s">
        <v>249</v>
      </c>
      <c r="H548" s="80">
        <v>1676.0</v>
      </c>
      <c r="I548" s="79">
        <v>162909.0</v>
      </c>
      <c r="J548" s="74" t="s">
        <v>313</v>
      </c>
      <c r="K548" s="77" t="s">
        <v>3064</v>
      </c>
      <c r="L548" s="79" t="s">
        <v>1122</v>
      </c>
      <c r="M548" s="79"/>
      <c r="N548" s="79">
        <v>2.0</v>
      </c>
      <c r="O548" s="74"/>
      <c r="P548" s="80"/>
      <c r="Q548" s="79" t="s">
        <v>4274</v>
      </c>
      <c r="R548" s="80"/>
      <c r="S548" s="80" t="s">
        <v>4275</v>
      </c>
      <c r="T548" s="101" t="s">
        <v>332</v>
      </c>
      <c r="U548" s="80" t="s">
        <v>332</v>
      </c>
      <c r="V548" s="102" t="s">
        <v>429</v>
      </c>
      <c r="W548" s="79" t="s">
        <v>306</v>
      </c>
      <c r="X548" s="79" t="s">
        <v>306</v>
      </c>
      <c r="Y548" s="79" t="s">
        <v>309</v>
      </c>
      <c r="Z548" s="79"/>
    </row>
    <row r="549" ht="15.0" customHeight="1">
      <c r="A549" s="76" t="s">
        <v>247</v>
      </c>
      <c r="B549" s="77" t="s">
        <v>4278</v>
      </c>
      <c r="C549" s="80">
        <v>3.0639171236E10</v>
      </c>
      <c r="D549" s="79" t="s">
        <v>264</v>
      </c>
      <c r="E549" s="79" t="s">
        <v>359</v>
      </c>
      <c r="F549" s="44">
        <v>5264.0</v>
      </c>
      <c r="G549" s="79" t="s">
        <v>15</v>
      </c>
      <c r="H549" s="80">
        <v>1678.0</v>
      </c>
      <c r="I549" s="79">
        <v>221909.0</v>
      </c>
      <c r="J549" s="74" t="s">
        <v>88</v>
      </c>
      <c r="K549" s="82" t="s">
        <v>1186</v>
      </c>
      <c r="L549" s="79" t="s">
        <v>453</v>
      </c>
      <c r="M549" s="79" t="s">
        <v>4279</v>
      </c>
      <c r="N549" s="79">
        <v>18.0</v>
      </c>
      <c r="O549" s="74" t="s">
        <v>4280</v>
      </c>
      <c r="P549" s="78" t="s">
        <v>4281</v>
      </c>
      <c r="Q549" s="79"/>
      <c r="R549" s="80"/>
      <c r="S549" s="78" t="s">
        <v>4282</v>
      </c>
      <c r="T549" s="101" t="s">
        <v>4283</v>
      </c>
      <c r="U549" s="80" t="s">
        <v>4284</v>
      </c>
      <c r="V549" s="102" t="s">
        <v>4285</v>
      </c>
      <c r="W549" s="79" t="s">
        <v>309</v>
      </c>
      <c r="X549" s="79" t="s">
        <v>309</v>
      </c>
      <c r="Y549" s="79" t="s">
        <v>309</v>
      </c>
      <c r="Z549" s="79"/>
    </row>
    <row r="550" ht="15.0" customHeight="1">
      <c r="A550" s="76" t="s">
        <v>247</v>
      </c>
      <c r="B550" s="77" t="s">
        <v>1513</v>
      </c>
      <c r="C550" s="80">
        <v>3.071109349E10</v>
      </c>
      <c r="D550" s="119" t="s">
        <v>264</v>
      </c>
      <c r="E550" s="77" t="s">
        <v>943</v>
      </c>
      <c r="F550" s="44">
        <v>2889.0</v>
      </c>
      <c r="G550" s="79" t="s">
        <v>15</v>
      </c>
      <c r="H550" s="80">
        <v>1678.0</v>
      </c>
      <c r="I550" s="79">
        <v>139100.0</v>
      </c>
      <c r="J550" s="74" t="s">
        <v>448</v>
      </c>
      <c r="K550" s="79" t="s">
        <v>2770</v>
      </c>
      <c r="L550" s="79"/>
      <c r="M550" s="79"/>
      <c r="N550" s="79">
        <v>22.0</v>
      </c>
      <c r="O550" s="83" t="s">
        <v>4287</v>
      </c>
      <c r="P550" s="80"/>
      <c r="Q550" s="79" t="s">
        <v>4288</v>
      </c>
      <c r="R550" s="80"/>
      <c r="S550" s="80" t="s">
        <v>4289</v>
      </c>
      <c r="T550" s="101" t="s">
        <v>4290</v>
      </c>
      <c r="U550" s="80" t="s">
        <v>4291</v>
      </c>
      <c r="V550" s="102" t="s">
        <v>4292</v>
      </c>
      <c r="W550" s="79" t="s">
        <v>306</v>
      </c>
      <c r="X550" s="79" t="s">
        <v>306</v>
      </c>
      <c r="Y550" s="79" t="s">
        <v>309</v>
      </c>
      <c r="Z550" s="79"/>
    </row>
    <row r="551" ht="15.0" customHeight="1">
      <c r="A551" s="76" t="s">
        <v>247</v>
      </c>
      <c r="B551" s="77" t="s">
        <v>4293</v>
      </c>
      <c r="C551" s="80">
        <v>3.3620381409E10</v>
      </c>
      <c r="D551" s="119" t="s">
        <v>264</v>
      </c>
      <c r="E551" s="79" t="s">
        <v>1143</v>
      </c>
      <c r="F551" s="44">
        <v>3524.0</v>
      </c>
      <c r="G551" s="79" t="s">
        <v>15</v>
      </c>
      <c r="H551" s="80">
        <v>1678.0</v>
      </c>
      <c r="I551" s="79">
        <v>259309.0</v>
      </c>
      <c r="J551" s="74" t="s">
        <v>347</v>
      </c>
      <c r="K551" s="77" t="s">
        <v>1121</v>
      </c>
      <c r="L551" s="79"/>
      <c r="M551" s="77" t="s">
        <v>4295</v>
      </c>
      <c r="N551" s="79">
        <v>5.0</v>
      </c>
      <c r="O551" s="74"/>
      <c r="P551" s="80"/>
      <c r="Q551" s="79"/>
      <c r="R551" s="80"/>
      <c r="S551" s="78" t="s">
        <v>4296</v>
      </c>
      <c r="T551" s="85" t="s">
        <v>4297</v>
      </c>
      <c r="U551" s="80" t="s">
        <v>332</v>
      </c>
      <c r="V551" s="102" t="s">
        <v>429</v>
      </c>
      <c r="W551" s="79" t="s">
        <v>309</v>
      </c>
      <c r="X551" s="79" t="s">
        <v>309</v>
      </c>
      <c r="Y551" s="79" t="s">
        <v>309</v>
      </c>
      <c r="Z551" s="79"/>
    </row>
    <row r="552" ht="15.0" customHeight="1">
      <c r="A552" s="103" t="s">
        <v>24</v>
      </c>
      <c r="B552" s="77" t="s">
        <v>4298</v>
      </c>
      <c r="C552" s="80">
        <v>3.0708546603E10</v>
      </c>
      <c r="D552" s="119" t="s">
        <v>264</v>
      </c>
      <c r="E552" s="79" t="s">
        <v>2186</v>
      </c>
      <c r="F552" s="44">
        <v>4385.0</v>
      </c>
      <c r="G552" s="79" t="s">
        <v>68</v>
      </c>
      <c r="H552" s="80">
        <v>1702.0</v>
      </c>
      <c r="I552" s="79">
        <v>869090.0</v>
      </c>
      <c r="J552" s="74" t="s">
        <v>433</v>
      </c>
      <c r="K552" s="77" t="s">
        <v>4018</v>
      </c>
      <c r="L552" s="79"/>
      <c r="M552" s="79"/>
      <c r="N552" s="79">
        <v>22.0</v>
      </c>
      <c r="O552" s="74"/>
      <c r="P552" s="80"/>
      <c r="Q552" s="79"/>
      <c r="R552" s="80"/>
      <c r="S552" s="80" t="s">
        <v>4299</v>
      </c>
      <c r="T552" s="101" t="s">
        <v>4300</v>
      </c>
      <c r="U552" s="80" t="s">
        <v>332</v>
      </c>
      <c r="V552" s="102" t="s">
        <v>429</v>
      </c>
      <c r="W552" s="79" t="s">
        <v>306</v>
      </c>
      <c r="X552" s="79" t="s">
        <v>306</v>
      </c>
      <c r="Y552" s="79"/>
      <c r="Z552" s="79"/>
    </row>
    <row r="553" ht="15.0" customHeight="1">
      <c r="A553" s="76" t="s">
        <v>247</v>
      </c>
      <c r="B553" s="77" t="s">
        <v>4301</v>
      </c>
      <c r="C553" s="80">
        <v>3.0708338695E10</v>
      </c>
      <c r="D553" s="77" t="s">
        <v>631</v>
      </c>
      <c r="E553" s="79" t="s">
        <v>898</v>
      </c>
      <c r="F553" s="44">
        <v>3248.0</v>
      </c>
      <c r="G553" s="79" t="s">
        <v>68</v>
      </c>
      <c r="H553" s="80">
        <v>1702.0</v>
      </c>
      <c r="I553" s="79">
        <v>139400.0</v>
      </c>
      <c r="J553" s="83" t="s">
        <v>327</v>
      </c>
      <c r="K553" s="79" t="s">
        <v>4302</v>
      </c>
      <c r="L553" s="79"/>
      <c r="M553" s="79"/>
      <c r="N553" s="79">
        <v>0.0</v>
      </c>
      <c r="O553" s="74"/>
      <c r="P553" s="80"/>
      <c r="Q553" s="79"/>
      <c r="R553" s="80"/>
      <c r="S553" s="78" t="s">
        <v>4303</v>
      </c>
      <c r="T553" s="85" t="s">
        <v>4304</v>
      </c>
      <c r="U553" s="80" t="s">
        <v>332</v>
      </c>
      <c r="V553" s="102" t="s">
        <v>429</v>
      </c>
      <c r="W553" s="79" t="s">
        <v>309</v>
      </c>
      <c r="X553" s="79" t="s">
        <v>309</v>
      </c>
      <c r="Y553" s="79" t="s">
        <v>309</v>
      </c>
      <c r="Z553" s="79"/>
    </row>
    <row r="554" ht="15.0" customHeight="1">
      <c r="A554" s="76" t="s">
        <v>247</v>
      </c>
      <c r="B554" s="77" t="s">
        <v>4305</v>
      </c>
      <c r="C554" s="80">
        <v>3.0686220172E10</v>
      </c>
      <c r="D554" s="119" t="s">
        <v>264</v>
      </c>
      <c r="E554" s="79" t="s">
        <v>4306</v>
      </c>
      <c r="F554" s="44">
        <v>2060.0</v>
      </c>
      <c r="G554" s="79" t="s">
        <v>15</v>
      </c>
      <c r="H554" s="80">
        <v>1678.0</v>
      </c>
      <c r="I554" s="79">
        <v>202908.0</v>
      </c>
      <c r="J554" s="74" t="s">
        <v>316</v>
      </c>
      <c r="K554" s="77" t="s">
        <v>1153</v>
      </c>
      <c r="L554" s="79"/>
      <c r="M554" s="79"/>
      <c r="N554" s="79">
        <v>9.0</v>
      </c>
      <c r="O554" s="74"/>
      <c r="P554" s="80"/>
      <c r="Q554" s="79"/>
      <c r="R554" s="80"/>
      <c r="S554" s="78" t="s">
        <v>4308</v>
      </c>
      <c r="T554" s="101" t="s">
        <v>332</v>
      </c>
      <c r="U554" s="80" t="s">
        <v>332</v>
      </c>
      <c r="V554" s="102" t="s">
        <v>4309</v>
      </c>
      <c r="W554" s="79" t="s">
        <v>306</v>
      </c>
      <c r="X554" s="79" t="s">
        <v>306</v>
      </c>
      <c r="Y554" s="79" t="s">
        <v>309</v>
      </c>
      <c r="Z554" s="79"/>
    </row>
    <row r="555" ht="15.0" customHeight="1">
      <c r="A555" s="76" t="s">
        <v>247</v>
      </c>
      <c r="B555" s="77" t="s">
        <v>1517</v>
      </c>
      <c r="C555" s="80">
        <v>3.3708989369E10</v>
      </c>
      <c r="D555" s="119" t="s">
        <v>264</v>
      </c>
      <c r="E555" s="79" t="s">
        <v>2007</v>
      </c>
      <c r="F555" s="44">
        <v>4745.0</v>
      </c>
      <c r="G555" s="79" t="s">
        <v>15</v>
      </c>
      <c r="H555" s="80">
        <v>1678.0</v>
      </c>
      <c r="I555" s="79">
        <v>620100.0</v>
      </c>
      <c r="J555" s="83" t="s">
        <v>207</v>
      </c>
      <c r="K555" s="79" t="s">
        <v>2630</v>
      </c>
      <c r="L555" s="79"/>
      <c r="M555" s="79"/>
      <c r="N555" s="79">
        <v>32.0</v>
      </c>
      <c r="O555" s="126" t="s">
        <v>4310</v>
      </c>
      <c r="P555" s="85" t="s">
        <v>4311</v>
      </c>
      <c r="Q555" s="79" t="s">
        <v>4312</v>
      </c>
      <c r="R555" s="78" t="s">
        <v>4311</v>
      </c>
      <c r="S555" s="80" t="s">
        <v>4313</v>
      </c>
      <c r="T555" s="85" t="s">
        <v>4314</v>
      </c>
      <c r="U555" s="80"/>
      <c r="V555" s="102" t="s">
        <v>4315</v>
      </c>
      <c r="W555" s="79" t="s">
        <v>306</v>
      </c>
      <c r="X555" s="79" t="s">
        <v>306</v>
      </c>
      <c r="Y555" s="79" t="s">
        <v>309</v>
      </c>
      <c r="Z555" s="79"/>
    </row>
    <row r="556" ht="15.0" customHeight="1">
      <c r="A556" s="76" t="s">
        <v>247</v>
      </c>
      <c r="B556" s="79" t="s">
        <v>4316</v>
      </c>
      <c r="C556" s="78" t="s">
        <v>2517</v>
      </c>
      <c r="D556" s="79" t="s">
        <v>264</v>
      </c>
      <c r="E556" s="79" t="s">
        <v>1376</v>
      </c>
      <c r="F556" s="44" t="s">
        <v>4317</v>
      </c>
      <c r="G556" s="79" t="s">
        <v>68</v>
      </c>
      <c r="H556" s="80">
        <v>1702.0</v>
      </c>
      <c r="I556" s="78" t="s">
        <v>2519</v>
      </c>
      <c r="J556" s="74" t="s">
        <v>347</v>
      </c>
      <c r="K556" s="79" t="s">
        <v>4318</v>
      </c>
      <c r="L556" s="79"/>
      <c r="M556" s="79"/>
      <c r="N556" s="79"/>
      <c r="O556" s="74" t="s">
        <v>4319</v>
      </c>
      <c r="P556" s="78" t="s">
        <v>4320</v>
      </c>
      <c r="Q556" s="79"/>
      <c r="R556" s="80"/>
      <c r="S556" s="80" t="s">
        <v>4321</v>
      </c>
      <c r="T556" s="101"/>
      <c r="U556" s="80"/>
      <c r="V556" s="102" t="s">
        <v>4322</v>
      </c>
      <c r="W556" s="79"/>
      <c r="X556" s="79"/>
      <c r="Y556" s="79" t="s">
        <v>309</v>
      </c>
      <c r="Z556" s="79"/>
    </row>
    <row r="557" ht="15.0" customHeight="1">
      <c r="A557" s="76" t="s">
        <v>247</v>
      </c>
      <c r="B557" s="79" t="s">
        <v>1522</v>
      </c>
      <c r="C557" s="80">
        <v>3.3711005779E10</v>
      </c>
      <c r="D557" s="79" t="s">
        <v>264</v>
      </c>
      <c r="E557" s="79" t="s">
        <v>4323</v>
      </c>
      <c r="F557" s="128">
        <v>2305.0</v>
      </c>
      <c r="G557" s="79" t="s">
        <v>175</v>
      </c>
      <c r="H557" s="80">
        <v>1657.0</v>
      </c>
      <c r="I557" s="79">
        <v>275091.0</v>
      </c>
      <c r="J557" s="74" t="s">
        <v>337</v>
      </c>
      <c r="K557" s="77" t="s">
        <v>4324</v>
      </c>
      <c r="L557" s="79" t="s">
        <v>286</v>
      </c>
      <c r="M557" s="79" t="s">
        <v>4325</v>
      </c>
      <c r="N557" s="79"/>
      <c r="O557" s="74" t="s">
        <v>2819</v>
      </c>
      <c r="P557" s="80"/>
      <c r="Q557" s="79" t="s">
        <v>1761</v>
      </c>
      <c r="R557" s="80"/>
      <c r="S557" s="78" t="s">
        <v>4326</v>
      </c>
      <c r="T557" s="78" t="s">
        <v>4327</v>
      </c>
      <c r="U557" s="80"/>
      <c r="V557" s="102" t="s">
        <v>4328</v>
      </c>
      <c r="W557" s="79"/>
      <c r="X557" s="79"/>
      <c r="Y557" s="79"/>
      <c r="Z557" s="79"/>
    </row>
    <row r="558" ht="15.75" customHeight="1">
      <c r="A558" s="76" t="s">
        <v>247</v>
      </c>
      <c r="B558" s="77" t="s">
        <v>4329</v>
      </c>
      <c r="C558" s="80">
        <v>3.0710520743E10</v>
      </c>
      <c r="D558" s="79" t="s">
        <v>264</v>
      </c>
      <c r="E558" s="79" t="s">
        <v>442</v>
      </c>
      <c r="F558" s="44">
        <v>3569.0</v>
      </c>
      <c r="G558" s="79" t="s">
        <v>68</v>
      </c>
      <c r="H558" s="80">
        <v>1702.0</v>
      </c>
      <c r="I558" s="77">
        <v>466931.0</v>
      </c>
      <c r="J558" s="83" t="s">
        <v>568</v>
      </c>
      <c r="K558" s="77" t="s">
        <v>4330</v>
      </c>
      <c r="L558" s="79" t="s">
        <v>453</v>
      </c>
      <c r="M558" s="79"/>
      <c r="N558" s="79">
        <v>1.0</v>
      </c>
      <c r="O558" s="74"/>
      <c r="P558" s="80"/>
      <c r="Q558" s="79"/>
      <c r="R558" s="80"/>
      <c r="S558" s="78" t="s">
        <v>4332</v>
      </c>
      <c r="T558" s="101"/>
      <c r="U558" s="80"/>
      <c r="V558" s="102" t="s">
        <v>4333</v>
      </c>
      <c r="W558" s="79" t="s">
        <v>309</v>
      </c>
      <c r="X558" s="79" t="s">
        <v>309</v>
      </c>
      <c r="Y558" s="79" t="s">
        <v>309</v>
      </c>
      <c r="Z558" s="79"/>
    </row>
    <row r="559" ht="15.75" customHeight="1">
      <c r="A559" s="76" t="s">
        <v>247</v>
      </c>
      <c r="B559" s="77" t="s">
        <v>4336</v>
      </c>
      <c r="C559" s="78" t="s">
        <v>2517</v>
      </c>
      <c r="D559" s="79" t="s">
        <v>264</v>
      </c>
      <c r="E559" s="77" t="s">
        <v>4337</v>
      </c>
      <c r="F559" s="128">
        <v>2213.0</v>
      </c>
      <c r="G559" s="77" t="s">
        <v>47</v>
      </c>
      <c r="H559" s="78">
        <v>1684.0</v>
      </c>
      <c r="I559" s="78" t="s">
        <v>2519</v>
      </c>
      <c r="J559" s="74" t="s">
        <v>347</v>
      </c>
      <c r="K559" s="79" t="s">
        <v>4338</v>
      </c>
      <c r="L559" s="79"/>
      <c r="M559" s="77" t="s">
        <v>4340</v>
      </c>
      <c r="N559" s="79"/>
      <c r="O559" s="74"/>
      <c r="P559" s="80"/>
      <c r="Q559" s="79"/>
      <c r="R559" s="80"/>
      <c r="S559" s="78" t="s">
        <v>4341</v>
      </c>
      <c r="T559" s="85" t="s">
        <v>4342</v>
      </c>
      <c r="U559" s="80"/>
      <c r="V559" s="102" t="s">
        <v>4343</v>
      </c>
      <c r="W559" s="79"/>
      <c r="X559" s="79"/>
      <c r="Y559" s="79" t="s">
        <v>309</v>
      </c>
      <c r="Z559" s="79"/>
    </row>
    <row r="560" ht="15.75" customHeight="1">
      <c r="A560" s="76" t="s">
        <v>247</v>
      </c>
      <c r="B560" s="79" t="s">
        <v>4344</v>
      </c>
      <c r="C560" s="80">
        <v>2.0183287991E10</v>
      </c>
      <c r="D560" s="77" t="s">
        <v>631</v>
      </c>
      <c r="E560" s="79" t="s">
        <v>1221</v>
      </c>
      <c r="F560" s="44">
        <v>8739.0</v>
      </c>
      <c r="G560" s="79" t="s">
        <v>119</v>
      </c>
      <c r="H560" s="80">
        <v>1657.0</v>
      </c>
      <c r="I560" s="79">
        <v>252090.0</v>
      </c>
      <c r="J560" s="83" t="s">
        <v>568</v>
      </c>
      <c r="K560" s="77" t="s">
        <v>4345</v>
      </c>
      <c r="L560" s="79" t="s">
        <v>453</v>
      </c>
      <c r="M560" s="79" t="s">
        <v>4346</v>
      </c>
      <c r="N560" s="79"/>
      <c r="O560" s="74" t="s">
        <v>4347</v>
      </c>
      <c r="P560" s="78" t="s">
        <v>4348</v>
      </c>
      <c r="Q560" s="79"/>
      <c r="R560" s="80"/>
      <c r="S560" s="80" t="s">
        <v>4349</v>
      </c>
      <c r="T560" s="101"/>
      <c r="U560" s="80"/>
      <c r="V560" s="102" t="s">
        <v>429</v>
      </c>
      <c r="W560" s="79"/>
      <c r="X560" s="79"/>
      <c r="Y560" s="79"/>
      <c r="Z560" s="79"/>
    </row>
    <row r="561" ht="15.0" customHeight="1">
      <c r="A561" s="76" t="s">
        <v>247</v>
      </c>
      <c r="B561" s="77" t="s">
        <v>1526</v>
      </c>
      <c r="C561" s="101">
        <v>3.0711187975E10</v>
      </c>
      <c r="D561" s="79" t="s">
        <v>264</v>
      </c>
      <c r="E561" s="79" t="s">
        <v>4233</v>
      </c>
      <c r="F561" s="279">
        <v>5305.0</v>
      </c>
      <c r="G561" s="79" t="s">
        <v>15</v>
      </c>
      <c r="H561" s="80">
        <v>1678.0</v>
      </c>
      <c r="I561" s="79">
        <v>466200.0</v>
      </c>
      <c r="J561" s="74" t="s">
        <v>347</v>
      </c>
      <c r="K561" s="77" t="s">
        <v>4350</v>
      </c>
      <c r="L561" s="79"/>
      <c r="M561" s="79" t="s">
        <v>4351</v>
      </c>
      <c r="N561" s="79"/>
      <c r="O561" s="79" t="s">
        <v>4352</v>
      </c>
      <c r="P561" s="78" t="s">
        <v>4353</v>
      </c>
      <c r="Q561" s="79"/>
      <c r="R561" s="80"/>
      <c r="S561" s="78" t="s">
        <v>4354</v>
      </c>
      <c r="T561" s="78" t="s">
        <v>4355</v>
      </c>
      <c r="U561" s="80"/>
      <c r="V561" s="102" t="s">
        <v>4356</v>
      </c>
      <c r="W561" s="79"/>
      <c r="X561" s="79"/>
      <c r="Y561" s="79"/>
      <c r="Z561" s="79"/>
    </row>
    <row r="562" ht="15.0" customHeight="1">
      <c r="A562" s="103" t="s">
        <v>24</v>
      </c>
      <c r="B562" s="77" t="s">
        <v>4358</v>
      </c>
      <c r="C562" s="80">
        <v>3.0711766681E10</v>
      </c>
      <c r="D562" s="79" t="s">
        <v>264</v>
      </c>
      <c r="E562" s="79" t="s">
        <v>1095</v>
      </c>
      <c r="F562" s="44">
        <v>2947.0</v>
      </c>
      <c r="G562" s="79" t="s">
        <v>15</v>
      </c>
      <c r="H562" s="80">
        <v>1678.0</v>
      </c>
      <c r="I562" s="79">
        <v>361010.0</v>
      </c>
      <c r="J562" s="74" t="s">
        <v>313</v>
      </c>
      <c r="K562" s="77" t="s">
        <v>1438</v>
      </c>
      <c r="L562" s="79" t="s">
        <v>1122</v>
      </c>
      <c r="M562" s="79"/>
      <c r="N562" s="79">
        <v>0.0</v>
      </c>
      <c r="O562" s="74"/>
      <c r="P562" s="80"/>
      <c r="Q562" s="79"/>
      <c r="R562" s="80"/>
      <c r="S562" s="280" t="s">
        <v>4359</v>
      </c>
      <c r="T562" s="101" t="s">
        <v>332</v>
      </c>
      <c r="U562" s="80" t="s">
        <v>332</v>
      </c>
      <c r="V562" s="102" t="s">
        <v>429</v>
      </c>
      <c r="W562" s="79" t="s">
        <v>306</v>
      </c>
      <c r="X562" s="79" t="s">
        <v>306</v>
      </c>
      <c r="Y562" s="79"/>
      <c r="Z562" s="79"/>
    </row>
    <row r="563" ht="15.75" customHeight="1">
      <c r="A563" s="103" t="s">
        <v>24</v>
      </c>
      <c r="B563" s="77" t="s">
        <v>4360</v>
      </c>
      <c r="C563" s="80">
        <v>3.0609257705E10</v>
      </c>
      <c r="D563" s="79" t="s">
        <v>264</v>
      </c>
      <c r="E563" s="79" t="s">
        <v>4361</v>
      </c>
      <c r="F563" s="44">
        <v>3115.0</v>
      </c>
      <c r="G563" s="79" t="s">
        <v>249</v>
      </c>
      <c r="H563" s="80">
        <v>1676.0</v>
      </c>
      <c r="I563" s="79">
        <v>172109.0</v>
      </c>
      <c r="J563" s="74" t="s">
        <v>448</v>
      </c>
      <c r="K563" s="77" t="s">
        <v>4362</v>
      </c>
      <c r="L563" s="79" t="s">
        <v>369</v>
      </c>
      <c r="M563" s="79"/>
      <c r="N563" s="79">
        <v>0.0</v>
      </c>
      <c r="O563" s="74"/>
      <c r="P563" s="80"/>
      <c r="Q563" s="79"/>
      <c r="R563" s="80"/>
      <c r="S563" s="80" t="s">
        <v>4363</v>
      </c>
      <c r="T563" s="101" t="s">
        <v>332</v>
      </c>
      <c r="U563" s="80" t="s">
        <v>332</v>
      </c>
      <c r="V563" s="102" t="s">
        <v>429</v>
      </c>
      <c r="W563" s="79" t="s">
        <v>309</v>
      </c>
      <c r="X563" s="79" t="s">
        <v>309</v>
      </c>
      <c r="Y563" s="79"/>
      <c r="Z563" s="79"/>
    </row>
    <row r="564" ht="15.0" customHeight="1">
      <c r="A564" s="103" t="s">
        <v>24</v>
      </c>
      <c r="B564" s="77" t="s">
        <v>4364</v>
      </c>
      <c r="C564" s="80">
        <v>3.0711065675E10</v>
      </c>
      <c r="D564" s="79" t="s">
        <v>264</v>
      </c>
      <c r="E564" s="79" t="s">
        <v>1088</v>
      </c>
      <c r="F564" s="44">
        <v>5696.0</v>
      </c>
      <c r="G564" s="79" t="s">
        <v>15</v>
      </c>
      <c r="H564" s="80">
        <v>1678.0</v>
      </c>
      <c r="I564" s="79">
        <v>310010.0</v>
      </c>
      <c r="J564" s="74" t="s">
        <v>313</v>
      </c>
      <c r="K564" s="79" t="s">
        <v>1438</v>
      </c>
      <c r="L564" s="79" t="s">
        <v>1122</v>
      </c>
      <c r="M564" s="79"/>
      <c r="N564" s="79">
        <v>1.0</v>
      </c>
      <c r="O564" s="74"/>
      <c r="P564" s="80"/>
      <c r="Q564" s="79"/>
      <c r="R564" s="80"/>
      <c r="S564" s="80" t="s">
        <v>4365</v>
      </c>
      <c r="T564" s="101" t="s">
        <v>332</v>
      </c>
      <c r="U564" s="80" t="s">
        <v>332</v>
      </c>
      <c r="V564" s="102" t="s">
        <v>429</v>
      </c>
      <c r="W564" s="79" t="s">
        <v>306</v>
      </c>
      <c r="X564" s="79" t="s">
        <v>306</v>
      </c>
      <c r="Y564" s="79"/>
      <c r="Z564" s="79"/>
    </row>
    <row r="565" ht="15.75" customHeight="1">
      <c r="A565" s="103" t="s">
        <v>24</v>
      </c>
      <c r="B565" s="77" t="s">
        <v>4366</v>
      </c>
      <c r="C565" s="80">
        <v>3.0709131385E10</v>
      </c>
      <c r="D565" s="119" t="s">
        <v>264</v>
      </c>
      <c r="E565" s="79" t="s">
        <v>2886</v>
      </c>
      <c r="F565" s="44">
        <v>3606.0</v>
      </c>
      <c r="G565" s="79" t="s">
        <v>68</v>
      </c>
      <c r="H565" s="80">
        <v>1702.0</v>
      </c>
      <c r="I565" s="79">
        <v>181200.0</v>
      </c>
      <c r="J565" s="74" t="s">
        <v>433</v>
      </c>
      <c r="K565" s="79" t="s">
        <v>1833</v>
      </c>
      <c r="L565" s="79"/>
      <c r="M565" s="79"/>
      <c r="N565" s="79">
        <v>23.0</v>
      </c>
      <c r="O565" s="74"/>
      <c r="P565" s="80"/>
      <c r="Q565" s="77" t="s">
        <v>4368</v>
      </c>
      <c r="R565" s="80"/>
      <c r="S565" s="80" t="s">
        <v>4369</v>
      </c>
      <c r="T565" s="101" t="s">
        <v>332</v>
      </c>
      <c r="U565" s="80" t="s">
        <v>332</v>
      </c>
      <c r="V565" s="102" t="s">
        <v>429</v>
      </c>
      <c r="W565" s="79" t="s">
        <v>309</v>
      </c>
      <c r="X565" s="79" t="s">
        <v>309</v>
      </c>
      <c r="Y565" s="79" t="s">
        <v>309</v>
      </c>
      <c r="Z565" s="79"/>
    </row>
    <row r="566" ht="15.75" customHeight="1">
      <c r="A566" s="103" t="s">
        <v>24</v>
      </c>
      <c r="B566" s="77" t="s">
        <v>4370</v>
      </c>
      <c r="C566" s="80">
        <v>3.05810721E10</v>
      </c>
      <c r="D566" s="119" t="s">
        <v>264</v>
      </c>
      <c r="E566" s="79" t="s">
        <v>4371</v>
      </c>
      <c r="F566" s="44">
        <v>2680.0</v>
      </c>
      <c r="G566" s="79" t="s">
        <v>15</v>
      </c>
      <c r="H566" s="80">
        <v>1678.0</v>
      </c>
      <c r="I566" s="79">
        <v>172900.0</v>
      </c>
      <c r="J566" s="74" t="s">
        <v>448</v>
      </c>
      <c r="K566" s="77" t="s">
        <v>4372</v>
      </c>
      <c r="L566" s="79"/>
      <c r="M566" s="79"/>
      <c r="N566" s="79">
        <v>0.0</v>
      </c>
      <c r="O566" s="74"/>
      <c r="P566" s="80"/>
      <c r="Q566" s="79"/>
      <c r="R566" s="80"/>
      <c r="S566" s="80" t="s">
        <v>4373</v>
      </c>
      <c r="T566" s="101" t="s">
        <v>332</v>
      </c>
      <c r="U566" s="80" t="s">
        <v>332</v>
      </c>
      <c r="V566" s="102" t="s">
        <v>429</v>
      </c>
      <c r="W566" s="79" t="s">
        <v>309</v>
      </c>
      <c r="X566" s="79" t="s">
        <v>309</v>
      </c>
      <c r="Y566" s="79"/>
      <c r="Z566" s="79"/>
    </row>
    <row r="567" ht="15.0" customHeight="1">
      <c r="A567" s="103" t="s">
        <v>24</v>
      </c>
      <c r="B567" s="77" t="s">
        <v>4374</v>
      </c>
      <c r="C567" s="80">
        <v>3.0556324529E10</v>
      </c>
      <c r="D567" s="79" t="s">
        <v>264</v>
      </c>
      <c r="E567" s="77" t="s">
        <v>1458</v>
      </c>
      <c r="F567" s="44">
        <v>5225.0</v>
      </c>
      <c r="G567" s="79" t="s">
        <v>15</v>
      </c>
      <c r="H567" s="80">
        <v>1678.0</v>
      </c>
      <c r="I567" s="79">
        <v>259993.0</v>
      </c>
      <c r="J567" s="74" t="s">
        <v>347</v>
      </c>
      <c r="K567" s="129" t="s">
        <v>638</v>
      </c>
      <c r="L567" s="79" t="s">
        <v>453</v>
      </c>
      <c r="M567" s="79"/>
      <c r="N567" s="79">
        <v>2.0</v>
      </c>
      <c r="O567" s="74"/>
      <c r="P567" s="80"/>
      <c r="Q567" s="79"/>
      <c r="R567" s="80"/>
      <c r="S567" s="80"/>
      <c r="T567" s="101" t="s">
        <v>332</v>
      </c>
      <c r="U567" s="80" t="s">
        <v>332</v>
      </c>
      <c r="V567" s="102" t="s">
        <v>429</v>
      </c>
      <c r="W567" s="79" t="s">
        <v>306</v>
      </c>
      <c r="X567" s="79" t="s">
        <v>306</v>
      </c>
      <c r="Y567" s="79" t="s">
        <v>309</v>
      </c>
      <c r="Z567" s="79"/>
    </row>
    <row r="568" ht="15.75" customHeight="1">
      <c r="A568" s="76" t="s">
        <v>247</v>
      </c>
      <c r="B568" s="77" t="s">
        <v>4376</v>
      </c>
      <c r="C568" s="101">
        <v>3.0711305668E10</v>
      </c>
      <c r="D568" s="79" t="s">
        <v>264</v>
      </c>
      <c r="E568" s="77" t="s">
        <v>591</v>
      </c>
      <c r="F568" s="44">
        <v>829.0</v>
      </c>
      <c r="G568" s="79" t="s">
        <v>68</v>
      </c>
      <c r="H568" s="80">
        <v>1702.0</v>
      </c>
      <c r="I568" s="79">
        <v>251102.0</v>
      </c>
      <c r="J568" s="74" t="s">
        <v>347</v>
      </c>
      <c r="K568" s="144" t="s">
        <v>1611</v>
      </c>
      <c r="L568" s="79"/>
      <c r="M568" s="79"/>
      <c r="N568" s="79"/>
      <c r="O568" s="79"/>
      <c r="P568" s="80"/>
      <c r="Q568" s="79"/>
      <c r="R568" s="80"/>
      <c r="S568" s="80" t="s">
        <v>4377</v>
      </c>
      <c r="T568" s="101"/>
      <c r="U568" s="80"/>
      <c r="V568" s="102" t="s">
        <v>4378</v>
      </c>
      <c r="W568" s="79"/>
      <c r="X568" s="79"/>
      <c r="Y568" s="79"/>
      <c r="Z568" s="79"/>
    </row>
    <row r="569" ht="15.0" customHeight="1">
      <c r="A569" s="103" t="s">
        <v>24</v>
      </c>
      <c r="B569" s="77" t="s">
        <v>4379</v>
      </c>
      <c r="C569" s="79">
        <v>3.0709450057E10</v>
      </c>
      <c r="D569" s="77" t="s">
        <v>264</v>
      </c>
      <c r="E569" s="77" t="s">
        <v>943</v>
      </c>
      <c r="F569" s="44">
        <v>4634.0</v>
      </c>
      <c r="G569" s="79" t="s">
        <v>68</v>
      </c>
      <c r="H569" s="80">
        <v>1702.0</v>
      </c>
      <c r="I569" s="79">
        <v>463199.0</v>
      </c>
      <c r="J569" s="74" t="s">
        <v>22</v>
      </c>
      <c r="K569" s="77" t="s">
        <v>4380</v>
      </c>
      <c r="L569" s="79" t="s">
        <v>453</v>
      </c>
      <c r="M569" s="79"/>
      <c r="N569" s="79">
        <v>0.0</v>
      </c>
      <c r="O569" s="74"/>
      <c r="P569" s="80"/>
      <c r="Q569" s="79"/>
      <c r="R569" s="80"/>
      <c r="S569" s="80" t="s">
        <v>4381</v>
      </c>
      <c r="T569" s="80"/>
      <c r="U569" s="80" t="s">
        <v>332</v>
      </c>
      <c r="V569" s="102" t="s">
        <v>429</v>
      </c>
      <c r="W569" s="79" t="s">
        <v>306</v>
      </c>
      <c r="X569" s="79" t="s">
        <v>306</v>
      </c>
      <c r="Y569" s="79"/>
      <c r="Z569" s="281"/>
    </row>
    <row r="570" ht="15.75" customHeight="1">
      <c r="A570" s="103" t="s">
        <v>24</v>
      </c>
      <c r="B570" s="77" t="s">
        <v>4382</v>
      </c>
      <c r="C570" s="79">
        <v>3.0642519146E10</v>
      </c>
      <c r="D570" s="77" t="s">
        <v>264</v>
      </c>
      <c r="E570" s="79" t="s">
        <v>2136</v>
      </c>
      <c r="F570" s="44">
        <v>8978.0</v>
      </c>
      <c r="G570" s="79" t="s">
        <v>119</v>
      </c>
      <c r="H570" s="80">
        <v>1657.0</v>
      </c>
      <c r="I570" s="79">
        <v>612057.0</v>
      </c>
      <c r="J570" s="74" t="s">
        <v>22</v>
      </c>
      <c r="K570" s="77" t="s">
        <v>4383</v>
      </c>
      <c r="L570" s="79" t="s">
        <v>286</v>
      </c>
      <c r="M570" s="79"/>
      <c r="N570" s="79">
        <v>0.0</v>
      </c>
      <c r="O570" s="74"/>
      <c r="P570" s="80"/>
      <c r="Q570" s="79"/>
      <c r="R570" s="80"/>
      <c r="S570" s="80" t="s">
        <v>4384</v>
      </c>
      <c r="T570" s="101" t="s">
        <v>4385</v>
      </c>
      <c r="U570" s="80" t="s">
        <v>332</v>
      </c>
      <c r="V570" s="102" t="s">
        <v>429</v>
      </c>
      <c r="W570" s="79" t="s">
        <v>309</v>
      </c>
      <c r="X570" s="79" t="s">
        <v>306</v>
      </c>
      <c r="Y570" s="79"/>
      <c r="Z570" s="79"/>
    </row>
    <row r="571" ht="15.0" customHeight="1">
      <c r="A571" s="103" t="s">
        <v>24</v>
      </c>
      <c r="B571" s="77" t="s">
        <v>4386</v>
      </c>
      <c r="C571" s="79">
        <v>3.0715059378E10</v>
      </c>
      <c r="D571" s="77" t="s">
        <v>264</v>
      </c>
      <c r="E571" s="77" t="s">
        <v>3826</v>
      </c>
      <c r="F571" s="44">
        <v>1625.0</v>
      </c>
      <c r="G571" s="79" t="s">
        <v>269</v>
      </c>
      <c r="H571" s="80">
        <v>1682.0</v>
      </c>
      <c r="I571" s="79">
        <v>463112.0</v>
      </c>
      <c r="J571" s="74" t="s">
        <v>22</v>
      </c>
      <c r="K571" s="77" t="s">
        <v>4387</v>
      </c>
      <c r="L571" s="79" t="s">
        <v>453</v>
      </c>
      <c r="M571" s="79"/>
      <c r="N571" s="79">
        <v>0.0</v>
      </c>
      <c r="O571" s="74"/>
      <c r="P571" s="80"/>
      <c r="Q571" s="79"/>
      <c r="R571" s="80"/>
      <c r="S571" s="80" t="s">
        <v>4388</v>
      </c>
      <c r="T571" s="85" t="s">
        <v>4389</v>
      </c>
      <c r="U571" s="80" t="s">
        <v>332</v>
      </c>
      <c r="V571" s="102" t="s">
        <v>429</v>
      </c>
      <c r="W571" s="79" t="s">
        <v>306</v>
      </c>
      <c r="X571" s="79" t="s">
        <v>306</v>
      </c>
      <c r="Y571" s="79"/>
      <c r="Z571" s="79"/>
    </row>
    <row r="572" ht="15.0" customHeight="1">
      <c r="A572" s="76" t="s">
        <v>247</v>
      </c>
      <c r="B572" s="77" t="s">
        <v>4390</v>
      </c>
      <c r="C572" s="80">
        <v>3.0715199129E10</v>
      </c>
      <c r="D572" s="79" t="s">
        <v>264</v>
      </c>
      <c r="E572" s="79" t="s">
        <v>3990</v>
      </c>
      <c r="F572" s="44">
        <v>8664.0</v>
      </c>
      <c r="G572" s="79" t="s">
        <v>175</v>
      </c>
      <c r="H572" s="80">
        <v>1657.0</v>
      </c>
      <c r="I572" s="79">
        <v>202908.0</v>
      </c>
      <c r="J572" s="74" t="s">
        <v>316</v>
      </c>
      <c r="K572" s="77" t="s">
        <v>4391</v>
      </c>
      <c r="L572" s="79"/>
      <c r="M572" s="79"/>
      <c r="N572" s="79"/>
      <c r="O572" s="83" t="s">
        <v>4392</v>
      </c>
      <c r="P572" s="78" t="s">
        <v>4393</v>
      </c>
      <c r="Q572" s="79"/>
      <c r="R572" s="80"/>
      <c r="S572" s="80" t="s">
        <v>4394</v>
      </c>
      <c r="T572" s="282"/>
      <c r="U572" s="80"/>
      <c r="V572" s="102" t="s">
        <v>4395</v>
      </c>
      <c r="W572" s="79"/>
      <c r="X572" s="79"/>
      <c r="Y572" s="79" t="s">
        <v>309</v>
      </c>
      <c r="Z572" s="79"/>
    </row>
    <row r="573" ht="15.0" customHeight="1">
      <c r="A573" s="103" t="s">
        <v>24</v>
      </c>
      <c r="B573" s="77" t="s">
        <v>4396</v>
      </c>
      <c r="C573" s="79">
        <v>3.3686281219E10</v>
      </c>
      <c r="D573" s="77" t="s">
        <v>264</v>
      </c>
      <c r="E573" s="79" t="s">
        <v>3875</v>
      </c>
      <c r="F573" s="44">
        <v>3494.0</v>
      </c>
      <c r="G573" s="79" t="s">
        <v>15</v>
      </c>
      <c r="H573" s="80">
        <v>1678.0</v>
      </c>
      <c r="I573" s="79">
        <v>466121.0</v>
      </c>
      <c r="J573" s="74" t="s">
        <v>433</v>
      </c>
      <c r="K573" s="77" t="s">
        <v>4397</v>
      </c>
      <c r="L573" s="79"/>
      <c r="M573" s="79"/>
      <c r="N573" s="79">
        <v>9.0</v>
      </c>
      <c r="O573" s="74"/>
      <c r="P573" s="80"/>
      <c r="Q573" s="79"/>
      <c r="R573" s="80"/>
      <c r="S573" s="78" t="s">
        <v>4398</v>
      </c>
      <c r="T573" s="101" t="s">
        <v>4399</v>
      </c>
      <c r="U573" s="114" t="s">
        <v>332</v>
      </c>
      <c r="V573" s="102" t="s">
        <v>429</v>
      </c>
      <c r="W573" s="79" t="s">
        <v>306</v>
      </c>
      <c r="X573" s="79" t="s">
        <v>306</v>
      </c>
      <c r="Y573" s="79"/>
      <c r="Z573" s="79"/>
    </row>
    <row r="574" ht="15.0" customHeight="1">
      <c r="A574" s="76" t="s">
        <v>247</v>
      </c>
      <c r="B574" s="79" t="s">
        <v>4400</v>
      </c>
      <c r="C574" s="101">
        <v>3.0522751088E10</v>
      </c>
      <c r="D574" s="79" t="s">
        <v>264</v>
      </c>
      <c r="E574" s="77" t="s">
        <v>4401</v>
      </c>
      <c r="F574" s="44">
        <v>3174.0</v>
      </c>
      <c r="G574" s="79" t="s">
        <v>15</v>
      </c>
      <c r="H574" s="80">
        <v>1678.0</v>
      </c>
      <c r="I574" s="79">
        <v>275099.0</v>
      </c>
      <c r="J574" s="74" t="s">
        <v>347</v>
      </c>
      <c r="K574" s="144" t="s">
        <v>4402</v>
      </c>
      <c r="L574" s="79"/>
      <c r="M574" s="79"/>
      <c r="N574" s="79"/>
      <c r="O574" s="79"/>
      <c r="P574" s="80"/>
      <c r="Q574" s="79"/>
      <c r="R574" s="80"/>
      <c r="S574" s="85" t="s">
        <v>4403</v>
      </c>
      <c r="T574" s="85" t="s">
        <v>4404</v>
      </c>
      <c r="U574" s="80"/>
      <c r="V574" s="102" t="s">
        <v>4405</v>
      </c>
      <c r="W574" s="79"/>
      <c r="X574" s="79"/>
      <c r="Y574" s="79"/>
      <c r="Z574" s="79"/>
    </row>
    <row r="575" ht="15.0" customHeight="1">
      <c r="A575" s="76" t="s">
        <v>247</v>
      </c>
      <c r="B575" s="77" t="s">
        <v>1532</v>
      </c>
      <c r="C575" s="78">
        <v>3.0697276676E10</v>
      </c>
      <c r="D575" s="79" t="s">
        <v>264</v>
      </c>
      <c r="E575" s="119" t="s">
        <v>1422</v>
      </c>
      <c r="F575" s="128">
        <v>970.0</v>
      </c>
      <c r="G575" s="79" t="s">
        <v>269</v>
      </c>
      <c r="H575" s="80">
        <v>1682.0</v>
      </c>
      <c r="I575" s="77">
        <v>202311.0</v>
      </c>
      <c r="J575" s="74" t="s">
        <v>316</v>
      </c>
      <c r="K575" s="77" t="s">
        <v>4406</v>
      </c>
      <c r="L575" s="79"/>
      <c r="M575" s="79"/>
      <c r="N575" s="79"/>
      <c r="O575" s="74" t="s">
        <v>4407</v>
      </c>
      <c r="P575" s="78" t="s">
        <v>4408</v>
      </c>
      <c r="Q575" s="79"/>
      <c r="R575" s="80"/>
      <c r="S575" s="80"/>
      <c r="T575" s="101"/>
      <c r="U575" s="80"/>
      <c r="V575" s="102" t="s">
        <v>4409</v>
      </c>
      <c r="W575" s="79"/>
      <c r="X575" s="79"/>
      <c r="Y575" s="79"/>
      <c r="Z575" s="79"/>
    </row>
    <row r="576" ht="15.75" customHeight="1">
      <c r="A576" s="76" t="s">
        <v>247</v>
      </c>
      <c r="B576" s="77" t="s">
        <v>1532</v>
      </c>
      <c r="C576" s="80">
        <v>3.0697276676E10</v>
      </c>
      <c r="D576" s="79" t="s">
        <v>264</v>
      </c>
      <c r="E576" s="119" t="s">
        <v>1422</v>
      </c>
      <c r="F576" s="44">
        <v>970.0</v>
      </c>
      <c r="G576" s="79" t="s">
        <v>269</v>
      </c>
      <c r="H576" s="80">
        <v>1682.0</v>
      </c>
      <c r="I576" s="79">
        <v>202311.0</v>
      </c>
      <c r="J576" s="74" t="s">
        <v>316</v>
      </c>
      <c r="K576" s="79" t="s">
        <v>4406</v>
      </c>
      <c r="L576" s="79"/>
      <c r="M576" s="79"/>
      <c r="N576" s="79">
        <v>343.0</v>
      </c>
      <c r="O576" s="74"/>
      <c r="P576" s="80"/>
      <c r="Q576" s="79"/>
      <c r="R576" s="80"/>
      <c r="S576" s="78" t="s">
        <v>4410</v>
      </c>
      <c r="T576" s="101" t="s">
        <v>4411</v>
      </c>
      <c r="U576" s="80" t="s">
        <v>4412</v>
      </c>
      <c r="V576" s="102" t="s">
        <v>4413</v>
      </c>
      <c r="W576" s="79" t="s">
        <v>309</v>
      </c>
      <c r="X576" s="79" t="s">
        <v>309</v>
      </c>
      <c r="Y576" s="79" t="s">
        <v>309</v>
      </c>
      <c r="Z576" s="79"/>
    </row>
    <row r="577" ht="15.75" customHeight="1">
      <c r="A577" s="103" t="s">
        <v>24</v>
      </c>
      <c r="B577" s="77" t="s">
        <v>4414</v>
      </c>
      <c r="C577" s="80">
        <v>3.0582563256E10</v>
      </c>
      <c r="D577" s="119" t="s">
        <v>264</v>
      </c>
      <c r="E577" s="119" t="s">
        <v>1422</v>
      </c>
      <c r="F577" s="44">
        <v>990.0</v>
      </c>
      <c r="G577" s="79" t="s">
        <v>269</v>
      </c>
      <c r="H577" s="80">
        <v>1682.0</v>
      </c>
      <c r="I577" s="79">
        <v>242412.0</v>
      </c>
      <c r="J577" s="74" t="s">
        <v>316</v>
      </c>
      <c r="K577" s="79" t="s">
        <v>4415</v>
      </c>
      <c r="L577" s="79"/>
      <c r="M577" s="79"/>
      <c r="N577" s="79">
        <v>5.0</v>
      </c>
      <c r="O577" s="74"/>
      <c r="P577" s="80"/>
      <c r="Q577" s="79"/>
      <c r="R577" s="80"/>
      <c r="S577" s="78" t="s">
        <v>4416</v>
      </c>
      <c r="T577" s="101" t="s">
        <v>332</v>
      </c>
      <c r="U577" s="80" t="s">
        <v>332</v>
      </c>
      <c r="V577" s="102" t="s">
        <v>4417</v>
      </c>
      <c r="W577" s="79" t="s">
        <v>309</v>
      </c>
      <c r="X577" s="79" t="s">
        <v>309</v>
      </c>
      <c r="Y577" s="79" t="s">
        <v>309</v>
      </c>
      <c r="Z577" s="79"/>
    </row>
    <row r="578" ht="15.75" customHeight="1">
      <c r="A578" s="103" t="s">
        <v>24</v>
      </c>
      <c r="B578" s="77" t="s">
        <v>4418</v>
      </c>
      <c r="C578" s="80">
        <v>3.0710931646E10</v>
      </c>
      <c r="D578" s="119" t="s">
        <v>264</v>
      </c>
      <c r="E578" s="79" t="s">
        <v>1095</v>
      </c>
      <c r="F578" s="44">
        <v>1147.0</v>
      </c>
      <c r="G578" s="79" t="s">
        <v>15</v>
      </c>
      <c r="H578" s="80">
        <v>1678.0</v>
      </c>
      <c r="I578" s="79">
        <v>259200.0</v>
      </c>
      <c r="J578" s="74" t="s">
        <v>347</v>
      </c>
      <c r="K578" s="79" t="s">
        <v>1324</v>
      </c>
      <c r="L578" s="79" t="s">
        <v>453</v>
      </c>
      <c r="M578" s="79"/>
      <c r="N578" s="79">
        <v>6.0</v>
      </c>
      <c r="O578" s="74"/>
      <c r="P578" s="80"/>
      <c r="Q578" s="79"/>
      <c r="R578" s="80"/>
      <c r="S578" s="78" t="s">
        <v>4419</v>
      </c>
      <c r="T578" s="101" t="s">
        <v>332</v>
      </c>
      <c r="U578" s="80" t="s">
        <v>332</v>
      </c>
      <c r="V578" s="102" t="s">
        <v>429</v>
      </c>
      <c r="W578" s="79" t="s">
        <v>309</v>
      </c>
      <c r="X578" s="79" t="s">
        <v>309</v>
      </c>
      <c r="Y578" s="79"/>
      <c r="Z578" s="79"/>
    </row>
    <row r="579" ht="15.0" customHeight="1">
      <c r="A579" s="76" t="s">
        <v>247</v>
      </c>
      <c r="B579" s="79" t="s">
        <v>4421</v>
      </c>
      <c r="C579" s="80">
        <v>2.0148959081E10</v>
      </c>
      <c r="D579" s="77" t="s">
        <v>631</v>
      </c>
      <c r="E579" s="77" t="s">
        <v>1983</v>
      </c>
      <c r="F579" s="128">
        <v>6864.0</v>
      </c>
      <c r="G579" s="77" t="s">
        <v>269</v>
      </c>
      <c r="H579" s="80">
        <v>1682.0</v>
      </c>
      <c r="I579" s="79">
        <v>259993.0</v>
      </c>
      <c r="J579" s="74" t="s">
        <v>337</v>
      </c>
      <c r="K579" s="77" t="s">
        <v>638</v>
      </c>
      <c r="L579" s="79" t="s">
        <v>453</v>
      </c>
      <c r="M579" s="77" t="s">
        <v>4422</v>
      </c>
      <c r="N579" s="79"/>
      <c r="O579" s="74"/>
      <c r="P579" s="80"/>
      <c r="Q579" s="79"/>
      <c r="R579" s="80"/>
      <c r="S579" s="80" t="s">
        <v>4423</v>
      </c>
      <c r="T579" s="101"/>
      <c r="U579" s="80"/>
      <c r="V579" s="102" t="s">
        <v>4424</v>
      </c>
      <c r="W579" s="79"/>
      <c r="X579" s="79"/>
      <c r="Y579" s="79"/>
      <c r="Z579" s="79"/>
    </row>
    <row r="580" ht="15.0" customHeight="1">
      <c r="A580" s="103" t="s">
        <v>24</v>
      </c>
      <c r="B580" s="77" t="s">
        <v>4425</v>
      </c>
      <c r="C580" s="79">
        <v>3.0708259345E10</v>
      </c>
      <c r="D580" s="77" t="s">
        <v>264</v>
      </c>
      <c r="E580" s="79" t="s">
        <v>4426</v>
      </c>
      <c r="F580" s="44">
        <v>2941.0</v>
      </c>
      <c r="G580" s="77" t="s">
        <v>226</v>
      </c>
      <c r="H580" s="80">
        <v>1674.0</v>
      </c>
      <c r="I580" s="79">
        <v>192020.0</v>
      </c>
      <c r="J580" s="74" t="s">
        <v>73</v>
      </c>
      <c r="K580" s="77" t="s">
        <v>4427</v>
      </c>
      <c r="L580" s="79"/>
      <c r="M580" s="79"/>
      <c r="N580" s="79">
        <v>0.0</v>
      </c>
      <c r="O580" s="74"/>
      <c r="P580" s="80"/>
      <c r="Q580" s="79"/>
      <c r="R580" s="80"/>
      <c r="S580" s="80" t="s">
        <v>4428</v>
      </c>
      <c r="T580" s="101" t="s">
        <v>332</v>
      </c>
      <c r="U580" s="80" t="s">
        <v>332</v>
      </c>
      <c r="V580" s="102" t="s">
        <v>429</v>
      </c>
      <c r="W580" s="79" t="s">
        <v>309</v>
      </c>
      <c r="X580" s="79" t="s">
        <v>309</v>
      </c>
      <c r="Y580" s="79"/>
      <c r="Z580" s="79"/>
    </row>
    <row r="581" ht="15.75" customHeight="1">
      <c r="A581" s="76" t="s">
        <v>247</v>
      </c>
      <c r="B581" s="77" t="s">
        <v>1538</v>
      </c>
      <c r="C581" s="101">
        <v>3.0666522032E10</v>
      </c>
      <c r="D581" s="77" t="s">
        <v>264</v>
      </c>
      <c r="E581" s="77" t="s">
        <v>943</v>
      </c>
      <c r="F581" s="44">
        <v>3894.0</v>
      </c>
      <c r="G581" s="79" t="s">
        <v>68</v>
      </c>
      <c r="H581" s="80">
        <v>1702.0</v>
      </c>
      <c r="I581" s="80">
        <v>293090.0</v>
      </c>
      <c r="J581" s="74" t="s">
        <v>347</v>
      </c>
      <c r="K581" s="77" t="s">
        <v>4429</v>
      </c>
      <c r="L581" s="79" t="s">
        <v>453</v>
      </c>
      <c r="M581" s="79" t="s">
        <v>4430</v>
      </c>
      <c r="N581" s="79">
        <v>31.0</v>
      </c>
      <c r="O581" s="79" t="s">
        <v>4431</v>
      </c>
      <c r="P581" s="78" t="s">
        <v>4432</v>
      </c>
      <c r="Q581" s="74" t="s">
        <v>4433</v>
      </c>
      <c r="R581" s="78" t="s">
        <v>4435</v>
      </c>
      <c r="S581" s="78" t="s">
        <v>4436</v>
      </c>
      <c r="T581" s="283" t="s">
        <v>4438</v>
      </c>
      <c r="U581" s="78" t="s">
        <v>4439</v>
      </c>
      <c r="V581" s="102" t="s">
        <v>4440</v>
      </c>
      <c r="W581" s="77" t="s">
        <v>309</v>
      </c>
      <c r="X581" s="79" t="s">
        <v>309</v>
      </c>
      <c r="Y581" s="77" t="s">
        <v>309</v>
      </c>
      <c r="Z581" s="79"/>
    </row>
    <row r="582" ht="15.75" customHeight="1">
      <c r="A582" s="103" t="s">
        <v>24</v>
      </c>
      <c r="B582" s="79" t="s">
        <v>4442</v>
      </c>
      <c r="C582" s="80">
        <v>3.0714045918E10</v>
      </c>
      <c r="D582" s="79" t="s">
        <v>264</v>
      </c>
      <c r="E582" s="79" t="s">
        <v>1221</v>
      </c>
      <c r="F582" s="44">
        <v>8505.0</v>
      </c>
      <c r="G582" s="79" t="s">
        <v>119</v>
      </c>
      <c r="H582" s="80">
        <v>1657.0</v>
      </c>
      <c r="I582" s="79">
        <v>104011.0</v>
      </c>
      <c r="J582" s="74" t="s">
        <v>261</v>
      </c>
      <c r="K582" s="77" t="s">
        <v>4443</v>
      </c>
      <c r="L582" s="79"/>
      <c r="M582" s="79"/>
      <c r="N582" s="79"/>
      <c r="O582" s="74"/>
      <c r="P582" s="80"/>
      <c r="Q582" s="79"/>
      <c r="R582" s="80"/>
      <c r="S582" s="78" t="s">
        <v>4444</v>
      </c>
      <c r="T582" s="101" t="s">
        <v>4445</v>
      </c>
      <c r="U582" s="80"/>
      <c r="V582" s="102" t="s">
        <v>429</v>
      </c>
      <c r="W582" s="79"/>
      <c r="X582" s="79"/>
      <c r="Y582" s="79"/>
      <c r="Z582" s="79"/>
    </row>
    <row r="583" ht="15.0" customHeight="1">
      <c r="A583" s="76" t="s">
        <v>247</v>
      </c>
      <c r="B583" s="77" t="s">
        <v>4446</v>
      </c>
      <c r="C583" s="80">
        <v>3.0663829153E10</v>
      </c>
      <c r="D583" s="119" t="s">
        <v>264</v>
      </c>
      <c r="E583" s="79" t="s">
        <v>2985</v>
      </c>
      <c r="F583" s="44">
        <v>626.0</v>
      </c>
      <c r="G583" s="79" t="s">
        <v>68</v>
      </c>
      <c r="H583" s="80">
        <v>1702.0</v>
      </c>
      <c r="I583" s="79">
        <v>101030.0</v>
      </c>
      <c r="J583" s="74" t="s">
        <v>22</v>
      </c>
      <c r="K583" s="79" t="s">
        <v>3365</v>
      </c>
      <c r="L583" s="79"/>
      <c r="M583" s="79"/>
      <c r="N583" s="79">
        <v>77.0</v>
      </c>
      <c r="O583" s="74"/>
      <c r="P583" s="80"/>
      <c r="Q583" s="79" t="s">
        <v>4448</v>
      </c>
      <c r="R583" s="80"/>
      <c r="S583" s="80" t="s">
        <v>4449</v>
      </c>
      <c r="T583" s="101" t="s">
        <v>4450</v>
      </c>
      <c r="U583" s="80" t="s">
        <v>4451</v>
      </c>
      <c r="V583" s="102" t="s">
        <v>4452</v>
      </c>
      <c r="W583" s="79" t="s">
        <v>309</v>
      </c>
      <c r="X583" s="79" t="s">
        <v>309</v>
      </c>
      <c r="Y583" s="79" t="s">
        <v>309</v>
      </c>
      <c r="Z583" s="79"/>
    </row>
    <row r="584" ht="15.0" customHeight="1">
      <c r="A584" s="76" t="s">
        <v>247</v>
      </c>
      <c r="B584" s="77" t="s">
        <v>4453</v>
      </c>
      <c r="C584" s="80">
        <v>3.0710688725E10</v>
      </c>
      <c r="D584" s="119" t="s">
        <v>264</v>
      </c>
      <c r="E584" s="79" t="s">
        <v>359</v>
      </c>
      <c r="F584" s="128">
        <v>5140.0</v>
      </c>
      <c r="G584" s="77" t="s">
        <v>15</v>
      </c>
      <c r="H584" s="78">
        <v>1678.0</v>
      </c>
      <c r="I584" s="79">
        <v>259200.0</v>
      </c>
      <c r="J584" s="74" t="s">
        <v>347</v>
      </c>
      <c r="K584" s="79" t="s">
        <v>1324</v>
      </c>
      <c r="L584" s="79" t="s">
        <v>453</v>
      </c>
      <c r="M584" s="79" t="s">
        <v>4456</v>
      </c>
      <c r="N584" s="79">
        <v>1.0</v>
      </c>
      <c r="O584" s="74" t="s">
        <v>4457</v>
      </c>
      <c r="P584" s="80"/>
      <c r="Q584" s="79"/>
      <c r="R584" s="80"/>
      <c r="S584" s="80" t="s">
        <v>4458</v>
      </c>
      <c r="T584" s="85" t="s">
        <v>4459</v>
      </c>
      <c r="U584" s="78" t="s">
        <v>4460</v>
      </c>
      <c r="V584" s="102" t="s">
        <v>429</v>
      </c>
      <c r="W584" s="79" t="s">
        <v>306</v>
      </c>
      <c r="X584" s="79" t="s">
        <v>306</v>
      </c>
      <c r="Y584" s="79" t="s">
        <v>309</v>
      </c>
      <c r="Z584" s="79"/>
    </row>
    <row r="585" ht="15.75" customHeight="1">
      <c r="A585" s="76" t="s">
        <v>247</v>
      </c>
      <c r="B585" s="79" t="s">
        <v>1544</v>
      </c>
      <c r="C585" s="80">
        <v>3.0716163462E10</v>
      </c>
      <c r="D585" s="79" t="s">
        <v>264</v>
      </c>
      <c r="E585" s="77" t="s">
        <v>1578</v>
      </c>
      <c r="F585" s="44">
        <v>656.0</v>
      </c>
      <c r="G585" s="79" t="s">
        <v>119</v>
      </c>
      <c r="H585" s="80">
        <v>1657.0</v>
      </c>
      <c r="I585" s="77">
        <v>241009.0</v>
      </c>
      <c r="J585" s="83" t="s">
        <v>387</v>
      </c>
      <c r="K585" s="77" t="s">
        <v>4462</v>
      </c>
      <c r="L585" s="79"/>
      <c r="M585" s="79" t="s">
        <v>4464</v>
      </c>
      <c r="N585" s="79"/>
      <c r="O585" s="79" t="s">
        <v>4465</v>
      </c>
      <c r="P585" s="78" t="s">
        <v>4466</v>
      </c>
      <c r="Q585" s="79"/>
      <c r="R585" s="78" t="s">
        <v>4467</v>
      </c>
      <c r="S585" s="80"/>
      <c r="T585" s="101"/>
      <c r="U585" s="80"/>
      <c r="V585" s="102" t="s">
        <v>429</v>
      </c>
      <c r="W585" s="79"/>
      <c r="X585" s="79"/>
      <c r="Y585" s="79"/>
      <c r="Z585" s="79"/>
    </row>
    <row r="586" ht="15.0" customHeight="1">
      <c r="A586" s="76" t="s">
        <v>247</v>
      </c>
      <c r="B586" s="77" t="s">
        <v>4468</v>
      </c>
      <c r="C586" s="80">
        <v>3.0711557616E10</v>
      </c>
      <c r="D586" s="79" t="s">
        <v>264</v>
      </c>
      <c r="E586" s="79" t="s">
        <v>1095</v>
      </c>
      <c r="F586" s="128">
        <v>1264.0</v>
      </c>
      <c r="G586" s="79" t="s">
        <v>15</v>
      </c>
      <c r="H586" s="80">
        <v>1678.0</v>
      </c>
      <c r="I586" s="77">
        <v>310010.0</v>
      </c>
      <c r="J586" s="83" t="s">
        <v>313</v>
      </c>
      <c r="K586" s="77" t="s">
        <v>1438</v>
      </c>
      <c r="L586" s="79" t="s">
        <v>453</v>
      </c>
      <c r="M586" s="79"/>
      <c r="N586" s="79">
        <v>7.0</v>
      </c>
      <c r="O586" s="74"/>
      <c r="P586" s="80"/>
      <c r="Q586" s="79"/>
      <c r="R586" s="80"/>
      <c r="S586" s="80" t="s">
        <v>4470</v>
      </c>
      <c r="T586" s="101" t="s">
        <v>332</v>
      </c>
      <c r="U586" s="80" t="s">
        <v>332</v>
      </c>
      <c r="V586" s="102" t="s">
        <v>4471</v>
      </c>
      <c r="W586" s="79" t="s">
        <v>306</v>
      </c>
      <c r="X586" s="79" t="s">
        <v>306</v>
      </c>
      <c r="Y586" s="79" t="s">
        <v>309</v>
      </c>
      <c r="Z586" s="79"/>
    </row>
    <row r="587" ht="15.0" customHeight="1">
      <c r="A587" s="76" t="s">
        <v>247</v>
      </c>
      <c r="B587" s="79" t="s">
        <v>4472</v>
      </c>
      <c r="C587" s="78" t="s">
        <v>2517</v>
      </c>
      <c r="D587" s="79" t="s">
        <v>264</v>
      </c>
      <c r="E587" s="79" t="s">
        <v>2312</v>
      </c>
      <c r="F587" s="44">
        <v>4244.0</v>
      </c>
      <c r="G587" s="79" t="s">
        <v>15</v>
      </c>
      <c r="H587" s="80">
        <v>1678.0</v>
      </c>
      <c r="I587" s="78" t="s">
        <v>2519</v>
      </c>
      <c r="J587" s="74" t="s">
        <v>347</v>
      </c>
      <c r="K587" s="74" t="s">
        <v>4474</v>
      </c>
      <c r="L587" s="79"/>
      <c r="M587" s="79" t="s">
        <v>4475</v>
      </c>
      <c r="N587" s="79"/>
      <c r="O587" s="83" t="s">
        <v>4476</v>
      </c>
      <c r="P587" s="78" t="s">
        <v>4477</v>
      </c>
      <c r="Q587" s="79"/>
      <c r="R587" s="80"/>
      <c r="S587" s="80" t="s">
        <v>4478</v>
      </c>
      <c r="T587" s="101"/>
      <c r="U587" s="80"/>
      <c r="V587" s="102" t="s">
        <v>429</v>
      </c>
      <c r="W587" s="79"/>
      <c r="X587" s="79"/>
      <c r="Y587" s="79"/>
      <c r="Z587" s="79"/>
    </row>
    <row r="588" ht="15.75" customHeight="1">
      <c r="A588" s="76" t="s">
        <v>247</v>
      </c>
      <c r="B588" s="77" t="s">
        <v>4479</v>
      </c>
      <c r="C588" s="85">
        <v>3.0707111883E10</v>
      </c>
      <c r="D588" s="77" t="s">
        <v>264</v>
      </c>
      <c r="E588" s="77" t="s">
        <v>4481</v>
      </c>
      <c r="F588" s="128">
        <v>2774.0</v>
      </c>
      <c r="G588" s="77" t="s">
        <v>15</v>
      </c>
      <c r="H588" s="78">
        <v>1678.0</v>
      </c>
      <c r="I588" s="80">
        <v>282909.0</v>
      </c>
      <c r="J588" s="74" t="s">
        <v>347</v>
      </c>
      <c r="K588" s="77" t="s">
        <v>2642</v>
      </c>
      <c r="L588" s="194" t="s">
        <v>453</v>
      </c>
      <c r="M588" s="77" t="s">
        <v>4482</v>
      </c>
      <c r="N588" s="79"/>
      <c r="O588" s="194" t="s">
        <v>4483</v>
      </c>
      <c r="P588" s="196" t="s">
        <v>4484</v>
      </c>
      <c r="Q588" s="79"/>
      <c r="R588" s="80"/>
      <c r="S588" s="196" t="s">
        <v>4485</v>
      </c>
      <c r="T588" s="286" t="s">
        <v>4486</v>
      </c>
      <c r="U588" s="196" t="s">
        <v>4488</v>
      </c>
      <c r="V588" s="225" t="s">
        <v>4489</v>
      </c>
      <c r="W588" s="79"/>
      <c r="X588" s="79"/>
      <c r="Y588" s="79"/>
      <c r="Z588" s="79"/>
    </row>
    <row r="589" ht="15.75" customHeight="1">
      <c r="A589" s="103" t="s">
        <v>24</v>
      </c>
      <c r="B589" s="77" t="s">
        <v>4490</v>
      </c>
      <c r="C589" s="80">
        <v>3.0699349158E10</v>
      </c>
      <c r="D589" s="119" t="s">
        <v>264</v>
      </c>
      <c r="E589" s="79" t="s">
        <v>4492</v>
      </c>
      <c r="F589" s="44">
        <v>940.0</v>
      </c>
      <c r="G589" s="79" t="s">
        <v>119</v>
      </c>
      <c r="H589" s="80">
        <v>1657.0</v>
      </c>
      <c r="I589" s="77">
        <v>107121.0</v>
      </c>
      <c r="J589" s="74" t="s">
        <v>22</v>
      </c>
      <c r="K589" s="77" t="s">
        <v>1392</v>
      </c>
      <c r="L589" s="79"/>
      <c r="M589" s="79"/>
      <c r="N589" s="79">
        <v>1.0</v>
      </c>
      <c r="O589" s="74"/>
      <c r="P589" s="80"/>
      <c r="Q589" s="79"/>
      <c r="R589" s="80"/>
      <c r="S589" s="80" t="s">
        <v>4493</v>
      </c>
      <c r="T589" s="276" t="s">
        <v>4494</v>
      </c>
      <c r="U589" s="80" t="s">
        <v>332</v>
      </c>
      <c r="V589" s="102" t="s">
        <v>429</v>
      </c>
      <c r="W589" s="79" t="s">
        <v>309</v>
      </c>
      <c r="X589" s="79" t="s">
        <v>309</v>
      </c>
      <c r="Y589" s="79"/>
      <c r="Z589" s="79"/>
    </row>
    <row r="590" ht="15.75" customHeight="1">
      <c r="A590" s="76" t="s">
        <v>247</v>
      </c>
      <c r="B590" s="77" t="s">
        <v>1553</v>
      </c>
      <c r="C590" s="80">
        <v>3.0642219355E10</v>
      </c>
      <c r="D590" s="79" t="s">
        <v>264</v>
      </c>
      <c r="E590" s="79" t="s">
        <v>4496</v>
      </c>
      <c r="F590" s="44">
        <v>962.0</v>
      </c>
      <c r="G590" s="79" t="s">
        <v>68</v>
      </c>
      <c r="H590" s="80">
        <v>1702.0</v>
      </c>
      <c r="I590" s="79">
        <v>107999.0</v>
      </c>
      <c r="J590" s="74" t="s">
        <v>22</v>
      </c>
      <c r="K590" s="77" t="s">
        <v>4497</v>
      </c>
      <c r="L590" s="79"/>
      <c r="M590" s="79"/>
      <c r="N590" s="79">
        <v>150.0</v>
      </c>
      <c r="O590" s="126" t="s">
        <v>4498</v>
      </c>
      <c r="P590" s="78" t="s">
        <v>4500</v>
      </c>
      <c r="Q590" s="79" t="s">
        <v>4501</v>
      </c>
      <c r="R590" s="80"/>
      <c r="S590" s="80" t="s">
        <v>4502</v>
      </c>
      <c r="T590" s="85" t="s">
        <v>4503</v>
      </c>
      <c r="U590" s="80" t="s">
        <v>4504</v>
      </c>
      <c r="V590" s="102" t="s">
        <v>4505</v>
      </c>
      <c r="W590" s="79" t="s">
        <v>309</v>
      </c>
      <c r="X590" s="79" t="s">
        <v>309</v>
      </c>
      <c r="Y590" s="79" t="s">
        <v>309</v>
      </c>
      <c r="Z590" s="79"/>
    </row>
    <row r="591" ht="15.75" customHeight="1">
      <c r="A591" s="103" t="s">
        <v>24</v>
      </c>
      <c r="B591" s="77" t="s">
        <v>4506</v>
      </c>
      <c r="C591" s="80">
        <v>3.0708759593E10</v>
      </c>
      <c r="D591" s="119" t="s">
        <v>264</v>
      </c>
      <c r="E591" s="79" t="s">
        <v>4233</v>
      </c>
      <c r="F591" s="128">
        <v>5305.0</v>
      </c>
      <c r="G591" s="79" t="s">
        <v>15</v>
      </c>
      <c r="H591" s="80">
        <v>1678.0</v>
      </c>
      <c r="I591" s="79">
        <v>259200.0</v>
      </c>
      <c r="J591" s="74" t="s">
        <v>347</v>
      </c>
      <c r="K591" s="79" t="s">
        <v>1324</v>
      </c>
      <c r="L591" s="79" t="s">
        <v>453</v>
      </c>
      <c r="M591" s="79"/>
      <c r="N591" s="79">
        <v>20.0</v>
      </c>
      <c r="O591" s="74"/>
      <c r="P591" s="80"/>
      <c r="Q591" s="79"/>
      <c r="R591" s="80"/>
      <c r="S591" s="218" t="s">
        <v>4508</v>
      </c>
      <c r="T591" s="101" t="s">
        <v>332</v>
      </c>
      <c r="U591" s="80" t="s">
        <v>332</v>
      </c>
      <c r="V591" s="102" t="s">
        <v>429</v>
      </c>
      <c r="W591" s="79" t="s">
        <v>309</v>
      </c>
      <c r="X591" s="79" t="s">
        <v>309</v>
      </c>
      <c r="Y591" s="79" t="s">
        <v>309</v>
      </c>
      <c r="Z591" s="79"/>
    </row>
    <row r="592" ht="15.0" customHeight="1">
      <c r="A592" s="76" t="s">
        <v>247</v>
      </c>
      <c r="B592" s="77" t="s">
        <v>4509</v>
      </c>
      <c r="C592" s="80">
        <v>3.3709881189E10</v>
      </c>
      <c r="D592" s="79" t="s">
        <v>264</v>
      </c>
      <c r="E592" s="79" t="s">
        <v>4511</v>
      </c>
      <c r="F592" s="44">
        <v>4425.0</v>
      </c>
      <c r="G592" s="79" t="s">
        <v>68</v>
      </c>
      <c r="H592" s="80">
        <v>1702.0</v>
      </c>
      <c r="I592" s="79">
        <v>259993.0</v>
      </c>
      <c r="J592" s="74" t="s">
        <v>347</v>
      </c>
      <c r="K592" s="79" t="s">
        <v>638</v>
      </c>
      <c r="L592" s="79" t="s">
        <v>453</v>
      </c>
      <c r="M592" s="79"/>
      <c r="N592" s="79">
        <v>8.0</v>
      </c>
      <c r="O592" s="74"/>
      <c r="P592" s="80"/>
      <c r="Q592" s="79"/>
      <c r="R592" s="80"/>
      <c r="S592" s="78" t="s">
        <v>4512</v>
      </c>
      <c r="T592" s="101" t="s">
        <v>332</v>
      </c>
      <c r="U592" s="80" t="s">
        <v>332</v>
      </c>
      <c r="V592" s="102" t="s">
        <v>4513</v>
      </c>
      <c r="W592" s="79" t="s">
        <v>306</v>
      </c>
      <c r="X592" s="79" t="s">
        <v>306</v>
      </c>
      <c r="Y592" s="79" t="s">
        <v>309</v>
      </c>
      <c r="Z592" s="79"/>
    </row>
    <row r="593" ht="15.0" customHeight="1">
      <c r="A593" s="76" t="s">
        <v>247</v>
      </c>
      <c r="B593" s="77" t="s">
        <v>4515</v>
      </c>
      <c r="C593" s="80">
        <v>3.0711138206E10</v>
      </c>
      <c r="D593" s="79" t="s">
        <v>264</v>
      </c>
      <c r="E593" s="77" t="s">
        <v>591</v>
      </c>
      <c r="F593" s="44">
        <v>980.0</v>
      </c>
      <c r="G593" s="79" t="s">
        <v>68</v>
      </c>
      <c r="H593" s="80">
        <v>1702.0</v>
      </c>
      <c r="I593" s="79">
        <v>222090.0</v>
      </c>
      <c r="J593" s="83" t="s">
        <v>568</v>
      </c>
      <c r="K593" s="77" t="s">
        <v>569</v>
      </c>
      <c r="L593" s="79" t="s">
        <v>453</v>
      </c>
      <c r="M593" s="77" t="s">
        <v>4516</v>
      </c>
      <c r="N593" s="79">
        <v>20.0</v>
      </c>
      <c r="O593" s="83" t="s">
        <v>4517</v>
      </c>
      <c r="P593" s="80"/>
      <c r="Q593" s="77" t="s">
        <v>4518</v>
      </c>
      <c r="R593" s="114"/>
      <c r="S593" s="78" t="s">
        <v>4519</v>
      </c>
      <c r="T593" s="101"/>
      <c r="U593" s="80"/>
      <c r="V593" s="102" t="s">
        <v>4520</v>
      </c>
      <c r="W593" s="79"/>
      <c r="X593" s="79"/>
      <c r="Y593" s="79" t="s">
        <v>309</v>
      </c>
      <c r="Z593" s="79"/>
    </row>
    <row r="594" ht="15.0" customHeight="1">
      <c r="A594" s="76" t="s">
        <v>247</v>
      </c>
      <c r="B594" s="77" t="s">
        <v>1558</v>
      </c>
      <c r="C594" s="80">
        <v>3.0694748534E10</v>
      </c>
      <c r="D594" s="79" t="s">
        <v>264</v>
      </c>
      <c r="E594" s="79" t="s">
        <v>478</v>
      </c>
      <c r="F594" s="44">
        <v>12396.0</v>
      </c>
      <c r="G594" s="79" t="s">
        <v>68</v>
      </c>
      <c r="H594" s="80">
        <v>1702.0</v>
      </c>
      <c r="I594" s="79">
        <v>264000.0</v>
      </c>
      <c r="J594" s="83" t="s">
        <v>207</v>
      </c>
      <c r="K594" s="79" t="s">
        <v>4523</v>
      </c>
      <c r="L594" s="79"/>
      <c r="M594" s="79"/>
      <c r="N594" s="79">
        <v>21.0</v>
      </c>
      <c r="O594" s="74" t="s">
        <v>4524</v>
      </c>
      <c r="P594" s="80"/>
      <c r="Q594" s="77" t="s">
        <v>4525</v>
      </c>
      <c r="R594" s="78">
        <v>1.140547E9</v>
      </c>
      <c r="S594" s="80" t="s">
        <v>4526</v>
      </c>
      <c r="T594" s="101" t="s">
        <v>332</v>
      </c>
      <c r="U594" s="80" t="s">
        <v>332</v>
      </c>
      <c r="V594" s="102" t="s">
        <v>4527</v>
      </c>
      <c r="W594" s="79" t="s">
        <v>309</v>
      </c>
      <c r="X594" s="79" t="s">
        <v>309</v>
      </c>
      <c r="Y594" s="79" t="s">
        <v>309</v>
      </c>
      <c r="Z594" s="79"/>
    </row>
    <row r="595" ht="15.0" customHeight="1">
      <c r="A595" s="76" t="s">
        <v>247</v>
      </c>
      <c r="B595" s="77" t="s">
        <v>4528</v>
      </c>
      <c r="C595" s="79">
        <v>3.0707718257E10</v>
      </c>
      <c r="D595" s="77" t="s">
        <v>264</v>
      </c>
      <c r="E595" s="77" t="s">
        <v>503</v>
      </c>
      <c r="F595" s="44">
        <v>3215.0</v>
      </c>
      <c r="G595" s="79" t="s">
        <v>68</v>
      </c>
      <c r="H595" s="80">
        <v>1702.0</v>
      </c>
      <c r="I595" s="79">
        <v>170990.0</v>
      </c>
      <c r="J595" s="74" t="s">
        <v>283</v>
      </c>
      <c r="K595" s="77" t="s">
        <v>2385</v>
      </c>
      <c r="L595" s="79"/>
      <c r="M595" s="79"/>
      <c r="N595" s="79">
        <v>6.0</v>
      </c>
      <c r="O595" s="74"/>
      <c r="P595" s="80"/>
      <c r="Q595" s="79"/>
      <c r="R595" s="80"/>
      <c r="S595" s="80" t="s">
        <v>4530</v>
      </c>
      <c r="T595" s="101" t="s">
        <v>332</v>
      </c>
      <c r="U595" s="80" t="s">
        <v>332</v>
      </c>
      <c r="V595" s="102" t="s">
        <v>429</v>
      </c>
      <c r="W595" s="79" t="s">
        <v>306</v>
      </c>
      <c r="X595" s="79" t="s">
        <v>306</v>
      </c>
      <c r="Y595" s="79" t="s">
        <v>309</v>
      </c>
      <c r="Z595" s="79"/>
    </row>
    <row r="596" ht="15.75" customHeight="1">
      <c r="A596" s="76" t="s">
        <v>247</v>
      </c>
      <c r="B596" s="77" t="s">
        <v>1562</v>
      </c>
      <c r="C596" s="239">
        <v>3.0707109714E10</v>
      </c>
      <c r="D596" s="79" t="s">
        <v>264</v>
      </c>
      <c r="E596" s="79" t="s">
        <v>1114</v>
      </c>
      <c r="F596" s="44">
        <v>4372.0</v>
      </c>
      <c r="G596" s="79" t="s">
        <v>68</v>
      </c>
      <c r="H596" s="80">
        <v>1702.0</v>
      </c>
      <c r="I596" s="79">
        <v>181200.0</v>
      </c>
      <c r="J596" s="74" t="s">
        <v>433</v>
      </c>
      <c r="K596" s="77" t="s">
        <v>1833</v>
      </c>
      <c r="L596" s="79" t="s">
        <v>453</v>
      </c>
      <c r="M596" s="79" t="s">
        <v>4532</v>
      </c>
      <c r="N596" s="79"/>
      <c r="O596" s="79" t="s">
        <v>4533</v>
      </c>
      <c r="P596" s="78" t="s">
        <v>4534</v>
      </c>
      <c r="Q596" s="79" t="s">
        <v>4535</v>
      </c>
      <c r="R596" s="78" t="s">
        <v>4536</v>
      </c>
      <c r="S596" s="78" t="s">
        <v>4537</v>
      </c>
      <c r="T596" s="85" t="s">
        <v>4539</v>
      </c>
      <c r="U596" s="80"/>
      <c r="V596" s="102" t="s">
        <v>4540</v>
      </c>
      <c r="W596" s="79"/>
      <c r="X596" s="79"/>
      <c r="Y596" s="79"/>
      <c r="Z596" s="79"/>
    </row>
    <row r="597" ht="15.75" customHeight="1">
      <c r="A597" s="103" t="s">
        <v>24</v>
      </c>
      <c r="B597" s="77" t="s">
        <v>4541</v>
      </c>
      <c r="C597" s="80">
        <v>3.0627758096E10</v>
      </c>
      <c r="D597" s="119" t="s">
        <v>264</v>
      </c>
      <c r="E597" s="77" t="s">
        <v>943</v>
      </c>
      <c r="F597" s="44">
        <v>3527.0</v>
      </c>
      <c r="G597" s="79" t="s">
        <v>15</v>
      </c>
      <c r="H597" s="80">
        <v>1678.0</v>
      </c>
      <c r="I597" s="79">
        <v>252010.0</v>
      </c>
      <c r="J597" s="83" t="s">
        <v>568</v>
      </c>
      <c r="K597" s="79" t="s">
        <v>2874</v>
      </c>
      <c r="L597" s="79" t="s">
        <v>453</v>
      </c>
      <c r="M597" s="79"/>
      <c r="N597" s="79">
        <v>0.0</v>
      </c>
      <c r="O597" s="74"/>
      <c r="P597" s="80"/>
      <c r="Q597" s="79"/>
      <c r="R597" s="80"/>
      <c r="S597" s="114" t="s">
        <v>4543</v>
      </c>
      <c r="T597" s="101" t="s">
        <v>332</v>
      </c>
      <c r="U597" s="80" t="s">
        <v>332</v>
      </c>
      <c r="V597" s="102" t="s">
        <v>429</v>
      </c>
      <c r="W597" s="79" t="s">
        <v>309</v>
      </c>
      <c r="X597" s="79" t="s">
        <v>309</v>
      </c>
      <c r="Y597" s="79"/>
      <c r="Z597" s="79"/>
    </row>
    <row r="598" ht="15.75" customHeight="1">
      <c r="A598" s="287" t="s">
        <v>247</v>
      </c>
      <c r="B598" s="77" t="s">
        <v>4545</v>
      </c>
      <c r="C598" s="80">
        <v>3.0709704474E10</v>
      </c>
      <c r="D598" s="79" t="s">
        <v>264</v>
      </c>
      <c r="E598" s="79" t="s">
        <v>3676</v>
      </c>
      <c r="F598" s="44">
        <v>1411.0</v>
      </c>
      <c r="G598" s="79" t="s">
        <v>285</v>
      </c>
      <c r="H598" s="80">
        <v>1674.0</v>
      </c>
      <c r="I598" s="79">
        <v>381200.0</v>
      </c>
      <c r="J598" s="83" t="s">
        <v>4546</v>
      </c>
      <c r="K598" s="144" t="s">
        <v>4547</v>
      </c>
      <c r="L598" s="79"/>
      <c r="M598" s="79"/>
      <c r="N598" s="79"/>
      <c r="O598" s="74" t="s">
        <v>4548</v>
      </c>
      <c r="P598" s="78" t="s">
        <v>4550</v>
      </c>
      <c r="Q598" s="79"/>
      <c r="R598" s="80"/>
      <c r="S598" s="78" t="s">
        <v>4551</v>
      </c>
      <c r="T598" s="101"/>
      <c r="U598" s="80"/>
      <c r="V598" s="102" t="s">
        <v>4552</v>
      </c>
      <c r="W598" s="79"/>
      <c r="X598" s="79"/>
      <c r="Y598" s="79"/>
      <c r="Z598" s="79"/>
    </row>
    <row r="599" ht="15.0" customHeight="1">
      <c r="A599" s="76" t="s">
        <v>247</v>
      </c>
      <c r="B599" s="77" t="s">
        <v>1567</v>
      </c>
      <c r="C599" s="80">
        <v>3.0708933593E10</v>
      </c>
      <c r="D599" s="79" t="s">
        <v>264</v>
      </c>
      <c r="E599" s="77" t="s">
        <v>1765</v>
      </c>
      <c r="F599" s="44">
        <v>3509.0</v>
      </c>
      <c r="G599" s="79" t="s">
        <v>15</v>
      </c>
      <c r="H599" s="80">
        <v>1678.0</v>
      </c>
      <c r="I599" s="79">
        <v>202908.0</v>
      </c>
      <c r="J599" s="74" t="s">
        <v>316</v>
      </c>
      <c r="K599" s="77" t="s">
        <v>4554</v>
      </c>
      <c r="L599" s="79"/>
      <c r="M599" s="79" t="s">
        <v>4555</v>
      </c>
      <c r="N599" s="79">
        <v>12.0</v>
      </c>
      <c r="O599" s="126" t="s">
        <v>4556</v>
      </c>
      <c r="P599" s="78" t="s">
        <v>4557</v>
      </c>
      <c r="Q599" s="77" t="s">
        <v>4558</v>
      </c>
      <c r="R599" s="78" t="s">
        <v>4559</v>
      </c>
      <c r="S599" s="80" t="s">
        <v>1767</v>
      </c>
      <c r="T599" s="101" t="s">
        <v>4560</v>
      </c>
      <c r="U599" s="80" t="s">
        <v>4561</v>
      </c>
      <c r="V599" s="102" t="s">
        <v>4563</v>
      </c>
      <c r="W599" s="79" t="s">
        <v>309</v>
      </c>
      <c r="X599" s="79" t="s">
        <v>309</v>
      </c>
      <c r="Y599" s="79"/>
      <c r="Z599" s="79"/>
    </row>
    <row r="600" ht="15.75" customHeight="1">
      <c r="A600" s="76" t="s">
        <v>247</v>
      </c>
      <c r="B600" s="79" t="s">
        <v>4564</v>
      </c>
      <c r="C600" s="239">
        <v>2.7114915578E10</v>
      </c>
      <c r="D600" s="77" t="s">
        <v>631</v>
      </c>
      <c r="E600" s="288" t="s">
        <v>4565</v>
      </c>
      <c r="F600" s="44">
        <v>2759.0</v>
      </c>
      <c r="G600" s="79" t="s">
        <v>15</v>
      </c>
      <c r="H600" s="80">
        <v>1678.0</v>
      </c>
      <c r="I600" s="79">
        <v>476400.0</v>
      </c>
      <c r="J600" s="74" t="s">
        <v>4566</v>
      </c>
      <c r="K600" s="77" t="s">
        <v>4567</v>
      </c>
      <c r="L600" s="79"/>
      <c r="M600" s="79"/>
      <c r="N600" s="79">
        <v>11.0</v>
      </c>
      <c r="O600" s="77" t="s">
        <v>4568</v>
      </c>
      <c r="P600" s="78" t="s">
        <v>4569</v>
      </c>
      <c r="Q600" s="79"/>
      <c r="R600" s="80"/>
      <c r="S600" s="80"/>
      <c r="T600" s="101"/>
      <c r="U600" s="80"/>
      <c r="V600" s="102" t="s">
        <v>429</v>
      </c>
      <c r="W600" s="79"/>
      <c r="X600" s="79"/>
      <c r="Y600" s="79"/>
      <c r="Z600" s="79"/>
    </row>
    <row r="601" ht="15.75" customHeight="1">
      <c r="A601" s="76" t="s">
        <v>247</v>
      </c>
      <c r="B601" s="77" t="s">
        <v>1573</v>
      </c>
      <c r="C601" s="80">
        <v>3.0551720795E10</v>
      </c>
      <c r="D601" s="119" t="s">
        <v>264</v>
      </c>
      <c r="E601" s="79" t="s">
        <v>4571</v>
      </c>
      <c r="F601" s="44">
        <v>528.0</v>
      </c>
      <c r="G601" s="79" t="s">
        <v>68</v>
      </c>
      <c r="H601" s="80">
        <v>1702.0</v>
      </c>
      <c r="I601" s="79">
        <v>281900.0</v>
      </c>
      <c r="J601" s="74" t="s">
        <v>347</v>
      </c>
      <c r="K601" s="77" t="s">
        <v>2217</v>
      </c>
      <c r="L601" s="79" t="s">
        <v>453</v>
      </c>
      <c r="M601" s="79" t="s">
        <v>4572</v>
      </c>
      <c r="N601" s="79">
        <v>41.0</v>
      </c>
      <c r="O601" s="74" t="s">
        <v>4573</v>
      </c>
      <c r="P601" s="85" t="s">
        <v>4574</v>
      </c>
      <c r="Q601" s="77" t="s">
        <v>4575</v>
      </c>
      <c r="R601" s="78" t="s">
        <v>4574</v>
      </c>
      <c r="S601" s="80" t="s">
        <v>4577</v>
      </c>
      <c r="T601" s="101" t="s">
        <v>4578</v>
      </c>
      <c r="U601" s="80" t="s">
        <v>4579</v>
      </c>
      <c r="V601" s="102" t="s">
        <v>4580</v>
      </c>
      <c r="W601" s="79" t="s">
        <v>309</v>
      </c>
      <c r="X601" s="79" t="s">
        <v>309</v>
      </c>
      <c r="Y601" s="79" t="s">
        <v>309</v>
      </c>
      <c r="Z601" s="79"/>
    </row>
    <row r="602" ht="15.75" customHeight="1">
      <c r="A602" s="76" t="s">
        <v>247</v>
      </c>
      <c r="B602" s="77" t="s">
        <v>4581</v>
      </c>
      <c r="C602" s="80">
        <v>3.0712067922E10</v>
      </c>
      <c r="D602" s="119" t="s">
        <v>264</v>
      </c>
      <c r="E602" s="79" t="s">
        <v>1136</v>
      </c>
      <c r="F602" s="44">
        <v>3443.0</v>
      </c>
      <c r="G602" s="79" t="s">
        <v>68</v>
      </c>
      <c r="H602" s="80">
        <v>1702.0</v>
      </c>
      <c r="I602" s="79">
        <v>222090.0</v>
      </c>
      <c r="J602" s="83" t="s">
        <v>568</v>
      </c>
      <c r="K602" s="77" t="s">
        <v>569</v>
      </c>
      <c r="L602" s="79" t="s">
        <v>453</v>
      </c>
      <c r="M602" s="79"/>
      <c r="N602" s="79">
        <v>0.0</v>
      </c>
      <c r="O602" s="74"/>
      <c r="P602" s="80"/>
      <c r="Q602" s="79"/>
      <c r="R602" s="80"/>
      <c r="S602" s="78" t="s">
        <v>4583</v>
      </c>
      <c r="T602" s="101" t="s">
        <v>332</v>
      </c>
      <c r="U602" s="80" t="s">
        <v>332</v>
      </c>
      <c r="V602" s="102" t="s">
        <v>4584</v>
      </c>
      <c r="W602" s="79" t="s">
        <v>306</v>
      </c>
      <c r="X602" s="79" t="s">
        <v>306</v>
      </c>
      <c r="Y602" s="79" t="s">
        <v>309</v>
      </c>
      <c r="Z602" s="79"/>
    </row>
    <row r="603" ht="15.75" customHeight="1">
      <c r="A603" s="76" t="s">
        <v>247</v>
      </c>
      <c r="B603" s="77" t="s">
        <v>4585</v>
      </c>
      <c r="C603" s="80">
        <v>3.0711763879E10</v>
      </c>
      <c r="D603" s="77" t="s">
        <v>631</v>
      </c>
      <c r="E603" s="79" t="s">
        <v>3191</v>
      </c>
      <c r="F603" s="44">
        <v>2960.0</v>
      </c>
      <c r="G603" s="79" t="s">
        <v>68</v>
      </c>
      <c r="H603" s="80">
        <v>1702.0</v>
      </c>
      <c r="I603" s="79">
        <v>259999.0</v>
      </c>
      <c r="J603" s="74" t="s">
        <v>347</v>
      </c>
      <c r="K603" s="77" t="s">
        <v>839</v>
      </c>
      <c r="L603" s="79" t="s">
        <v>453</v>
      </c>
      <c r="M603" s="79"/>
      <c r="N603" s="79">
        <v>6.0</v>
      </c>
      <c r="O603" s="74"/>
      <c r="P603" s="80"/>
      <c r="Q603" s="79"/>
      <c r="R603" s="80"/>
      <c r="S603" s="80" t="s">
        <v>4587</v>
      </c>
      <c r="U603" s="80" t="s">
        <v>332</v>
      </c>
      <c r="V603" s="102" t="s">
        <v>429</v>
      </c>
      <c r="W603" s="79" t="s">
        <v>309</v>
      </c>
      <c r="X603" s="79" t="s">
        <v>309</v>
      </c>
      <c r="Y603" s="79"/>
      <c r="Z603" s="79"/>
    </row>
    <row r="604" ht="15.0" customHeight="1">
      <c r="A604" s="76" t="s">
        <v>247</v>
      </c>
      <c r="B604" s="77" t="s">
        <v>1579</v>
      </c>
      <c r="C604" s="80">
        <v>3.0709761478E10</v>
      </c>
      <c r="D604" s="79" t="s">
        <v>264</v>
      </c>
      <c r="E604" s="77" t="s">
        <v>591</v>
      </c>
      <c r="F604" s="44">
        <v>829.0</v>
      </c>
      <c r="G604" s="79" t="s">
        <v>68</v>
      </c>
      <c r="H604" s="80">
        <v>1702.0</v>
      </c>
      <c r="I604" s="79">
        <v>259993.0</v>
      </c>
      <c r="J604" s="74" t="s">
        <v>347</v>
      </c>
      <c r="K604" s="79" t="s">
        <v>638</v>
      </c>
      <c r="L604" s="79" t="s">
        <v>453</v>
      </c>
      <c r="M604" s="77" t="s">
        <v>4589</v>
      </c>
      <c r="N604" s="79">
        <v>14.0</v>
      </c>
      <c r="O604" s="129" t="s">
        <v>4590</v>
      </c>
      <c r="P604" s="153" t="s">
        <v>4557</v>
      </c>
      <c r="Q604" s="79" t="s">
        <v>4591</v>
      </c>
      <c r="R604" s="80"/>
      <c r="S604" s="80" t="s">
        <v>4592</v>
      </c>
      <c r="T604" s="101" t="s">
        <v>4594</v>
      </c>
      <c r="U604" s="80"/>
      <c r="V604" s="102" t="s">
        <v>4595</v>
      </c>
      <c r="W604" s="79" t="s">
        <v>309</v>
      </c>
      <c r="X604" s="79" t="s">
        <v>309</v>
      </c>
      <c r="Y604" s="79" t="s">
        <v>309</v>
      </c>
      <c r="Z604" s="79"/>
    </row>
    <row r="605" ht="15.0" customHeight="1">
      <c r="A605" s="76" t="s">
        <v>247</v>
      </c>
      <c r="B605" s="77" t="s">
        <v>4597</v>
      </c>
      <c r="C605" s="80">
        <v>3.0685319957E10</v>
      </c>
      <c r="D605" s="77" t="s">
        <v>631</v>
      </c>
      <c r="E605" s="77" t="s">
        <v>2646</v>
      </c>
      <c r="F605" s="44">
        <v>3666.0</v>
      </c>
      <c r="G605" s="79" t="s">
        <v>68</v>
      </c>
      <c r="H605" s="80">
        <v>1702.0</v>
      </c>
      <c r="I605" s="79">
        <v>221901.0</v>
      </c>
      <c r="J605" s="83" t="s">
        <v>37</v>
      </c>
      <c r="K605" s="79" t="s">
        <v>1913</v>
      </c>
      <c r="L605" s="79"/>
      <c r="M605" s="79"/>
      <c r="N605" s="79">
        <v>26.0</v>
      </c>
      <c r="O605" s="74"/>
      <c r="P605" s="80"/>
      <c r="Q605" s="79"/>
      <c r="R605" s="80"/>
      <c r="S605" s="78" t="s">
        <v>4598</v>
      </c>
      <c r="T605" s="85" t="s">
        <v>4599</v>
      </c>
      <c r="U605" s="78" t="s">
        <v>4601</v>
      </c>
      <c r="V605" s="102" t="s">
        <v>4602</v>
      </c>
      <c r="W605" s="79" t="s">
        <v>309</v>
      </c>
      <c r="X605" s="79" t="s">
        <v>309</v>
      </c>
      <c r="Y605" s="79" t="s">
        <v>309</v>
      </c>
      <c r="Z605" s="79"/>
    </row>
    <row r="606" ht="15.0" customHeight="1">
      <c r="A606" s="103" t="s">
        <v>24</v>
      </c>
      <c r="B606" s="77" t="s">
        <v>4603</v>
      </c>
      <c r="C606" s="80">
        <v>3.0707942947E10</v>
      </c>
      <c r="D606" s="119" t="s">
        <v>264</v>
      </c>
      <c r="E606" s="77" t="s">
        <v>4604</v>
      </c>
      <c r="F606" s="128" t="s">
        <v>4605</v>
      </c>
      <c r="G606" s="77" t="s">
        <v>249</v>
      </c>
      <c r="H606" s="78">
        <v>1676.0</v>
      </c>
      <c r="I606" s="77">
        <v>202908.0</v>
      </c>
      <c r="J606" s="74" t="s">
        <v>316</v>
      </c>
      <c r="K606" s="77" t="s">
        <v>1766</v>
      </c>
      <c r="L606" s="79"/>
      <c r="M606" s="77" t="s">
        <v>4606</v>
      </c>
      <c r="N606" s="79">
        <v>9.0</v>
      </c>
      <c r="O606" s="74"/>
      <c r="P606" s="80"/>
      <c r="Q606" s="79"/>
      <c r="R606" s="80"/>
      <c r="S606" s="80" t="s">
        <v>4608</v>
      </c>
      <c r="T606" s="101" t="s">
        <v>4609</v>
      </c>
      <c r="U606" s="80" t="s">
        <v>4609</v>
      </c>
      <c r="V606" s="102" t="s">
        <v>429</v>
      </c>
      <c r="W606" s="79" t="s">
        <v>309</v>
      </c>
      <c r="X606" s="79" t="s">
        <v>309</v>
      </c>
      <c r="Y606" s="79" t="s">
        <v>309</v>
      </c>
      <c r="Z606" s="79"/>
    </row>
    <row r="607" ht="15.0" customHeight="1">
      <c r="A607" s="103" t="s">
        <v>24</v>
      </c>
      <c r="B607" s="77" t="s">
        <v>4610</v>
      </c>
      <c r="C607" s="80">
        <v>3.0649639414E10</v>
      </c>
      <c r="D607" s="79" t="s">
        <v>264</v>
      </c>
      <c r="E607" s="79" t="s">
        <v>4611</v>
      </c>
      <c r="F607" s="44">
        <v>976.0</v>
      </c>
      <c r="G607" s="79" t="s">
        <v>68</v>
      </c>
      <c r="H607" s="80">
        <v>1702.0</v>
      </c>
      <c r="I607" s="79">
        <v>291200.0</v>
      </c>
      <c r="J607" s="74" t="s">
        <v>347</v>
      </c>
      <c r="K607" s="77" t="s">
        <v>4613</v>
      </c>
      <c r="L607" s="79"/>
      <c r="M607" s="79"/>
      <c r="N607" s="79">
        <v>0.0</v>
      </c>
      <c r="O607" s="74"/>
      <c r="P607" s="80"/>
      <c r="Q607" s="79"/>
      <c r="R607" s="80"/>
      <c r="S607" s="80" t="s">
        <v>4614</v>
      </c>
      <c r="T607" s="101" t="s">
        <v>4615</v>
      </c>
      <c r="U607" s="80" t="s">
        <v>332</v>
      </c>
      <c r="V607" s="102" t="s">
        <v>4616</v>
      </c>
      <c r="W607" s="79" t="s">
        <v>309</v>
      </c>
      <c r="X607" s="79" t="s">
        <v>309</v>
      </c>
      <c r="Y607" s="79"/>
      <c r="Z607" s="79"/>
    </row>
    <row r="608" ht="15.75" customHeight="1">
      <c r="A608" s="76" t="s">
        <v>247</v>
      </c>
      <c r="B608" s="77" t="s">
        <v>4618</v>
      </c>
      <c r="C608" s="80">
        <v>3.0712212795E10</v>
      </c>
      <c r="D608" s="79" t="s">
        <v>264</v>
      </c>
      <c r="E608" s="79" t="s">
        <v>4619</v>
      </c>
      <c r="F608" s="44">
        <v>1995.0</v>
      </c>
      <c r="G608" s="79" t="s">
        <v>97</v>
      </c>
      <c r="H608" s="80">
        <v>1703.0</v>
      </c>
      <c r="I608" s="79">
        <v>310010.0</v>
      </c>
      <c r="J608" s="74" t="s">
        <v>313</v>
      </c>
      <c r="K608" s="77" t="s">
        <v>1438</v>
      </c>
      <c r="L608" s="79" t="s">
        <v>286</v>
      </c>
      <c r="M608" s="79" t="s">
        <v>4620</v>
      </c>
      <c r="N608" s="79"/>
      <c r="O608" s="79" t="s">
        <v>4621</v>
      </c>
      <c r="P608" s="78" t="s">
        <v>4622</v>
      </c>
      <c r="Q608" s="79"/>
      <c r="R608" s="80"/>
      <c r="S608" s="78" t="s">
        <v>4623</v>
      </c>
      <c r="T608" s="101"/>
      <c r="U608" s="80"/>
      <c r="V608" s="102" t="s">
        <v>4625</v>
      </c>
      <c r="W608" s="79"/>
      <c r="X608" s="79"/>
      <c r="Y608" s="79"/>
      <c r="Z608" s="79"/>
    </row>
    <row r="609" ht="15.75" customHeight="1">
      <c r="A609" s="76" t="s">
        <v>247</v>
      </c>
      <c r="B609" s="77" t="s">
        <v>1585</v>
      </c>
      <c r="C609" s="80">
        <v>3.0537882871E10</v>
      </c>
      <c r="D609" s="119" t="s">
        <v>264</v>
      </c>
      <c r="E609" s="77" t="s">
        <v>1176</v>
      </c>
      <c r="F609" s="44">
        <v>3241.0</v>
      </c>
      <c r="G609" s="79" t="s">
        <v>68</v>
      </c>
      <c r="H609" s="80">
        <v>1702.0</v>
      </c>
      <c r="I609" s="79">
        <v>110412.0</v>
      </c>
      <c r="J609" s="74" t="s">
        <v>57</v>
      </c>
      <c r="K609" s="77" t="s">
        <v>4626</v>
      </c>
      <c r="L609" s="79"/>
      <c r="M609" s="79"/>
      <c r="N609" s="79">
        <v>700.0</v>
      </c>
      <c r="O609" s="83" t="s">
        <v>4628</v>
      </c>
      <c r="P609" s="78" t="s">
        <v>4629</v>
      </c>
      <c r="Q609" s="144" t="s">
        <v>4630</v>
      </c>
      <c r="R609" s="85" t="s">
        <v>4631</v>
      </c>
      <c r="S609" s="85" t="s">
        <v>4632</v>
      </c>
      <c r="T609" s="85" t="s">
        <v>4633</v>
      </c>
      <c r="U609" s="78" t="s">
        <v>4634</v>
      </c>
      <c r="V609" s="102" t="s">
        <v>4635</v>
      </c>
      <c r="W609" s="79" t="s">
        <v>309</v>
      </c>
      <c r="X609" s="79" t="s">
        <v>309</v>
      </c>
      <c r="Y609" s="79" t="s">
        <v>309</v>
      </c>
      <c r="Z609" s="79"/>
    </row>
    <row r="610" ht="15.75" customHeight="1">
      <c r="A610" s="76" t="s">
        <v>247</v>
      </c>
      <c r="B610" s="79" t="s">
        <v>4637</v>
      </c>
      <c r="C610" s="79">
        <v>3.0715328492E10</v>
      </c>
      <c r="D610" s="144" t="s">
        <v>264</v>
      </c>
      <c r="E610" s="79" t="s">
        <v>4638</v>
      </c>
      <c r="F610" s="44">
        <v>5856.0</v>
      </c>
      <c r="G610" s="79" t="s">
        <v>269</v>
      </c>
      <c r="H610" s="80">
        <v>1682.0</v>
      </c>
      <c r="I610" s="79">
        <v>472190.0</v>
      </c>
      <c r="J610" s="74" t="s">
        <v>22</v>
      </c>
      <c r="K610" s="77" t="s">
        <v>4639</v>
      </c>
      <c r="L610" s="79" t="s">
        <v>369</v>
      </c>
      <c r="M610" s="79"/>
      <c r="N610" s="79"/>
      <c r="O610" s="74" t="s">
        <v>4640</v>
      </c>
      <c r="P610" s="78" t="s">
        <v>4641</v>
      </c>
      <c r="Q610" s="79"/>
      <c r="R610" s="80"/>
      <c r="S610" s="80" t="s">
        <v>4642</v>
      </c>
      <c r="T610" s="78" t="s">
        <v>4643</v>
      </c>
      <c r="U610" s="101"/>
      <c r="V610" s="102" t="s">
        <v>429</v>
      </c>
      <c r="W610" s="79"/>
      <c r="X610" s="79"/>
      <c r="Y610" s="126" t="s">
        <v>309</v>
      </c>
      <c r="Z610" s="119"/>
    </row>
    <row r="611" ht="15.0" customHeight="1">
      <c r="A611" s="76" t="s">
        <v>247</v>
      </c>
      <c r="B611" s="77" t="s">
        <v>1590</v>
      </c>
      <c r="C611" s="80">
        <v>3.0538836547E10</v>
      </c>
      <c r="D611" s="79" t="s">
        <v>264</v>
      </c>
      <c r="E611" s="79" t="s">
        <v>1569</v>
      </c>
      <c r="F611" s="44">
        <v>3240.0</v>
      </c>
      <c r="G611" s="79" t="s">
        <v>97</v>
      </c>
      <c r="H611" s="80">
        <v>1702.0</v>
      </c>
      <c r="I611" s="79">
        <v>139209.0</v>
      </c>
      <c r="J611" s="74" t="s">
        <v>448</v>
      </c>
      <c r="K611" s="77" t="s">
        <v>539</v>
      </c>
      <c r="L611" s="79" t="s">
        <v>453</v>
      </c>
      <c r="M611" s="79"/>
      <c r="N611" s="79">
        <v>193.0</v>
      </c>
      <c r="O611" s="74"/>
      <c r="P611" s="78" t="s">
        <v>4646</v>
      </c>
      <c r="Q611" s="77" t="s">
        <v>4647</v>
      </c>
      <c r="R611" s="78" t="s">
        <v>4648</v>
      </c>
      <c r="S611" s="80" t="s">
        <v>4649</v>
      </c>
      <c r="T611" s="101" t="s">
        <v>4650</v>
      </c>
      <c r="U611" s="80" t="s">
        <v>4651</v>
      </c>
      <c r="V611" s="289" t="s">
        <v>4652</v>
      </c>
      <c r="W611" s="79" t="s">
        <v>309</v>
      </c>
      <c r="X611" s="79" t="s">
        <v>309</v>
      </c>
      <c r="Y611" s="79" t="s">
        <v>309</v>
      </c>
      <c r="Z611" s="79"/>
    </row>
    <row r="612" ht="15.75" customHeight="1">
      <c r="A612" s="103" t="s">
        <v>24</v>
      </c>
      <c r="B612" s="77" t="s">
        <v>4654</v>
      </c>
      <c r="C612" s="80">
        <v>3.0645776565E10</v>
      </c>
      <c r="D612" s="119" t="s">
        <v>264</v>
      </c>
      <c r="E612" s="79" t="s">
        <v>1711</v>
      </c>
      <c r="F612" s="44">
        <v>5202.0</v>
      </c>
      <c r="G612" s="79" t="s">
        <v>15</v>
      </c>
      <c r="H612" s="80">
        <v>1678.0</v>
      </c>
      <c r="I612" s="79">
        <v>201000.0</v>
      </c>
      <c r="J612" s="74" t="s">
        <v>313</v>
      </c>
      <c r="K612" s="79" t="s">
        <v>4655</v>
      </c>
      <c r="L612" s="79" t="s">
        <v>453</v>
      </c>
      <c r="M612" s="79"/>
      <c r="N612" s="79">
        <v>0.0</v>
      </c>
      <c r="O612" s="74"/>
      <c r="P612" s="80"/>
      <c r="Q612" s="79"/>
      <c r="R612" s="80"/>
      <c r="S612" s="80" t="s">
        <v>4656</v>
      </c>
      <c r="T612" s="101" t="s">
        <v>332</v>
      </c>
      <c r="U612" s="80" t="s">
        <v>332</v>
      </c>
      <c r="V612" s="102" t="s">
        <v>429</v>
      </c>
      <c r="W612" s="79" t="s">
        <v>309</v>
      </c>
      <c r="X612" s="79" t="s">
        <v>309</v>
      </c>
      <c r="Y612" s="79"/>
      <c r="Z612" s="79"/>
    </row>
    <row r="613" ht="15.0" customHeight="1">
      <c r="A613" s="103" t="s">
        <v>24</v>
      </c>
      <c r="B613" s="77" t="s">
        <v>4658</v>
      </c>
      <c r="C613" s="80">
        <v>3.3709079269E10</v>
      </c>
      <c r="D613" s="79" t="s">
        <v>264</v>
      </c>
      <c r="E613" s="79" t="s">
        <v>3339</v>
      </c>
      <c r="F613" s="44">
        <v>5156.0</v>
      </c>
      <c r="G613" s="79" t="s">
        <v>15</v>
      </c>
      <c r="H613" s="80">
        <v>1678.0</v>
      </c>
      <c r="I613" s="79">
        <v>422200.0</v>
      </c>
      <c r="J613" s="74" t="s">
        <v>125</v>
      </c>
      <c r="K613" s="77" t="s">
        <v>1740</v>
      </c>
      <c r="L613" s="79" t="s">
        <v>453</v>
      </c>
      <c r="M613" s="79"/>
      <c r="N613" s="79"/>
      <c r="O613" s="74"/>
      <c r="P613" s="80"/>
      <c r="Q613" s="79"/>
      <c r="R613" s="80"/>
      <c r="S613" s="78" t="s">
        <v>4659</v>
      </c>
      <c r="T613" s="101"/>
      <c r="U613" s="80"/>
      <c r="V613" s="102" t="s">
        <v>429</v>
      </c>
      <c r="W613" s="79"/>
      <c r="X613" s="79"/>
      <c r="Y613" s="79"/>
      <c r="Z613" s="79"/>
    </row>
    <row r="614" ht="15.0" customHeight="1">
      <c r="A614" s="76" t="s">
        <v>247</v>
      </c>
      <c r="B614" s="77" t="s">
        <v>4660</v>
      </c>
      <c r="C614" s="80">
        <v>3.3711740959E10</v>
      </c>
      <c r="D614" s="79" t="s">
        <v>264</v>
      </c>
      <c r="E614" s="77" t="s">
        <v>4661</v>
      </c>
      <c r="F614" s="44">
        <v>1608.0</v>
      </c>
      <c r="G614" s="79" t="s">
        <v>249</v>
      </c>
      <c r="H614" s="80">
        <v>1676.0</v>
      </c>
      <c r="I614" s="79">
        <v>251909.0</v>
      </c>
      <c r="J614" s="74" t="s">
        <v>88</v>
      </c>
      <c r="K614" s="82" t="s">
        <v>2473</v>
      </c>
      <c r="L614" s="79"/>
      <c r="M614" s="79"/>
      <c r="N614" s="79">
        <v>0.0</v>
      </c>
      <c r="O614" s="74"/>
      <c r="P614" s="80"/>
      <c r="Q614" s="79"/>
      <c r="R614" s="80"/>
      <c r="S614" s="80" t="s">
        <v>4663</v>
      </c>
      <c r="T614" s="101" t="s">
        <v>332</v>
      </c>
      <c r="U614" s="80" t="s">
        <v>332</v>
      </c>
      <c r="V614" s="102" t="s">
        <v>429</v>
      </c>
      <c r="W614" s="79" t="s">
        <v>306</v>
      </c>
      <c r="X614" s="79" t="s">
        <v>306</v>
      </c>
      <c r="Y614" s="79" t="s">
        <v>309</v>
      </c>
      <c r="Z614" s="79"/>
    </row>
    <row r="615" ht="15.75" customHeight="1">
      <c r="A615" s="76" t="s">
        <v>247</v>
      </c>
      <c r="B615" s="77" t="s">
        <v>4665</v>
      </c>
      <c r="C615" s="80">
        <v>3.0710237855E10</v>
      </c>
      <c r="D615" s="119" t="s">
        <v>264</v>
      </c>
      <c r="E615" s="77" t="s">
        <v>503</v>
      </c>
      <c r="F615" s="44">
        <v>2914.0</v>
      </c>
      <c r="G615" s="79" t="s">
        <v>68</v>
      </c>
      <c r="H615" s="80">
        <v>1702.0</v>
      </c>
      <c r="I615" s="79">
        <v>711003.0</v>
      </c>
      <c r="J615" s="74" t="s">
        <v>433</v>
      </c>
      <c r="K615" s="79" t="s">
        <v>3084</v>
      </c>
      <c r="L615" s="79"/>
      <c r="M615" s="79"/>
      <c r="N615" s="79">
        <v>2.0</v>
      </c>
      <c r="O615" s="42"/>
      <c r="P615" s="114"/>
      <c r="Q615" s="79"/>
      <c r="R615" s="80"/>
      <c r="S615" s="78" t="s">
        <v>4666</v>
      </c>
      <c r="T615" s="78" t="s">
        <v>4667</v>
      </c>
      <c r="U615" s="80" t="s">
        <v>332</v>
      </c>
      <c r="V615" s="102" t="s">
        <v>4669</v>
      </c>
      <c r="W615" s="79" t="s">
        <v>309</v>
      </c>
      <c r="X615" s="79" t="s">
        <v>309</v>
      </c>
      <c r="Y615" s="79"/>
      <c r="Z615" s="79"/>
    </row>
    <row r="616" ht="15.75" customHeight="1">
      <c r="A616" s="103" t="s">
        <v>24</v>
      </c>
      <c r="B616" s="77" t="s">
        <v>4670</v>
      </c>
      <c r="C616" s="80">
        <v>3.0710480881E10</v>
      </c>
      <c r="D616" s="119" t="s">
        <v>264</v>
      </c>
      <c r="E616" s="79" t="s">
        <v>359</v>
      </c>
      <c r="F616" s="44">
        <v>5418.0</v>
      </c>
      <c r="G616" s="79" t="s">
        <v>15</v>
      </c>
      <c r="H616" s="80">
        <v>1678.0</v>
      </c>
      <c r="I616" s="79">
        <v>242090.0</v>
      </c>
      <c r="J616" s="74" t="s">
        <v>347</v>
      </c>
      <c r="K616" s="77" t="s">
        <v>2714</v>
      </c>
      <c r="L616" s="79" t="s">
        <v>453</v>
      </c>
      <c r="M616" s="79"/>
      <c r="N616" s="79">
        <v>2.0</v>
      </c>
      <c r="O616" s="74"/>
      <c r="P616" s="80"/>
      <c r="Q616" s="79"/>
      <c r="R616" s="80"/>
      <c r="S616" s="101" t="s">
        <v>4673</v>
      </c>
      <c r="T616" s="101" t="s">
        <v>332</v>
      </c>
      <c r="U616" s="80" t="s">
        <v>332</v>
      </c>
      <c r="V616" s="102" t="s">
        <v>429</v>
      </c>
      <c r="W616" s="79" t="s">
        <v>309</v>
      </c>
      <c r="X616" s="79" t="s">
        <v>309</v>
      </c>
      <c r="Y616" s="79"/>
      <c r="Z616" s="79"/>
    </row>
    <row r="617" ht="15.0" customHeight="1">
      <c r="A617" s="103" t="s">
        <v>24</v>
      </c>
      <c r="B617" s="77" t="s">
        <v>4675</v>
      </c>
      <c r="C617" s="80">
        <v>3.3711263689E10</v>
      </c>
      <c r="D617" s="119" t="s">
        <v>264</v>
      </c>
      <c r="E617" s="79" t="s">
        <v>2443</v>
      </c>
      <c r="F617" s="44">
        <v>1151.0</v>
      </c>
      <c r="G617" s="79" t="s">
        <v>68</v>
      </c>
      <c r="H617" s="80">
        <v>1702.0</v>
      </c>
      <c r="I617" s="77">
        <v>432990.0</v>
      </c>
      <c r="J617" s="74" t="s">
        <v>433</v>
      </c>
      <c r="K617" s="77" t="s">
        <v>4676</v>
      </c>
      <c r="L617" s="79"/>
      <c r="M617" s="79"/>
      <c r="N617" s="79">
        <v>3.0</v>
      </c>
      <c r="O617" s="74"/>
      <c r="P617" s="80"/>
      <c r="Q617" s="79"/>
      <c r="R617" s="80"/>
      <c r="S617" s="78" t="s">
        <v>4678</v>
      </c>
      <c r="T617" s="101" t="s">
        <v>332</v>
      </c>
      <c r="U617" s="80" t="s">
        <v>332</v>
      </c>
      <c r="V617" s="102" t="s">
        <v>4679</v>
      </c>
      <c r="W617" s="79" t="s">
        <v>306</v>
      </c>
      <c r="X617" s="79" t="s">
        <v>306</v>
      </c>
      <c r="Y617" s="79"/>
      <c r="Z617" s="79"/>
    </row>
    <row r="618" ht="15.0" customHeight="1">
      <c r="A618" s="76" t="s">
        <v>247</v>
      </c>
      <c r="B618" s="77" t="s">
        <v>4681</v>
      </c>
      <c r="C618" s="80">
        <v>3.0601010913E10</v>
      </c>
      <c r="D618" s="119" t="s">
        <v>264</v>
      </c>
      <c r="E618" s="79" t="s">
        <v>4682</v>
      </c>
      <c r="F618" s="44">
        <v>6434.0</v>
      </c>
      <c r="G618" s="79" t="s">
        <v>119</v>
      </c>
      <c r="H618" s="80">
        <v>1657.0</v>
      </c>
      <c r="I618" s="79">
        <v>279000.0</v>
      </c>
      <c r="J618" s="83" t="s">
        <v>207</v>
      </c>
      <c r="K618" s="77" t="s">
        <v>2081</v>
      </c>
      <c r="L618" s="79"/>
      <c r="M618" s="79"/>
      <c r="N618" s="79">
        <v>3.0</v>
      </c>
      <c r="O618" s="74"/>
      <c r="P618" s="80"/>
      <c r="Q618" s="79"/>
      <c r="R618" s="80"/>
      <c r="S618" s="80" t="s">
        <v>4683</v>
      </c>
      <c r="T618" s="101" t="s">
        <v>332</v>
      </c>
      <c r="U618" s="80" t="s">
        <v>332</v>
      </c>
      <c r="V618" s="102" t="s">
        <v>429</v>
      </c>
      <c r="W618" s="79" t="s">
        <v>309</v>
      </c>
      <c r="X618" s="79" t="s">
        <v>309</v>
      </c>
      <c r="Y618" s="79" t="s">
        <v>309</v>
      </c>
      <c r="Z618" s="79"/>
    </row>
    <row r="619" ht="15.0" customHeight="1">
      <c r="A619" s="76" t="s">
        <v>247</v>
      </c>
      <c r="B619" s="77" t="s">
        <v>4685</v>
      </c>
      <c r="C619" s="80">
        <v>3.0708699574E10</v>
      </c>
      <c r="D619" s="79" t="s">
        <v>264</v>
      </c>
      <c r="E619" s="126" t="s">
        <v>985</v>
      </c>
      <c r="F619" s="44">
        <v>3628.0</v>
      </c>
      <c r="G619" s="79" t="s">
        <v>15</v>
      </c>
      <c r="H619" s="80">
        <v>1678.0</v>
      </c>
      <c r="I619" s="79">
        <v>271010.0</v>
      </c>
      <c r="J619" s="83" t="s">
        <v>207</v>
      </c>
      <c r="K619" s="79" t="s">
        <v>661</v>
      </c>
      <c r="L619" s="79"/>
      <c r="M619" s="79"/>
      <c r="N619" s="79">
        <v>8.0</v>
      </c>
      <c r="O619" s="74"/>
      <c r="P619" s="80"/>
      <c r="Q619" s="79"/>
      <c r="R619" s="80"/>
      <c r="S619" s="80" t="s">
        <v>4687</v>
      </c>
      <c r="T619" s="101" t="s">
        <v>4688</v>
      </c>
      <c r="U619" s="80" t="s">
        <v>332</v>
      </c>
      <c r="V619" s="102" t="s">
        <v>4689</v>
      </c>
      <c r="W619" s="79" t="s">
        <v>306</v>
      </c>
      <c r="X619" s="79" t="s">
        <v>306</v>
      </c>
      <c r="Y619" s="79" t="s">
        <v>309</v>
      </c>
      <c r="Z619" s="79"/>
    </row>
    <row r="620" ht="15.0" customHeight="1">
      <c r="A620" s="103" t="s">
        <v>24</v>
      </c>
      <c r="B620" s="77" t="s">
        <v>4690</v>
      </c>
      <c r="C620" s="80">
        <v>3.0653021611E10</v>
      </c>
      <c r="D620" s="119" t="s">
        <v>264</v>
      </c>
      <c r="E620" s="79" t="s">
        <v>4691</v>
      </c>
      <c r="F620" s="44">
        <v>6805.0</v>
      </c>
      <c r="G620" s="79" t="s">
        <v>119</v>
      </c>
      <c r="H620" s="80">
        <v>1657.0</v>
      </c>
      <c r="I620" s="79">
        <v>279000.0</v>
      </c>
      <c r="J620" s="83" t="s">
        <v>207</v>
      </c>
      <c r="K620" s="77" t="s">
        <v>2081</v>
      </c>
      <c r="L620" s="79"/>
      <c r="M620" s="79"/>
      <c r="N620" s="79">
        <v>2.0</v>
      </c>
      <c r="O620" s="74"/>
      <c r="P620" s="80"/>
      <c r="Q620" s="79"/>
      <c r="R620" s="80"/>
      <c r="S620" s="80" t="s">
        <v>4693</v>
      </c>
      <c r="T620" s="101" t="s">
        <v>332</v>
      </c>
      <c r="U620" s="80" t="s">
        <v>332</v>
      </c>
      <c r="V620" s="102" t="s">
        <v>429</v>
      </c>
      <c r="W620" s="79" t="s">
        <v>309</v>
      </c>
      <c r="X620" s="79" t="s">
        <v>309</v>
      </c>
      <c r="Y620" s="79"/>
      <c r="Z620" s="79"/>
    </row>
    <row r="621" ht="15.0" customHeight="1">
      <c r="A621" s="76" t="s">
        <v>247</v>
      </c>
      <c r="B621" s="77" t="s">
        <v>4694</v>
      </c>
      <c r="C621" s="80">
        <v>3.0708920017E10</v>
      </c>
      <c r="D621" s="79" t="s">
        <v>264</v>
      </c>
      <c r="E621" s="79" t="s">
        <v>4696</v>
      </c>
      <c r="F621" s="44">
        <v>2018.0</v>
      </c>
      <c r="G621" s="79" t="s">
        <v>175</v>
      </c>
      <c r="H621" s="80">
        <v>1657.0</v>
      </c>
      <c r="I621" s="79">
        <v>259999.0</v>
      </c>
      <c r="J621" s="74" t="s">
        <v>347</v>
      </c>
      <c r="K621" s="77" t="s">
        <v>839</v>
      </c>
      <c r="L621" s="79" t="s">
        <v>453</v>
      </c>
      <c r="M621" s="79"/>
      <c r="N621" s="79">
        <v>9.0</v>
      </c>
      <c r="O621" s="74"/>
      <c r="P621" s="80"/>
      <c r="Q621" s="79"/>
      <c r="R621" s="80"/>
      <c r="S621" s="78" t="s">
        <v>4698</v>
      </c>
      <c r="T621" s="101" t="s">
        <v>332</v>
      </c>
      <c r="U621" s="80" t="s">
        <v>332</v>
      </c>
      <c r="V621" s="102" t="s">
        <v>4699</v>
      </c>
      <c r="W621" s="79" t="s">
        <v>306</v>
      </c>
      <c r="X621" s="79" t="s">
        <v>306</v>
      </c>
      <c r="Y621" s="79"/>
      <c r="Z621" s="79"/>
    </row>
    <row r="622" ht="15.0" customHeight="1">
      <c r="A622" s="76" t="s">
        <v>247</v>
      </c>
      <c r="B622" s="77" t="s">
        <v>4700</v>
      </c>
      <c r="C622" s="80">
        <v>3.0709580457E10</v>
      </c>
      <c r="D622" s="119" t="s">
        <v>264</v>
      </c>
      <c r="E622" s="77" t="s">
        <v>3205</v>
      </c>
      <c r="F622" s="44">
        <v>1354.0</v>
      </c>
      <c r="G622" s="77" t="s">
        <v>226</v>
      </c>
      <c r="H622" s="80">
        <v>1674.0</v>
      </c>
      <c r="I622" s="79">
        <v>619000.0</v>
      </c>
      <c r="J622" s="74" t="s">
        <v>433</v>
      </c>
      <c r="K622" s="77" t="s">
        <v>4702</v>
      </c>
      <c r="L622" s="79" t="s">
        <v>4703</v>
      </c>
      <c r="M622" s="79"/>
      <c r="N622" s="79">
        <v>0.0</v>
      </c>
      <c r="O622" s="74"/>
      <c r="P622" s="80"/>
      <c r="Q622" s="79"/>
      <c r="R622" s="80"/>
      <c r="S622" s="78" t="s">
        <v>4705</v>
      </c>
      <c r="T622" s="200" t="s">
        <v>332</v>
      </c>
      <c r="U622" s="80" t="s">
        <v>332</v>
      </c>
      <c r="V622" s="102" t="s">
        <v>4706</v>
      </c>
      <c r="W622" s="79" t="s">
        <v>306</v>
      </c>
      <c r="X622" s="79" t="s">
        <v>306</v>
      </c>
      <c r="Y622" s="79" t="s">
        <v>309</v>
      </c>
      <c r="Z622" s="79"/>
    </row>
    <row r="623" ht="15.0" customHeight="1">
      <c r="A623" s="103" t="s">
        <v>24</v>
      </c>
      <c r="B623" s="77" t="s">
        <v>4708</v>
      </c>
      <c r="C623" s="80">
        <v>3.0708813512E10</v>
      </c>
      <c r="D623" s="119" t="s">
        <v>264</v>
      </c>
      <c r="E623" s="79" t="s">
        <v>4709</v>
      </c>
      <c r="F623" s="44">
        <v>8021.0</v>
      </c>
      <c r="G623" s="79" t="s">
        <v>134</v>
      </c>
      <c r="H623" s="80">
        <v>1682.0</v>
      </c>
      <c r="I623" s="79">
        <v>452401.0</v>
      </c>
      <c r="J623" s="74" t="s">
        <v>433</v>
      </c>
      <c r="K623" s="79" t="s">
        <v>4710</v>
      </c>
      <c r="L623" s="79"/>
      <c r="M623" s="79"/>
      <c r="N623" s="79">
        <v>5.0</v>
      </c>
      <c r="O623" s="74"/>
      <c r="P623" s="80"/>
      <c r="Q623" s="79"/>
      <c r="R623" s="80"/>
      <c r="S623" s="80" t="s">
        <v>4711</v>
      </c>
      <c r="T623" s="101" t="s">
        <v>332</v>
      </c>
      <c r="U623" s="80" t="s">
        <v>332</v>
      </c>
      <c r="V623" s="102" t="s">
        <v>429</v>
      </c>
      <c r="W623" s="79" t="s">
        <v>309</v>
      </c>
      <c r="X623" s="79" t="s">
        <v>309</v>
      </c>
      <c r="Y623" s="79" t="s">
        <v>309</v>
      </c>
      <c r="Z623" s="79"/>
    </row>
    <row r="624" ht="15.75" customHeight="1">
      <c r="A624" s="103" t="s">
        <v>24</v>
      </c>
      <c r="B624" s="77" t="s">
        <v>4713</v>
      </c>
      <c r="C624" s="80">
        <v>3.0709386367E10</v>
      </c>
      <c r="D624" s="79" t="s">
        <v>264</v>
      </c>
      <c r="E624" s="77" t="s">
        <v>1683</v>
      </c>
      <c r="F624" s="44">
        <v>3688.0</v>
      </c>
      <c r="G624" s="79" t="s">
        <v>15</v>
      </c>
      <c r="H624" s="80">
        <v>1678.0</v>
      </c>
      <c r="I624" s="77">
        <v>281600.0</v>
      </c>
      <c r="J624" s="74" t="s">
        <v>347</v>
      </c>
      <c r="K624" s="77" t="s">
        <v>4714</v>
      </c>
      <c r="L624" s="79"/>
      <c r="M624" s="79"/>
      <c r="N624" s="79">
        <v>0.0</v>
      </c>
      <c r="O624" s="74"/>
      <c r="P624" s="80"/>
      <c r="Q624" s="79"/>
      <c r="R624" s="80"/>
      <c r="S624" s="80" t="s">
        <v>4715</v>
      </c>
      <c r="T624" s="101" t="s">
        <v>332</v>
      </c>
      <c r="U624" s="80" t="s">
        <v>332</v>
      </c>
      <c r="V624" s="102" t="s">
        <v>429</v>
      </c>
      <c r="W624" s="79" t="s">
        <v>306</v>
      </c>
      <c r="X624" s="79" t="s">
        <v>306</v>
      </c>
      <c r="Y624" s="79"/>
      <c r="Z624" s="79"/>
    </row>
    <row r="625" ht="15.0" customHeight="1">
      <c r="A625" s="76" t="s">
        <v>247</v>
      </c>
      <c r="B625" s="79" t="s">
        <v>4717</v>
      </c>
      <c r="C625" s="101">
        <v>3.0517359331E10</v>
      </c>
      <c r="D625" s="79" t="s">
        <v>264</v>
      </c>
      <c r="E625" s="79" t="s">
        <v>660</v>
      </c>
      <c r="F625" s="44">
        <v>5482.0</v>
      </c>
      <c r="G625" s="79" t="s">
        <v>15</v>
      </c>
      <c r="H625" s="80">
        <v>1678.0</v>
      </c>
      <c r="I625" s="79">
        <v>271020.0</v>
      </c>
      <c r="J625" s="74" t="s">
        <v>347</v>
      </c>
      <c r="K625" s="144" t="s">
        <v>4718</v>
      </c>
      <c r="L625" s="79"/>
      <c r="M625" s="79"/>
      <c r="N625" s="79"/>
      <c r="O625" s="176"/>
      <c r="P625" s="114"/>
      <c r="Q625" s="79"/>
      <c r="R625" s="80"/>
      <c r="S625" s="78" t="s">
        <v>4720</v>
      </c>
      <c r="T625" s="101"/>
      <c r="U625" s="80"/>
      <c r="V625" s="102" t="s">
        <v>4721</v>
      </c>
      <c r="W625" s="79"/>
      <c r="X625" s="79"/>
      <c r="Y625" s="79"/>
      <c r="Z625" s="79"/>
    </row>
    <row r="626" ht="15.75" customHeight="1">
      <c r="A626" s="76" t="s">
        <v>247</v>
      </c>
      <c r="B626" s="77" t="s">
        <v>1594</v>
      </c>
      <c r="C626" s="80">
        <v>3.0715279556E10</v>
      </c>
      <c r="D626" s="79" t="s">
        <v>264</v>
      </c>
      <c r="E626" s="79" t="s">
        <v>3191</v>
      </c>
      <c r="F626" s="44">
        <v>3015.0</v>
      </c>
      <c r="G626" s="79" t="s">
        <v>68</v>
      </c>
      <c r="H626" s="80">
        <v>1702.0</v>
      </c>
      <c r="I626" s="79">
        <v>259993.0</v>
      </c>
      <c r="J626" s="74" t="s">
        <v>261</v>
      </c>
      <c r="K626" s="129" t="s">
        <v>638</v>
      </c>
      <c r="L626" s="79"/>
      <c r="M626" s="79" t="s">
        <v>4723</v>
      </c>
      <c r="N626" s="79"/>
      <c r="O626" s="74" t="s">
        <v>4724</v>
      </c>
      <c r="P626" s="290" t="s">
        <v>4725</v>
      </c>
      <c r="Q626" s="79"/>
      <c r="R626" s="78" t="s">
        <v>4726</v>
      </c>
      <c r="S626" s="78" t="s">
        <v>4727</v>
      </c>
      <c r="T626" s="101"/>
      <c r="U626" s="80"/>
      <c r="V626" s="102" t="s">
        <v>4729</v>
      </c>
      <c r="W626" s="79"/>
      <c r="X626" s="79"/>
      <c r="Y626" s="79"/>
      <c r="Z626" s="79"/>
    </row>
    <row r="627" ht="15.75" customHeight="1">
      <c r="A627" s="76" t="s">
        <v>247</v>
      </c>
      <c r="B627" s="77" t="s">
        <v>4731</v>
      </c>
      <c r="C627" s="78">
        <v>3.0715279556E10</v>
      </c>
      <c r="D627" s="119" t="s">
        <v>264</v>
      </c>
      <c r="E627" s="79" t="s">
        <v>3191</v>
      </c>
      <c r="F627" s="128">
        <v>3015.0</v>
      </c>
      <c r="G627" s="79" t="s">
        <v>68</v>
      </c>
      <c r="H627" s="80">
        <v>1702.0</v>
      </c>
      <c r="I627" s="77">
        <v>259993.0</v>
      </c>
      <c r="J627" s="74" t="s">
        <v>347</v>
      </c>
      <c r="K627" s="77" t="s">
        <v>638</v>
      </c>
      <c r="L627" s="79"/>
      <c r="M627" s="79"/>
      <c r="N627" s="79"/>
      <c r="O627" s="74"/>
      <c r="P627" s="80"/>
      <c r="Q627" s="79"/>
      <c r="R627" s="80"/>
      <c r="S627" s="78" t="s">
        <v>4733</v>
      </c>
      <c r="T627" s="85" t="s">
        <v>4727</v>
      </c>
      <c r="U627" s="78" t="s">
        <v>4734</v>
      </c>
      <c r="V627" s="102" t="s">
        <v>4729</v>
      </c>
      <c r="W627" s="79"/>
      <c r="X627" s="79"/>
      <c r="Y627" s="79" t="s">
        <v>309</v>
      </c>
      <c r="Z627" s="79"/>
    </row>
    <row r="628" ht="15.75" customHeight="1">
      <c r="A628" s="76" t="s">
        <v>247</v>
      </c>
      <c r="B628" s="77" t="s">
        <v>1597</v>
      </c>
      <c r="C628" s="80">
        <v>3.0662022175E10</v>
      </c>
      <c r="D628" s="119" t="s">
        <v>264</v>
      </c>
      <c r="E628" s="79" t="s">
        <v>4511</v>
      </c>
      <c r="F628" s="44">
        <v>4442.0</v>
      </c>
      <c r="G628" s="79" t="s">
        <v>68</v>
      </c>
      <c r="H628" s="80">
        <v>1702.0</v>
      </c>
      <c r="I628" s="79">
        <v>282300.0</v>
      </c>
      <c r="J628" s="74" t="s">
        <v>347</v>
      </c>
      <c r="K628" s="77" t="s">
        <v>4736</v>
      </c>
      <c r="L628" s="79" t="s">
        <v>662</v>
      </c>
      <c r="M628" s="79"/>
      <c r="N628" s="79"/>
      <c r="O628" s="74" t="s">
        <v>4737</v>
      </c>
      <c r="P628" s="80" t="s">
        <v>4738</v>
      </c>
      <c r="Q628" s="79" t="s">
        <v>4739</v>
      </c>
      <c r="R628" s="80" t="s">
        <v>4740</v>
      </c>
      <c r="S628" s="114" t="s">
        <v>4741</v>
      </c>
      <c r="T628" s="101"/>
      <c r="U628" s="80"/>
      <c r="V628" s="102" t="s">
        <v>4742</v>
      </c>
      <c r="W628" s="79"/>
      <c r="X628" s="79"/>
      <c r="Y628" s="79" t="s">
        <v>309</v>
      </c>
      <c r="Z628" s="79"/>
    </row>
    <row r="629" ht="15.0" customHeight="1">
      <c r="A629" s="103" t="s">
        <v>24</v>
      </c>
      <c r="B629" s="77" t="s">
        <v>4744</v>
      </c>
      <c r="C629" s="79">
        <v>3.0708291826E10</v>
      </c>
      <c r="D629" s="77" t="s">
        <v>264</v>
      </c>
      <c r="E629" s="79" t="s">
        <v>1323</v>
      </c>
      <c r="F629" s="44">
        <v>4231.0</v>
      </c>
      <c r="G629" s="79" t="s">
        <v>15</v>
      </c>
      <c r="H629" s="80">
        <v>1678.0</v>
      </c>
      <c r="I629" s="77">
        <v>170990.0</v>
      </c>
      <c r="J629" s="74" t="s">
        <v>283</v>
      </c>
      <c r="K629" s="77" t="s">
        <v>4745</v>
      </c>
      <c r="L629" s="79"/>
      <c r="M629" s="79"/>
      <c r="N629" s="79">
        <v>0.0</v>
      </c>
      <c r="O629" s="74"/>
      <c r="P629" s="80"/>
      <c r="Q629" s="79"/>
      <c r="R629" s="80"/>
      <c r="S629" s="80" t="s">
        <v>4747</v>
      </c>
      <c r="T629" s="101" t="s">
        <v>332</v>
      </c>
      <c r="U629" s="80" t="s">
        <v>332</v>
      </c>
      <c r="V629" s="102" t="s">
        <v>429</v>
      </c>
      <c r="W629" s="79" t="s">
        <v>306</v>
      </c>
      <c r="X629" s="79" t="s">
        <v>306</v>
      </c>
      <c r="Y629" s="79"/>
      <c r="Z629" s="79"/>
    </row>
    <row r="630" ht="15.0" customHeight="1">
      <c r="A630" s="76" t="s">
        <v>247</v>
      </c>
      <c r="B630" s="77" t="s">
        <v>4748</v>
      </c>
      <c r="C630" s="80">
        <v>3.0709341037E10</v>
      </c>
      <c r="D630" s="79" t="s">
        <v>264</v>
      </c>
      <c r="E630" s="79" t="s">
        <v>1666</v>
      </c>
      <c r="F630" s="44">
        <v>2846.0</v>
      </c>
      <c r="G630" s="79" t="s">
        <v>15</v>
      </c>
      <c r="H630" s="80">
        <v>1678.0</v>
      </c>
      <c r="I630" s="77">
        <v>170102.0</v>
      </c>
      <c r="J630" s="74" t="s">
        <v>283</v>
      </c>
      <c r="K630" s="79" t="s">
        <v>4749</v>
      </c>
      <c r="L630" s="79"/>
      <c r="M630" s="79"/>
      <c r="N630" s="79">
        <v>0.0</v>
      </c>
      <c r="O630" s="74"/>
      <c r="P630" s="80"/>
      <c r="Q630" s="79"/>
      <c r="R630" s="80"/>
      <c r="S630" s="78" t="s">
        <v>4751</v>
      </c>
      <c r="T630" s="85" t="s">
        <v>4752</v>
      </c>
      <c r="U630" s="80" t="s">
        <v>332</v>
      </c>
      <c r="V630" s="102" t="s">
        <v>4753</v>
      </c>
      <c r="W630" s="79" t="s">
        <v>306</v>
      </c>
      <c r="X630" s="79" t="s">
        <v>306</v>
      </c>
      <c r="Y630" s="79" t="s">
        <v>309</v>
      </c>
      <c r="Z630" s="79"/>
    </row>
    <row r="631" ht="15.0" customHeight="1">
      <c r="A631" s="76" t="s">
        <v>247</v>
      </c>
      <c r="B631" s="77" t="s">
        <v>1599</v>
      </c>
      <c r="C631" s="80">
        <v>3.0599768064E10</v>
      </c>
      <c r="D631" s="79" t="s">
        <v>264</v>
      </c>
      <c r="E631" s="77" t="s">
        <v>591</v>
      </c>
      <c r="F631" s="44">
        <v>956.0</v>
      </c>
      <c r="G631" s="79" t="s">
        <v>68</v>
      </c>
      <c r="H631" s="80">
        <v>1702.0</v>
      </c>
      <c r="I631" s="79">
        <v>222090.0</v>
      </c>
      <c r="J631" s="83" t="s">
        <v>568</v>
      </c>
      <c r="K631" s="77" t="s">
        <v>569</v>
      </c>
      <c r="L631" s="79" t="s">
        <v>453</v>
      </c>
      <c r="M631" s="77" t="s">
        <v>4755</v>
      </c>
      <c r="N631" s="79">
        <v>30.0</v>
      </c>
      <c r="O631" s="129" t="s">
        <v>4756</v>
      </c>
      <c r="P631" s="80"/>
      <c r="Q631" s="77"/>
      <c r="R631" s="80"/>
      <c r="S631" s="78" t="s">
        <v>4757</v>
      </c>
      <c r="T631" s="85" t="s">
        <v>4758</v>
      </c>
      <c r="U631" s="78" t="s">
        <v>4759</v>
      </c>
      <c r="V631" s="102" t="s">
        <v>4760</v>
      </c>
      <c r="W631" s="79" t="s">
        <v>309</v>
      </c>
      <c r="X631" s="79" t="s">
        <v>306</v>
      </c>
      <c r="Y631" s="79" t="s">
        <v>309</v>
      </c>
      <c r="Z631" s="79"/>
    </row>
    <row r="632" ht="15.75" customHeight="1">
      <c r="A632" s="103" t="s">
        <v>24</v>
      </c>
      <c r="B632" s="77" t="s">
        <v>4762</v>
      </c>
      <c r="C632" s="79">
        <v>3.0709833495E10</v>
      </c>
      <c r="D632" s="77" t="s">
        <v>264</v>
      </c>
      <c r="E632" s="79" t="s">
        <v>1781</v>
      </c>
      <c r="F632" s="44">
        <v>1560.0</v>
      </c>
      <c r="G632" s="79" t="s">
        <v>119</v>
      </c>
      <c r="H632" s="80">
        <v>1657.0</v>
      </c>
      <c r="I632" s="79">
        <v>155412.0</v>
      </c>
      <c r="J632" s="74" t="s">
        <v>57</v>
      </c>
      <c r="K632" s="79" t="s">
        <v>4764</v>
      </c>
      <c r="L632" s="79"/>
      <c r="M632" s="79"/>
      <c r="N632" s="79">
        <v>0.0</v>
      </c>
      <c r="O632" s="74"/>
      <c r="P632" s="80"/>
      <c r="Q632" s="79"/>
      <c r="R632" s="80"/>
      <c r="S632" s="78" t="s">
        <v>4765</v>
      </c>
      <c r="T632" s="101" t="s">
        <v>332</v>
      </c>
      <c r="U632" s="80" t="s">
        <v>332</v>
      </c>
      <c r="V632" s="102" t="s">
        <v>429</v>
      </c>
      <c r="W632" s="79" t="s">
        <v>306</v>
      </c>
      <c r="X632" s="79" t="s">
        <v>306</v>
      </c>
      <c r="Y632" s="79"/>
      <c r="Z632" s="79"/>
    </row>
    <row r="633" ht="15.0" customHeight="1">
      <c r="A633" s="76" t="s">
        <v>247</v>
      </c>
      <c r="B633" s="77" t="s">
        <v>4766</v>
      </c>
      <c r="C633" s="80">
        <v>3.0709080519E10</v>
      </c>
      <c r="D633" s="119" t="s">
        <v>264</v>
      </c>
      <c r="E633" s="79" t="s">
        <v>4767</v>
      </c>
      <c r="F633" s="44">
        <v>2115.0</v>
      </c>
      <c r="G633" s="77" t="s">
        <v>226</v>
      </c>
      <c r="H633" s="80">
        <v>1674.0</v>
      </c>
      <c r="I633" s="79">
        <v>281900.0</v>
      </c>
      <c r="J633" s="74" t="s">
        <v>347</v>
      </c>
      <c r="K633" s="77" t="s">
        <v>2217</v>
      </c>
      <c r="L633" s="79" t="s">
        <v>4769</v>
      </c>
      <c r="M633" s="79"/>
      <c r="N633" s="79">
        <v>0.0</v>
      </c>
      <c r="O633" s="74"/>
      <c r="P633" s="80"/>
      <c r="Q633" s="79"/>
      <c r="R633" s="80"/>
      <c r="S633" s="80" t="s">
        <v>4770</v>
      </c>
      <c r="T633" s="80" t="s">
        <v>4771</v>
      </c>
      <c r="U633" s="80" t="s">
        <v>332</v>
      </c>
      <c r="V633" s="102" t="s">
        <v>429</v>
      </c>
      <c r="W633" s="79" t="s">
        <v>306</v>
      </c>
      <c r="X633" s="79" t="s">
        <v>306</v>
      </c>
      <c r="Y633" s="79"/>
      <c r="Z633" s="79"/>
    </row>
    <row r="634" ht="15.75" customHeight="1">
      <c r="A634" s="76" t="s">
        <v>247</v>
      </c>
      <c r="B634" s="79" t="s">
        <v>1605</v>
      </c>
      <c r="C634" s="85">
        <v>3.0715882481E10</v>
      </c>
      <c r="D634" s="77" t="s">
        <v>264</v>
      </c>
      <c r="E634" s="79" t="s">
        <v>1965</v>
      </c>
      <c r="F634" s="44">
        <v>5149.0</v>
      </c>
      <c r="G634" s="79" t="s">
        <v>15</v>
      </c>
      <c r="H634" s="80">
        <v>1678.0</v>
      </c>
      <c r="I634" s="77">
        <v>222010.0</v>
      </c>
      <c r="J634" s="83" t="s">
        <v>568</v>
      </c>
      <c r="K634" s="77" t="s">
        <v>4773</v>
      </c>
      <c r="L634" s="79"/>
      <c r="M634" s="79"/>
      <c r="N634" s="79"/>
      <c r="O634" s="79"/>
      <c r="P634" s="80"/>
      <c r="Q634" s="79"/>
      <c r="R634" s="80"/>
      <c r="S634" s="78" t="s">
        <v>4774</v>
      </c>
      <c r="T634" s="101"/>
      <c r="U634" s="80"/>
      <c r="V634" s="98" t="s">
        <v>4775</v>
      </c>
      <c r="W634" s="79"/>
      <c r="X634" s="79"/>
      <c r="Y634" s="79"/>
      <c r="Z634" s="79"/>
    </row>
    <row r="635" ht="15.75" customHeight="1">
      <c r="A635" s="76" t="s">
        <v>247</v>
      </c>
      <c r="B635" s="77" t="s">
        <v>1609</v>
      </c>
      <c r="C635" s="80">
        <v>3.0504015498E10</v>
      </c>
      <c r="D635" s="79" t="s">
        <v>264</v>
      </c>
      <c r="E635" s="79" t="s">
        <v>2362</v>
      </c>
      <c r="F635" s="128" t="s">
        <v>4777</v>
      </c>
      <c r="G635" s="79" t="s">
        <v>15</v>
      </c>
      <c r="H635" s="80">
        <v>1678.0</v>
      </c>
      <c r="I635" s="79">
        <v>259999.0</v>
      </c>
      <c r="J635" s="74" t="s">
        <v>347</v>
      </c>
      <c r="K635" s="77" t="s">
        <v>839</v>
      </c>
      <c r="L635" s="79" t="s">
        <v>453</v>
      </c>
      <c r="M635" s="79"/>
      <c r="N635" s="79">
        <v>31.0</v>
      </c>
      <c r="O635" s="74"/>
      <c r="P635" s="80"/>
      <c r="Q635" s="79"/>
      <c r="R635" s="80"/>
      <c r="S635" s="80" t="s">
        <v>4779</v>
      </c>
      <c r="T635" s="101" t="s">
        <v>332</v>
      </c>
      <c r="U635" s="80" t="s">
        <v>332</v>
      </c>
      <c r="V635" s="102" t="s">
        <v>4780</v>
      </c>
      <c r="W635" s="79" t="s">
        <v>309</v>
      </c>
      <c r="X635" s="79" t="s">
        <v>309</v>
      </c>
      <c r="Y635" s="79" t="s">
        <v>309</v>
      </c>
      <c r="Z635" s="79"/>
    </row>
    <row r="636" ht="15.75" customHeight="1">
      <c r="A636" s="76" t="s">
        <v>247</v>
      </c>
      <c r="B636" s="77" t="s">
        <v>1609</v>
      </c>
      <c r="C636" s="101">
        <v>3.0504015498E10</v>
      </c>
      <c r="D636" s="77" t="s">
        <v>264</v>
      </c>
      <c r="E636" s="77" t="s">
        <v>4781</v>
      </c>
      <c r="F636" s="44">
        <v>4426.0</v>
      </c>
      <c r="G636" s="79" t="s">
        <v>15</v>
      </c>
      <c r="H636" s="80">
        <v>1678.0</v>
      </c>
      <c r="I636" s="78">
        <v>259999.0</v>
      </c>
      <c r="J636" s="74" t="s">
        <v>347</v>
      </c>
      <c r="K636" s="77" t="s">
        <v>4782</v>
      </c>
      <c r="L636" s="79"/>
      <c r="M636" s="79" t="s">
        <v>4784</v>
      </c>
      <c r="N636" s="79">
        <v>21.0</v>
      </c>
      <c r="O636" s="79" t="s">
        <v>4785</v>
      </c>
      <c r="P636" s="78" t="s">
        <v>4786</v>
      </c>
      <c r="Q636" s="79"/>
      <c r="R636" s="80"/>
      <c r="S636" s="80"/>
      <c r="T636" s="101"/>
      <c r="U636" s="80"/>
      <c r="V636" s="102" t="s">
        <v>429</v>
      </c>
      <c r="W636" s="79"/>
      <c r="X636" s="79"/>
      <c r="Y636" s="79"/>
      <c r="Z636" s="79"/>
    </row>
    <row r="637" ht="15.75" customHeight="1">
      <c r="A637" s="103" t="s">
        <v>24</v>
      </c>
      <c r="B637" s="77" t="s">
        <v>4787</v>
      </c>
      <c r="C637" s="79">
        <v>3.0677035044E10</v>
      </c>
      <c r="D637" s="77" t="s">
        <v>264</v>
      </c>
      <c r="E637" s="79" t="s">
        <v>4788</v>
      </c>
      <c r="F637" s="44">
        <v>6395.0</v>
      </c>
      <c r="G637" s="77" t="s">
        <v>47</v>
      </c>
      <c r="H637" s="80">
        <v>1684.0</v>
      </c>
      <c r="I637" s="79">
        <v>390000.0</v>
      </c>
      <c r="J637" s="74" t="s">
        <v>316</v>
      </c>
      <c r="K637" s="79" t="s">
        <v>4790</v>
      </c>
      <c r="L637" s="79"/>
      <c r="M637" s="77" t="s">
        <v>4791</v>
      </c>
      <c r="N637" s="79">
        <v>13.0</v>
      </c>
      <c r="O637" s="74"/>
      <c r="P637" s="80"/>
      <c r="Q637" s="79"/>
      <c r="R637" s="80"/>
      <c r="S637" s="80" t="s">
        <v>4792</v>
      </c>
      <c r="T637" s="101" t="s">
        <v>332</v>
      </c>
      <c r="U637" s="80" t="s">
        <v>332</v>
      </c>
      <c r="V637" s="102" t="s">
        <v>4793</v>
      </c>
      <c r="W637" s="79" t="s">
        <v>309</v>
      </c>
      <c r="X637" s="79" t="s">
        <v>309</v>
      </c>
      <c r="Y637" s="79"/>
      <c r="Z637" s="79"/>
    </row>
    <row r="638" ht="15.75" customHeight="1">
      <c r="A638" s="76" t="s">
        <v>247</v>
      </c>
      <c r="B638" s="77" t="s">
        <v>4796</v>
      </c>
      <c r="C638" s="80">
        <v>3.0568111911E10</v>
      </c>
      <c r="D638" s="79" t="s">
        <v>264</v>
      </c>
      <c r="E638" s="77" t="s">
        <v>4797</v>
      </c>
      <c r="F638" s="44">
        <v>1265.0</v>
      </c>
      <c r="G638" s="79" t="s">
        <v>15</v>
      </c>
      <c r="H638" s="80">
        <v>1678.0</v>
      </c>
      <c r="I638" s="79">
        <v>293090.0</v>
      </c>
      <c r="J638" s="74" t="s">
        <v>337</v>
      </c>
      <c r="K638" s="77" t="s">
        <v>407</v>
      </c>
      <c r="L638" s="79" t="s">
        <v>453</v>
      </c>
      <c r="M638" s="79" t="s">
        <v>4798</v>
      </c>
      <c r="N638" s="79">
        <v>23.0</v>
      </c>
      <c r="O638" s="74"/>
      <c r="P638" s="80"/>
      <c r="Q638" s="79"/>
      <c r="R638" s="80"/>
      <c r="S638" s="101" t="s">
        <v>4800</v>
      </c>
      <c r="T638" s="101" t="s">
        <v>332</v>
      </c>
      <c r="U638" s="80" t="s">
        <v>332</v>
      </c>
      <c r="V638" s="102" t="s">
        <v>429</v>
      </c>
      <c r="W638" s="79" t="s">
        <v>309</v>
      </c>
      <c r="X638" s="79" t="s">
        <v>309</v>
      </c>
      <c r="Y638" s="79" t="s">
        <v>309</v>
      </c>
      <c r="Z638" s="79"/>
    </row>
    <row r="639" ht="15.0" customHeight="1">
      <c r="A639" s="76" t="s">
        <v>247</v>
      </c>
      <c r="B639" s="77" t="s">
        <v>4801</v>
      </c>
      <c r="C639" s="80">
        <v>3.0696687974E10</v>
      </c>
      <c r="D639" s="119" t="s">
        <v>264</v>
      </c>
      <c r="E639" s="79" t="s">
        <v>1045</v>
      </c>
      <c r="F639" s="44">
        <v>5531.0</v>
      </c>
      <c r="G639" s="79" t="s">
        <v>15</v>
      </c>
      <c r="H639" s="80">
        <v>1678.0</v>
      </c>
      <c r="I639" s="79">
        <v>222090.0</v>
      </c>
      <c r="J639" s="83" t="s">
        <v>568</v>
      </c>
      <c r="K639" s="77" t="s">
        <v>569</v>
      </c>
      <c r="L639" s="79" t="s">
        <v>453</v>
      </c>
      <c r="M639" s="79"/>
      <c r="N639" s="79">
        <v>4.0</v>
      </c>
      <c r="O639" s="74"/>
      <c r="P639" s="80"/>
      <c r="Q639" s="79"/>
      <c r="R639" s="80"/>
      <c r="S639" s="80" t="s">
        <v>4803</v>
      </c>
      <c r="T639" s="85" t="s">
        <v>4804</v>
      </c>
      <c r="U639" s="80" t="s">
        <v>332</v>
      </c>
      <c r="V639" s="102" t="s">
        <v>4805</v>
      </c>
      <c r="W639" s="79" t="s">
        <v>309</v>
      </c>
      <c r="X639" s="79" t="s">
        <v>309</v>
      </c>
      <c r="Y639" s="79" t="s">
        <v>309</v>
      </c>
      <c r="Z639" s="79"/>
    </row>
    <row r="640" ht="15.0" customHeight="1">
      <c r="A640" s="76" t="s">
        <v>247</v>
      </c>
      <c r="B640" s="77" t="s">
        <v>4807</v>
      </c>
      <c r="C640" s="80">
        <v>3.0611364942E10</v>
      </c>
      <c r="D640" s="79" t="s">
        <v>264</v>
      </c>
      <c r="E640" s="77" t="s">
        <v>1109</v>
      </c>
      <c r="F640" s="44">
        <v>4238.0</v>
      </c>
      <c r="G640" s="79" t="s">
        <v>68</v>
      </c>
      <c r="H640" s="80">
        <v>1702.0</v>
      </c>
      <c r="I640" s="79">
        <v>259999.0</v>
      </c>
      <c r="J640" s="74" t="s">
        <v>347</v>
      </c>
      <c r="K640" s="77" t="s">
        <v>839</v>
      </c>
      <c r="L640" s="79" t="s">
        <v>453</v>
      </c>
      <c r="M640" s="79" t="s">
        <v>4809</v>
      </c>
      <c r="N640" s="79">
        <v>25.0</v>
      </c>
      <c r="O640" s="83" t="s">
        <v>4810</v>
      </c>
      <c r="P640" s="78" t="s">
        <v>4811</v>
      </c>
      <c r="Q640" s="79"/>
      <c r="R640" s="80"/>
      <c r="S640" s="80" t="s">
        <v>4812</v>
      </c>
      <c r="T640" s="101" t="s">
        <v>4813</v>
      </c>
      <c r="U640" s="80"/>
      <c r="V640" s="102" t="s">
        <v>4815</v>
      </c>
      <c r="W640" s="79"/>
      <c r="X640" s="79"/>
      <c r="Y640" s="79" t="s">
        <v>309</v>
      </c>
      <c r="Z640" s="79"/>
    </row>
    <row r="641" ht="15.0" customHeight="1">
      <c r="A641" s="103" t="s">
        <v>24</v>
      </c>
      <c r="B641" s="77" t="s">
        <v>4816</v>
      </c>
      <c r="C641" s="80">
        <v>3.0663733997E10</v>
      </c>
      <c r="D641" s="144" t="s">
        <v>631</v>
      </c>
      <c r="E641" s="79" t="s">
        <v>1781</v>
      </c>
      <c r="F641" s="44">
        <v>909.0</v>
      </c>
      <c r="G641" s="79" t="s">
        <v>119</v>
      </c>
      <c r="H641" s="80">
        <v>1657.0</v>
      </c>
      <c r="I641" s="79">
        <v>452401.0</v>
      </c>
      <c r="J641" s="74" t="s">
        <v>433</v>
      </c>
      <c r="K641" s="79" t="s">
        <v>4710</v>
      </c>
      <c r="L641" s="79"/>
      <c r="M641" s="79"/>
      <c r="N641" s="79">
        <v>2.0</v>
      </c>
      <c r="O641" s="74"/>
      <c r="P641" s="80"/>
      <c r="Q641" s="79"/>
      <c r="R641" s="80"/>
      <c r="S641" s="78" t="s">
        <v>4818</v>
      </c>
      <c r="T641" s="101" t="s">
        <v>332</v>
      </c>
      <c r="U641" s="80" t="s">
        <v>332</v>
      </c>
      <c r="V641" s="102" t="s">
        <v>429</v>
      </c>
      <c r="W641" s="79" t="s">
        <v>306</v>
      </c>
      <c r="X641" s="79" t="s">
        <v>306</v>
      </c>
      <c r="Y641" s="79"/>
      <c r="Z641" s="79"/>
    </row>
    <row r="642" ht="15.0" customHeight="1">
      <c r="A642" s="103" t="s">
        <v>24</v>
      </c>
      <c r="B642" s="79" t="s">
        <v>4819</v>
      </c>
      <c r="C642" s="80">
        <v>3.0618278081E10</v>
      </c>
      <c r="D642" s="144" t="s">
        <v>631</v>
      </c>
      <c r="E642" s="79" t="s">
        <v>3339</v>
      </c>
      <c r="F642" s="44">
        <v>4990.0</v>
      </c>
      <c r="G642" s="79" t="s">
        <v>15</v>
      </c>
      <c r="H642" s="80">
        <v>1678.0</v>
      </c>
      <c r="I642" s="79">
        <v>292300.0</v>
      </c>
      <c r="J642" s="74" t="s">
        <v>347</v>
      </c>
      <c r="K642" s="79" t="s">
        <v>4821</v>
      </c>
      <c r="L642" s="79" t="s">
        <v>662</v>
      </c>
      <c r="M642" s="79"/>
      <c r="N642" s="79">
        <v>0.0</v>
      </c>
      <c r="O642" s="74"/>
      <c r="P642" s="80"/>
      <c r="Q642" s="79"/>
      <c r="R642" s="80"/>
      <c r="S642" s="80" t="s">
        <v>4822</v>
      </c>
      <c r="T642" s="101" t="s">
        <v>332</v>
      </c>
      <c r="U642" s="80" t="s">
        <v>332</v>
      </c>
      <c r="V642" s="102" t="s">
        <v>429</v>
      </c>
      <c r="W642" s="79" t="s">
        <v>309</v>
      </c>
      <c r="X642" s="79" t="s">
        <v>309</v>
      </c>
      <c r="Y642" s="79"/>
      <c r="Z642" s="79"/>
    </row>
    <row r="643" ht="15.75" customHeight="1">
      <c r="A643" s="103" t="s">
        <v>24</v>
      </c>
      <c r="B643" s="77" t="s">
        <v>4824</v>
      </c>
      <c r="C643" s="80">
        <v>3.0663818062E10</v>
      </c>
      <c r="D643" s="119" t="s">
        <v>264</v>
      </c>
      <c r="E643" s="126" t="s">
        <v>696</v>
      </c>
      <c r="F643" s="44">
        <v>4166.0</v>
      </c>
      <c r="G643" s="79" t="s">
        <v>15</v>
      </c>
      <c r="H643" s="80">
        <v>1678.0</v>
      </c>
      <c r="I643" s="79">
        <v>292300.0</v>
      </c>
      <c r="J643" s="74" t="s">
        <v>347</v>
      </c>
      <c r="K643" s="77" t="s">
        <v>4825</v>
      </c>
      <c r="L643" s="79" t="s">
        <v>662</v>
      </c>
      <c r="M643" s="79"/>
      <c r="N643" s="79">
        <v>0.0</v>
      </c>
      <c r="O643" s="74"/>
      <c r="P643" s="80"/>
      <c r="Q643" s="79"/>
      <c r="R643" s="80"/>
      <c r="S643" s="78" t="s">
        <v>4826</v>
      </c>
      <c r="T643" s="101" t="s">
        <v>332</v>
      </c>
      <c r="U643" s="80" t="s">
        <v>332</v>
      </c>
      <c r="V643" s="102" t="s">
        <v>429</v>
      </c>
      <c r="W643" s="79" t="s">
        <v>309</v>
      </c>
      <c r="X643" s="79" t="s">
        <v>309</v>
      </c>
      <c r="Y643" s="79"/>
      <c r="Z643" s="79"/>
    </row>
    <row r="644" ht="15.75" customHeight="1">
      <c r="A644" s="103" t="s">
        <v>24</v>
      </c>
      <c r="B644" s="77" t="s">
        <v>4828</v>
      </c>
      <c r="C644" s="80">
        <v>3.0685272446E10</v>
      </c>
      <c r="D644" s="119" t="s">
        <v>264</v>
      </c>
      <c r="E644" s="79" t="s">
        <v>4829</v>
      </c>
      <c r="F644" s="44">
        <v>3926.0</v>
      </c>
      <c r="G644" s="79" t="s">
        <v>15</v>
      </c>
      <c r="H644" s="80">
        <v>1678.0</v>
      </c>
      <c r="I644" s="79">
        <v>351164.0</v>
      </c>
      <c r="J644" s="74" t="s">
        <v>316</v>
      </c>
      <c r="K644" s="79" t="s">
        <v>4830</v>
      </c>
      <c r="L644" s="79"/>
      <c r="M644" s="79"/>
      <c r="N644" s="79">
        <v>0.0</v>
      </c>
      <c r="O644" s="74"/>
      <c r="P644" s="80"/>
      <c r="Q644" s="79"/>
      <c r="R644" s="80"/>
      <c r="S644" s="78" t="s">
        <v>4832</v>
      </c>
      <c r="T644" s="101" t="s">
        <v>332</v>
      </c>
      <c r="U644" s="80" t="s">
        <v>332</v>
      </c>
      <c r="V644" s="102" t="s">
        <v>429</v>
      </c>
      <c r="W644" s="79" t="s">
        <v>306</v>
      </c>
      <c r="X644" s="79" t="s">
        <v>306</v>
      </c>
      <c r="Y644" s="79"/>
      <c r="Z644" s="79"/>
    </row>
    <row r="645" ht="15.75" customHeight="1">
      <c r="A645" s="76" t="s">
        <v>247</v>
      </c>
      <c r="B645" s="77" t="s">
        <v>4833</v>
      </c>
      <c r="C645" s="101">
        <v>2.7062385699E10</v>
      </c>
      <c r="D645" s="144" t="s">
        <v>631</v>
      </c>
      <c r="E645" s="79" t="s">
        <v>3130</v>
      </c>
      <c r="F645" s="128" t="s">
        <v>4834</v>
      </c>
      <c r="G645" s="79" t="s">
        <v>134</v>
      </c>
      <c r="H645" s="80">
        <v>1682.0</v>
      </c>
      <c r="I645" s="119">
        <v>259999.0</v>
      </c>
      <c r="J645" s="74" t="s">
        <v>337</v>
      </c>
      <c r="K645" s="77" t="s">
        <v>839</v>
      </c>
      <c r="L645" s="79"/>
      <c r="M645" s="77" t="s">
        <v>4836</v>
      </c>
      <c r="N645" s="79"/>
      <c r="O645" s="83" t="s">
        <v>4837</v>
      </c>
      <c r="P645" s="80"/>
      <c r="Q645" s="77" t="s">
        <v>4838</v>
      </c>
      <c r="R645" s="80"/>
      <c r="S645" s="80" t="s">
        <v>4839</v>
      </c>
      <c r="T645" s="101"/>
      <c r="U645" s="80"/>
      <c r="V645" s="102" t="s">
        <v>4840</v>
      </c>
      <c r="W645" s="79"/>
      <c r="X645" s="79"/>
      <c r="Y645" s="79"/>
      <c r="Z645" s="79"/>
    </row>
    <row r="646" ht="15.75" customHeight="1">
      <c r="A646" s="76" t="s">
        <v>247</v>
      </c>
      <c r="B646" s="77" t="s">
        <v>1614</v>
      </c>
      <c r="C646" s="80">
        <v>3.0709748579E10</v>
      </c>
      <c r="D646" s="119" t="s">
        <v>264</v>
      </c>
      <c r="E646" s="79" t="s">
        <v>1376</v>
      </c>
      <c r="F646" s="44">
        <v>355.0</v>
      </c>
      <c r="G646" s="79" t="s">
        <v>68</v>
      </c>
      <c r="H646" s="80">
        <v>1702.0</v>
      </c>
      <c r="I646" s="77">
        <v>107309.0</v>
      </c>
      <c r="J646" s="74" t="s">
        <v>22</v>
      </c>
      <c r="K646" s="77" t="s">
        <v>4842</v>
      </c>
      <c r="L646" s="79"/>
      <c r="M646" s="79" t="s">
        <v>4843</v>
      </c>
      <c r="N646" s="79">
        <v>144.0</v>
      </c>
      <c r="O646" s="126" t="s">
        <v>4844</v>
      </c>
      <c r="P646" s="85" t="s">
        <v>4845</v>
      </c>
      <c r="Q646" s="79" t="s">
        <v>4846</v>
      </c>
      <c r="R646" s="242" t="s">
        <v>4847</v>
      </c>
      <c r="S646" s="85" t="s">
        <v>4848</v>
      </c>
      <c r="T646" s="85" t="s">
        <v>4849</v>
      </c>
      <c r="U646" s="78" t="s">
        <v>4850</v>
      </c>
      <c r="V646" s="102" t="s">
        <v>4851</v>
      </c>
      <c r="W646" s="79" t="s">
        <v>309</v>
      </c>
      <c r="X646" s="79" t="s">
        <v>309</v>
      </c>
      <c r="Y646" s="79" t="s">
        <v>309</v>
      </c>
      <c r="Z646" s="79"/>
    </row>
    <row r="647" ht="15.75" customHeight="1">
      <c r="A647" s="103" t="s">
        <v>24</v>
      </c>
      <c r="B647" s="77" t="s">
        <v>4853</v>
      </c>
      <c r="C647" s="79">
        <v>3.0633777078E10</v>
      </c>
      <c r="D647" s="77" t="s">
        <v>264</v>
      </c>
      <c r="E647" s="79" t="s">
        <v>2029</v>
      </c>
      <c r="F647" s="44">
        <v>1127.0</v>
      </c>
      <c r="G647" s="79" t="s">
        <v>119</v>
      </c>
      <c r="H647" s="80">
        <v>1657.0</v>
      </c>
      <c r="I647" s="79">
        <v>170990.0</v>
      </c>
      <c r="J647" s="74" t="s">
        <v>283</v>
      </c>
      <c r="K647" s="77" t="s">
        <v>2385</v>
      </c>
      <c r="L647" s="79"/>
      <c r="M647" s="79"/>
      <c r="N647" s="79">
        <v>4.0</v>
      </c>
      <c r="O647" s="74"/>
      <c r="P647" s="80"/>
      <c r="Q647" s="79"/>
      <c r="R647" s="80"/>
      <c r="S647" s="78" t="s">
        <v>4855</v>
      </c>
      <c r="T647" s="101"/>
      <c r="U647" s="80" t="s">
        <v>332</v>
      </c>
      <c r="V647" s="102" t="s">
        <v>429</v>
      </c>
      <c r="W647" s="79" t="s">
        <v>309</v>
      </c>
      <c r="X647" s="79" t="s">
        <v>309</v>
      </c>
      <c r="Y647" s="79" t="s">
        <v>309</v>
      </c>
      <c r="Z647" s="79"/>
    </row>
    <row r="648" ht="15.75" customHeight="1">
      <c r="A648" s="76" t="s">
        <v>247</v>
      </c>
      <c r="B648" s="77" t="s">
        <v>4856</v>
      </c>
      <c r="C648" s="80">
        <v>3.0709368067E10</v>
      </c>
      <c r="D648" s="79" t="s">
        <v>264</v>
      </c>
      <c r="E648" s="77" t="s">
        <v>4857</v>
      </c>
      <c r="F648" s="44">
        <v>8675.0</v>
      </c>
      <c r="G648" s="79" t="s">
        <v>119</v>
      </c>
      <c r="H648" s="80">
        <v>1657.0</v>
      </c>
      <c r="I648" s="79">
        <v>222090.0</v>
      </c>
      <c r="J648" s="83" t="s">
        <v>568</v>
      </c>
      <c r="K648" s="79" t="s">
        <v>4859</v>
      </c>
      <c r="L648" s="79" t="s">
        <v>453</v>
      </c>
      <c r="M648" s="79" t="s">
        <v>4860</v>
      </c>
      <c r="N648" s="79"/>
      <c r="O648" s="126" t="s">
        <v>4861</v>
      </c>
      <c r="P648" s="78" t="s">
        <v>4862</v>
      </c>
      <c r="Q648" s="79" t="s">
        <v>4863</v>
      </c>
      <c r="R648" s="78" t="s">
        <v>4864</v>
      </c>
      <c r="S648" s="78" t="s">
        <v>4865</v>
      </c>
      <c r="T648" s="101" t="s">
        <v>4866</v>
      </c>
      <c r="U648" s="80" t="s">
        <v>4867</v>
      </c>
      <c r="V648" s="102" t="s">
        <v>4868</v>
      </c>
      <c r="W648" s="79"/>
      <c r="X648" s="79"/>
      <c r="Y648" s="79" t="s">
        <v>309</v>
      </c>
      <c r="Z648" s="79"/>
    </row>
    <row r="649" ht="15.75" customHeight="1">
      <c r="A649" s="76" t="s">
        <v>247</v>
      </c>
      <c r="B649" s="77" t="s">
        <v>1627</v>
      </c>
      <c r="C649" s="85">
        <v>3.3597021319E10</v>
      </c>
      <c r="D649" s="77" t="s">
        <v>264</v>
      </c>
      <c r="E649" s="77" t="s">
        <v>985</v>
      </c>
      <c r="F649" s="128">
        <v>5340.0</v>
      </c>
      <c r="G649" s="77" t="s">
        <v>15</v>
      </c>
      <c r="H649" s="78">
        <v>1678.0</v>
      </c>
      <c r="I649" s="78">
        <v>222010.0</v>
      </c>
      <c r="J649" s="83" t="s">
        <v>568</v>
      </c>
      <c r="K649" s="291" t="s">
        <v>1170</v>
      </c>
      <c r="L649" s="77" t="s">
        <v>453</v>
      </c>
      <c r="M649" s="77" t="s">
        <v>4870</v>
      </c>
      <c r="N649" s="79"/>
      <c r="O649" s="77" t="s">
        <v>4871</v>
      </c>
      <c r="P649" s="80"/>
      <c r="Q649" s="79"/>
      <c r="R649" s="80"/>
      <c r="S649" s="192" t="s">
        <v>4873</v>
      </c>
      <c r="T649" s="197" t="s">
        <v>4874</v>
      </c>
      <c r="U649" s="192" t="s">
        <v>4875</v>
      </c>
      <c r="V649" s="102" t="s">
        <v>4876</v>
      </c>
      <c r="W649" s="79"/>
      <c r="X649" s="79"/>
      <c r="Y649" s="79"/>
      <c r="Z649" s="79"/>
    </row>
    <row r="650" ht="15.0" customHeight="1">
      <c r="A650" s="103" t="s">
        <v>24</v>
      </c>
      <c r="B650" s="77" t="s">
        <v>4878</v>
      </c>
      <c r="C650" s="79">
        <v>3.0708541342E10</v>
      </c>
      <c r="D650" s="77" t="s">
        <v>264</v>
      </c>
      <c r="E650" s="79" t="s">
        <v>4879</v>
      </c>
      <c r="F650" s="44">
        <v>538.0</v>
      </c>
      <c r="G650" s="77" t="s">
        <v>226</v>
      </c>
      <c r="H650" s="80">
        <v>1674.0</v>
      </c>
      <c r="I650" s="79">
        <v>170202.0</v>
      </c>
      <c r="J650" s="74" t="s">
        <v>283</v>
      </c>
      <c r="K650" s="79" t="s">
        <v>1459</v>
      </c>
      <c r="L650" s="79"/>
      <c r="M650" s="79"/>
      <c r="N650" s="79">
        <v>10.0</v>
      </c>
      <c r="O650" s="74" t="s">
        <v>4880</v>
      </c>
      <c r="P650" s="80"/>
      <c r="Q650" s="79"/>
      <c r="R650" s="80"/>
      <c r="S650" s="80" t="s">
        <v>4881</v>
      </c>
      <c r="T650" s="85" t="s">
        <v>4882</v>
      </c>
      <c r="U650" s="80" t="s">
        <v>332</v>
      </c>
      <c r="V650" s="102" t="s">
        <v>4884</v>
      </c>
      <c r="W650" s="79" t="s">
        <v>306</v>
      </c>
      <c r="X650" s="79" t="s">
        <v>306</v>
      </c>
      <c r="Y650" s="79"/>
      <c r="Z650" s="79"/>
    </row>
    <row r="651" ht="15.0" customHeight="1">
      <c r="A651" s="103" t="s">
        <v>24</v>
      </c>
      <c r="B651" s="77" t="s">
        <v>4885</v>
      </c>
      <c r="C651" s="80">
        <v>3.0712122575E10</v>
      </c>
      <c r="D651" s="119" t="s">
        <v>264</v>
      </c>
      <c r="E651" s="79" t="s">
        <v>4886</v>
      </c>
      <c r="F651" s="44">
        <v>867.0</v>
      </c>
      <c r="G651" s="77" t="s">
        <v>226</v>
      </c>
      <c r="H651" s="80">
        <v>1674.0</v>
      </c>
      <c r="I651" s="79">
        <v>202908.0</v>
      </c>
      <c r="J651" s="74" t="s">
        <v>316</v>
      </c>
      <c r="K651" s="77" t="s">
        <v>1153</v>
      </c>
      <c r="L651" s="79"/>
      <c r="M651" s="79"/>
      <c r="N651" s="79">
        <v>1.0</v>
      </c>
      <c r="O651" s="83" t="s">
        <v>4887</v>
      </c>
      <c r="P651" s="80"/>
      <c r="Q651" s="79"/>
      <c r="R651" s="80"/>
      <c r="S651" s="78" t="s">
        <v>4889</v>
      </c>
      <c r="T651" s="85" t="s">
        <v>4890</v>
      </c>
      <c r="U651" s="80" t="s">
        <v>332</v>
      </c>
      <c r="V651" s="243"/>
      <c r="W651" s="79" t="s">
        <v>306</v>
      </c>
      <c r="X651" s="79" t="s">
        <v>306</v>
      </c>
      <c r="Y651" s="79"/>
      <c r="Z651" s="79"/>
    </row>
    <row r="652" ht="15.0" customHeight="1">
      <c r="A652" s="76" t="s">
        <v>247</v>
      </c>
      <c r="B652" s="77" t="s">
        <v>1637</v>
      </c>
      <c r="C652" s="80">
        <v>3.0715926683E10</v>
      </c>
      <c r="D652" s="79" t="s">
        <v>264</v>
      </c>
      <c r="E652" s="79" t="s">
        <v>1644</v>
      </c>
      <c r="F652" s="44">
        <v>2253.0</v>
      </c>
      <c r="G652" s="79" t="s">
        <v>175</v>
      </c>
      <c r="H652" s="80">
        <v>1657.0</v>
      </c>
      <c r="I652" s="80">
        <v>251101.0</v>
      </c>
      <c r="J652" s="74" t="s">
        <v>337</v>
      </c>
      <c r="K652" s="83" t="s">
        <v>4892</v>
      </c>
      <c r="L652" s="79"/>
      <c r="M652" s="79" t="s">
        <v>4893</v>
      </c>
      <c r="N652" s="79">
        <v>5.0</v>
      </c>
      <c r="O652" s="79" t="s">
        <v>4894</v>
      </c>
      <c r="P652" s="240"/>
      <c r="Q652" s="152" t="s">
        <v>4895</v>
      </c>
      <c r="R652" s="153" t="s">
        <v>4896</v>
      </c>
      <c r="S652" s="80"/>
      <c r="T652" s="80"/>
      <c r="U652" s="80"/>
      <c r="V652" s="102" t="s">
        <v>429</v>
      </c>
      <c r="W652" s="79"/>
      <c r="X652" s="79"/>
      <c r="Y652" s="79"/>
      <c r="Z652" s="79"/>
    </row>
    <row r="653" ht="15.0" customHeight="1">
      <c r="A653" s="76" t="s">
        <v>247</v>
      </c>
      <c r="B653" s="77" t="s">
        <v>4897</v>
      </c>
      <c r="C653" s="80">
        <v>3.0505531031E10</v>
      </c>
      <c r="D653" s="119" t="s">
        <v>264</v>
      </c>
      <c r="E653" s="77" t="s">
        <v>1437</v>
      </c>
      <c r="F653" s="44">
        <v>5329.0</v>
      </c>
      <c r="G653" s="77" t="s">
        <v>119</v>
      </c>
      <c r="H653" s="80">
        <v>1650.0</v>
      </c>
      <c r="I653" s="79">
        <v>282909.0</v>
      </c>
      <c r="J653" s="74" t="s">
        <v>347</v>
      </c>
      <c r="K653" s="77" t="s">
        <v>2642</v>
      </c>
      <c r="L653" s="79" t="s">
        <v>662</v>
      </c>
      <c r="M653" s="79" t="s">
        <v>4899</v>
      </c>
      <c r="N653" s="79">
        <v>10.0</v>
      </c>
      <c r="O653" s="74"/>
      <c r="P653" s="80"/>
      <c r="Q653" s="79"/>
      <c r="R653" s="80"/>
      <c r="S653" s="80" t="s">
        <v>4900</v>
      </c>
      <c r="T653" s="101" t="s">
        <v>4901</v>
      </c>
      <c r="U653" s="80" t="s">
        <v>332</v>
      </c>
      <c r="V653" s="102" t="s">
        <v>4902</v>
      </c>
      <c r="W653" s="79" t="s">
        <v>309</v>
      </c>
      <c r="X653" s="79" t="s">
        <v>309</v>
      </c>
      <c r="Y653" s="79" t="s">
        <v>309</v>
      </c>
      <c r="Z653" s="79"/>
    </row>
    <row r="654" ht="15.0" customHeight="1">
      <c r="A654" s="103" t="s">
        <v>24</v>
      </c>
      <c r="B654" s="79" t="s">
        <v>4904</v>
      </c>
      <c r="C654" s="80">
        <v>3.0712241604E10</v>
      </c>
      <c r="D654" s="79" t="s">
        <v>264</v>
      </c>
      <c r="E654" s="79" t="s">
        <v>2491</v>
      </c>
      <c r="F654" s="44">
        <v>2034.0</v>
      </c>
      <c r="G654" s="77" t="s">
        <v>249</v>
      </c>
      <c r="H654" s="78">
        <v>1676.0</v>
      </c>
      <c r="I654" s="79">
        <v>310010.0</v>
      </c>
      <c r="J654" s="83" t="s">
        <v>313</v>
      </c>
      <c r="K654" s="77" t="s">
        <v>1438</v>
      </c>
      <c r="L654" s="79" t="s">
        <v>1122</v>
      </c>
      <c r="M654" s="79"/>
      <c r="N654" s="79"/>
      <c r="O654" s="74"/>
      <c r="P654" s="80"/>
      <c r="Q654" s="79"/>
      <c r="R654" s="80"/>
      <c r="S654" s="78" t="s">
        <v>4905</v>
      </c>
      <c r="T654" s="101"/>
      <c r="U654" s="80"/>
      <c r="V654" s="102" t="s">
        <v>429</v>
      </c>
      <c r="W654" s="79"/>
      <c r="X654" s="79"/>
      <c r="Y654" s="79"/>
      <c r="Z654" s="79"/>
    </row>
    <row r="655" ht="15.0" customHeight="1">
      <c r="A655" s="76" t="s">
        <v>247</v>
      </c>
      <c r="B655" s="79" t="s">
        <v>1642</v>
      </c>
      <c r="C655" s="80">
        <v>3.070824679E10</v>
      </c>
      <c r="D655" s="79" t="s">
        <v>264</v>
      </c>
      <c r="E655" s="77" t="s">
        <v>4879</v>
      </c>
      <c r="F655" s="128">
        <v>550.0</v>
      </c>
      <c r="G655" s="77" t="s">
        <v>226</v>
      </c>
      <c r="H655" s="80">
        <v>1674.0</v>
      </c>
      <c r="I655" s="79">
        <v>281500.0</v>
      </c>
      <c r="J655" s="74" t="s">
        <v>347</v>
      </c>
      <c r="K655" s="79" t="s">
        <v>4907</v>
      </c>
      <c r="L655" s="79"/>
      <c r="M655" s="79" t="s">
        <v>4908</v>
      </c>
      <c r="N655" s="79">
        <v>20.0</v>
      </c>
      <c r="O655" s="126" t="s">
        <v>4909</v>
      </c>
      <c r="P655" s="78" t="s">
        <v>4910</v>
      </c>
      <c r="Q655" s="119" t="s">
        <v>4911</v>
      </c>
      <c r="R655" s="78" t="s">
        <v>4912</v>
      </c>
      <c r="S655" s="78" t="s">
        <v>4913</v>
      </c>
      <c r="T655" s="101" t="s">
        <v>4914</v>
      </c>
      <c r="U655" s="78" t="s">
        <v>4915</v>
      </c>
      <c r="V655" s="102" t="s">
        <v>4917</v>
      </c>
      <c r="W655" s="79" t="s">
        <v>306</v>
      </c>
      <c r="X655" s="79" t="s">
        <v>306</v>
      </c>
      <c r="Y655" s="79" t="s">
        <v>309</v>
      </c>
      <c r="Z655" s="79"/>
    </row>
    <row r="656" ht="15.0" customHeight="1">
      <c r="A656" s="103" t="s">
        <v>24</v>
      </c>
      <c r="B656" s="77" t="s">
        <v>4918</v>
      </c>
      <c r="C656" s="80">
        <v>3.0547456412E10</v>
      </c>
      <c r="D656" s="77" t="s">
        <v>631</v>
      </c>
      <c r="E656" s="79" t="s">
        <v>4919</v>
      </c>
      <c r="F656" s="44">
        <v>1274.0</v>
      </c>
      <c r="G656" s="79" t="s">
        <v>249</v>
      </c>
      <c r="H656" s="80">
        <v>1676.0</v>
      </c>
      <c r="I656" s="77">
        <v>310010.0</v>
      </c>
      <c r="J656" s="74" t="s">
        <v>313</v>
      </c>
      <c r="K656" s="79" t="s">
        <v>2534</v>
      </c>
      <c r="L656" s="79" t="s">
        <v>1122</v>
      </c>
      <c r="M656" s="79"/>
      <c r="N656" s="79">
        <v>9.0</v>
      </c>
      <c r="O656" s="74"/>
      <c r="P656" s="80"/>
      <c r="Q656" s="79"/>
      <c r="R656" s="80"/>
      <c r="S656" s="80" t="s">
        <v>4921</v>
      </c>
      <c r="T656" s="101" t="s">
        <v>332</v>
      </c>
      <c r="U656" s="80" t="s">
        <v>332</v>
      </c>
      <c r="V656" s="102" t="s">
        <v>429</v>
      </c>
      <c r="W656" s="79" t="s">
        <v>309</v>
      </c>
      <c r="X656" s="79" t="s">
        <v>309</v>
      </c>
      <c r="Y656" s="79"/>
      <c r="Z656" s="79"/>
    </row>
    <row r="657" ht="15.0" customHeight="1">
      <c r="A657" s="76" t="s">
        <v>247</v>
      </c>
      <c r="B657" s="77" t="s">
        <v>4922</v>
      </c>
      <c r="C657" s="80">
        <v>3.0709215791E10</v>
      </c>
      <c r="D657" s="119" t="s">
        <v>264</v>
      </c>
      <c r="E657" s="77" t="s">
        <v>1806</v>
      </c>
      <c r="F657" s="44">
        <v>4063.0</v>
      </c>
      <c r="G657" s="79" t="s">
        <v>15</v>
      </c>
      <c r="H657" s="80">
        <v>1678.0</v>
      </c>
      <c r="I657" s="79">
        <v>222090.0</v>
      </c>
      <c r="J657" s="83" t="s">
        <v>568</v>
      </c>
      <c r="K657" s="77" t="s">
        <v>569</v>
      </c>
      <c r="L657" s="79" t="s">
        <v>453</v>
      </c>
      <c r="M657" s="79"/>
      <c r="N657" s="79">
        <v>9.0</v>
      </c>
      <c r="O657" s="74"/>
      <c r="P657" s="80"/>
      <c r="Q657" s="79"/>
      <c r="R657" s="80"/>
      <c r="S657" s="78" t="s">
        <v>4924</v>
      </c>
      <c r="T657" s="101" t="s">
        <v>4925</v>
      </c>
      <c r="U657" s="80" t="s">
        <v>332</v>
      </c>
      <c r="V657" s="102" t="s">
        <v>429</v>
      </c>
      <c r="W657" s="79" t="s">
        <v>306</v>
      </c>
      <c r="X657" s="79" t="s">
        <v>306</v>
      </c>
      <c r="Y657" s="79" t="s">
        <v>309</v>
      </c>
      <c r="Z657" s="79"/>
    </row>
    <row r="658" ht="15.0" customHeight="1">
      <c r="A658" s="76" t="s">
        <v>247</v>
      </c>
      <c r="B658" s="291" t="s">
        <v>4927</v>
      </c>
      <c r="C658" s="80">
        <v>3.0582623313E10</v>
      </c>
      <c r="D658" s="79" t="s">
        <v>264</v>
      </c>
      <c r="E658" s="79" t="s">
        <v>4928</v>
      </c>
      <c r="F658" s="44">
        <v>1238.0</v>
      </c>
      <c r="G658" s="79" t="s">
        <v>15</v>
      </c>
      <c r="H658" s="80">
        <v>1678.0</v>
      </c>
      <c r="I658" s="79">
        <v>259100.0</v>
      </c>
      <c r="J658" s="83" t="s">
        <v>347</v>
      </c>
      <c r="K658" s="79" t="s">
        <v>1329</v>
      </c>
      <c r="L658" s="79" t="s">
        <v>286</v>
      </c>
      <c r="M658" s="79" t="s">
        <v>4929</v>
      </c>
      <c r="N658" s="79">
        <v>9.0</v>
      </c>
      <c r="O658" s="74"/>
      <c r="P658" s="80"/>
      <c r="Q658" s="77" t="s">
        <v>4930</v>
      </c>
      <c r="R658" s="78" t="s">
        <v>4931</v>
      </c>
      <c r="S658" s="85" t="s">
        <v>4932</v>
      </c>
      <c r="T658" s="101" t="s">
        <v>332</v>
      </c>
      <c r="U658" s="80" t="s">
        <v>332</v>
      </c>
      <c r="V658" s="102" t="s">
        <v>4933</v>
      </c>
      <c r="W658" s="79" t="s">
        <v>306</v>
      </c>
      <c r="X658" s="79" t="s">
        <v>306</v>
      </c>
      <c r="Y658" s="79" t="s">
        <v>309</v>
      </c>
      <c r="Z658" s="79"/>
    </row>
    <row r="659" ht="15.0" customHeight="1">
      <c r="A659" s="76" t="s">
        <v>247</v>
      </c>
      <c r="B659" s="77" t="s">
        <v>4935</v>
      </c>
      <c r="C659" s="80">
        <v>3.0590929715E10</v>
      </c>
      <c r="D659" s="79" t="s">
        <v>264</v>
      </c>
      <c r="E659" s="79" t="s">
        <v>1904</v>
      </c>
      <c r="F659" s="44">
        <v>2673.0</v>
      </c>
      <c r="G659" s="79" t="s">
        <v>15</v>
      </c>
      <c r="H659" s="80">
        <v>1678.0</v>
      </c>
      <c r="I659" s="79">
        <v>173010.0</v>
      </c>
      <c r="J659" s="74" t="s">
        <v>448</v>
      </c>
      <c r="K659" s="79" t="s">
        <v>4937</v>
      </c>
      <c r="L659" s="79"/>
      <c r="M659" s="79"/>
      <c r="N659" s="79">
        <v>0.0</v>
      </c>
      <c r="O659" s="74"/>
      <c r="P659" s="80"/>
      <c r="Q659" s="79"/>
      <c r="R659" s="80"/>
      <c r="S659" s="78" t="s">
        <v>4938</v>
      </c>
      <c r="T659" s="101"/>
      <c r="U659" s="80" t="s">
        <v>332</v>
      </c>
      <c r="V659" s="102" t="s">
        <v>429</v>
      </c>
      <c r="W659" s="79" t="s">
        <v>309</v>
      </c>
      <c r="X659" s="79" t="s">
        <v>309</v>
      </c>
      <c r="Y659" s="79" t="s">
        <v>309</v>
      </c>
      <c r="Z659" s="79"/>
    </row>
    <row r="660" ht="15.0" customHeight="1">
      <c r="A660" s="103" t="s">
        <v>24</v>
      </c>
      <c r="B660" s="292" t="s">
        <v>4939</v>
      </c>
      <c r="C660" s="80">
        <v>3.0583059667E10</v>
      </c>
      <c r="D660" s="79" t="s">
        <v>264</v>
      </c>
      <c r="E660" s="77" t="s">
        <v>943</v>
      </c>
      <c r="F660" s="44">
        <v>2065.0</v>
      </c>
      <c r="G660" s="79" t="s">
        <v>285</v>
      </c>
      <c r="H660" s="80">
        <v>1702.0</v>
      </c>
      <c r="I660" s="79">
        <v>310010.0</v>
      </c>
      <c r="J660" s="83" t="s">
        <v>313</v>
      </c>
      <c r="K660" s="77" t="s">
        <v>1438</v>
      </c>
      <c r="L660" s="79" t="s">
        <v>453</v>
      </c>
      <c r="M660" s="79"/>
      <c r="N660" s="79"/>
      <c r="O660" s="79"/>
      <c r="P660" s="80"/>
      <c r="Q660" s="79"/>
      <c r="R660" s="80"/>
      <c r="S660" s="80" t="s">
        <v>4941</v>
      </c>
      <c r="T660" s="85">
        <v>4.3129245E7</v>
      </c>
      <c r="U660" s="78">
        <v>1.14067188E9</v>
      </c>
      <c r="V660" s="102" t="s">
        <v>429</v>
      </c>
      <c r="W660" s="79"/>
      <c r="X660" s="79"/>
      <c r="Y660" s="79"/>
      <c r="Z660" s="79"/>
    </row>
    <row r="661" ht="15.0" customHeight="1">
      <c r="A661" s="76" t="s">
        <v>247</v>
      </c>
      <c r="B661" s="77" t="s">
        <v>4943</v>
      </c>
      <c r="C661" s="80">
        <v>3.0711000409E10</v>
      </c>
      <c r="D661" s="119" t="s">
        <v>264</v>
      </c>
      <c r="E661" s="79" t="s">
        <v>1494</v>
      </c>
      <c r="F661" s="128">
        <v>1153.0</v>
      </c>
      <c r="G661" s="79" t="s">
        <v>269</v>
      </c>
      <c r="H661" s="80">
        <v>1682.0</v>
      </c>
      <c r="I661" s="79">
        <v>107912.0</v>
      </c>
      <c r="J661" s="74" t="s">
        <v>22</v>
      </c>
      <c r="K661" s="79" t="s">
        <v>4944</v>
      </c>
      <c r="L661" s="79"/>
      <c r="M661" s="79"/>
      <c r="N661" s="79">
        <v>2.0</v>
      </c>
      <c r="O661" s="74"/>
      <c r="P661" s="80"/>
      <c r="Q661" s="79"/>
      <c r="R661" s="80"/>
      <c r="S661" s="80" t="s">
        <v>4946</v>
      </c>
      <c r="T661" s="101" t="s">
        <v>4947</v>
      </c>
      <c r="U661" s="80" t="s">
        <v>332</v>
      </c>
      <c r="V661" s="102" t="s">
        <v>4948</v>
      </c>
      <c r="W661" s="79" t="s">
        <v>306</v>
      </c>
      <c r="X661" s="79" t="s">
        <v>306</v>
      </c>
      <c r="Y661" s="79"/>
      <c r="Z661" s="79"/>
    </row>
    <row r="662" ht="15.0" customHeight="1">
      <c r="A662" s="76" t="s">
        <v>247</v>
      </c>
      <c r="B662" s="77" t="s">
        <v>1646</v>
      </c>
      <c r="C662" s="80">
        <v>3.0684958115E10</v>
      </c>
      <c r="D662" s="119" t="s">
        <v>264</v>
      </c>
      <c r="E662" s="79" t="s">
        <v>1726</v>
      </c>
      <c r="F662" s="44">
        <v>3430.0</v>
      </c>
      <c r="G662" s="79" t="s">
        <v>15</v>
      </c>
      <c r="H662" s="80">
        <v>1678.0</v>
      </c>
      <c r="I662" s="79">
        <v>107912.0</v>
      </c>
      <c r="J662" s="74" t="s">
        <v>22</v>
      </c>
      <c r="K662" s="79" t="s">
        <v>4944</v>
      </c>
      <c r="L662" s="79"/>
      <c r="M662" s="79"/>
      <c r="N662" s="79">
        <v>6.0</v>
      </c>
      <c r="O662" s="126" t="s">
        <v>4950</v>
      </c>
      <c r="P662" s="85" t="s">
        <v>4951</v>
      </c>
      <c r="Q662" s="79" t="s">
        <v>4952</v>
      </c>
      <c r="R662" s="80"/>
      <c r="S662" s="80" t="s">
        <v>4953</v>
      </c>
      <c r="T662" s="101" t="s">
        <v>4954</v>
      </c>
      <c r="U662" s="80" t="s">
        <v>4955</v>
      </c>
      <c r="V662" s="102" t="s">
        <v>4956</v>
      </c>
      <c r="W662" s="79" t="s">
        <v>309</v>
      </c>
      <c r="X662" s="79" t="s">
        <v>309</v>
      </c>
      <c r="Y662" s="79" t="s">
        <v>309</v>
      </c>
      <c r="Z662" s="79"/>
    </row>
    <row r="663" ht="15.0" customHeight="1">
      <c r="A663" s="76" t="s">
        <v>247</v>
      </c>
      <c r="B663" s="77" t="s">
        <v>4957</v>
      </c>
      <c r="C663" s="80">
        <v>3.0701147118E10</v>
      </c>
      <c r="D663" s="77" t="s">
        <v>631</v>
      </c>
      <c r="E663" s="79" t="s">
        <v>4958</v>
      </c>
      <c r="F663" s="44">
        <v>3039.0</v>
      </c>
      <c r="G663" s="79" t="s">
        <v>15</v>
      </c>
      <c r="H663" s="80">
        <v>1678.0</v>
      </c>
      <c r="I663" s="79">
        <v>259993.0</v>
      </c>
      <c r="J663" s="74" t="s">
        <v>347</v>
      </c>
      <c r="K663" s="129" t="s">
        <v>638</v>
      </c>
      <c r="L663" s="79" t="s">
        <v>453</v>
      </c>
      <c r="M663" s="79"/>
      <c r="N663" s="79">
        <v>0.0</v>
      </c>
      <c r="O663" s="74"/>
      <c r="P663" s="80"/>
      <c r="Q663" s="79"/>
      <c r="R663" s="80"/>
      <c r="S663" s="78" t="s">
        <v>4960</v>
      </c>
      <c r="T663" s="85" t="s">
        <v>4961</v>
      </c>
      <c r="U663" s="293" t="s">
        <v>4962</v>
      </c>
      <c r="V663" s="102" t="s">
        <v>429</v>
      </c>
      <c r="W663" s="79" t="s">
        <v>309</v>
      </c>
      <c r="X663" s="79" t="s">
        <v>309</v>
      </c>
      <c r="Y663" s="79" t="s">
        <v>309</v>
      </c>
      <c r="Z663" s="79"/>
    </row>
    <row r="664" ht="15.75" customHeight="1">
      <c r="A664" s="103" t="s">
        <v>24</v>
      </c>
      <c r="B664" s="77" t="s">
        <v>4963</v>
      </c>
      <c r="C664" s="80">
        <v>3.0517187948E10</v>
      </c>
      <c r="D664" s="79" t="s">
        <v>264</v>
      </c>
      <c r="E664" s="77" t="s">
        <v>943</v>
      </c>
      <c r="F664" s="44">
        <v>4552.0</v>
      </c>
      <c r="G664" s="79" t="s">
        <v>68</v>
      </c>
      <c r="H664" s="80">
        <v>1702.0</v>
      </c>
      <c r="I664" s="79">
        <v>273190.0</v>
      </c>
      <c r="J664" s="74" t="s">
        <v>347</v>
      </c>
      <c r="K664" s="77" t="s">
        <v>3591</v>
      </c>
      <c r="L664" s="79"/>
      <c r="M664" s="79" t="s">
        <v>4965</v>
      </c>
      <c r="N664" s="79">
        <v>12.0</v>
      </c>
      <c r="O664" s="74"/>
      <c r="P664" s="80"/>
      <c r="Q664" s="79"/>
      <c r="R664" s="114"/>
      <c r="S664" s="78" t="s">
        <v>4924</v>
      </c>
      <c r="T664" s="101" t="s">
        <v>4966</v>
      </c>
      <c r="U664" s="80" t="s">
        <v>4967</v>
      </c>
      <c r="V664" s="102" t="s">
        <v>429</v>
      </c>
      <c r="W664" s="79" t="s">
        <v>306</v>
      </c>
      <c r="X664" s="79" t="s">
        <v>306</v>
      </c>
      <c r="Y664" s="79" t="s">
        <v>309</v>
      </c>
      <c r="Z664" s="79"/>
    </row>
    <row r="665" ht="15.75" customHeight="1">
      <c r="A665" s="103" t="s">
        <v>24</v>
      </c>
      <c r="B665" s="77" t="s">
        <v>4969</v>
      </c>
      <c r="C665" s="79">
        <v>3.05010466E10</v>
      </c>
      <c r="D665" s="77" t="s">
        <v>264</v>
      </c>
      <c r="E665" s="79" t="s">
        <v>1095</v>
      </c>
      <c r="F665" s="44">
        <v>4429.0</v>
      </c>
      <c r="G665" s="79" t="s">
        <v>15</v>
      </c>
      <c r="H665" s="80">
        <v>1678.0</v>
      </c>
      <c r="I665" s="79">
        <v>502990.0</v>
      </c>
      <c r="J665" s="74" t="s">
        <v>433</v>
      </c>
      <c r="K665" s="77" t="s">
        <v>4970</v>
      </c>
      <c r="L665" s="79"/>
      <c r="M665" s="79"/>
      <c r="N665" s="79">
        <v>0.0</v>
      </c>
      <c r="O665" s="74"/>
      <c r="P665" s="80"/>
      <c r="Q665" s="79"/>
      <c r="R665" s="80"/>
      <c r="S665" s="80" t="s">
        <v>4972</v>
      </c>
      <c r="T665" s="101" t="s">
        <v>332</v>
      </c>
      <c r="U665" s="80" t="s">
        <v>332</v>
      </c>
      <c r="V665" s="102" t="s">
        <v>429</v>
      </c>
      <c r="W665" s="79" t="s">
        <v>306</v>
      </c>
      <c r="X665" s="79" t="s">
        <v>306</v>
      </c>
      <c r="Y665" s="79"/>
      <c r="Z665" s="79"/>
    </row>
    <row r="666" ht="15.0" customHeight="1">
      <c r="A666" s="76" t="s">
        <v>247</v>
      </c>
      <c r="B666" s="77" t="s">
        <v>4973</v>
      </c>
      <c r="C666" s="80">
        <v>3.0504464632E10</v>
      </c>
      <c r="D666" s="119" t="s">
        <v>264</v>
      </c>
      <c r="E666" s="79" t="s">
        <v>1569</v>
      </c>
      <c r="F666" s="44">
        <v>4346.0</v>
      </c>
      <c r="G666" s="79" t="s">
        <v>68</v>
      </c>
      <c r="H666" s="80">
        <v>1702.0</v>
      </c>
      <c r="I666" s="79">
        <v>281900.0</v>
      </c>
      <c r="J666" s="74" t="s">
        <v>347</v>
      </c>
      <c r="K666" s="77" t="s">
        <v>2217</v>
      </c>
      <c r="L666" s="79" t="s">
        <v>453</v>
      </c>
      <c r="M666" s="79" t="s">
        <v>4975</v>
      </c>
      <c r="N666" s="79">
        <v>1.0</v>
      </c>
      <c r="O666" s="74"/>
      <c r="P666" s="80"/>
      <c r="Q666" s="79"/>
      <c r="R666" s="80"/>
      <c r="S666" s="80" t="s">
        <v>4976</v>
      </c>
      <c r="T666" s="101" t="s">
        <v>4977</v>
      </c>
      <c r="U666" s="80"/>
      <c r="V666" s="102" t="s">
        <v>429</v>
      </c>
      <c r="W666" s="79" t="s">
        <v>309</v>
      </c>
      <c r="X666" s="79" t="s">
        <v>309</v>
      </c>
      <c r="Y666" s="79" t="s">
        <v>309</v>
      </c>
      <c r="Z666" s="79"/>
    </row>
    <row r="667" ht="15.75" customHeight="1">
      <c r="A667" s="76" t="s">
        <v>247</v>
      </c>
      <c r="B667" s="79" t="s">
        <v>4979</v>
      </c>
      <c r="C667" s="101">
        <v>3.0584764518E10</v>
      </c>
      <c r="D667" s="79" t="s">
        <v>264</v>
      </c>
      <c r="E667" s="79" t="s">
        <v>1369</v>
      </c>
      <c r="F667" s="44">
        <v>1953.0</v>
      </c>
      <c r="G667" s="79" t="s">
        <v>68</v>
      </c>
      <c r="H667" s="80">
        <v>1702.0</v>
      </c>
      <c r="I667" s="79">
        <v>259999.0</v>
      </c>
      <c r="J667" s="74" t="s">
        <v>347</v>
      </c>
      <c r="K667" s="144" t="s">
        <v>839</v>
      </c>
      <c r="L667" s="79"/>
      <c r="M667" s="79"/>
      <c r="N667" s="79"/>
      <c r="O667" s="79"/>
      <c r="P667" s="80"/>
      <c r="Q667" s="79"/>
      <c r="R667" s="80"/>
      <c r="S667" s="80" t="s">
        <v>4981</v>
      </c>
      <c r="T667" s="101"/>
      <c r="U667" s="80"/>
      <c r="V667" s="102" t="s">
        <v>4982</v>
      </c>
      <c r="W667" s="79"/>
      <c r="X667" s="79"/>
      <c r="Y667" s="79"/>
      <c r="Z667" s="79"/>
    </row>
    <row r="668" ht="15.0" customHeight="1">
      <c r="A668" s="76" t="s">
        <v>247</v>
      </c>
      <c r="B668" s="79" t="s">
        <v>4984</v>
      </c>
      <c r="C668" s="80">
        <v>3.0555405738E10</v>
      </c>
      <c r="D668" s="79" t="s">
        <v>264</v>
      </c>
      <c r="E668" s="77" t="s">
        <v>3068</v>
      </c>
      <c r="F668" s="44">
        <v>10390.0</v>
      </c>
      <c r="G668" s="79" t="s">
        <v>119</v>
      </c>
      <c r="H668" s="80">
        <v>1657.0</v>
      </c>
      <c r="I668" s="79">
        <v>289993.0</v>
      </c>
      <c r="J668" s="74" t="s">
        <v>347</v>
      </c>
      <c r="K668" s="77" t="s">
        <v>638</v>
      </c>
      <c r="L668" s="79" t="s">
        <v>453</v>
      </c>
      <c r="M668" s="79"/>
      <c r="N668" s="79">
        <v>5.0</v>
      </c>
      <c r="O668" s="74"/>
      <c r="P668" s="80"/>
      <c r="Q668" s="79"/>
      <c r="R668" s="80"/>
      <c r="S668" s="80" t="s">
        <v>4985</v>
      </c>
      <c r="T668" s="101" t="s">
        <v>4986</v>
      </c>
      <c r="U668" s="80" t="s">
        <v>332</v>
      </c>
      <c r="V668" s="102" t="s">
        <v>4987</v>
      </c>
      <c r="W668" s="79" t="s">
        <v>309</v>
      </c>
      <c r="X668" s="79" t="s">
        <v>309</v>
      </c>
      <c r="Y668" s="79" t="s">
        <v>309</v>
      </c>
      <c r="Z668" s="79"/>
    </row>
    <row r="669" ht="15.75" customHeight="1">
      <c r="A669" s="76" t="s">
        <v>247</v>
      </c>
      <c r="B669" s="79" t="s">
        <v>4989</v>
      </c>
      <c r="C669" s="80">
        <v>3.0617038699E10</v>
      </c>
      <c r="D669" s="119" t="s">
        <v>264</v>
      </c>
      <c r="E669" s="79" t="s">
        <v>4223</v>
      </c>
      <c r="F669" s="44">
        <v>1935.0</v>
      </c>
      <c r="G669" s="79" t="s">
        <v>15</v>
      </c>
      <c r="H669" s="80">
        <v>1678.0</v>
      </c>
      <c r="I669" s="79">
        <v>259910.0</v>
      </c>
      <c r="J669" s="74" t="s">
        <v>347</v>
      </c>
      <c r="K669" s="79" t="s">
        <v>4990</v>
      </c>
      <c r="L669" s="79" t="s">
        <v>453</v>
      </c>
      <c r="M669" s="79"/>
      <c r="N669" s="79">
        <v>18.0</v>
      </c>
      <c r="O669" s="74"/>
      <c r="P669" s="80"/>
      <c r="Q669" s="79"/>
      <c r="R669" s="80"/>
      <c r="S669" s="80" t="s">
        <v>4992</v>
      </c>
      <c r="T669" s="101" t="s">
        <v>4993</v>
      </c>
      <c r="U669" s="80" t="s">
        <v>332</v>
      </c>
      <c r="V669" s="102" t="s">
        <v>4994</v>
      </c>
      <c r="W669" s="79" t="s">
        <v>309</v>
      </c>
      <c r="X669" s="79" t="s">
        <v>309</v>
      </c>
      <c r="Y669" s="79" t="s">
        <v>309</v>
      </c>
      <c r="Z669" s="79"/>
    </row>
    <row r="670" ht="15.75" customHeight="1">
      <c r="A670" s="76" t="s">
        <v>247</v>
      </c>
      <c r="B670" s="79" t="s">
        <v>1653</v>
      </c>
      <c r="C670" s="80">
        <v>3.052147814E10</v>
      </c>
      <c r="D670" s="79" t="s">
        <v>264</v>
      </c>
      <c r="E670" s="79" t="s">
        <v>1563</v>
      </c>
      <c r="F670" s="44">
        <v>4057.0</v>
      </c>
      <c r="G670" s="79" t="s">
        <v>15</v>
      </c>
      <c r="H670" s="80">
        <v>1678.0</v>
      </c>
      <c r="I670" s="79">
        <v>259993.0</v>
      </c>
      <c r="J670" s="74" t="s">
        <v>347</v>
      </c>
      <c r="K670" s="129" t="s">
        <v>638</v>
      </c>
      <c r="L670" s="79" t="s">
        <v>453</v>
      </c>
      <c r="M670" s="79"/>
      <c r="N670" s="79">
        <v>81.0</v>
      </c>
      <c r="O670" s="74" t="s">
        <v>4996</v>
      </c>
      <c r="P670" s="78" t="s">
        <v>4997</v>
      </c>
      <c r="Q670" s="79" t="s">
        <v>4998</v>
      </c>
      <c r="R670" s="78" t="s">
        <v>4999</v>
      </c>
      <c r="S670" s="80" t="s">
        <v>5000</v>
      </c>
      <c r="T670" s="101" t="s">
        <v>5001</v>
      </c>
      <c r="U670" s="78" t="s">
        <v>5002</v>
      </c>
      <c r="V670" s="102" t="s">
        <v>5003</v>
      </c>
      <c r="W670" s="79" t="s">
        <v>309</v>
      </c>
      <c r="X670" s="79" t="s">
        <v>309</v>
      </c>
      <c r="Y670" s="79" t="s">
        <v>309</v>
      </c>
      <c r="Z670" s="79"/>
    </row>
    <row r="671" ht="15.75" customHeight="1">
      <c r="A671" s="76" t="s">
        <v>247</v>
      </c>
      <c r="B671" s="77" t="s">
        <v>5005</v>
      </c>
      <c r="C671" s="80">
        <v>3.0523247324E10</v>
      </c>
      <c r="D671" s="119" t="s">
        <v>264</v>
      </c>
      <c r="E671" s="79" t="s">
        <v>5006</v>
      </c>
      <c r="F671" s="44">
        <v>945.0</v>
      </c>
      <c r="G671" s="79" t="s">
        <v>68</v>
      </c>
      <c r="H671" s="80">
        <v>1702.0</v>
      </c>
      <c r="I671" s="79">
        <v>281700.0</v>
      </c>
      <c r="J671" s="74" t="s">
        <v>347</v>
      </c>
      <c r="K671" s="79" t="s">
        <v>4105</v>
      </c>
      <c r="L671" s="79" t="s">
        <v>662</v>
      </c>
      <c r="M671" s="79"/>
      <c r="N671" s="79">
        <v>5.0</v>
      </c>
      <c r="O671" s="74"/>
      <c r="P671" s="80"/>
      <c r="Q671" s="79"/>
      <c r="R671" s="80"/>
      <c r="S671" s="80" t="s">
        <v>5007</v>
      </c>
      <c r="T671" s="101"/>
      <c r="U671" s="80" t="s">
        <v>332</v>
      </c>
      <c r="V671" s="102" t="s">
        <v>5009</v>
      </c>
      <c r="W671" s="79" t="s">
        <v>306</v>
      </c>
      <c r="X671" s="79" t="s">
        <v>306</v>
      </c>
      <c r="Y671" s="79" t="s">
        <v>309</v>
      </c>
      <c r="Z671" s="79"/>
    </row>
    <row r="672" ht="15.75" customHeight="1">
      <c r="A672" s="76" t="s">
        <v>247</v>
      </c>
      <c r="B672" s="77" t="s">
        <v>5010</v>
      </c>
      <c r="C672" s="80">
        <v>3.0714497932E10</v>
      </c>
      <c r="D672" s="119" t="s">
        <v>264</v>
      </c>
      <c r="E672" s="79" t="s">
        <v>2641</v>
      </c>
      <c r="F672" s="44">
        <v>3866.0</v>
      </c>
      <c r="G672" s="79" t="s">
        <v>68</v>
      </c>
      <c r="H672" s="80">
        <v>1702.0</v>
      </c>
      <c r="I672" s="79">
        <v>241009.0</v>
      </c>
      <c r="J672" s="74" t="s">
        <v>347</v>
      </c>
      <c r="K672" s="77" t="s">
        <v>5011</v>
      </c>
      <c r="L672" s="79"/>
      <c r="M672" s="79"/>
      <c r="N672" s="79">
        <v>5.0</v>
      </c>
      <c r="O672" s="74"/>
      <c r="P672" s="80"/>
      <c r="Q672" s="79"/>
      <c r="R672" s="80"/>
      <c r="S672" s="80" t="s">
        <v>5013</v>
      </c>
      <c r="T672" s="101" t="s">
        <v>5014</v>
      </c>
      <c r="U672" s="80" t="s">
        <v>332</v>
      </c>
      <c r="V672" s="102" t="s">
        <v>429</v>
      </c>
      <c r="W672" s="79" t="s">
        <v>306</v>
      </c>
      <c r="X672" s="79" t="s">
        <v>306</v>
      </c>
      <c r="Y672" s="79" t="s">
        <v>309</v>
      </c>
      <c r="Z672" s="79"/>
    </row>
    <row r="673" ht="15.0" customHeight="1">
      <c r="A673" s="76" t="s">
        <v>247</v>
      </c>
      <c r="B673" s="77" t="s">
        <v>5015</v>
      </c>
      <c r="C673" s="79">
        <v>3.0613634092E10</v>
      </c>
      <c r="D673" s="77" t="s">
        <v>264</v>
      </c>
      <c r="E673" s="79" t="s">
        <v>5016</v>
      </c>
      <c r="F673" s="44">
        <v>4024.0</v>
      </c>
      <c r="G673" s="79" t="s">
        <v>15</v>
      </c>
      <c r="H673" s="80">
        <v>1678.0</v>
      </c>
      <c r="I673" s="79">
        <v>259100.0</v>
      </c>
      <c r="J673" s="74" t="s">
        <v>347</v>
      </c>
      <c r="K673" s="79" t="s">
        <v>1329</v>
      </c>
      <c r="L673" s="79" t="s">
        <v>453</v>
      </c>
      <c r="M673" s="77" t="s">
        <v>5017</v>
      </c>
      <c r="N673" s="79">
        <v>10.0</v>
      </c>
      <c r="O673" s="74"/>
      <c r="P673" s="80"/>
      <c r="Q673" s="79"/>
      <c r="R673" s="80"/>
      <c r="S673" s="80" t="s">
        <v>5019</v>
      </c>
      <c r="T673" s="101" t="s">
        <v>332</v>
      </c>
      <c r="U673" s="80" t="s">
        <v>332</v>
      </c>
      <c r="V673" s="102" t="s">
        <v>429</v>
      </c>
      <c r="W673" s="79" t="s">
        <v>309</v>
      </c>
      <c r="X673" s="79" t="s">
        <v>309</v>
      </c>
      <c r="Y673" s="79" t="s">
        <v>309</v>
      </c>
      <c r="Z673" s="79"/>
    </row>
    <row r="674" ht="15.0" customHeight="1">
      <c r="A674" s="103" t="s">
        <v>24</v>
      </c>
      <c r="B674" s="77" t="s">
        <v>5020</v>
      </c>
      <c r="C674" s="80">
        <v>3.0700996871E10</v>
      </c>
      <c r="D674" s="119" t="s">
        <v>264</v>
      </c>
      <c r="E674" s="79" t="s">
        <v>1079</v>
      </c>
      <c r="F674" s="44">
        <v>5782.0</v>
      </c>
      <c r="G674" s="79" t="s">
        <v>15</v>
      </c>
      <c r="H674" s="80">
        <v>1678.0</v>
      </c>
      <c r="I674" s="79">
        <v>259200.0</v>
      </c>
      <c r="J674" s="74" t="s">
        <v>347</v>
      </c>
      <c r="K674" s="79" t="s">
        <v>1324</v>
      </c>
      <c r="L674" s="79" t="s">
        <v>453</v>
      </c>
      <c r="M674" s="79"/>
      <c r="N674" s="79">
        <v>6.0</v>
      </c>
      <c r="O674" s="74"/>
      <c r="P674" s="80"/>
      <c r="Q674" s="79"/>
      <c r="R674" s="80"/>
      <c r="S674" s="101" t="s">
        <v>5022</v>
      </c>
      <c r="T674" s="101" t="s">
        <v>332</v>
      </c>
      <c r="U674" s="80" t="s">
        <v>332</v>
      </c>
      <c r="V674" s="102" t="s">
        <v>429</v>
      </c>
      <c r="W674" s="79" t="s">
        <v>306</v>
      </c>
      <c r="X674" s="79" t="s">
        <v>306</v>
      </c>
      <c r="Y674" s="79"/>
      <c r="Z674" s="79"/>
    </row>
    <row r="675" ht="15.75" customHeight="1">
      <c r="A675" s="76" t="s">
        <v>247</v>
      </c>
      <c r="B675" s="77" t="s">
        <v>5023</v>
      </c>
      <c r="C675" s="80">
        <v>3.0500757791E10</v>
      </c>
      <c r="D675" s="79" t="s">
        <v>264</v>
      </c>
      <c r="E675" s="79" t="s">
        <v>5024</v>
      </c>
      <c r="F675" s="44">
        <v>2326.0</v>
      </c>
      <c r="G675" s="77" t="s">
        <v>226</v>
      </c>
      <c r="H675" s="80">
        <v>1674.0</v>
      </c>
      <c r="I675" s="79">
        <v>170990.0</v>
      </c>
      <c r="J675" s="74" t="s">
        <v>283</v>
      </c>
      <c r="K675" s="77" t="s">
        <v>2385</v>
      </c>
      <c r="L675" s="79"/>
      <c r="M675" s="79"/>
      <c r="N675" s="79">
        <v>10.0</v>
      </c>
      <c r="O675" s="74"/>
      <c r="P675" s="80"/>
      <c r="Q675" s="79"/>
      <c r="R675" s="80"/>
      <c r="S675" s="78" t="s">
        <v>5026</v>
      </c>
      <c r="T675" s="85" t="s">
        <v>5027</v>
      </c>
      <c r="U675" s="80" t="s">
        <v>332</v>
      </c>
      <c r="V675" s="102" t="s">
        <v>5028</v>
      </c>
      <c r="W675" s="79" t="s">
        <v>306</v>
      </c>
      <c r="X675" s="79" t="s">
        <v>306</v>
      </c>
      <c r="Y675" s="79" t="s">
        <v>309</v>
      </c>
      <c r="Z675" s="79"/>
    </row>
    <row r="676" ht="15.0" customHeight="1">
      <c r="A676" s="76" t="s">
        <v>247</v>
      </c>
      <c r="B676" s="77" t="s">
        <v>5030</v>
      </c>
      <c r="C676" s="79">
        <v>3.0521841164E10</v>
      </c>
      <c r="D676" s="77" t="s">
        <v>264</v>
      </c>
      <c r="E676" s="79" t="s">
        <v>5031</v>
      </c>
      <c r="F676" s="44">
        <v>838.0</v>
      </c>
      <c r="G676" s="79" t="s">
        <v>68</v>
      </c>
      <c r="H676" s="80">
        <v>1702.0</v>
      </c>
      <c r="I676" s="79">
        <v>181109.0</v>
      </c>
      <c r="J676" s="74" t="s">
        <v>238</v>
      </c>
      <c r="K676" s="77" t="s">
        <v>1545</v>
      </c>
      <c r="L676" s="79"/>
      <c r="M676" s="79"/>
      <c r="N676" s="79">
        <v>3.0</v>
      </c>
      <c r="O676" s="74"/>
      <c r="P676" s="80"/>
      <c r="Q676" s="79"/>
      <c r="R676" s="80"/>
      <c r="S676" s="80" t="s">
        <v>5033</v>
      </c>
      <c r="T676" s="101" t="s">
        <v>332</v>
      </c>
      <c r="U676" s="80" t="s">
        <v>332</v>
      </c>
      <c r="V676" s="102" t="s">
        <v>429</v>
      </c>
      <c r="W676" s="79" t="s">
        <v>309</v>
      </c>
      <c r="X676" s="79" t="s">
        <v>309</v>
      </c>
      <c r="Y676" s="79" t="s">
        <v>309</v>
      </c>
      <c r="Z676" s="79"/>
    </row>
    <row r="677" ht="15.75" customHeight="1">
      <c r="A677" s="103" t="s">
        <v>24</v>
      </c>
      <c r="B677" s="77" t="s">
        <v>5034</v>
      </c>
      <c r="C677" s="80">
        <v>3.0505066401E10</v>
      </c>
      <c r="D677" s="119" t="s">
        <v>264</v>
      </c>
      <c r="E677" s="77" t="s">
        <v>1683</v>
      </c>
      <c r="F677" s="44">
        <v>3442.0</v>
      </c>
      <c r="G677" s="79" t="s">
        <v>15</v>
      </c>
      <c r="H677" s="80">
        <v>1678.0</v>
      </c>
      <c r="I677" s="79">
        <v>243200.0</v>
      </c>
      <c r="J677" s="74" t="s">
        <v>347</v>
      </c>
      <c r="K677" s="79" t="s">
        <v>1277</v>
      </c>
      <c r="L677" s="79" t="s">
        <v>453</v>
      </c>
      <c r="M677" s="79"/>
      <c r="N677" s="79">
        <v>19.0</v>
      </c>
      <c r="O677" s="74" t="s">
        <v>5036</v>
      </c>
      <c r="P677" s="78" t="s">
        <v>5037</v>
      </c>
      <c r="Q677" s="79"/>
      <c r="R677" s="80"/>
      <c r="S677" s="80" t="s">
        <v>5038</v>
      </c>
      <c r="T677" s="101" t="s">
        <v>5039</v>
      </c>
      <c r="U677" s="80" t="s">
        <v>332</v>
      </c>
      <c r="V677" s="102" t="s">
        <v>5040</v>
      </c>
      <c r="W677" s="79" t="s">
        <v>309</v>
      </c>
      <c r="X677" s="79" t="s">
        <v>309</v>
      </c>
      <c r="Y677" s="79" t="s">
        <v>309</v>
      </c>
      <c r="Z677" s="79"/>
    </row>
    <row r="678" ht="15.0" customHeight="1">
      <c r="A678" s="76" t="s">
        <v>247</v>
      </c>
      <c r="B678" s="77" t="s">
        <v>5041</v>
      </c>
      <c r="C678" s="80">
        <v>3.0520952671E10</v>
      </c>
      <c r="D678" s="79" t="s">
        <v>264</v>
      </c>
      <c r="E678" s="79" t="s">
        <v>1965</v>
      </c>
      <c r="F678" s="44">
        <v>4727.0</v>
      </c>
      <c r="G678" s="79" t="s">
        <v>15</v>
      </c>
      <c r="H678" s="80">
        <v>1678.0</v>
      </c>
      <c r="I678" s="77">
        <v>259999.0</v>
      </c>
      <c r="J678" s="74" t="s">
        <v>347</v>
      </c>
      <c r="K678" s="77" t="s">
        <v>839</v>
      </c>
      <c r="L678" s="79" t="s">
        <v>453</v>
      </c>
      <c r="M678" s="77" t="s">
        <v>5043</v>
      </c>
      <c r="N678" s="79">
        <v>7.0</v>
      </c>
      <c r="O678" s="74" t="s">
        <v>5044</v>
      </c>
      <c r="P678" s="294" t="s">
        <v>5045</v>
      </c>
      <c r="Q678" s="79"/>
      <c r="R678" s="80"/>
      <c r="S678" s="78" t="s">
        <v>5046</v>
      </c>
      <c r="T678" s="85" t="s">
        <v>5047</v>
      </c>
      <c r="U678" s="78" t="s">
        <v>5049</v>
      </c>
      <c r="V678" s="98" t="s">
        <v>5050</v>
      </c>
      <c r="W678" s="79" t="s">
        <v>309</v>
      </c>
      <c r="X678" s="79" t="s">
        <v>309</v>
      </c>
      <c r="Y678" s="79" t="s">
        <v>309</v>
      </c>
      <c r="Z678" s="79"/>
    </row>
    <row r="679" ht="15.0" customHeight="1">
      <c r="A679" s="76" t="s">
        <v>247</v>
      </c>
      <c r="B679" s="77" t="s">
        <v>4017</v>
      </c>
      <c r="C679" s="80">
        <v>3.0707143467E10</v>
      </c>
      <c r="D679" s="119" t="s">
        <v>264</v>
      </c>
      <c r="E679" s="79" t="s">
        <v>3552</v>
      </c>
      <c r="F679" s="44">
        <v>3560.0</v>
      </c>
      <c r="G679" s="79" t="s">
        <v>15</v>
      </c>
      <c r="H679" s="80">
        <v>1678.0</v>
      </c>
      <c r="I679" s="79">
        <v>131300.0</v>
      </c>
      <c r="J679" s="74" t="s">
        <v>448</v>
      </c>
      <c r="K679" s="79" t="s">
        <v>2680</v>
      </c>
      <c r="L679" s="79"/>
      <c r="M679" s="79"/>
      <c r="N679" s="79">
        <v>32.0</v>
      </c>
      <c r="O679" s="83" t="s">
        <v>5052</v>
      </c>
      <c r="P679" s="80"/>
      <c r="Q679" s="77" t="s">
        <v>5053</v>
      </c>
      <c r="R679" s="78">
        <v>1.163088206E9</v>
      </c>
      <c r="S679" s="80" t="s">
        <v>5054</v>
      </c>
      <c r="T679" s="101"/>
      <c r="U679" s="80"/>
      <c r="V679" s="102" t="s">
        <v>5055</v>
      </c>
      <c r="W679" s="79" t="s">
        <v>309</v>
      </c>
      <c r="X679" s="79" t="s">
        <v>309</v>
      </c>
      <c r="Y679" s="79" t="s">
        <v>309</v>
      </c>
      <c r="Z679" s="79"/>
    </row>
    <row r="680" ht="15.0" customHeight="1">
      <c r="A680" s="76" t="s">
        <v>247</v>
      </c>
      <c r="B680" s="77" t="s">
        <v>5057</v>
      </c>
      <c r="C680" s="80">
        <v>3.3556981359E10</v>
      </c>
      <c r="D680" s="79" t="s">
        <v>264</v>
      </c>
      <c r="E680" s="79" t="s">
        <v>1088</v>
      </c>
      <c r="F680" s="44">
        <v>4825.0</v>
      </c>
      <c r="G680" s="79" t="s">
        <v>15</v>
      </c>
      <c r="H680" s="80">
        <v>1678.0</v>
      </c>
      <c r="I680" s="79">
        <v>310020.0</v>
      </c>
      <c r="J680" s="74" t="s">
        <v>313</v>
      </c>
      <c r="K680" s="79" t="s">
        <v>3277</v>
      </c>
      <c r="L680" s="79" t="s">
        <v>1122</v>
      </c>
      <c r="M680" s="79"/>
      <c r="N680" s="79">
        <v>81.0</v>
      </c>
      <c r="O680" s="74"/>
      <c r="P680" s="80"/>
      <c r="Q680" s="79"/>
      <c r="R680" s="80"/>
      <c r="S680" s="80" t="s">
        <v>5058</v>
      </c>
      <c r="T680" s="101" t="s">
        <v>332</v>
      </c>
      <c r="U680" s="80" t="s">
        <v>332</v>
      </c>
      <c r="V680" s="102" t="s">
        <v>5060</v>
      </c>
      <c r="W680" s="79" t="s">
        <v>309</v>
      </c>
      <c r="X680" s="79" t="s">
        <v>309</v>
      </c>
      <c r="Y680" s="79" t="s">
        <v>309</v>
      </c>
      <c r="Z680" s="79"/>
    </row>
    <row r="681" ht="15.0" customHeight="1">
      <c r="A681" s="76" t="s">
        <v>247</v>
      </c>
      <c r="B681" s="79" t="s">
        <v>4023</v>
      </c>
      <c r="C681" s="80">
        <v>3.0500926976E10</v>
      </c>
      <c r="D681" s="79" t="s">
        <v>264</v>
      </c>
      <c r="E681" s="79" t="s">
        <v>4611</v>
      </c>
      <c r="F681" s="44">
        <v>1045.0</v>
      </c>
      <c r="G681" s="79" t="s">
        <v>68</v>
      </c>
      <c r="H681" s="80">
        <v>1702.0</v>
      </c>
      <c r="I681" s="79">
        <v>259993.0</v>
      </c>
      <c r="J681" s="74" t="s">
        <v>347</v>
      </c>
      <c r="K681" s="129" t="s">
        <v>638</v>
      </c>
      <c r="L681" s="79" t="s">
        <v>453</v>
      </c>
      <c r="M681" s="79"/>
      <c r="N681" s="79">
        <v>28.0</v>
      </c>
      <c r="O681" s="126" t="s">
        <v>5062</v>
      </c>
      <c r="P681" s="78" t="s">
        <v>5063</v>
      </c>
      <c r="Q681" s="79" t="s">
        <v>5064</v>
      </c>
      <c r="R681" s="78" t="s">
        <v>5065</v>
      </c>
      <c r="S681" s="80" t="s">
        <v>5066</v>
      </c>
      <c r="T681" s="101" t="s">
        <v>5067</v>
      </c>
      <c r="U681" s="78" t="s">
        <v>5068</v>
      </c>
      <c r="V681" s="102" t="s">
        <v>5069</v>
      </c>
      <c r="W681" s="79" t="s">
        <v>306</v>
      </c>
      <c r="X681" s="79" t="s">
        <v>309</v>
      </c>
      <c r="Y681" s="79" t="s">
        <v>309</v>
      </c>
      <c r="Z681" s="79"/>
    </row>
    <row r="682" ht="15.0" customHeight="1">
      <c r="A682" s="103" t="s">
        <v>24</v>
      </c>
      <c r="B682" s="77" t="s">
        <v>5070</v>
      </c>
      <c r="C682" s="80">
        <v>3.0714324E10</v>
      </c>
      <c r="D682" s="119" t="s">
        <v>264</v>
      </c>
      <c r="E682" s="77" t="s">
        <v>1427</v>
      </c>
      <c r="F682" s="44">
        <v>4177.0</v>
      </c>
      <c r="G682" s="79" t="s">
        <v>15</v>
      </c>
      <c r="H682" s="80">
        <v>1678.0</v>
      </c>
      <c r="I682" s="79">
        <v>251102.0</v>
      </c>
      <c r="J682" s="74" t="s">
        <v>347</v>
      </c>
      <c r="K682" s="79" t="s">
        <v>1611</v>
      </c>
      <c r="L682" s="79" t="s">
        <v>453</v>
      </c>
      <c r="M682" s="79"/>
      <c r="N682" s="79">
        <v>18.0</v>
      </c>
      <c r="O682" s="74"/>
      <c r="P682" s="80"/>
      <c r="Q682" s="79"/>
      <c r="R682" s="80"/>
      <c r="S682" s="80" t="s">
        <v>5072</v>
      </c>
      <c r="T682" s="101" t="s">
        <v>332</v>
      </c>
      <c r="U682" s="80" t="s">
        <v>332</v>
      </c>
      <c r="V682" s="102" t="s">
        <v>5073</v>
      </c>
      <c r="W682" s="79" t="s">
        <v>306</v>
      </c>
      <c r="X682" s="79" t="s">
        <v>306</v>
      </c>
      <c r="Y682" s="79"/>
      <c r="Z682" s="79"/>
    </row>
    <row r="683" ht="15.75" customHeight="1">
      <c r="A683" s="76" t="s">
        <v>247</v>
      </c>
      <c r="B683" s="77" t="s">
        <v>5075</v>
      </c>
      <c r="C683" s="80">
        <v>3.0577185456E10</v>
      </c>
      <c r="D683" s="119" t="s">
        <v>264</v>
      </c>
      <c r="E683" s="79" t="s">
        <v>5076</v>
      </c>
      <c r="F683" s="44">
        <v>5293.0</v>
      </c>
      <c r="G683" s="79" t="s">
        <v>119</v>
      </c>
      <c r="H683" s="80">
        <v>1657.0</v>
      </c>
      <c r="I683" s="79">
        <v>222090.0</v>
      </c>
      <c r="J683" s="83" t="s">
        <v>568</v>
      </c>
      <c r="K683" s="77" t="s">
        <v>569</v>
      </c>
      <c r="L683" s="79" t="s">
        <v>453</v>
      </c>
      <c r="M683" s="79"/>
      <c r="N683" s="79">
        <v>96.0</v>
      </c>
      <c r="O683" s="74"/>
      <c r="P683" s="80"/>
      <c r="Q683" s="79"/>
      <c r="R683" s="80"/>
      <c r="S683" s="80" t="s">
        <v>5078</v>
      </c>
      <c r="T683" s="85" t="s">
        <v>5079</v>
      </c>
      <c r="U683" s="80" t="s">
        <v>332</v>
      </c>
      <c r="V683" s="102" t="s">
        <v>5080</v>
      </c>
      <c r="W683" s="79" t="s">
        <v>309</v>
      </c>
      <c r="X683" s="79" t="s">
        <v>309</v>
      </c>
      <c r="Y683" s="79" t="s">
        <v>309</v>
      </c>
      <c r="Z683" s="79"/>
    </row>
    <row r="684" ht="15.75" customHeight="1">
      <c r="A684" s="76" t="s">
        <v>247</v>
      </c>
      <c r="B684" s="77" t="s">
        <v>1658</v>
      </c>
      <c r="C684" s="80">
        <v>3.3644120479E10</v>
      </c>
      <c r="D684" s="119" t="s">
        <v>264</v>
      </c>
      <c r="E684" s="79" t="s">
        <v>2312</v>
      </c>
      <c r="F684" s="44">
        <v>3856.0</v>
      </c>
      <c r="G684" s="79" t="s">
        <v>15</v>
      </c>
      <c r="H684" s="80">
        <v>1678.0</v>
      </c>
      <c r="I684" s="79">
        <v>241009.0</v>
      </c>
      <c r="J684" s="74" t="s">
        <v>347</v>
      </c>
      <c r="K684" s="77" t="s">
        <v>5011</v>
      </c>
      <c r="L684" s="79" t="s">
        <v>453</v>
      </c>
      <c r="M684" s="79" t="s">
        <v>5083</v>
      </c>
      <c r="N684" s="79">
        <v>46.0</v>
      </c>
      <c r="O684" s="74" t="s">
        <v>5084</v>
      </c>
      <c r="P684" s="78" t="s">
        <v>5085</v>
      </c>
      <c r="Q684" s="79" t="s">
        <v>5086</v>
      </c>
      <c r="R684" s="85" t="s">
        <v>5087</v>
      </c>
      <c r="S684" s="80" t="s">
        <v>5088</v>
      </c>
      <c r="T684" s="101" t="s">
        <v>332</v>
      </c>
      <c r="U684" s="80" t="s">
        <v>332</v>
      </c>
      <c r="V684" s="102" t="s">
        <v>5089</v>
      </c>
      <c r="W684" s="79" t="s">
        <v>309</v>
      </c>
      <c r="X684" s="295">
        <v>0.2</v>
      </c>
      <c r="Y684" s="79" t="s">
        <v>309</v>
      </c>
      <c r="Z684" s="79"/>
    </row>
    <row r="685" ht="15.0" customHeight="1">
      <c r="A685" s="76" t="s">
        <v>247</v>
      </c>
      <c r="B685" s="77" t="s">
        <v>5091</v>
      </c>
      <c r="C685" s="80">
        <v>3.0707416102E10</v>
      </c>
      <c r="D685" s="119" t="s">
        <v>264</v>
      </c>
      <c r="E685" s="79" t="s">
        <v>2912</v>
      </c>
      <c r="F685" s="44">
        <v>6516.0</v>
      </c>
      <c r="G685" s="79" t="s">
        <v>119</v>
      </c>
      <c r="H685" s="80">
        <v>1657.0</v>
      </c>
      <c r="I685" s="79">
        <v>289999.0</v>
      </c>
      <c r="J685" s="74" t="s">
        <v>347</v>
      </c>
      <c r="K685" s="77" t="s">
        <v>1901</v>
      </c>
      <c r="L685" s="79" t="s">
        <v>453</v>
      </c>
      <c r="M685" s="79"/>
      <c r="N685" s="79">
        <v>1.0</v>
      </c>
      <c r="O685" s="74"/>
      <c r="P685" s="80"/>
      <c r="Q685" s="79"/>
      <c r="R685" s="80"/>
      <c r="S685" s="78" t="s">
        <v>5093</v>
      </c>
      <c r="T685" s="85" t="s">
        <v>5094</v>
      </c>
      <c r="U685" s="80" t="s">
        <v>332</v>
      </c>
      <c r="V685" s="102" t="s">
        <v>429</v>
      </c>
      <c r="W685" s="79" t="s">
        <v>306</v>
      </c>
      <c r="X685" s="79" t="s">
        <v>306</v>
      </c>
      <c r="Y685" s="79" t="s">
        <v>309</v>
      </c>
      <c r="Z685" s="79"/>
    </row>
    <row r="686" ht="15.0" customHeight="1">
      <c r="A686" s="76" t="s">
        <v>247</v>
      </c>
      <c r="B686" s="77" t="s">
        <v>5095</v>
      </c>
      <c r="C686" s="80">
        <v>3.07087361E10</v>
      </c>
      <c r="D686" s="79" t="s">
        <v>264</v>
      </c>
      <c r="E686" s="79" t="s">
        <v>1607</v>
      </c>
      <c r="F686" s="44">
        <v>5643.0</v>
      </c>
      <c r="G686" s="79" t="s">
        <v>15</v>
      </c>
      <c r="H686" s="80">
        <v>1678.0</v>
      </c>
      <c r="I686" s="77">
        <v>141191.0</v>
      </c>
      <c r="J686" s="74" t="s">
        <v>448</v>
      </c>
      <c r="K686" s="77" t="s">
        <v>5097</v>
      </c>
      <c r="L686" s="79"/>
      <c r="M686" s="79"/>
      <c r="N686" s="79">
        <v>3.0</v>
      </c>
      <c r="O686" s="74"/>
      <c r="P686" s="80"/>
      <c r="Q686" s="79"/>
      <c r="R686" s="80"/>
      <c r="S686" s="80" t="s">
        <v>5098</v>
      </c>
      <c r="T686" s="101" t="s">
        <v>5099</v>
      </c>
      <c r="U686" s="80" t="s">
        <v>332</v>
      </c>
      <c r="V686" s="102" t="s">
        <v>429</v>
      </c>
      <c r="W686" s="79" t="s">
        <v>309</v>
      </c>
      <c r="X686" s="79" t="s">
        <v>309</v>
      </c>
      <c r="Y686" s="79" t="s">
        <v>309</v>
      </c>
      <c r="Z686" s="79"/>
    </row>
    <row r="687" ht="15.0" customHeight="1">
      <c r="A687" s="103" t="s">
        <v>24</v>
      </c>
      <c r="B687" s="77" t="s">
        <v>5100</v>
      </c>
      <c r="C687" s="80">
        <v>3.0500534121E10</v>
      </c>
      <c r="D687" s="119" t="s">
        <v>264</v>
      </c>
      <c r="E687" s="79" t="s">
        <v>1916</v>
      </c>
      <c r="F687" s="44">
        <v>1671.0</v>
      </c>
      <c r="G687" s="79" t="s">
        <v>249</v>
      </c>
      <c r="H687" s="80">
        <v>1676.0</v>
      </c>
      <c r="I687" s="79">
        <v>711009.0</v>
      </c>
      <c r="J687" s="74" t="s">
        <v>433</v>
      </c>
      <c r="K687" s="77" t="s">
        <v>2325</v>
      </c>
      <c r="L687" s="79"/>
      <c r="M687" s="79"/>
      <c r="N687" s="79">
        <v>9.0</v>
      </c>
      <c r="O687" s="74"/>
      <c r="P687" s="80"/>
      <c r="Q687" s="79"/>
      <c r="R687" s="80"/>
      <c r="S687" s="80" t="s">
        <v>5102</v>
      </c>
      <c r="T687" s="101" t="s">
        <v>332</v>
      </c>
      <c r="U687" s="80" t="s">
        <v>332</v>
      </c>
      <c r="V687" s="102" t="s">
        <v>5103</v>
      </c>
      <c r="W687" s="79" t="s">
        <v>309</v>
      </c>
      <c r="X687" s="79" t="s">
        <v>309</v>
      </c>
      <c r="Y687" s="79" t="s">
        <v>309</v>
      </c>
      <c r="Z687" s="79"/>
    </row>
    <row r="688" ht="15.0" customHeight="1">
      <c r="A688" s="76" t="s">
        <v>247</v>
      </c>
      <c r="B688" s="77" t="s">
        <v>5105</v>
      </c>
      <c r="C688" s="80">
        <v>3.0708197358E10</v>
      </c>
      <c r="D688" s="79" t="s">
        <v>264</v>
      </c>
      <c r="E688" s="79" t="s">
        <v>5106</v>
      </c>
      <c r="F688" s="44">
        <v>3215.0</v>
      </c>
      <c r="G688" s="79" t="s">
        <v>15</v>
      </c>
      <c r="H688" s="80">
        <v>1678.0</v>
      </c>
      <c r="I688" s="77">
        <v>259999.0</v>
      </c>
      <c r="J688" s="74" t="s">
        <v>347</v>
      </c>
      <c r="K688" s="77" t="s">
        <v>839</v>
      </c>
      <c r="L688" s="79" t="s">
        <v>453</v>
      </c>
      <c r="M688" s="79"/>
      <c r="N688" s="79">
        <v>40.0</v>
      </c>
      <c r="O688" s="74"/>
      <c r="P688" s="80"/>
      <c r="Q688" s="79"/>
      <c r="R688" s="80"/>
      <c r="S688" s="114" t="s">
        <v>5108</v>
      </c>
      <c r="T688" s="101" t="s">
        <v>5109</v>
      </c>
      <c r="U688" s="80" t="s">
        <v>332</v>
      </c>
      <c r="V688" s="102" t="s">
        <v>5110</v>
      </c>
      <c r="W688" s="79" t="s">
        <v>309</v>
      </c>
      <c r="X688" s="79" t="s">
        <v>309</v>
      </c>
      <c r="Y688" s="79" t="s">
        <v>309</v>
      </c>
      <c r="Z688" s="79"/>
    </row>
    <row r="689" ht="15.0" customHeight="1">
      <c r="A689" s="76" t="s">
        <v>247</v>
      </c>
      <c r="B689" s="77" t="s">
        <v>1664</v>
      </c>
      <c r="C689" s="80">
        <v>3.3707578209E10</v>
      </c>
      <c r="D689" s="79" t="s">
        <v>264</v>
      </c>
      <c r="E689" s="79" t="s">
        <v>742</v>
      </c>
      <c r="F689" s="44">
        <v>4566.0</v>
      </c>
      <c r="G689" s="79" t="s">
        <v>15</v>
      </c>
      <c r="H689" s="80">
        <v>1678.0</v>
      </c>
      <c r="I689" s="79">
        <v>310020.0</v>
      </c>
      <c r="J689" s="74" t="s">
        <v>313</v>
      </c>
      <c r="K689" s="79" t="s">
        <v>3277</v>
      </c>
      <c r="L689" s="79" t="s">
        <v>1122</v>
      </c>
      <c r="M689" s="79"/>
      <c r="N689" s="79">
        <v>15.0</v>
      </c>
      <c r="O689" s="74" t="s">
        <v>5112</v>
      </c>
      <c r="P689" s="80" t="s">
        <v>5113</v>
      </c>
      <c r="Q689" s="79"/>
      <c r="R689" s="80"/>
      <c r="S689" s="80" t="s">
        <v>5114</v>
      </c>
      <c r="T689" s="101" t="s">
        <v>5115</v>
      </c>
      <c r="U689" s="80" t="s">
        <v>332</v>
      </c>
      <c r="V689" s="102" t="s">
        <v>5116</v>
      </c>
      <c r="W689" s="79" t="s">
        <v>306</v>
      </c>
      <c r="X689" s="79" t="s">
        <v>306</v>
      </c>
      <c r="Y689" s="79" t="s">
        <v>309</v>
      </c>
      <c r="Z689" s="79"/>
    </row>
    <row r="690" ht="15.75" customHeight="1">
      <c r="A690" s="76" t="s">
        <v>247</v>
      </c>
      <c r="B690" s="77" t="s">
        <v>5117</v>
      </c>
      <c r="C690" s="80">
        <v>3.0708400625E10</v>
      </c>
      <c r="D690" s="119" t="s">
        <v>264</v>
      </c>
      <c r="E690" s="79" t="s">
        <v>4361</v>
      </c>
      <c r="F690" s="44">
        <v>4603.0</v>
      </c>
      <c r="G690" s="79" t="s">
        <v>15</v>
      </c>
      <c r="H690" s="80">
        <v>1678.0</v>
      </c>
      <c r="I690" s="79">
        <v>439100.0</v>
      </c>
      <c r="J690" s="74" t="s">
        <v>433</v>
      </c>
      <c r="K690" s="79" t="s">
        <v>1649</v>
      </c>
      <c r="L690" s="79"/>
      <c r="M690" s="79"/>
      <c r="N690" s="79">
        <v>19.0</v>
      </c>
      <c r="O690" s="74"/>
      <c r="P690" s="80"/>
      <c r="Q690" s="79"/>
      <c r="R690" s="80"/>
      <c r="S690" s="80" t="s">
        <v>5119</v>
      </c>
      <c r="T690" s="101" t="s">
        <v>332</v>
      </c>
      <c r="U690" s="80" t="s">
        <v>332</v>
      </c>
      <c r="V690" s="102" t="s">
        <v>429</v>
      </c>
      <c r="W690" s="79" t="s">
        <v>306</v>
      </c>
      <c r="X690" s="79" t="s">
        <v>306</v>
      </c>
      <c r="Y690" s="79" t="s">
        <v>309</v>
      </c>
      <c r="Z690" s="79"/>
    </row>
    <row r="691" ht="15.0" customHeight="1">
      <c r="A691" s="76" t="s">
        <v>247</v>
      </c>
      <c r="B691" s="77" t="s">
        <v>5120</v>
      </c>
      <c r="C691" s="80">
        <v>3.0682073191E10</v>
      </c>
      <c r="D691" s="119" t="s">
        <v>264</v>
      </c>
      <c r="E691" s="77" t="s">
        <v>4481</v>
      </c>
      <c r="F691" s="44">
        <v>2891.0</v>
      </c>
      <c r="G691" s="79" t="s">
        <v>15</v>
      </c>
      <c r="H691" s="80">
        <v>1678.0</v>
      </c>
      <c r="I691" s="79">
        <v>107999.0</v>
      </c>
      <c r="J691" s="74" t="s">
        <v>22</v>
      </c>
      <c r="K691" s="77" t="s">
        <v>4497</v>
      </c>
      <c r="L691" s="79"/>
      <c r="M691" s="79"/>
      <c r="N691" s="79">
        <v>1.0</v>
      </c>
      <c r="O691" s="74" t="s">
        <v>5122</v>
      </c>
      <c r="P691" s="80"/>
      <c r="Q691" s="79"/>
      <c r="R691" s="80"/>
      <c r="S691" s="80" t="s">
        <v>5123</v>
      </c>
      <c r="T691" s="85" t="s">
        <v>5124</v>
      </c>
      <c r="U691" s="78" t="s">
        <v>5125</v>
      </c>
      <c r="V691" s="102" t="s">
        <v>5126</v>
      </c>
      <c r="W691" s="79" t="s">
        <v>306</v>
      </c>
      <c r="X691" s="79" t="s">
        <v>306</v>
      </c>
      <c r="Y691" s="79" t="s">
        <v>309</v>
      </c>
      <c r="Z691" s="79"/>
    </row>
    <row r="692" ht="15.0" customHeight="1">
      <c r="A692" s="76" t="s">
        <v>247</v>
      </c>
      <c r="B692" s="77" t="s">
        <v>5127</v>
      </c>
      <c r="C692" s="80">
        <v>3.0708438991E10</v>
      </c>
      <c r="D692" s="119" t="s">
        <v>264</v>
      </c>
      <c r="E692" s="79" t="s">
        <v>2752</v>
      </c>
      <c r="F692" s="128">
        <v>630.0</v>
      </c>
      <c r="G692" s="79" t="s">
        <v>68</v>
      </c>
      <c r="H692" s="80">
        <v>1702.0</v>
      </c>
      <c r="I692" s="79">
        <v>202200.0</v>
      </c>
      <c r="J692" s="74" t="s">
        <v>316</v>
      </c>
      <c r="K692" s="79" t="s">
        <v>2635</v>
      </c>
      <c r="L692" s="79"/>
      <c r="M692" s="79"/>
      <c r="N692" s="79">
        <v>51.0</v>
      </c>
      <c r="O692" s="74"/>
      <c r="P692" s="80"/>
      <c r="Q692" s="79"/>
      <c r="R692" s="80"/>
      <c r="S692" s="80" t="s">
        <v>5129</v>
      </c>
      <c r="T692" s="101" t="s">
        <v>5130</v>
      </c>
      <c r="U692" s="80" t="s">
        <v>5131</v>
      </c>
      <c r="V692" s="102" t="s">
        <v>429</v>
      </c>
      <c r="W692" s="79" t="s">
        <v>309</v>
      </c>
      <c r="X692" s="79" t="s">
        <v>309</v>
      </c>
      <c r="Y692" s="79" t="s">
        <v>309</v>
      </c>
      <c r="Z692" s="79"/>
    </row>
    <row r="693" ht="15.75" customHeight="1">
      <c r="A693" s="76" t="s">
        <v>247</v>
      </c>
      <c r="B693" s="77" t="s">
        <v>4028</v>
      </c>
      <c r="C693" s="80">
        <v>3.0708856653E10</v>
      </c>
      <c r="D693" s="119" t="s">
        <v>264</v>
      </c>
      <c r="E693" s="79" t="s">
        <v>660</v>
      </c>
      <c r="F693" s="44">
        <v>5561.0</v>
      </c>
      <c r="G693" s="79" t="s">
        <v>269</v>
      </c>
      <c r="H693" s="80">
        <v>1682.0</v>
      </c>
      <c r="I693" s="79">
        <v>711009.0</v>
      </c>
      <c r="J693" s="74" t="s">
        <v>433</v>
      </c>
      <c r="K693" s="77" t="s">
        <v>2325</v>
      </c>
      <c r="L693" s="79"/>
      <c r="M693" s="79"/>
      <c r="N693" s="79">
        <v>14.0</v>
      </c>
      <c r="O693" s="74" t="s">
        <v>5133</v>
      </c>
      <c r="P693" s="78" t="s">
        <v>5134</v>
      </c>
      <c r="Q693" s="79"/>
      <c r="R693" s="80"/>
      <c r="S693" s="80" t="s">
        <v>5135</v>
      </c>
      <c r="T693" s="101" t="s">
        <v>5136</v>
      </c>
      <c r="U693" s="80" t="s">
        <v>5137</v>
      </c>
      <c r="V693" s="102" t="s">
        <v>5138</v>
      </c>
      <c r="W693" s="79" t="s">
        <v>306</v>
      </c>
      <c r="X693" s="79" t="s">
        <v>306</v>
      </c>
      <c r="Y693" s="79" t="s">
        <v>309</v>
      </c>
      <c r="Z693" s="79"/>
    </row>
    <row r="694" ht="15.75" customHeight="1">
      <c r="A694" s="103" t="s">
        <v>24</v>
      </c>
      <c r="B694" s="77" t="s">
        <v>5140</v>
      </c>
      <c r="C694" s="80">
        <v>3.0605652952E10</v>
      </c>
      <c r="D694" s="119" t="s">
        <v>264</v>
      </c>
      <c r="E694" s="79" t="s">
        <v>1955</v>
      </c>
      <c r="F694" s="44">
        <v>665.0</v>
      </c>
      <c r="G694" s="79" t="s">
        <v>68</v>
      </c>
      <c r="H694" s="80">
        <v>1702.0</v>
      </c>
      <c r="I694" s="79">
        <v>930990.0</v>
      </c>
      <c r="J694" s="74" t="s">
        <v>433</v>
      </c>
      <c r="K694" s="77" t="s">
        <v>1727</v>
      </c>
      <c r="L694" s="79"/>
      <c r="M694" s="79"/>
      <c r="N694" s="79">
        <v>0.0</v>
      </c>
      <c r="O694" s="74"/>
      <c r="P694" s="80"/>
      <c r="Q694" s="79"/>
      <c r="R694" s="80"/>
      <c r="S694" s="80" t="s">
        <v>5141</v>
      </c>
      <c r="T694" s="101" t="s">
        <v>332</v>
      </c>
      <c r="U694" s="80" t="s">
        <v>332</v>
      </c>
      <c r="V694" s="102" t="s">
        <v>429</v>
      </c>
      <c r="W694" s="79" t="s">
        <v>309</v>
      </c>
      <c r="X694" s="79" t="s">
        <v>309</v>
      </c>
      <c r="Y694" s="79"/>
      <c r="Z694" s="79"/>
    </row>
    <row r="695" ht="15.75" customHeight="1">
      <c r="A695" s="76" t="s">
        <v>247</v>
      </c>
      <c r="B695" s="77" t="s">
        <v>5143</v>
      </c>
      <c r="C695" s="80">
        <v>3.0709012033E10</v>
      </c>
      <c r="D695" s="79" t="s">
        <v>264</v>
      </c>
      <c r="E695" s="79" t="s">
        <v>1965</v>
      </c>
      <c r="F695" s="44">
        <v>4549.0</v>
      </c>
      <c r="G695" s="77" t="s">
        <v>15</v>
      </c>
      <c r="H695" s="78">
        <v>1678.0</v>
      </c>
      <c r="I695" s="79">
        <v>222010.0</v>
      </c>
      <c r="J695" s="83" t="s">
        <v>568</v>
      </c>
      <c r="K695" s="77" t="s">
        <v>1170</v>
      </c>
      <c r="L695" s="79"/>
      <c r="M695" s="77" t="s">
        <v>5144</v>
      </c>
      <c r="N695" s="79"/>
      <c r="O695" s="79"/>
      <c r="P695" s="80"/>
      <c r="Q695" s="79"/>
      <c r="R695" s="80"/>
      <c r="S695" s="78" t="s">
        <v>5146</v>
      </c>
      <c r="T695" s="85" t="s">
        <v>5147</v>
      </c>
      <c r="U695" s="80"/>
      <c r="V695" s="102" t="s">
        <v>5148</v>
      </c>
      <c r="W695" s="79"/>
      <c r="X695" s="79"/>
      <c r="Y695" s="79"/>
      <c r="Z695" s="79"/>
    </row>
    <row r="696" ht="15.75" customHeight="1">
      <c r="A696" s="103" t="s">
        <v>24</v>
      </c>
      <c r="B696" s="77" t="s">
        <v>5149</v>
      </c>
      <c r="C696" s="80">
        <v>3.0709105422E10</v>
      </c>
      <c r="D696" s="119" t="s">
        <v>264</v>
      </c>
      <c r="E696" s="79" t="s">
        <v>678</v>
      </c>
      <c r="F696" s="44">
        <v>5285.0</v>
      </c>
      <c r="G696" s="79" t="s">
        <v>269</v>
      </c>
      <c r="H696" s="80">
        <v>1682.0</v>
      </c>
      <c r="I696" s="79">
        <v>139900.0</v>
      </c>
      <c r="J696" s="74" t="s">
        <v>448</v>
      </c>
      <c r="K696" s="77" t="s">
        <v>1760</v>
      </c>
      <c r="L696" s="79"/>
      <c r="M696" s="79"/>
      <c r="N696" s="79">
        <v>17.0</v>
      </c>
      <c r="O696" s="74"/>
      <c r="P696" s="80"/>
      <c r="Q696" s="79"/>
      <c r="R696" s="80"/>
      <c r="S696" s="78" t="s">
        <v>5151</v>
      </c>
      <c r="T696" s="101" t="s">
        <v>5152</v>
      </c>
      <c r="U696" s="80" t="s">
        <v>332</v>
      </c>
      <c r="V696" s="102" t="s">
        <v>5153</v>
      </c>
      <c r="W696" s="79" t="s">
        <v>309</v>
      </c>
      <c r="X696" s="79" t="s">
        <v>309</v>
      </c>
      <c r="Y696" s="79" t="s">
        <v>309</v>
      </c>
      <c r="Z696" s="79"/>
    </row>
    <row r="697" ht="15.75" customHeight="1">
      <c r="A697" s="103" t="s">
        <v>24</v>
      </c>
      <c r="B697" s="77" t="s">
        <v>5154</v>
      </c>
      <c r="C697" s="80">
        <v>3.0697035881E10</v>
      </c>
      <c r="D697" s="119" t="s">
        <v>264</v>
      </c>
      <c r="E697" s="77" t="s">
        <v>503</v>
      </c>
      <c r="F697" s="44">
        <v>2951.0</v>
      </c>
      <c r="G697" s="79" t="s">
        <v>68</v>
      </c>
      <c r="H697" s="80">
        <v>1702.0</v>
      </c>
      <c r="I697" s="79">
        <v>271009.0</v>
      </c>
      <c r="J697" s="74" t="s">
        <v>347</v>
      </c>
      <c r="K697" s="77" t="s">
        <v>5156</v>
      </c>
      <c r="L697" s="79"/>
      <c r="M697" s="79"/>
      <c r="N697" s="79">
        <v>0.0</v>
      </c>
      <c r="O697" s="74"/>
      <c r="P697" s="80"/>
      <c r="Q697" s="79"/>
      <c r="R697" s="80"/>
      <c r="S697" s="80" t="s">
        <v>5157</v>
      </c>
      <c r="T697" s="101" t="s">
        <v>332</v>
      </c>
      <c r="U697" s="80" t="s">
        <v>332</v>
      </c>
      <c r="V697" s="102" t="s">
        <v>429</v>
      </c>
      <c r="W697" s="79" t="s">
        <v>306</v>
      </c>
      <c r="X697" s="79" t="s">
        <v>306</v>
      </c>
      <c r="Y697" s="79"/>
      <c r="Z697" s="79"/>
    </row>
    <row r="698" ht="15.75" customHeight="1">
      <c r="A698" s="103" t="s">
        <v>24</v>
      </c>
      <c r="B698" s="77" t="s">
        <v>5159</v>
      </c>
      <c r="C698" s="80">
        <v>3.0710597541E10</v>
      </c>
      <c r="D698" s="119" t="s">
        <v>264</v>
      </c>
      <c r="E698" s="79" t="s">
        <v>1819</v>
      </c>
      <c r="F698" s="44">
        <v>3774.0</v>
      </c>
      <c r="G698" s="79" t="s">
        <v>68</v>
      </c>
      <c r="H698" s="80">
        <v>1702.0</v>
      </c>
      <c r="I698" s="79">
        <v>259200.0</v>
      </c>
      <c r="J698" s="74" t="s">
        <v>347</v>
      </c>
      <c r="K698" s="79" t="s">
        <v>1324</v>
      </c>
      <c r="L698" s="79" t="s">
        <v>453</v>
      </c>
      <c r="M698" s="79"/>
      <c r="N698" s="79">
        <v>4.0</v>
      </c>
      <c r="O698" s="74"/>
      <c r="P698" s="80"/>
      <c r="Q698" s="79"/>
      <c r="R698" s="80"/>
      <c r="S698" s="78" t="s">
        <v>5160</v>
      </c>
      <c r="T698" s="101" t="s">
        <v>332</v>
      </c>
      <c r="U698" s="80" t="s">
        <v>332</v>
      </c>
      <c r="V698" s="102" t="s">
        <v>429</v>
      </c>
      <c r="W698" s="79" t="s">
        <v>306</v>
      </c>
      <c r="X698" s="79" t="s">
        <v>306</v>
      </c>
      <c r="Y698" s="79"/>
      <c r="Z698" s="79"/>
    </row>
    <row r="699" ht="15.75" customHeight="1">
      <c r="A699" s="76" t="s">
        <v>247</v>
      </c>
      <c r="B699" s="77" t="s">
        <v>1669</v>
      </c>
      <c r="C699" s="239">
        <v>3.0595153111E10</v>
      </c>
      <c r="D699" s="79" t="s">
        <v>264</v>
      </c>
      <c r="E699" s="79" t="s">
        <v>1711</v>
      </c>
      <c r="F699" s="44">
        <v>5401.0</v>
      </c>
      <c r="G699" s="79" t="s">
        <v>15</v>
      </c>
      <c r="H699" s="80">
        <v>1678.0</v>
      </c>
      <c r="I699" s="210">
        <v>239900.0</v>
      </c>
      <c r="J699" s="83" t="s">
        <v>37</v>
      </c>
      <c r="K699" s="144" t="s">
        <v>5162</v>
      </c>
      <c r="L699" s="79"/>
      <c r="M699" s="79"/>
      <c r="N699" s="79"/>
      <c r="O699" s="144" t="s">
        <v>5164</v>
      </c>
      <c r="P699" s="85" t="s">
        <v>5165</v>
      </c>
      <c r="Q699" s="79"/>
      <c r="R699" s="80"/>
      <c r="S699" s="296" t="s">
        <v>5166</v>
      </c>
      <c r="T699" s="296" t="s">
        <v>5167</v>
      </c>
      <c r="U699" s="80"/>
      <c r="V699" s="98" t="s">
        <v>5168</v>
      </c>
      <c r="W699" s="79"/>
      <c r="X699" s="79"/>
      <c r="Y699" s="79"/>
      <c r="Z699" s="79"/>
    </row>
    <row r="700" ht="15.75" customHeight="1">
      <c r="A700" s="76" t="s">
        <v>247</v>
      </c>
      <c r="B700" s="77" t="s">
        <v>5170</v>
      </c>
      <c r="C700" s="78" t="s">
        <v>2517</v>
      </c>
      <c r="D700" s="119" t="s">
        <v>264</v>
      </c>
      <c r="E700" s="79" t="s">
        <v>1246</v>
      </c>
      <c r="F700" s="44">
        <v>786.0</v>
      </c>
      <c r="G700" s="79" t="s">
        <v>68</v>
      </c>
      <c r="H700" s="80">
        <v>1702.0</v>
      </c>
      <c r="I700" s="78" t="s">
        <v>2519</v>
      </c>
      <c r="J700" s="74" t="s">
        <v>316</v>
      </c>
      <c r="K700" s="77" t="s">
        <v>5171</v>
      </c>
      <c r="L700" s="79" t="s">
        <v>369</v>
      </c>
      <c r="M700" s="79" t="s">
        <v>5173</v>
      </c>
      <c r="N700" s="79"/>
      <c r="O700" s="74"/>
      <c r="P700" s="80"/>
      <c r="Q700" s="79"/>
      <c r="R700" s="80"/>
      <c r="S700" s="78" t="s">
        <v>5174</v>
      </c>
      <c r="T700" s="101"/>
      <c r="U700" s="80"/>
      <c r="V700" s="102" t="s">
        <v>5175</v>
      </c>
      <c r="W700" s="79"/>
      <c r="X700" s="79"/>
      <c r="Y700" s="79"/>
      <c r="Z700" s="79"/>
    </row>
    <row r="701" ht="15.75" customHeight="1">
      <c r="A701" s="76" t="s">
        <v>247</v>
      </c>
      <c r="B701" s="77" t="s">
        <v>5176</v>
      </c>
      <c r="C701" s="80">
        <v>3.0707846182E10</v>
      </c>
      <c r="D701" s="119" t="s">
        <v>264</v>
      </c>
      <c r="E701" s="79" t="s">
        <v>2960</v>
      </c>
      <c r="F701" s="44">
        <v>1936.0</v>
      </c>
      <c r="G701" s="79" t="s">
        <v>269</v>
      </c>
      <c r="H701" s="80">
        <v>1682.0</v>
      </c>
      <c r="I701" s="79">
        <v>282200.0</v>
      </c>
      <c r="J701" s="74" t="s">
        <v>347</v>
      </c>
      <c r="K701" s="79" t="s">
        <v>5178</v>
      </c>
      <c r="L701" s="79"/>
      <c r="M701" s="79"/>
      <c r="N701" s="79">
        <v>9.0</v>
      </c>
      <c r="O701" s="74"/>
      <c r="P701" s="80"/>
      <c r="Q701" s="79"/>
      <c r="R701" s="80"/>
      <c r="S701" s="101" t="s">
        <v>5179</v>
      </c>
      <c r="T701" s="101" t="s">
        <v>332</v>
      </c>
      <c r="U701" s="80" t="s">
        <v>332</v>
      </c>
      <c r="V701" s="102" t="s">
        <v>2965</v>
      </c>
      <c r="W701" s="79" t="s">
        <v>309</v>
      </c>
      <c r="X701" s="79" t="s">
        <v>309</v>
      </c>
      <c r="Y701" s="79" t="s">
        <v>309</v>
      </c>
      <c r="Z701" s="79"/>
    </row>
    <row r="702" ht="15.75" customHeight="1">
      <c r="A702" s="103" t="s">
        <v>24</v>
      </c>
      <c r="B702" s="297" t="s">
        <v>5181</v>
      </c>
      <c r="C702" s="298">
        <v>3.0709747785E10</v>
      </c>
      <c r="D702" s="119" t="s">
        <v>264</v>
      </c>
      <c r="E702" s="79" t="s">
        <v>2491</v>
      </c>
      <c r="F702" s="44">
        <v>1547.0</v>
      </c>
      <c r="G702" s="79" t="s">
        <v>249</v>
      </c>
      <c r="H702" s="80">
        <v>1676.0</v>
      </c>
      <c r="I702" s="79">
        <v>259200.0</v>
      </c>
      <c r="J702" s="74" t="s">
        <v>347</v>
      </c>
      <c r="K702" s="77" t="s">
        <v>1269</v>
      </c>
      <c r="L702" s="79" t="s">
        <v>453</v>
      </c>
      <c r="M702" s="79"/>
      <c r="N702" s="79">
        <v>7.0</v>
      </c>
      <c r="O702" s="74"/>
      <c r="P702" s="80"/>
      <c r="Q702" s="79"/>
      <c r="R702" s="80"/>
      <c r="S702" s="80" t="s">
        <v>5183</v>
      </c>
      <c r="T702" s="85" t="s">
        <v>5184</v>
      </c>
      <c r="U702" s="101" t="s">
        <v>5185</v>
      </c>
      <c r="V702" s="243" t="s">
        <v>5186</v>
      </c>
      <c r="W702" s="79" t="s">
        <v>309</v>
      </c>
      <c r="X702" s="79" t="s">
        <v>309</v>
      </c>
      <c r="Y702" s="79" t="s">
        <v>309</v>
      </c>
      <c r="Z702" s="79"/>
    </row>
    <row r="703" ht="15.75" customHeight="1">
      <c r="A703" s="76" t="s">
        <v>247</v>
      </c>
      <c r="B703" s="77" t="s">
        <v>5188</v>
      </c>
      <c r="C703" s="80">
        <v>3.3504700939E10</v>
      </c>
      <c r="D703" s="79" t="s">
        <v>264</v>
      </c>
      <c r="E703" s="79" t="s">
        <v>3160</v>
      </c>
      <c r="F703" s="44">
        <v>2479.0</v>
      </c>
      <c r="G703" s="77" t="s">
        <v>226</v>
      </c>
      <c r="H703" s="80">
        <v>1674.0</v>
      </c>
      <c r="I703" s="77">
        <v>161002.0</v>
      </c>
      <c r="J703" s="74" t="s">
        <v>313</v>
      </c>
      <c r="K703" s="77" t="s">
        <v>5189</v>
      </c>
      <c r="L703" s="79" t="s">
        <v>453</v>
      </c>
      <c r="M703" s="79"/>
      <c r="N703" s="79">
        <v>9.0</v>
      </c>
      <c r="O703" s="74"/>
      <c r="P703" s="80"/>
      <c r="Q703" s="79"/>
      <c r="R703" s="80"/>
      <c r="S703" s="80" t="s">
        <v>5190</v>
      </c>
      <c r="T703" s="85" t="s">
        <v>5191</v>
      </c>
      <c r="U703" s="80" t="s">
        <v>332</v>
      </c>
      <c r="V703" s="102" t="s">
        <v>5193</v>
      </c>
      <c r="W703" s="79" t="s">
        <v>309</v>
      </c>
      <c r="X703" s="79" t="s">
        <v>309</v>
      </c>
      <c r="Y703" s="79" t="s">
        <v>309</v>
      </c>
      <c r="Z703" s="79"/>
    </row>
    <row r="704" ht="15.75" customHeight="1">
      <c r="A704" s="103" t="s">
        <v>24</v>
      </c>
      <c r="B704" s="77" t="s">
        <v>5194</v>
      </c>
      <c r="C704" s="80">
        <v>3.0502233455E10</v>
      </c>
      <c r="D704" s="79" t="s">
        <v>264</v>
      </c>
      <c r="E704" s="79" t="s">
        <v>5195</v>
      </c>
      <c r="F704" s="44">
        <v>2826.0</v>
      </c>
      <c r="G704" s="77" t="s">
        <v>226</v>
      </c>
      <c r="H704" s="80">
        <v>1674.0</v>
      </c>
      <c r="I704" s="79">
        <v>361010.0</v>
      </c>
      <c r="J704" s="74" t="s">
        <v>313</v>
      </c>
      <c r="K704" s="79" t="s">
        <v>2534</v>
      </c>
      <c r="L704" s="79" t="s">
        <v>1122</v>
      </c>
      <c r="M704" s="79"/>
      <c r="N704" s="79">
        <v>0.0</v>
      </c>
      <c r="O704" s="74"/>
      <c r="P704" s="80"/>
      <c r="Q704" s="79"/>
      <c r="R704" s="80"/>
      <c r="S704" s="80" t="s">
        <v>5197</v>
      </c>
      <c r="T704" s="101" t="s">
        <v>332</v>
      </c>
      <c r="U704" s="80" t="s">
        <v>332</v>
      </c>
      <c r="V704" s="102" t="s">
        <v>429</v>
      </c>
      <c r="W704" s="79" t="s">
        <v>306</v>
      </c>
      <c r="X704" s="79" t="s">
        <v>306</v>
      </c>
      <c r="Y704" s="79" t="s">
        <v>306</v>
      </c>
      <c r="Z704" s="79"/>
    </row>
    <row r="705" ht="15.75" customHeight="1">
      <c r="A705" s="103" t="s">
        <v>24</v>
      </c>
      <c r="B705" s="77" t="s">
        <v>5198</v>
      </c>
      <c r="C705" s="79">
        <v>3.0708143932E10</v>
      </c>
      <c r="D705" s="77" t="s">
        <v>264</v>
      </c>
      <c r="E705" s="77" t="s">
        <v>5199</v>
      </c>
      <c r="F705" s="44">
        <v>3674.0</v>
      </c>
      <c r="G705" s="79" t="s">
        <v>68</v>
      </c>
      <c r="H705" s="80">
        <v>1702.0</v>
      </c>
      <c r="I705" s="79">
        <v>210990.0</v>
      </c>
      <c r="J705" s="74" t="s">
        <v>283</v>
      </c>
      <c r="K705" s="77" t="s">
        <v>5200</v>
      </c>
      <c r="L705" s="79"/>
      <c r="M705" s="79"/>
      <c r="N705" s="79">
        <v>0.0</v>
      </c>
      <c r="O705" s="74"/>
      <c r="P705" s="80"/>
      <c r="Q705" s="79"/>
      <c r="R705" s="80"/>
      <c r="S705" s="80" t="s">
        <v>5202</v>
      </c>
      <c r="T705" s="101" t="s">
        <v>332</v>
      </c>
      <c r="U705" s="80" t="s">
        <v>332</v>
      </c>
      <c r="V705" s="102" t="s">
        <v>429</v>
      </c>
      <c r="W705" s="79" t="s">
        <v>306</v>
      </c>
      <c r="X705" s="79" t="s">
        <v>306</v>
      </c>
      <c r="Y705" s="79"/>
      <c r="Z705" s="79"/>
    </row>
    <row r="706" ht="15.75" customHeight="1">
      <c r="A706" s="103" t="s">
        <v>24</v>
      </c>
      <c r="B706" s="77" t="s">
        <v>5203</v>
      </c>
      <c r="C706" s="80">
        <v>3.0663791202E10</v>
      </c>
      <c r="D706" s="79" t="s">
        <v>264</v>
      </c>
      <c r="E706" s="77" t="s">
        <v>1806</v>
      </c>
      <c r="F706" s="44">
        <v>3268.0</v>
      </c>
      <c r="G706" s="79" t="s">
        <v>15</v>
      </c>
      <c r="H706" s="80">
        <v>1678.0</v>
      </c>
      <c r="I706" s="79">
        <v>310010.0</v>
      </c>
      <c r="J706" s="74" t="s">
        <v>313</v>
      </c>
      <c r="K706" s="79" t="s">
        <v>1438</v>
      </c>
      <c r="L706" s="79" t="s">
        <v>1122</v>
      </c>
      <c r="M706" s="79"/>
      <c r="N706" s="79">
        <v>1.0</v>
      </c>
      <c r="O706" s="74"/>
      <c r="P706" s="80"/>
      <c r="Q706" s="79"/>
      <c r="R706" s="80"/>
      <c r="S706" s="80" t="s">
        <v>5205</v>
      </c>
      <c r="T706" s="101" t="s">
        <v>5206</v>
      </c>
      <c r="U706" s="80" t="s">
        <v>332</v>
      </c>
      <c r="V706" s="102" t="s">
        <v>5207</v>
      </c>
      <c r="W706" s="79" t="s">
        <v>309</v>
      </c>
      <c r="X706" s="79" t="s">
        <v>309</v>
      </c>
      <c r="Y706" s="79" t="s">
        <v>309</v>
      </c>
      <c r="Z706" s="79"/>
    </row>
    <row r="707" ht="15.75" customHeight="1">
      <c r="A707" s="76" t="s">
        <v>247</v>
      </c>
      <c r="B707" s="77" t="s">
        <v>1672</v>
      </c>
      <c r="C707" s="80">
        <v>3.0708102179E10</v>
      </c>
      <c r="D707" s="119" t="s">
        <v>264</v>
      </c>
      <c r="E707" s="79" t="s">
        <v>3130</v>
      </c>
      <c r="F707" s="44">
        <v>5945.0</v>
      </c>
      <c r="G707" s="79" t="s">
        <v>134</v>
      </c>
      <c r="H707" s="80">
        <v>1682.0</v>
      </c>
      <c r="I707" s="79">
        <v>259309.0</v>
      </c>
      <c r="J707" s="74" t="s">
        <v>347</v>
      </c>
      <c r="K707" s="77" t="s">
        <v>1121</v>
      </c>
      <c r="L707" s="79"/>
      <c r="M707" s="79"/>
      <c r="N707" s="79">
        <v>15.0</v>
      </c>
      <c r="O707" s="74" t="s">
        <v>5209</v>
      </c>
      <c r="P707" s="78" t="s">
        <v>5210</v>
      </c>
      <c r="Q707" s="79" t="s">
        <v>5211</v>
      </c>
      <c r="R707" s="78" t="s">
        <v>5212</v>
      </c>
      <c r="S707" s="80" t="s">
        <v>5213</v>
      </c>
      <c r="T707" s="101" t="s">
        <v>5214</v>
      </c>
      <c r="U707" s="80" t="s">
        <v>332</v>
      </c>
      <c r="V707" s="102" t="s">
        <v>5215</v>
      </c>
      <c r="W707" s="79" t="s">
        <v>306</v>
      </c>
      <c r="X707" s="79" t="s">
        <v>306</v>
      </c>
      <c r="Y707" s="79" t="s">
        <v>309</v>
      </c>
      <c r="Z707" s="79"/>
    </row>
    <row r="708" ht="15.75" customHeight="1">
      <c r="A708" s="76" t="s">
        <v>247</v>
      </c>
      <c r="B708" s="77" t="s">
        <v>1677</v>
      </c>
      <c r="C708" s="80">
        <v>3.0517314818E10</v>
      </c>
      <c r="D708" s="79" t="s">
        <v>264</v>
      </c>
      <c r="E708" s="79" t="s">
        <v>3052</v>
      </c>
      <c r="F708" s="44">
        <v>257.0</v>
      </c>
      <c r="G708" s="79" t="s">
        <v>68</v>
      </c>
      <c r="H708" s="80">
        <v>1702.0</v>
      </c>
      <c r="I708" s="79">
        <v>152011.0</v>
      </c>
      <c r="J708" s="74" t="s">
        <v>73</v>
      </c>
      <c r="K708" s="79" t="s">
        <v>1471</v>
      </c>
      <c r="L708" s="79"/>
      <c r="M708" s="79" t="s">
        <v>5218</v>
      </c>
      <c r="N708" s="79">
        <v>3.0</v>
      </c>
      <c r="O708" s="74" t="s">
        <v>5219</v>
      </c>
      <c r="P708" s="78" t="s">
        <v>5220</v>
      </c>
      <c r="Q708" s="77" t="s">
        <v>5221</v>
      </c>
      <c r="R708" s="80"/>
      <c r="S708" s="80" t="s">
        <v>5222</v>
      </c>
      <c r="T708" s="101" t="s">
        <v>5223</v>
      </c>
      <c r="U708" s="80" t="s">
        <v>332</v>
      </c>
      <c r="V708" s="102" t="s">
        <v>429</v>
      </c>
      <c r="W708" s="79" t="s">
        <v>309</v>
      </c>
      <c r="X708" s="79" t="s">
        <v>309</v>
      </c>
      <c r="Y708" s="79" t="s">
        <v>309</v>
      </c>
      <c r="Z708" s="79"/>
    </row>
    <row r="709" ht="15.0" customHeight="1">
      <c r="A709" s="76" t="s">
        <v>247</v>
      </c>
      <c r="B709" s="77" t="s">
        <v>5224</v>
      </c>
      <c r="C709" s="80">
        <v>2.0320473234E10</v>
      </c>
      <c r="D709" s="77" t="s">
        <v>631</v>
      </c>
      <c r="E709" s="77" t="s">
        <v>1927</v>
      </c>
      <c r="F709" s="44">
        <v>49.0</v>
      </c>
      <c r="G709" s="79" t="s">
        <v>68</v>
      </c>
      <c r="H709" s="80">
        <v>1702.0</v>
      </c>
      <c r="I709" s="79">
        <v>181109.0</v>
      </c>
      <c r="J709" s="74" t="s">
        <v>238</v>
      </c>
      <c r="K709" s="77" t="s">
        <v>1545</v>
      </c>
      <c r="L709" s="79"/>
      <c r="M709" s="77" t="s">
        <v>5226</v>
      </c>
      <c r="N709" s="79"/>
      <c r="O709" s="74"/>
      <c r="P709" s="125" t="s">
        <v>5227</v>
      </c>
      <c r="Q709" s="79"/>
      <c r="R709" s="80"/>
      <c r="S709" s="78" t="s">
        <v>5228</v>
      </c>
      <c r="T709" s="101"/>
      <c r="U709" s="80"/>
      <c r="V709" s="102" t="s">
        <v>5229</v>
      </c>
      <c r="W709" s="79"/>
      <c r="X709" s="79"/>
      <c r="Y709" s="79"/>
      <c r="Z709" s="79"/>
    </row>
    <row r="710" ht="15.75" customHeight="1">
      <c r="A710" s="76" t="s">
        <v>247</v>
      </c>
      <c r="B710" s="77" t="s">
        <v>5231</v>
      </c>
      <c r="C710" s="80">
        <v>3.0516492291E10</v>
      </c>
      <c r="D710" s="79" t="s">
        <v>264</v>
      </c>
      <c r="E710" s="74" t="s">
        <v>696</v>
      </c>
      <c r="F710" s="44">
        <v>4760.0</v>
      </c>
      <c r="G710" s="79" t="s">
        <v>15</v>
      </c>
      <c r="H710" s="80">
        <v>1678.0</v>
      </c>
      <c r="I710" s="79">
        <v>275099.0</v>
      </c>
      <c r="J710" s="74" t="s">
        <v>347</v>
      </c>
      <c r="K710" s="77" t="s">
        <v>5233</v>
      </c>
      <c r="L710" s="79"/>
      <c r="M710" s="79"/>
      <c r="N710" s="79">
        <v>11.0</v>
      </c>
      <c r="O710" s="83" t="s">
        <v>5234</v>
      </c>
      <c r="P710" s="78" t="s">
        <v>5235</v>
      </c>
      <c r="Q710" s="79" t="s">
        <v>5236</v>
      </c>
      <c r="R710" s="80"/>
      <c r="S710" s="80" t="s">
        <v>5237</v>
      </c>
      <c r="T710" s="78" t="s">
        <v>5238</v>
      </c>
      <c r="U710" s="78" t="s">
        <v>5239</v>
      </c>
      <c r="V710" s="102" t="s">
        <v>5240</v>
      </c>
      <c r="W710" s="79" t="s">
        <v>309</v>
      </c>
      <c r="X710" s="79" t="s">
        <v>309</v>
      </c>
      <c r="Y710" s="79" t="s">
        <v>309</v>
      </c>
      <c r="Z710" s="79"/>
    </row>
    <row r="711" ht="15.0" customHeight="1">
      <c r="A711" s="103" t="s">
        <v>24</v>
      </c>
      <c r="B711" s="77" t="s">
        <v>5242</v>
      </c>
      <c r="C711" s="80">
        <v>3.0501417021E10</v>
      </c>
      <c r="D711" s="119" t="s">
        <v>264</v>
      </c>
      <c r="E711" s="79" t="s">
        <v>2872</v>
      </c>
      <c r="F711" s="44">
        <v>2620.0</v>
      </c>
      <c r="G711" s="79" t="s">
        <v>15</v>
      </c>
      <c r="H711" s="80">
        <v>1678.0</v>
      </c>
      <c r="I711" s="79">
        <v>292300.0</v>
      </c>
      <c r="J711" s="74" t="s">
        <v>347</v>
      </c>
      <c r="K711" s="79" t="s">
        <v>4821</v>
      </c>
      <c r="L711" s="79" t="s">
        <v>662</v>
      </c>
      <c r="M711" s="79"/>
      <c r="N711" s="79">
        <v>0.0</v>
      </c>
      <c r="O711" s="74"/>
      <c r="P711" s="80"/>
      <c r="Q711" s="79"/>
      <c r="R711" s="80"/>
      <c r="S711" s="80" t="s">
        <v>5244</v>
      </c>
      <c r="T711" s="101"/>
      <c r="U711" s="80" t="s">
        <v>332</v>
      </c>
      <c r="V711" s="102" t="s">
        <v>429</v>
      </c>
      <c r="W711" s="79" t="s">
        <v>309</v>
      </c>
      <c r="X711" s="79" t="s">
        <v>309</v>
      </c>
      <c r="Y711" s="79"/>
      <c r="Z711" s="79"/>
    </row>
    <row r="712" ht="15.75" customHeight="1">
      <c r="A712" s="76" t="s">
        <v>247</v>
      </c>
      <c r="B712" s="77" t="s">
        <v>5245</v>
      </c>
      <c r="C712" s="80">
        <v>3.0638526995E10</v>
      </c>
      <c r="D712" s="79" t="s">
        <v>264</v>
      </c>
      <c r="E712" s="79" t="s">
        <v>1221</v>
      </c>
      <c r="F712" s="44">
        <v>8311.0</v>
      </c>
      <c r="G712" s="79" t="s">
        <v>119</v>
      </c>
      <c r="H712" s="80">
        <v>1657.0</v>
      </c>
      <c r="I712" s="79">
        <v>221901.0</v>
      </c>
      <c r="J712" s="83" t="s">
        <v>37</v>
      </c>
      <c r="K712" s="79" t="s">
        <v>1913</v>
      </c>
      <c r="L712" s="79"/>
      <c r="M712" s="79"/>
      <c r="N712" s="79">
        <v>21.0</v>
      </c>
      <c r="O712" s="74"/>
      <c r="P712" s="80"/>
      <c r="Q712" s="79"/>
      <c r="R712" s="80"/>
      <c r="S712" s="78" t="s">
        <v>5247</v>
      </c>
      <c r="T712" s="80" t="s">
        <v>5248</v>
      </c>
      <c r="U712" s="101" t="s">
        <v>5249</v>
      </c>
      <c r="V712" s="102" t="s">
        <v>5250</v>
      </c>
      <c r="W712" s="79" t="s">
        <v>309</v>
      </c>
      <c r="X712" s="79" t="s">
        <v>309</v>
      </c>
      <c r="Y712" s="79" t="s">
        <v>309</v>
      </c>
      <c r="Z712" s="79"/>
    </row>
    <row r="713" ht="15.75" customHeight="1">
      <c r="A713" s="103" t="s">
        <v>24</v>
      </c>
      <c r="B713" s="77" t="s">
        <v>5251</v>
      </c>
      <c r="C713" s="80">
        <v>3.3519938079E10</v>
      </c>
      <c r="D713" s="79" t="s">
        <v>264</v>
      </c>
      <c r="E713" s="79" t="s">
        <v>1045</v>
      </c>
      <c r="F713" s="44">
        <v>2984.0</v>
      </c>
      <c r="G713" s="79" t="s">
        <v>15</v>
      </c>
      <c r="H713" s="80">
        <v>1678.0</v>
      </c>
      <c r="I713" s="79">
        <v>264000.0</v>
      </c>
      <c r="J713" s="83" t="s">
        <v>207</v>
      </c>
      <c r="K713" s="79" t="s">
        <v>4523</v>
      </c>
      <c r="L713" s="79"/>
      <c r="M713" s="79"/>
      <c r="N713" s="79">
        <v>3.0</v>
      </c>
      <c r="O713" s="74"/>
      <c r="P713" s="80"/>
      <c r="Q713" s="79"/>
      <c r="R713" s="80"/>
      <c r="S713" s="78" t="s">
        <v>5253</v>
      </c>
      <c r="T713" s="80" t="s">
        <v>5254</v>
      </c>
      <c r="U713" s="101" t="s">
        <v>5255</v>
      </c>
      <c r="V713" s="102" t="s">
        <v>5256</v>
      </c>
      <c r="W713" s="79" t="s">
        <v>309</v>
      </c>
      <c r="X713" s="79" t="s">
        <v>309</v>
      </c>
      <c r="Y713" s="79" t="s">
        <v>309</v>
      </c>
      <c r="Z713" s="79"/>
    </row>
    <row r="714" ht="15.75" customHeight="1">
      <c r="A714" s="103" t="s">
        <v>24</v>
      </c>
      <c r="B714" s="77" t="s">
        <v>5258</v>
      </c>
      <c r="C714" s="80">
        <v>3.0622538756E10</v>
      </c>
      <c r="D714" s="119" t="s">
        <v>264</v>
      </c>
      <c r="E714" s="79" t="s">
        <v>4886</v>
      </c>
      <c r="F714" s="44">
        <v>493.0</v>
      </c>
      <c r="G714" s="77" t="s">
        <v>226</v>
      </c>
      <c r="H714" s="80">
        <v>1674.0</v>
      </c>
      <c r="I714" s="79">
        <v>291900.0</v>
      </c>
      <c r="J714" s="74" t="s">
        <v>347</v>
      </c>
      <c r="K714" s="79" t="s">
        <v>5259</v>
      </c>
      <c r="L714" s="79" t="s">
        <v>662</v>
      </c>
      <c r="M714" s="79"/>
      <c r="N714" s="79">
        <v>0.0</v>
      </c>
      <c r="O714" s="74"/>
      <c r="P714" s="80"/>
      <c r="Q714" s="79"/>
      <c r="R714" s="80"/>
      <c r="S714" s="80" t="s">
        <v>5261</v>
      </c>
      <c r="T714" s="101" t="s">
        <v>332</v>
      </c>
      <c r="U714" s="80" t="s">
        <v>332</v>
      </c>
      <c r="V714" s="102" t="s">
        <v>429</v>
      </c>
      <c r="W714" s="79" t="s">
        <v>306</v>
      </c>
      <c r="X714" s="79" t="s">
        <v>306</v>
      </c>
      <c r="Y714" s="79"/>
      <c r="Z714" s="79"/>
    </row>
    <row r="715" ht="15.0" customHeight="1">
      <c r="A715" s="76" t="s">
        <v>247</v>
      </c>
      <c r="B715" s="77" t="s">
        <v>5262</v>
      </c>
      <c r="C715" s="80">
        <v>3.0597721524E10</v>
      </c>
      <c r="D715" s="79" t="s">
        <v>264</v>
      </c>
      <c r="E715" s="79" t="s">
        <v>2997</v>
      </c>
      <c r="F715" s="44">
        <v>4620.0</v>
      </c>
      <c r="G715" s="79" t="s">
        <v>15</v>
      </c>
      <c r="H715" s="80">
        <v>1678.0</v>
      </c>
      <c r="I715" s="79">
        <v>221901.0</v>
      </c>
      <c r="J715" s="74" t="s">
        <v>337</v>
      </c>
      <c r="K715" s="79" t="s">
        <v>1913</v>
      </c>
      <c r="L715" s="79"/>
      <c r="M715" s="77" t="s">
        <v>5264</v>
      </c>
      <c r="N715" s="79">
        <v>7.0</v>
      </c>
      <c r="O715" s="74"/>
      <c r="P715" s="80"/>
      <c r="Q715" s="79"/>
      <c r="R715" s="80"/>
      <c r="S715" s="78" t="s">
        <v>5265</v>
      </c>
      <c r="T715" s="101" t="s">
        <v>5266</v>
      </c>
      <c r="U715" s="80" t="s">
        <v>332</v>
      </c>
      <c r="V715" s="102" t="s">
        <v>5267</v>
      </c>
      <c r="W715" s="79" t="s">
        <v>309</v>
      </c>
      <c r="X715" s="79" t="s">
        <v>309</v>
      </c>
      <c r="Y715" s="79" t="s">
        <v>309</v>
      </c>
      <c r="Z715" s="79"/>
    </row>
    <row r="716" ht="15.75" customHeight="1">
      <c r="A716" s="76" t="s">
        <v>247</v>
      </c>
      <c r="B716" s="77" t="s">
        <v>5269</v>
      </c>
      <c r="C716" s="80">
        <v>3.0523412236E10</v>
      </c>
      <c r="D716" s="119" t="s">
        <v>264</v>
      </c>
      <c r="E716" s="79" t="s">
        <v>723</v>
      </c>
      <c r="F716" s="44">
        <v>4344.0</v>
      </c>
      <c r="G716" s="79" t="s">
        <v>15</v>
      </c>
      <c r="H716" s="80">
        <v>1678.0</v>
      </c>
      <c r="I716" s="79">
        <v>170990.0</v>
      </c>
      <c r="J716" s="74" t="s">
        <v>283</v>
      </c>
      <c r="K716" s="77" t="s">
        <v>2385</v>
      </c>
      <c r="L716" s="79" t="s">
        <v>453</v>
      </c>
      <c r="M716" s="79" t="s">
        <v>5271</v>
      </c>
      <c r="N716" s="79">
        <v>127.0</v>
      </c>
      <c r="O716" s="83" t="s">
        <v>5272</v>
      </c>
      <c r="P716" s="80"/>
      <c r="Q716" s="79"/>
      <c r="R716" s="80"/>
      <c r="S716" s="78" t="s">
        <v>5273</v>
      </c>
      <c r="T716" s="85" t="s">
        <v>5274</v>
      </c>
      <c r="U716" s="80" t="s">
        <v>332</v>
      </c>
      <c r="V716" s="102" t="s">
        <v>5276</v>
      </c>
      <c r="W716" s="79" t="s">
        <v>309</v>
      </c>
      <c r="X716" s="79" t="s">
        <v>309</v>
      </c>
      <c r="Y716" s="79" t="s">
        <v>309</v>
      </c>
      <c r="Z716" s="79"/>
    </row>
    <row r="717" ht="15.75" customHeight="1">
      <c r="A717" s="103" t="s">
        <v>24</v>
      </c>
      <c r="B717" s="77" t="s">
        <v>1681</v>
      </c>
      <c r="C717" s="101">
        <v>3.0717808041E10</v>
      </c>
      <c r="D717" s="79" t="s">
        <v>264</v>
      </c>
      <c r="E717" s="129" t="s">
        <v>1347</v>
      </c>
      <c r="F717" s="128">
        <v>1590.0</v>
      </c>
      <c r="G717" s="79" t="s">
        <v>68</v>
      </c>
      <c r="H717" s="80">
        <v>1702.0</v>
      </c>
      <c r="I717" s="77">
        <v>433020.0</v>
      </c>
      <c r="J717" s="74" t="s">
        <v>125</v>
      </c>
      <c r="K717" s="77" t="s">
        <v>5278</v>
      </c>
      <c r="L717" s="79"/>
      <c r="M717" s="79"/>
      <c r="N717" s="79"/>
      <c r="O717" s="119" t="s">
        <v>5279</v>
      </c>
      <c r="P717" s="290" t="s">
        <v>5280</v>
      </c>
      <c r="Q717" s="79"/>
      <c r="R717" s="80"/>
      <c r="S717" s="80" t="s">
        <v>5281</v>
      </c>
      <c r="T717" s="101" t="s">
        <v>5282</v>
      </c>
      <c r="U717" s="78">
        <v>1.138508665E9</v>
      </c>
      <c r="V717" s="102" t="s">
        <v>5283</v>
      </c>
      <c r="W717" s="79"/>
      <c r="X717" s="79"/>
      <c r="Y717" s="79"/>
      <c r="Z717" s="79"/>
    </row>
    <row r="718" ht="15.75" customHeight="1">
      <c r="A718" s="76" t="s">
        <v>247</v>
      </c>
      <c r="B718" s="77" t="s">
        <v>5285</v>
      </c>
      <c r="C718" s="80">
        <v>3.0710507739E10</v>
      </c>
      <c r="D718" s="119" t="s">
        <v>264</v>
      </c>
      <c r="E718" s="77" t="s">
        <v>2878</v>
      </c>
      <c r="F718" s="128">
        <v>1679.0</v>
      </c>
      <c r="G718" s="79" t="s">
        <v>249</v>
      </c>
      <c r="H718" s="80">
        <v>1676.0</v>
      </c>
      <c r="I718" s="79">
        <v>410011.0</v>
      </c>
      <c r="J718" s="74" t="s">
        <v>125</v>
      </c>
      <c r="K718" s="79" t="s">
        <v>1829</v>
      </c>
      <c r="L718" s="79" t="s">
        <v>453</v>
      </c>
      <c r="M718" s="79"/>
      <c r="N718" s="79">
        <v>4.0</v>
      </c>
      <c r="O718" s="74"/>
      <c r="P718" s="80"/>
      <c r="Q718" s="79"/>
      <c r="R718" s="80"/>
      <c r="S718" s="78" t="s">
        <v>5287</v>
      </c>
      <c r="T718" s="101" t="s">
        <v>332</v>
      </c>
      <c r="U718" s="80" t="s">
        <v>332</v>
      </c>
      <c r="V718" s="102" t="s">
        <v>5288</v>
      </c>
      <c r="W718" s="79" t="s">
        <v>306</v>
      </c>
      <c r="X718" s="79" t="s">
        <v>306</v>
      </c>
      <c r="Y718" s="79"/>
      <c r="Z718" s="79"/>
    </row>
    <row r="719" ht="15.0" customHeight="1">
      <c r="A719" s="76" t="s">
        <v>247</v>
      </c>
      <c r="B719" s="79" t="s">
        <v>5289</v>
      </c>
      <c r="C719" s="79">
        <v>2.0177175898E10</v>
      </c>
      <c r="D719" s="144" t="s">
        <v>631</v>
      </c>
      <c r="E719" s="79" t="s">
        <v>5291</v>
      </c>
      <c r="F719" s="128">
        <v>677.0</v>
      </c>
      <c r="G719" s="77" t="s">
        <v>119</v>
      </c>
      <c r="H719" s="78">
        <v>1657.0</v>
      </c>
      <c r="I719" s="77">
        <v>259993.0</v>
      </c>
      <c r="J719" s="83" t="s">
        <v>347</v>
      </c>
      <c r="K719" s="129" t="s">
        <v>638</v>
      </c>
      <c r="L719" s="79"/>
      <c r="M719" s="79"/>
      <c r="N719" s="79"/>
      <c r="O719" s="299"/>
      <c r="P719" s="80"/>
      <c r="Q719" s="79"/>
      <c r="R719" s="80"/>
      <c r="S719" s="78" t="s">
        <v>5292</v>
      </c>
      <c r="T719" s="101"/>
      <c r="U719" s="80"/>
      <c r="V719" s="102" t="s">
        <v>429</v>
      </c>
      <c r="W719" s="79"/>
      <c r="X719" s="79"/>
      <c r="Y719" s="79"/>
      <c r="Z719" s="79"/>
    </row>
    <row r="720" ht="15.75" customHeight="1">
      <c r="A720" s="76" t="s">
        <v>247</v>
      </c>
      <c r="B720" s="77" t="s">
        <v>5293</v>
      </c>
      <c r="C720" s="80">
        <v>3.0593482894E10</v>
      </c>
      <c r="D720" s="79" t="s">
        <v>264</v>
      </c>
      <c r="E720" s="79" t="s">
        <v>564</v>
      </c>
      <c r="F720" s="44">
        <v>4338.0</v>
      </c>
      <c r="G720" s="79" t="s">
        <v>68</v>
      </c>
      <c r="H720" s="80">
        <v>1702.0</v>
      </c>
      <c r="I720" s="79">
        <v>222090.0</v>
      </c>
      <c r="J720" s="83" t="s">
        <v>568</v>
      </c>
      <c r="K720" s="77" t="s">
        <v>569</v>
      </c>
      <c r="L720" s="79" t="s">
        <v>453</v>
      </c>
      <c r="M720" s="77" t="s">
        <v>5295</v>
      </c>
      <c r="N720" s="79">
        <v>16.0</v>
      </c>
      <c r="O720" s="74" t="s">
        <v>5296</v>
      </c>
      <c r="P720" s="78" t="s">
        <v>5297</v>
      </c>
      <c r="Q720" s="77" t="s">
        <v>5298</v>
      </c>
      <c r="R720" s="80"/>
      <c r="S720" s="80" t="s">
        <v>5299</v>
      </c>
      <c r="T720" s="101" t="s">
        <v>5300</v>
      </c>
      <c r="U720" s="80" t="s">
        <v>5301</v>
      </c>
      <c r="V720" s="86" t="s">
        <v>5302</v>
      </c>
      <c r="W720" s="79" t="s">
        <v>309</v>
      </c>
      <c r="X720" s="79" t="s">
        <v>309</v>
      </c>
      <c r="Y720" s="79" t="s">
        <v>309</v>
      </c>
      <c r="Z720" s="79"/>
    </row>
    <row r="721" ht="15.0" customHeight="1">
      <c r="A721" s="76" t="s">
        <v>247</v>
      </c>
      <c r="B721" s="79" t="s">
        <v>5303</v>
      </c>
      <c r="C721" s="80">
        <v>2.0120941861E10</v>
      </c>
      <c r="D721" s="77" t="s">
        <v>631</v>
      </c>
      <c r="E721" s="77" t="s">
        <v>5304</v>
      </c>
      <c r="F721" s="128">
        <v>918.0</v>
      </c>
      <c r="G721" s="79" t="s">
        <v>269</v>
      </c>
      <c r="H721" s="80">
        <v>1682.0</v>
      </c>
      <c r="I721" s="79">
        <v>259993.0</v>
      </c>
      <c r="J721" s="83" t="s">
        <v>347</v>
      </c>
      <c r="K721" s="129" t="s">
        <v>638</v>
      </c>
      <c r="L721" s="79" t="s">
        <v>453</v>
      </c>
      <c r="M721" s="77" t="s">
        <v>5306</v>
      </c>
      <c r="N721" s="79"/>
      <c r="O721" s="74" t="s">
        <v>5307</v>
      </c>
      <c r="P721" s="80"/>
      <c r="Q721" s="79"/>
      <c r="R721" s="80"/>
      <c r="S721" s="80" t="s">
        <v>5308</v>
      </c>
      <c r="T721" s="101"/>
      <c r="U721" s="80"/>
      <c r="V721" s="102" t="s">
        <v>429</v>
      </c>
      <c r="W721" s="79"/>
      <c r="X721" s="79"/>
      <c r="Y721" s="79"/>
      <c r="Z721" s="79"/>
    </row>
    <row r="722" ht="15.0" customHeight="1">
      <c r="A722" s="76" t="s">
        <v>247</v>
      </c>
      <c r="B722" s="77" t="s">
        <v>5309</v>
      </c>
      <c r="C722" s="80">
        <v>3.3547286869E10</v>
      </c>
      <c r="D722" s="79" t="s">
        <v>264</v>
      </c>
      <c r="E722" s="79" t="s">
        <v>1088</v>
      </c>
      <c r="F722" s="44">
        <v>5334.0</v>
      </c>
      <c r="G722" s="79" t="s">
        <v>15</v>
      </c>
      <c r="H722" s="80">
        <v>1678.0</v>
      </c>
      <c r="I722" s="79">
        <v>259993.0</v>
      </c>
      <c r="J722" s="74" t="s">
        <v>347</v>
      </c>
      <c r="K722" s="129" t="s">
        <v>638</v>
      </c>
      <c r="L722" s="79" t="s">
        <v>453</v>
      </c>
      <c r="M722" s="77" t="s">
        <v>5310</v>
      </c>
      <c r="N722" s="79">
        <v>31.0</v>
      </c>
      <c r="O722" s="74"/>
      <c r="P722" s="80"/>
      <c r="Q722" s="79"/>
      <c r="R722" s="80"/>
      <c r="S722" s="80" t="s">
        <v>5311</v>
      </c>
      <c r="T722" s="101" t="s">
        <v>5313</v>
      </c>
      <c r="U722" s="80" t="s">
        <v>5311</v>
      </c>
      <c r="V722" s="102" t="s">
        <v>5314</v>
      </c>
      <c r="W722" s="79" t="s">
        <v>309</v>
      </c>
      <c r="X722" s="79" t="s">
        <v>309</v>
      </c>
      <c r="Y722" s="79" t="s">
        <v>309</v>
      </c>
      <c r="Z722" s="79"/>
    </row>
    <row r="723" ht="15.75" customHeight="1">
      <c r="A723" s="76" t="s">
        <v>247</v>
      </c>
      <c r="B723" s="77" t="s">
        <v>5315</v>
      </c>
      <c r="C723" s="78">
        <v>3.071750114E10</v>
      </c>
      <c r="D723" s="79" t="s">
        <v>264</v>
      </c>
      <c r="E723" s="79" t="s">
        <v>3339</v>
      </c>
      <c r="F723" s="44">
        <v>5317.0</v>
      </c>
      <c r="G723" s="79" t="s">
        <v>15</v>
      </c>
      <c r="H723" s="80">
        <v>1678.0</v>
      </c>
      <c r="I723" s="79">
        <v>463199.0</v>
      </c>
      <c r="J723" s="74" t="s">
        <v>22</v>
      </c>
      <c r="K723" s="77" t="s">
        <v>4380</v>
      </c>
      <c r="L723" s="79" t="s">
        <v>453</v>
      </c>
      <c r="M723" s="79" t="s">
        <v>5316</v>
      </c>
      <c r="N723" s="79"/>
      <c r="O723" s="126" t="s">
        <v>5317</v>
      </c>
      <c r="P723" s="78" t="s">
        <v>5318</v>
      </c>
      <c r="Q723" s="79" t="s">
        <v>5320</v>
      </c>
      <c r="R723" s="78" t="s">
        <v>5321</v>
      </c>
      <c r="S723" s="80" t="s">
        <v>5322</v>
      </c>
      <c r="T723" s="101"/>
      <c r="U723" s="80"/>
      <c r="V723" s="102" t="s">
        <v>429</v>
      </c>
      <c r="W723" s="79"/>
      <c r="X723" s="79"/>
      <c r="Y723" s="79"/>
      <c r="Z723" s="79"/>
    </row>
    <row r="724" ht="15.75" customHeight="1">
      <c r="A724" s="76" t="s">
        <v>247</v>
      </c>
      <c r="B724" s="77" t="s">
        <v>5323</v>
      </c>
      <c r="C724" s="80">
        <v>3.0709357782E10</v>
      </c>
      <c r="D724" s="79" t="s">
        <v>264</v>
      </c>
      <c r="E724" s="79" t="s">
        <v>2997</v>
      </c>
      <c r="F724" s="44">
        <v>4436.0</v>
      </c>
      <c r="G724" s="79" t="s">
        <v>15</v>
      </c>
      <c r="H724" s="80">
        <v>1678.0</v>
      </c>
      <c r="I724" s="79">
        <v>259999.0</v>
      </c>
      <c r="J724" s="74" t="s">
        <v>347</v>
      </c>
      <c r="K724" s="77" t="s">
        <v>839</v>
      </c>
      <c r="L724" s="79" t="s">
        <v>453</v>
      </c>
      <c r="M724" s="79"/>
      <c r="N724" s="79">
        <v>12.0</v>
      </c>
      <c r="O724" s="74" t="s">
        <v>5324</v>
      </c>
      <c r="P724" s="78" t="s">
        <v>5325</v>
      </c>
      <c r="Q724" s="79"/>
      <c r="R724" s="80"/>
      <c r="S724" s="78" t="s">
        <v>5326</v>
      </c>
      <c r="T724" s="85" t="s">
        <v>5327</v>
      </c>
      <c r="U724" s="78" t="s">
        <v>5328</v>
      </c>
      <c r="V724" s="102" t="s">
        <v>5329</v>
      </c>
      <c r="W724" s="79" t="s">
        <v>309</v>
      </c>
      <c r="X724" s="79" t="s">
        <v>309</v>
      </c>
      <c r="Y724" s="79"/>
      <c r="Z724" s="79"/>
    </row>
    <row r="725" ht="15.75" customHeight="1">
      <c r="A725" s="76" t="s">
        <v>247</v>
      </c>
      <c r="B725" s="77" t="s">
        <v>1688</v>
      </c>
      <c r="C725" s="80">
        <v>3.0677077596E10</v>
      </c>
      <c r="D725" s="119" t="s">
        <v>264</v>
      </c>
      <c r="E725" s="79" t="s">
        <v>564</v>
      </c>
      <c r="F725" s="44">
        <v>4443.0</v>
      </c>
      <c r="G725" s="79" t="s">
        <v>68</v>
      </c>
      <c r="H725" s="80">
        <v>1702.0</v>
      </c>
      <c r="I725" s="79">
        <v>243200.0</v>
      </c>
      <c r="J725" s="74" t="s">
        <v>347</v>
      </c>
      <c r="K725" s="79" t="s">
        <v>1277</v>
      </c>
      <c r="L725" s="79" t="s">
        <v>453</v>
      </c>
      <c r="M725" s="79"/>
      <c r="N725" s="79">
        <v>9.0</v>
      </c>
      <c r="O725" s="83" t="s">
        <v>5332</v>
      </c>
      <c r="P725" s="78" t="s">
        <v>5333</v>
      </c>
      <c r="Q725" s="77" t="s">
        <v>5334</v>
      </c>
      <c r="R725" s="78" t="s">
        <v>5335</v>
      </c>
      <c r="S725" s="78" t="s">
        <v>5336</v>
      </c>
      <c r="T725" s="85" t="s">
        <v>5337</v>
      </c>
      <c r="U725" s="78" t="s">
        <v>5338</v>
      </c>
      <c r="V725" s="98" t="s">
        <v>5339</v>
      </c>
      <c r="W725" s="79" t="s">
        <v>309</v>
      </c>
      <c r="X725" s="79" t="s">
        <v>309</v>
      </c>
      <c r="Y725" s="79" t="s">
        <v>309</v>
      </c>
      <c r="Z725" s="79"/>
    </row>
    <row r="726" ht="15.0" customHeight="1">
      <c r="A726" s="76" t="s">
        <v>247</v>
      </c>
      <c r="B726" s="77" t="s">
        <v>1692</v>
      </c>
      <c r="C726" s="80">
        <v>3.0710218486E10</v>
      </c>
      <c r="D726" s="79" t="s">
        <v>264</v>
      </c>
      <c r="E726" s="79" t="s">
        <v>2400</v>
      </c>
      <c r="F726" s="44">
        <v>8958.0</v>
      </c>
      <c r="G726" s="79" t="s">
        <v>175</v>
      </c>
      <c r="H726" s="80">
        <v>1657.0</v>
      </c>
      <c r="I726" s="79">
        <v>181109.0</v>
      </c>
      <c r="J726" s="74" t="s">
        <v>238</v>
      </c>
      <c r="K726" s="77" t="s">
        <v>5341</v>
      </c>
      <c r="L726" s="79"/>
      <c r="M726" s="79" t="s">
        <v>5342</v>
      </c>
      <c r="N726" s="79">
        <v>14.0</v>
      </c>
      <c r="O726" s="83" t="s">
        <v>5343</v>
      </c>
      <c r="P726" s="78" t="s">
        <v>5344</v>
      </c>
      <c r="Q726" s="300" t="s">
        <v>5345</v>
      </c>
      <c r="R726" s="78" t="s">
        <v>5346</v>
      </c>
      <c r="S726" s="80" t="s">
        <v>5347</v>
      </c>
      <c r="T726" s="85" t="s">
        <v>5348</v>
      </c>
      <c r="U726" s="78" t="s">
        <v>5346</v>
      </c>
      <c r="V726" s="102" t="s">
        <v>5349</v>
      </c>
      <c r="W726" s="79"/>
      <c r="X726" s="79"/>
      <c r="Y726" s="79" t="s">
        <v>309</v>
      </c>
      <c r="Z726" s="79"/>
    </row>
    <row r="727" ht="15.0" customHeight="1">
      <c r="A727" s="103" t="s">
        <v>24</v>
      </c>
      <c r="B727" s="77" t="s">
        <v>5350</v>
      </c>
      <c r="C727" s="80">
        <v>3.4559512232E10</v>
      </c>
      <c r="D727" s="79" t="s">
        <v>264</v>
      </c>
      <c r="E727" s="79" t="s">
        <v>4958</v>
      </c>
      <c r="F727" s="44">
        <v>3471.0</v>
      </c>
      <c r="G727" s="79" t="s">
        <v>15</v>
      </c>
      <c r="H727" s="80">
        <v>1678.0</v>
      </c>
      <c r="I727" s="79">
        <v>170201.0</v>
      </c>
      <c r="J727" s="74" t="s">
        <v>283</v>
      </c>
      <c r="K727" s="77" t="s">
        <v>1545</v>
      </c>
      <c r="L727" s="79"/>
      <c r="M727" s="79"/>
      <c r="N727" s="79">
        <v>12.0</v>
      </c>
      <c r="O727" s="74"/>
      <c r="P727" s="301">
        <v>1.136004189E9</v>
      </c>
      <c r="Q727" s="79"/>
      <c r="R727" s="80"/>
      <c r="S727" s="78" t="s">
        <v>5352</v>
      </c>
      <c r="T727" s="101" t="s">
        <v>5353</v>
      </c>
      <c r="U727" s="80" t="s">
        <v>5354</v>
      </c>
      <c r="V727" s="102" t="s">
        <v>5355</v>
      </c>
      <c r="W727" s="79" t="s">
        <v>309</v>
      </c>
      <c r="X727" s="79" t="s">
        <v>309</v>
      </c>
      <c r="Y727" s="79"/>
      <c r="Z727" s="79"/>
    </row>
    <row r="728" ht="15.75" customHeight="1">
      <c r="A728" s="103" t="s">
        <v>24</v>
      </c>
      <c r="B728" s="77" t="s">
        <v>5356</v>
      </c>
      <c r="C728" s="80">
        <v>3.0708110813E10</v>
      </c>
      <c r="D728" s="119" t="s">
        <v>264</v>
      </c>
      <c r="E728" s="79" t="s">
        <v>2136</v>
      </c>
      <c r="F728" s="44">
        <v>8920.0</v>
      </c>
      <c r="G728" s="79" t="s">
        <v>119</v>
      </c>
      <c r="H728" s="80">
        <v>1657.0</v>
      </c>
      <c r="I728" s="79">
        <v>161002.0</v>
      </c>
      <c r="J728" s="74" t="s">
        <v>313</v>
      </c>
      <c r="K728" s="79" t="s">
        <v>5189</v>
      </c>
      <c r="L728" s="79" t="s">
        <v>453</v>
      </c>
      <c r="M728" s="79"/>
      <c r="N728" s="79">
        <v>7.0</v>
      </c>
      <c r="O728" s="74"/>
      <c r="P728" s="80"/>
      <c r="Q728" s="79"/>
      <c r="R728" s="80"/>
      <c r="S728" s="78" t="s">
        <v>5357</v>
      </c>
      <c r="T728" s="78" t="s">
        <v>5359</v>
      </c>
      <c r="U728" s="78" t="s">
        <v>5360</v>
      </c>
      <c r="V728" s="102" t="s">
        <v>5361</v>
      </c>
      <c r="W728" s="79" t="s">
        <v>309</v>
      </c>
      <c r="X728" s="79" t="s">
        <v>309</v>
      </c>
      <c r="Y728" s="79"/>
      <c r="Z728" s="79"/>
    </row>
    <row r="729" ht="15.0" customHeight="1">
      <c r="A729" s="76" t="s">
        <v>247</v>
      </c>
      <c r="B729" s="77" t="s">
        <v>5362</v>
      </c>
      <c r="C729" s="80">
        <v>3.0714654698E10</v>
      </c>
      <c r="D729" s="119" t="s">
        <v>264</v>
      </c>
      <c r="E729" s="77" t="s">
        <v>5363</v>
      </c>
      <c r="F729" s="44">
        <v>1760.0</v>
      </c>
      <c r="G729" s="79" t="s">
        <v>269</v>
      </c>
      <c r="H729" s="80">
        <v>1682.0</v>
      </c>
      <c r="I729" s="79">
        <v>251102.0</v>
      </c>
      <c r="J729" s="74" t="s">
        <v>347</v>
      </c>
      <c r="K729" s="79" t="s">
        <v>1611</v>
      </c>
      <c r="L729" s="79" t="s">
        <v>453</v>
      </c>
      <c r="M729" s="79"/>
      <c r="N729" s="79">
        <v>7.0</v>
      </c>
      <c r="O729" s="83" t="s">
        <v>5364</v>
      </c>
      <c r="P729" s="78" t="s">
        <v>5365</v>
      </c>
      <c r="Q729" s="77" t="s">
        <v>5366</v>
      </c>
      <c r="R729" s="80"/>
      <c r="S729" s="78" t="s">
        <v>5367</v>
      </c>
      <c r="T729" s="85" t="s">
        <v>5368</v>
      </c>
      <c r="U729" s="80" t="s">
        <v>332</v>
      </c>
      <c r="V729" s="102" t="s">
        <v>5369</v>
      </c>
      <c r="W729" s="79" t="s">
        <v>309</v>
      </c>
      <c r="X729" s="79" t="s">
        <v>309</v>
      </c>
      <c r="Y729" s="79" t="s">
        <v>309</v>
      </c>
      <c r="Z729" s="79"/>
    </row>
    <row r="730" ht="15.0" customHeight="1">
      <c r="A730" s="76" t="s">
        <v>247</v>
      </c>
      <c r="B730" s="77" t="s">
        <v>5371</v>
      </c>
      <c r="C730" s="80">
        <v>3.0638681486E10</v>
      </c>
      <c r="D730" s="79" t="s">
        <v>264</v>
      </c>
      <c r="E730" s="79" t="s">
        <v>398</v>
      </c>
      <c r="F730" s="44">
        <v>5381.0</v>
      </c>
      <c r="G730" s="79" t="s">
        <v>15</v>
      </c>
      <c r="H730" s="80">
        <v>1678.0</v>
      </c>
      <c r="I730" s="79">
        <v>259999.0</v>
      </c>
      <c r="J730" s="74" t="s">
        <v>347</v>
      </c>
      <c r="K730" s="77" t="s">
        <v>839</v>
      </c>
      <c r="L730" s="79" t="s">
        <v>453</v>
      </c>
      <c r="M730" s="79"/>
      <c r="N730" s="79">
        <v>1.0</v>
      </c>
      <c r="O730" s="74"/>
      <c r="P730" s="80"/>
      <c r="Q730" s="79"/>
      <c r="R730" s="80"/>
      <c r="S730" s="80" t="s">
        <v>5372</v>
      </c>
      <c r="T730" s="101" t="s">
        <v>5373</v>
      </c>
      <c r="U730" s="80" t="s">
        <v>332</v>
      </c>
      <c r="V730" s="102" t="s">
        <v>429</v>
      </c>
      <c r="W730" s="79" t="s">
        <v>309</v>
      </c>
      <c r="X730" s="79" t="s">
        <v>309</v>
      </c>
      <c r="Y730" s="79" t="s">
        <v>309</v>
      </c>
      <c r="Z730" s="79"/>
    </row>
    <row r="731" ht="15.75" customHeight="1">
      <c r="A731" s="76" t="s">
        <v>247</v>
      </c>
      <c r="B731" s="77" t="s">
        <v>1698</v>
      </c>
      <c r="C731" s="80">
        <v>3.0709190713E10</v>
      </c>
      <c r="D731" s="79" t="s">
        <v>264</v>
      </c>
      <c r="E731" s="77" t="s">
        <v>5375</v>
      </c>
      <c r="F731" s="44">
        <v>7806.0</v>
      </c>
      <c r="G731" s="79" t="s">
        <v>134</v>
      </c>
      <c r="H731" s="80">
        <v>1682.0</v>
      </c>
      <c r="I731" s="79">
        <v>259993.0</v>
      </c>
      <c r="J731" s="74" t="s">
        <v>347</v>
      </c>
      <c r="K731" s="77" t="s">
        <v>1269</v>
      </c>
      <c r="L731" s="79" t="s">
        <v>453</v>
      </c>
      <c r="M731" s="79"/>
      <c r="N731" s="79">
        <v>18.0</v>
      </c>
      <c r="O731" s="74" t="s">
        <v>5376</v>
      </c>
      <c r="P731" s="78" t="s">
        <v>5377</v>
      </c>
      <c r="Q731" s="77" t="s">
        <v>5378</v>
      </c>
      <c r="R731" s="78" t="s">
        <v>5379</v>
      </c>
      <c r="S731" s="80" t="s">
        <v>5380</v>
      </c>
      <c r="T731" s="101" t="s">
        <v>5381</v>
      </c>
      <c r="U731" s="78" t="s">
        <v>5382</v>
      </c>
      <c r="V731" s="102" t="s">
        <v>5383</v>
      </c>
      <c r="W731" s="79" t="s">
        <v>309</v>
      </c>
      <c r="X731" s="79" t="s">
        <v>309</v>
      </c>
      <c r="Y731" s="79" t="s">
        <v>309</v>
      </c>
      <c r="Z731" s="79"/>
    </row>
    <row r="732" ht="15.0" customHeight="1">
      <c r="A732" s="103" t="s">
        <v>24</v>
      </c>
      <c r="B732" s="79" t="s">
        <v>5384</v>
      </c>
      <c r="C732" s="101">
        <v>3.0709607274E10</v>
      </c>
      <c r="D732" s="79" t="s">
        <v>264</v>
      </c>
      <c r="E732" s="77" t="s">
        <v>591</v>
      </c>
      <c r="F732" s="44">
        <v>803.0</v>
      </c>
      <c r="G732" s="79" t="s">
        <v>68</v>
      </c>
      <c r="H732" s="80">
        <v>1702.0</v>
      </c>
      <c r="I732" s="77">
        <v>259993.0</v>
      </c>
      <c r="J732" s="83" t="s">
        <v>347</v>
      </c>
      <c r="K732" s="129" t="s">
        <v>638</v>
      </c>
      <c r="L732" s="79"/>
      <c r="M732" s="79"/>
      <c r="N732" s="79"/>
      <c r="O732" s="79"/>
      <c r="P732" s="80"/>
      <c r="Q732" s="79"/>
      <c r="R732" s="80"/>
      <c r="S732" s="80" t="s">
        <v>5386</v>
      </c>
      <c r="T732" s="101" t="s">
        <v>5387</v>
      </c>
      <c r="U732" s="80"/>
      <c r="V732" s="102" t="s">
        <v>429</v>
      </c>
      <c r="W732" s="79"/>
      <c r="X732" s="79"/>
      <c r="Y732" s="79"/>
      <c r="Z732" s="79"/>
    </row>
    <row r="733" ht="15.75" customHeight="1">
      <c r="A733" s="76" t="s">
        <v>247</v>
      </c>
      <c r="B733" s="77" t="s">
        <v>5388</v>
      </c>
      <c r="C733" s="80">
        <v>3.0708960345E10</v>
      </c>
      <c r="D733" s="144" t="s">
        <v>631</v>
      </c>
      <c r="E733" s="79" t="s">
        <v>5389</v>
      </c>
      <c r="F733" s="44">
        <v>3240.0</v>
      </c>
      <c r="G733" s="79" t="s">
        <v>68</v>
      </c>
      <c r="H733" s="80">
        <v>1702.0</v>
      </c>
      <c r="I733" s="79">
        <v>323001.0</v>
      </c>
      <c r="J733" s="74" t="s">
        <v>448</v>
      </c>
      <c r="K733" s="79" t="s">
        <v>1428</v>
      </c>
      <c r="L733" s="79"/>
      <c r="M733" s="79" t="s">
        <v>5390</v>
      </c>
      <c r="N733" s="79">
        <v>4.0</v>
      </c>
      <c r="O733" s="74"/>
      <c r="P733" s="80"/>
      <c r="Q733" s="79"/>
      <c r="R733" s="80"/>
      <c r="S733" s="80" t="s">
        <v>5392</v>
      </c>
      <c r="T733" s="101" t="s">
        <v>332</v>
      </c>
      <c r="U733" s="80" t="s">
        <v>332</v>
      </c>
      <c r="V733" s="102" t="s">
        <v>429</v>
      </c>
      <c r="W733" s="79" t="s">
        <v>306</v>
      </c>
      <c r="X733" s="79" t="s">
        <v>306</v>
      </c>
      <c r="Y733" s="79"/>
      <c r="Z733" s="79"/>
    </row>
    <row r="734" ht="15.75" customHeight="1">
      <c r="A734" s="103" t="s">
        <v>24</v>
      </c>
      <c r="B734" s="79" t="s">
        <v>5393</v>
      </c>
      <c r="C734" s="80">
        <v>3.0556924038E10</v>
      </c>
      <c r="D734" s="79" t="s">
        <v>264</v>
      </c>
      <c r="E734" s="77" t="s">
        <v>4481</v>
      </c>
      <c r="F734" s="44">
        <v>2832.0</v>
      </c>
      <c r="G734" s="79" t="s">
        <v>15</v>
      </c>
      <c r="H734" s="80">
        <v>1678.0</v>
      </c>
      <c r="I734" s="79">
        <v>289993.0</v>
      </c>
      <c r="J734" s="74" t="s">
        <v>347</v>
      </c>
      <c r="K734" s="129" t="s">
        <v>638</v>
      </c>
      <c r="L734" s="79" t="s">
        <v>453</v>
      </c>
      <c r="M734" s="79"/>
      <c r="N734" s="79">
        <v>0.0</v>
      </c>
      <c r="O734" s="74"/>
      <c r="P734" s="80"/>
      <c r="Q734" s="79"/>
      <c r="R734" s="80"/>
      <c r="S734" s="80" t="s">
        <v>5394</v>
      </c>
      <c r="T734" s="101" t="s">
        <v>332</v>
      </c>
      <c r="U734" s="80" t="s">
        <v>332</v>
      </c>
      <c r="V734" s="102" t="s">
        <v>429</v>
      </c>
      <c r="W734" s="79" t="s">
        <v>306</v>
      </c>
      <c r="X734" s="79" t="s">
        <v>306</v>
      </c>
      <c r="Y734" s="79"/>
      <c r="Z734" s="79"/>
    </row>
    <row r="735" ht="15.75" customHeight="1">
      <c r="A735" s="103" t="s">
        <v>24</v>
      </c>
      <c r="B735" s="79" t="s">
        <v>5396</v>
      </c>
      <c r="C735" s="80">
        <v>2.0114888347E10</v>
      </c>
      <c r="D735" s="77" t="s">
        <v>631</v>
      </c>
      <c r="E735" s="79" t="s">
        <v>359</v>
      </c>
      <c r="F735" s="44">
        <v>5227.0</v>
      </c>
      <c r="G735" s="79" t="s">
        <v>15</v>
      </c>
      <c r="H735" s="80">
        <v>1678.0</v>
      </c>
      <c r="I735" s="79">
        <v>432990.0</v>
      </c>
      <c r="J735" s="74" t="s">
        <v>125</v>
      </c>
      <c r="K735" s="77" t="s">
        <v>5397</v>
      </c>
      <c r="L735" s="79" t="s">
        <v>453</v>
      </c>
      <c r="M735" s="79"/>
      <c r="N735" s="79"/>
      <c r="O735" s="74"/>
      <c r="P735" s="80"/>
      <c r="Q735" s="79"/>
      <c r="R735" s="80"/>
      <c r="S735" s="78" t="s">
        <v>5398</v>
      </c>
      <c r="T735" s="101"/>
      <c r="U735" s="80"/>
      <c r="V735" s="102" t="s">
        <v>429</v>
      </c>
      <c r="W735" s="79"/>
      <c r="X735" s="79"/>
      <c r="Y735" s="79"/>
      <c r="Z735" s="79"/>
    </row>
    <row r="736" ht="15.0" customHeight="1">
      <c r="A736" s="103" t="s">
        <v>24</v>
      </c>
      <c r="B736" s="77" t="s">
        <v>5399</v>
      </c>
      <c r="C736" s="79">
        <v>3.055924519E10</v>
      </c>
      <c r="D736" s="77" t="s">
        <v>264</v>
      </c>
      <c r="E736" s="79" t="s">
        <v>3875</v>
      </c>
      <c r="F736" s="44">
        <v>3494.0</v>
      </c>
      <c r="G736" s="79" t="s">
        <v>15</v>
      </c>
      <c r="H736" s="80">
        <v>1678.0</v>
      </c>
      <c r="I736" s="79">
        <v>523090.0</v>
      </c>
      <c r="J736" s="74" t="s">
        <v>293</v>
      </c>
      <c r="K736" s="77" t="s">
        <v>5400</v>
      </c>
      <c r="L736" s="79"/>
      <c r="M736" s="79"/>
      <c r="N736" s="79">
        <v>0.0</v>
      </c>
      <c r="O736" s="74"/>
      <c r="P736" s="80"/>
      <c r="Q736" s="79"/>
      <c r="R736" s="80"/>
      <c r="S736" s="80" t="s">
        <v>5402</v>
      </c>
      <c r="T736" s="101" t="s">
        <v>332</v>
      </c>
      <c r="U736" s="80" t="s">
        <v>332</v>
      </c>
      <c r="V736" s="102" t="s">
        <v>429</v>
      </c>
      <c r="W736" s="79" t="s">
        <v>306</v>
      </c>
      <c r="X736" s="79" t="s">
        <v>306</v>
      </c>
      <c r="Y736" s="79"/>
      <c r="Z736" s="79"/>
    </row>
    <row r="737" ht="15.75" customHeight="1">
      <c r="A737" s="103" t="s">
        <v>24</v>
      </c>
      <c r="B737" s="79" t="s">
        <v>5403</v>
      </c>
      <c r="C737" s="80">
        <v>3.0637649031E10</v>
      </c>
      <c r="D737" s="119" t="s">
        <v>264</v>
      </c>
      <c r="E737" s="79" t="s">
        <v>5404</v>
      </c>
      <c r="F737" s="44">
        <v>3607.0</v>
      </c>
      <c r="G737" s="79" t="s">
        <v>68</v>
      </c>
      <c r="H737" s="80">
        <v>1702.0</v>
      </c>
      <c r="I737" s="79">
        <v>11119.0</v>
      </c>
      <c r="J737" s="74" t="s">
        <v>5</v>
      </c>
      <c r="K737" s="77" t="s">
        <v>5405</v>
      </c>
      <c r="L737" s="79"/>
      <c r="M737" s="79"/>
      <c r="N737" s="79">
        <v>0.0</v>
      </c>
      <c r="O737" s="74"/>
      <c r="P737" s="80"/>
      <c r="Q737" s="79"/>
      <c r="R737" s="80"/>
      <c r="S737" s="80"/>
      <c r="T737" s="101" t="s">
        <v>332</v>
      </c>
      <c r="U737" s="80" t="s">
        <v>332</v>
      </c>
      <c r="V737" s="102" t="s">
        <v>429</v>
      </c>
      <c r="W737" s="79" t="s">
        <v>306</v>
      </c>
      <c r="X737" s="79" t="s">
        <v>306</v>
      </c>
      <c r="Y737" s="79"/>
      <c r="Z737" s="79"/>
    </row>
    <row r="738" ht="15.75" customHeight="1">
      <c r="A738" s="76" t="s">
        <v>247</v>
      </c>
      <c r="B738" s="77" t="s">
        <v>5406</v>
      </c>
      <c r="C738" s="80">
        <v>3.0645473325E10</v>
      </c>
      <c r="D738" s="119" t="s">
        <v>264</v>
      </c>
      <c r="E738" s="79" t="s">
        <v>1801</v>
      </c>
      <c r="F738" s="44">
        <v>3949.0</v>
      </c>
      <c r="G738" s="79" t="s">
        <v>68</v>
      </c>
      <c r="H738" s="80">
        <v>1702.0</v>
      </c>
      <c r="I738" s="79">
        <v>131202.0</v>
      </c>
      <c r="J738" s="74" t="s">
        <v>448</v>
      </c>
      <c r="K738" s="79" t="s">
        <v>5408</v>
      </c>
      <c r="L738" s="79"/>
      <c r="M738" s="79" t="s">
        <v>5409</v>
      </c>
      <c r="N738" s="79">
        <v>287.0</v>
      </c>
      <c r="O738" s="74"/>
      <c r="P738" s="80"/>
      <c r="Q738" s="79"/>
      <c r="R738" s="80"/>
      <c r="S738" s="80" t="s">
        <v>5410</v>
      </c>
      <c r="T738" s="101" t="s">
        <v>5411</v>
      </c>
      <c r="U738" s="80" t="s">
        <v>5412</v>
      </c>
      <c r="V738" s="102" t="s">
        <v>5413</v>
      </c>
      <c r="W738" s="79" t="s">
        <v>309</v>
      </c>
      <c r="X738" s="79" t="s">
        <v>309</v>
      </c>
      <c r="Y738" s="79" t="s">
        <v>309</v>
      </c>
      <c r="Z738" s="79"/>
    </row>
    <row r="739" ht="15.75" customHeight="1">
      <c r="A739" s="76" t="s">
        <v>247</v>
      </c>
      <c r="B739" s="77" t="s">
        <v>1702</v>
      </c>
      <c r="C739" s="80">
        <v>3.071254455E10</v>
      </c>
      <c r="D739" s="79" t="s">
        <v>264</v>
      </c>
      <c r="E739" s="77" t="s">
        <v>266</v>
      </c>
      <c r="F739" s="44">
        <v>4237.0</v>
      </c>
      <c r="G739" s="79" t="s">
        <v>15</v>
      </c>
      <c r="H739" s="80">
        <v>1678.0</v>
      </c>
      <c r="I739" s="79">
        <v>131131.0</v>
      </c>
      <c r="J739" s="74" t="s">
        <v>448</v>
      </c>
      <c r="K739" s="77" t="s">
        <v>5415</v>
      </c>
      <c r="L739" s="79"/>
      <c r="M739" s="79"/>
      <c r="N739" s="79">
        <v>0.0</v>
      </c>
      <c r="O739" s="74"/>
      <c r="P739" s="78" t="s">
        <v>5416</v>
      </c>
      <c r="Q739" s="79"/>
      <c r="R739" s="80"/>
      <c r="S739" s="80" t="s">
        <v>5417</v>
      </c>
      <c r="T739" s="101"/>
      <c r="U739" s="80"/>
      <c r="V739" s="302" t="s">
        <v>5418</v>
      </c>
      <c r="W739" s="79"/>
      <c r="X739" s="79"/>
      <c r="Y739" s="79" t="s">
        <v>309</v>
      </c>
      <c r="Z739" s="79"/>
    </row>
    <row r="740" ht="15.0" customHeight="1">
      <c r="A740" s="103" t="s">
        <v>24</v>
      </c>
      <c r="B740" s="79" t="s">
        <v>5419</v>
      </c>
      <c r="C740" s="79">
        <v>3.0631807581E10</v>
      </c>
      <c r="D740" s="77" t="s">
        <v>631</v>
      </c>
      <c r="E740" s="79" t="s">
        <v>1801</v>
      </c>
      <c r="F740" s="44">
        <v>4470.0</v>
      </c>
      <c r="G740" s="79" t="s">
        <v>68</v>
      </c>
      <c r="H740" s="80">
        <v>1702.0</v>
      </c>
      <c r="I740" s="79">
        <v>152011.0</v>
      </c>
      <c r="J740" s="74" t="s">
        <v>73</v>
      </c>
      <c r="K740" s="79" t="s">
        <v>1471</v>
      </c>
      <c r="L740" s="79"/>
      <c r="M740" s="79"/>
      <c r="N740" s="79">
        <v>0.0</v>
      </c>
      <c r="O740" s="74"/>
      <c r="P740" s="80"/>
      <c r="Q740" s="79"/>
      <c r="R740" s="80"/>
      <c r="S740" s="80" t="s">
        <v>5422</v>
      </c>
      <c r="T740" s="101" t="s">
        <v>332</v>
      </c>
      <c r="U740" s="80" t="s">
        <v>332</v>
      </c>
      <c r="V740" s="102" t="s">
        <v>429</v>
      </c>
      <c r="W740" s="79" t="s">
        <v>306</v>
      </c>
      <c r="X740" s="79" t="s">
        <v>306</v>
      </c>
      <c r="Y740" s="79"/>
      <c r="Z740" s="79"/>
    </row>
    <row r="741" ht="15.0" customHeight="1">
      <c r="A741" s="103" t="s">
        <v>24</v>
      </c>
      <c r="B741" s="77" t="s">
        <v>5423</v>
      </c>
      <c r="C741" s="80">
        <v>3.0709614297E10</v>
      </c>
      <c r="D741" s="119" t="s">
        <v>264</v>
      </c>
      <c r="E741" s="77" t="s">
        <v>5424</v>
      </c>
      <c r="F741" s="44">
        <v>1557.0</v>
      </c>
      <c r="G741" s="79" t="s">
        <v>249</v>
      </c>
      <c r="H741" s="80">
        <v>1676.0</v>
      </c>
      <c r="I741" s="79">
        <v>154999.0</v>
      </c>
      <c r="J741" s="74" t="s">
        <v>22</v>
      </c>
      <c r="K741" s="77" t="s">
        <v>3876</v>
      </c>
      <c r="L741" s="79"/>
      <c r="M741" s="79"/>
      <c r="N741" s="79">
        <v>0.0</v>
      </c>
      <c r="O741" s="74" t="s">
        <v>332</v>
      </c>
      <c r="P741" s="80"/>
      <c r="Q741" s="79"/>
      <c r="R741" s="80"/>
      <c r="S741" s="80"/>
      <c r="T741" s="101" t="s">
        <v>332</v>
      </c>
      <c r="U741" s="80" t="s">
        <v>332</v>
      </c>
      <c r="V741" s="102" t="s">
        <v>5425</v>
      </c>
      <c r="W741" s="79" t="s">
        <v>309</v>
      </c>
      <c r="X741" s="79" t="s">
        <v>309</v>
      </c>
      <c r="Y741" s="79" t="s">
        <v>309</v>
      </c>
      <c r="Z741" s="79"/>
    </row>
    <row r="742" ht="15.75" customHeight="1">
      <c r="A742" s="76" t="s">
        <v>247</v>
      </c>
      <c r="B742" s="77" t="s">
        <v>5427</v>
      </c>
      <c r="C742" s="101">
        <v>3.0709963755E10</v>
      </c>
      <c r="D742" s="79" t="s">
        <v>264</v>
      </c>
      <c r="E742" s="79" t="s">
        <v>1755</v>
      </c>
      <c r="F742" s="44">
        <v>3205.0</v>
      </c>
      <c r="G742" s="79" t="s">
        <v>15</v>
      </c>
      <c r="H742" s="80">
        <v>1678.0</v>
      </c>
      <c r="I742" s="79">
        <v>259999.0</v>
      </c>
      <c r="J742" s="74" t="s">
        <v>347</v>
      </c>
      <c r="K742" s="144" t="s">
        <v>839</v>
      </c>
      <c r="L742" s="79"/>
      <c r="M742" s="79"/>
      <c r="N742" s="79"/>
      <c r="O742" s="79"/>
      <c r="P742" s="80"/>
      <c r="Q742" s="79"/>
      <c r="R742" s="80"/>
      <c r="S742" s="80" t="s">
        <v>5429</v>
      </c>
      <c r="T742" s="85" t="s">
        <v>5430</v>
      </c>
      <c r="U742" s="80"/>
      <c r="V742" s="102" t="s">
        <v>5431</v>
      </c>
      <c r="W742" s="79"/>
      <c r="X742" s="79"/>
      <c r="Y742" s="79"/>
      <c r="Z742" s="79"/>
    </row>
    <row r="743" ht="15.0" customHeight="1">
      <c r="A743" s="76" t="s">
        <v>247</v>
      </c>
      <c r="B743" s="77" t="s">
        <v>5432</v>
      </c>
      <c r="C743" s="80">
        <v>3.0709963755E10</v>
      </c>
      <c r="D743" s="79" t="s">
        <v>264</v>
      </c>
      <c r="E743" s="79" t="s">
        <v>1755</v>
      </c>
      <c r="F743" s="44">
        <v>3205.0</v>
      </c>
      <c r="G743" s="79" t="s">
        <v>15</v>
      </c>
      <c r="H743" s="80">
        <v>1678.0</v>
      </c>
      <c r="I743" s="79">
        <v>259999.0</v>
      </c>
      <c r="J743" s="74" t="s">
        <v>347</v>
      </c>
      <c r="K743" s="77" t="s">
        <v>839</v>
      </c>
      <c r="L743" s="79" t="s">
        <v>453</v>
      </c>
      <c r="M743" s="79"/>
      <c r="N743" s="79">
        <v>4.0</v>
      </c>
      <c r="O743" s="74"/>
      <c r="P743" s="80"/>
      <c r="Q743" s="79"/>
      <c r="R743" s="80"/>
      <c r="S743" s="78" t="s">
        <v>5434</v>
      </c>
      <c r="T743" s="101"/>
      <c r="U743" s="80" t="s">
        <v>332</v>
      </c>
      <c r="V743" s="102" t="s">
        <v>5435</v>
      </c>
      <c r="W743" s="79" t="s">
        <v>306</v>
      </c>
      <c r="X743" s="79" t="s">
        <v>306</v>
      </c>
      <c r="Y743" s="79" t="s">
        <v>309</v>
      </c>
      <c r="Z743" s="79"/>
    </row>
    <row r="744" ht="15.75" customHeight="1">
      <c r="A744" s="76" t="s">
        <v>247</v>
      </c>
      <c r="B744" s="144" t="s">
        <v>5432</v>
      </c>
      <c r="C744" s="101">
        <v>3.0709963755E10</v>
      </c>
      <c r="D744" s="79" t="s">
        <v>264</v>
      </c>
      <c r="E744" s="79" t="s">
        <v>1755</v>
      </c>
      <c r="F744" s="44">
        <v>3205.0</v>
      </c>
      <c r="G744" s="79" t="s">
        <v>15</v>
      </c>
      <c r="H744" s="80">
        <v>1678.0</v>
      </c>
      <c r="I744" s="79">
        <v>259999.0</v>
      </c>
      <c r="J744" s="74" t="s">
        <v>347</v>
      </c>
      <c r="K744" s="77" t="s">
        <v>839</v>
      </c>
      <c r="L744" s="79"/>
      <c r="M744" s="79"/>
      <c r="N744" s="79"/>
      <c r="O744" s="79"/>
      <c r="P744" s="80"/>
      <c r="Q744" s="79"/>
      <c r="R744" s="80"/>
      <c r="S744" s="78" t="s">
        <v>5437</v>
      </c>
      <c r="T744" s="85" t="s">
        <v>5438</v>
      </c>
      <c r="U744" s="80"/>
      <c r="V744" s="98" t="s">
        <v>5435</v>
      </c>
      <c r="W744" s="79"/>
      <c r="X744" s="79"/>
      <c r="Y744" s="79"/>
      <c r="Z744" s="79"/>
    </row>
    <row r="745" ht="15.0" customHeight="1">
      <c r="A745" s="76" t="s">
        <v>247</v>
      </c>
      <c r="B745" s="77" t="s">
        <v>1708</v>
      </c>
      <c r="C745" s="80">
        <v>3.0710219962E10</v>
      </c>
      <c r="D745" s="79" t="s">
        <v>264</v>
      </c>
      <c r="E745" s="79" t="s">
        <v>5439</v>
      </c>
      <c r="F745" s="44">
        <v>8198.0</v>
      </c>
      <c r="G745" s="79" t="s">
        <v>119</v>
      </c>
      <c r="H745" s="80">
        <v>1657.0</v>
      </c>
      <c r="I745" s="80">
        <v>139900.0</v>
      </c>
      <c r="J745" s="74" t="s">
        <v>448</v>
      </c>
      <c r="K745" s="77" t="s">
        <v>1760</v>
      </c>
      <c r="L745" s="79"/>
      <c r="M745" s="79" t="s">
        <v>5440</v>
      </c>
      <c r="N745" s="79">
        <v>25.0</v>
      </c>
      <c r="O745" s="79" t="s">
        <v>5441</v>
      </c>
      <c r="P745" s="78" t="s">
        <v>5442</v>
      </c>
      <c r="Q745" s="79"/>
      <c r="R745" s="80"/>
      <c r="S745" s="80"/>
      <c r="T745" s="80"/>
      <c r="U745" s="80"/>
      <c r="V745" s="102" t="s">
        <v>429</v>
      </c>
      <c r="W745" s="79"/>
      <c r="X745" s="79"/>
      <c r="Y745" s="79"/>
      <c r="Z745" s="79"/>
    </row>
    <row r="746" ht="15.0" customHeight="1">
      <c r="A746" s="76" t="s">
        <v>247</v>
      </c>
      <c r="B746" s="77" t="s">
        <v>5444</v>
      </c>
      <c r="C746" s="80">
        <v>3.3709061769E10</v>
      </c>
      <c r="D746" s="119" t="s">
        <v>264</v>
      </c>
      <c r="E746" s="79" t="s">
        <v>2443</v>
      </c>
      <c r="F746" s="44">
        <v>1690.0</v>
      </c>
      <c r="G746" s="79" t="s">
        <v>68</v>
      </c>
      <c r="H746" s="80">
        <v>1702.0</v>
      </c>
      <c r="I746" s="79">
        <v>259100.0</v>
      </c>
      <c r="J746" s="74" t="s">
        <v>337</v>
      </c>
      <c r="K746" s="79" t="s">
        <v>1329</v>
      </c>
      <c r="L746" s="79" t="s">
        <v>453</v>
      </c>
      <c r="M746" s="79" t="s">
        <v>5445</v>
      </c>
      <c r="N746" s="79">
        <v>13.0</v>
      </c>
      <c r="O746" s="74"/>
      <c r="P746" s="80"/>
      <c r="Q746" s="79"/>
      <c r="R746" s="80"/>
      <c r="S746" s="78" t="s">
        <v>5446</v>
      </c>
      <c r="T746" s="101" t="s">
        <v>5447</v>
      </c>
      <c r="U746" s="80" t="s">
        <v>332</v>
      </c>
      <c r="V746" s="102" t="s">
        <v>5448</v>
      </c>
      <c r="W746" s="79" t="s">
        <v>306</v>
      </c>
      <c r="X746" s="79" t="s">
        <v>306</v>
      </c>
      <c r="Y746" s="79" t="s">
        <v>309</v>
      </c>
      <c r="Z746" s="79"/>
    </row>
    <row r="747" ht="15.0" customHeight="1">
      <c r="A747" s="76" t="s">
        <v>247</v>
      </c>
      <c r="B747" s="77" t="s">
        <v>5450</v>
      </c>
      <c r="C747" s="80">
        <v>3.0573083004E10</v>
      </c>
      <c r="D747" s="79" t="s">
        <v>264</v>
      </c>
      <c r="E747" s="79" t="s">
        <v>1860</v>
      </c>
      <c r="F747" s="44">
        <v>2924.0</v>
      </c>
      <c r="G747" s="79" t="s">
        <v>15</v>
      </c>
      <c r="H747" s="80">
        <v>1678.0</v>
      </c>
      <c r="I747" s="79">
        <v>343000.0</v>
      </c>
      <c r="J747" s="74" t="s">
        <v>337</v>
      </c>
      <c r="K747" s="79" t="s">
        <v>2104</v>
      </c>
      <c r="L747" s="79" t="s">
        <v>453</v>
      </c>
      <c r="M747" s="79" t="s">
        <v>5451</v>
      </c>
      <c r="N747" s="79">
        <v>5.0</v>
      </c>
      <c r="O747" s="74"/>
      <c r="P747" s="80"/>
      <c r="Q747" s="79"/>
      <c r="R747" s="80"/>
      <c r="S747" s="80" t="s">
        <v>5452</v>
      </c>
      <c r="T747" s="101" t="s">
        <v>5453</v>
      </c>
      <c r="U747" s="80" t="s">
        <v>5454</v>
      </c>
      <c r="V747" s="102" t="s">
        <v>5455</v>
      </c>
      <c r="W747" s="79" t="s">
        <v>309</v>
      </c>
      <c r="X747" s="79" t="s">
        <v>309</v>
      </c>
      <c r="Y747" s="79" t="s">
        <v>309</v>
      </c>
      <c r="Z747" s="79"/>
    </row>
    <row r="748" ht="15.0" customHeight="1">
      <c r="A748" s="103" t="s">
        <v>24</v>
      </c>
      <c r="B748" s="77" t="s">
        <v>5457</v>
      </c>
      <c r="C748" s="80">
        <v>3.0694494117E10</v>
      </c>
      <c r="D748" s="79" t="s">
        <v>264</v>
      </c>
      <c r="E748" s="79" t="s">
        <v>3287</v>
      </c>
      <c r="F748" s="44">
        <v>1151.0</v>
      </c>
      <c r="G748" s="79" t="s">
        <v>249</v>
      </c>
      <c r="H748" s="80">
        <v>1676.0</v>
      </c>
      <c r="I748" s="79">
        <v>259999.0</v>
      </c>
      <c r="J748" s="74" t="s">
        <v>347</v>
      </c>
      <c r="K748" s="77" t="s">
        <v>839</v>
      </c>
      <c r="L748" s="79" t="s">
        <v>453</v>
      </c>
      <c r="M748" s="79"/>
      <c r="N748" s="79">
        <v>4.0</v>
      </c>
      <c r="O748" s="74"/>
      <c r="P748" s="80"/>
      <c r="Q748" s="79" t="s">
        <v>5458</v>
      </c>
      <c r="R748" s="80"/>
      <c r="S748" s="80" t="s">
        <v>5459</v>
      </c>
      <c r="T748" s="101" t="s">
        <v>5460</v>
      </c>
      <c r="U748" s="80" t="s">
        <v>332</v>
      </c>
      <c r="V748" s="102" t="s">
        <v>429</v>
      </c>
      <c r="W748" s="79" t="s">
        <v>309</v>
      </c>
      <c r="X748" s="79" t="s">
        <v>309</v>
      </c>
      <c r="Y748" s="79" t="s">
        <v>309</v>
      </c>
      <c r="Z748" s="79"/>
    </row>
    <row r="749" ht="15.75" customHeight="1">
      <c r="A749" s="103" t="s">
        <v>24</v>
      </c>
      <c r="B749" s="79" t="s">
        <v>5461</v>
      </c>
      <c r="C749" s="80">
        <v>2.0044369029E10</v>
      </c>
      <c r="D749" s="77" t="s">
        <v>631</v>
      </c>
      <c r="E749" s="126" t="s">
        <v>985</v>
      </c>
      <c r="F749" s="44">
        <v>5072.0</v>
      </c>
      <c r="G749" s="79" t="s">
        <v>15</v>
      </c>
      <c r="H749" s="80">
        <v>1678.0</v>
      </c>
      <c r="I749" s="79">
        <v>310010.0</v>
      </c>
      <c r="J749" s="74" t="s">
        <v>313</v>
      </c>
      <c r="K749" s="77" t="s">
        <v>1438</v>
      </c>
      <c r="L749" s="79" t="s">
        <v>1122</v>
      </c>
      <c r="M749" s="79" t="s">
        <v>5463</v>
      </c>
      <c r="N749" s="79"/>
      <c r="O749" s="74"/>
      <c r="P749" s="80"/>
      <c r="Q749" s="79"/>
      <c r="R749" s="80"/>
      <c r="S749" s="80" t="s">
        <v>5464</v>
      </c>
      <c r="T749" s="101"/>
      <c r="U749" s="80"/>
      <c r="V749" s="102" t="s">
        <v>429</v>
      </c>
      <c r="W749" s="79"/>
      <c r="X749" s="79"/>
      <c r="Y749" s="79"/>
      <c r="Z749" s="79"/>
    </row>
    <row r="750" ht="15.75" customHeight="1">
      <c r="A750" s="76" t="s">
        <v>247</v>
      </c>
      <c r="B750" s="79" t="s">
        <v>5466</v>
      </c>
      <c r="C750" s="80">
        <v>2.0223172114E10</v>
      </c>
      <c r="D750" s="144" t="s">
        <v>631</v>
      </c>
      <c r="E750" s="79" t="s">
        <v>3339</v>
      </c>
      <c r="F750" s="44">
        <v>5156.0</v>
      </c>
      <c r="G750" s="79" t="s">
        <v>15</v>
      </c>
      <c r="H750" s="80">
        <v>1678.0</v>
      </c>
      <c r="I750" s="77">
        <v>692000.0</v>
      </c>
      <c r="J750" s="74" t="s">
        <v>433</v>
      </c>
      <c r="K750" s="77" t="s">
        <v>5467</v>
      </c>
      <c r="L750" s="79"/>
      <c r="M750" s="79"/>
      <c r="N750" s="79"/>
      <c r="O750" s="74"/>
      <c r="P750" s="80"/>
      <c r="Q750" s="79"/>
      <c r="R750" s="80"/>
      <c r="S750" s="78" t="s">
        <v>5468</v>
      </c>
      <c r="T750" s="101"/>
      <c r="U750" s="80"/>
      <c r="V750" s="102" t="s">
        <v>429</v>
      </c>
      <c r="W750" s="79"/>
      <c r="X750" s="79"/>
      <c r="Y750" s="79"/>
      <c r="Z750" s="79"/>
    </row>
    <row r="751" ht="15.75" customHeight="1">
      <c r="A751" s="103" t="s">
        <v>24</v>
      </c>
      <c r="B751" s="79" t="s">
        <v>5470</v>
      </c>
      <c r="C751" s="80">
        <v>3.0517539607E10</v>
      </c>
      <c r="D751" s="79" t="s">
        <v>264</v>
      </c>
      <c r="E751" s="79" t="s">
        <v>2333</v>
      </c>
      <c r="F751" s="44">
        <v>3535.0</v>
      </c>
      <c r="G751" s="79" t="s">
        <v>68</v>
      </c>
      <c r="H751" s="80">
        <v>1702.0</v>
      </c>
      <c r="I751" s="79">
        <v>384410.0</v>
      </c>
      <c r="J751" s="74" t="s">
        <v>337</v>
      </c>
      <c r="K751" s="79" t="s">
        <v>5471</v>
      </c>
      <c r="L751" s="79"/>
      <c r="M751" s="79"/>
      <c r="N751" s="79">
        <v>0.0</v>
      </c>
      <c r="O751" s="74"/>
      <c r="P751" s="80"/>
      <c r="Q751" s="79"/>
      <c r="R751" s="80"/>
      <c r="S751" s="80" t="s">
        <v>5473</v>
      </c>
      <c r="T751" s="101" t="s">
        <v>332</v>
      </c>
      <c r="U751" s="80" t="s">
        <v>332</v>
      </c>
      <c r="V751" s="102" t="s">
        <v>429</v>
      </c>
      <c r="W751" s="79" t="s">
        <v>309</v>
      </c>
      <c r="X751" s="79" t="s">
        <v>306</v>
      </c>
      <c r="Y751" s="79"/>
      <c r="Z751" s="79"/>
    </row>
    <row r="752" ht="15.75" customHeight="1">
      <c r="A752" s="103" t="s">
        <v>24</v>
      </c>
      <c r="B752" s="77" t="s">
        <v>5474</v>
      </c>
      <c r="C752" s="80">
        <v>3.0685836064E10</v>
      </c>
      <c r="D752" s="119" t="s">
        <v>264</v>
      </c>
      <c r="E752" s="79" t="s">
        <v>314</v>
      </c>
      <c r="F752" s="44">
        <v>3949.0</v>
      </c>
      <c r="G752" s="79" t="s">
        <v>15</v>
      </c>
      <c r="H752" s="80">
        <v>1678.0</v>
      </c>
      <c r="I752" s="79">
        <v>222090.0</v>
      </c>
      <c r="J752" s="83" t="s">
        <v>568</v>
      </c>
      <c r="K752" s="77" t="s">
        <v>569</v>
      </c>
      <c r="L752" s="79" t="s">
        <v>453</v>
      </c>
      <c r="M752" s="79"/>
      <c r="N752" s="79">
        <v>10.0</v>
      </c>
      <c r="O752" s="74"/>
      <c r="P752" s="80"/>
      <c r="Q752" s="79"/>
      <c r="R752" s="80"/>
      <c r="S752" s="80" t="s">
        <v>5476</v>
      </c>
      <c r="T752" s="101" t="s">
        <v>5477</v>
      </c>
      <c r="U752" s="80" t="s">
        <v>5478</v>
      </c>
      <c r="V752" s="102" t="s">
        <v>429</v>
      </c>
      <c r="W752" s="79" t="s">
        <v>309</v>
      </c>
      <c r="X752" s="79" t="s">
        <v>309</v>
      </c>
      <c r="Y752" s="79" t="s">
        <v>309</v>
      </c>
      <c r="Z752" s="79"/>
    </row>
    <row r="753" ht="15.75" customHeight="1">
      <c r="A753" s="76" t="s">
        <v>247</v>
      </c>
      <c r="B753" s="77" t="s">
        <v>4037</v>
      </c>
      <c r="C753" s="80">
        <v>3.0685329502E10</v>
      </c>
      <c r="D753" s="119" t="s">
        <v>264</v>
      </c>
      <c r="E753" s="77" t="s">
        <v>1333</v>
      </c>
      <c r="F753" s="44">
        <v>4749.0</v>
      </c>
      <c r="G753" s="79" t="s">
        <v>15</v>
      </c>
      <c r="H753" s="80">
        <v>1678.0</v>
      </c>
      <c r="I753" s="79">
        <v>329090.0</v>
      </c>
      <c r="J753" s="83" t="s">
        <v>327</v>
      </c>
      <c r="K753" s="77" t="s">
        <v>1307</v>
      </c>
      <c r="L753" s="79" t="s">
        <v>286</v>
      </c>
      <c r="M753" s="79" t="s">
        <v>5481</v>
      </c>
      <c r="N753" s="79">
        <v>15.0</v>
      </c>
      <c r="O753" s="74"/>
      <c r="P753" s="80"/>
      <c r="Q753" s="79" t="s">
        <v>5482</v>
      </c>
      <c r="R753" s="80"/>
      <c r="S753" s="78" t="s">
        <v>5483</v>
      </c>
      <c r="T753" s="85" t="s">
        <v>5484</v>
      </c>
      <c r="U753" s="80"/>
      <c r="V753" s="102" t="s">
        <v>5486</v>
      </c>
      <c r="W753" s="79" t="s">
        <v>309</v>
      </c>
      <c r="X753" s="79" t="s">
        <v>309</v>
      </c>
      <c r="Y753" s="79" t="s">
        <v>309</v>
      </c>
      <c r="Z753" s="79"/>
    </row>
    <row r="754" ht="15.75" customHeight="1">
      <c r="A754" s="103" t="s">
        <v>24</v>
      </c>
      <c r="B754" s="77" t="s">
        <v>1719</v>
      </c>
      <c r="C754" s="80">
        <v>3.0714875015E10</v>
      </c>
      <c r="D754" s="79" t="s">
        <v>264</v>
      </c>
      <c r="E754" s="77" t="s">
        <v>3506</v>
      </c>
      <c r="F754" s="128">
        <v>4720.0</v>
      </c>
      <c r="G754" s="79" t="s">
        <v>15</v>
      </c>
      <c r="H754" s="80">
        <v>1678.0</v>
      </c>
      <c r="I754" s="79">
        <v>221909.0</v>
      </c>
      <c r="J754" s="74" t="s">
        <v>88</v>
      </c>
      <c r="K754" s="82" t="s">
        <v>1186</v>
      </c>
      <c r="L754" s="79"/>
      <c r="M754" s="79"/>
      <c r="N754" s="79">
        <v>0.0</v>
      </c>
      <c r="O754" s="74"/>
      <c r="P754" s="78" t="s">
        <v>5488</v>
      </c>
      <c r="Q754" s="79"/>
      <c r="R754" s="80"/>
      <c r="S754" s="78" t="s">
        <v>5489</v>
      </c>
      <c r="T754" s="101" t="s">
        <v>332</v>
      </c>
      <c r="U754" s="78">
        <v>1.134858351E9</v>
      </c>
      <c r="V754" s="102" t="s">
        <v>5490</v>
      </c>
      <c r="W754" s="79" t="s">
        <v>309</v>
      </c>
      <c r="X754" s="79" t="s">
        <v>309</v>
      </c>
      <c r="Y754" s="79"/>
      <c r="Z754" s="79"/>
    </row>
    <row r="755" ht="15.75" customHeight="1">
      <c r="A755" s="76" t="s">
        <v>247</v>
      </c>
      <c r="B755" s="79" t="s">
        <v>5492</v>
      </c>
      <c r="C755" s="101">
        <v>3.0709931802E10</v>
      </c>
      <c r="D755" s="79" t="s">
        <v>264</v>
      </c>
      <c r="E755" s="77" t="s">
        <v>4481</v>
      </c>
      <c r="F755" s="44">
        <v>2837.0</v>
      </c>
      <c r="G755" s="79" t="s">
        <v>15</v>
      </c>
      <c r="H755" s="80">
        <v>1678.0</v>
      </c>
      <c r="I755" s="79">
        <v>259999.0</v>
      </c>
      <c r="J755" s="74" t="s">
        <v>347</v>
      </c>
      <c r="K755" s="144" t="s">
        <v>839</v>
      </c>
      <c r="L755" s="79"/>
      <c r="M755" s="79"/>
      <c r="N755" s="79"/>
      <c r="O755" s="79"/>
      <c r="P755" s="80"/>
      <c r="Q755" s="79"/>
      <c r="R755" s="80"/>
      <c r="S755" s="78" t="s">
        <v>5494</v>
      </c>
      <c r="T755" s="85" t="s">
        <v>5495</v>
      </c>
      <c r="U755" s="78" t="s">
        <v>5496</v>
      </c>
      <c r="V755" s="102" t="s">
        <v>5497</v>
      </c>
      <c r="W755" s="79"/>
      <c r="X755" s="79"/>
      <c r="Y755" s="79"/>
      <c r="Z755" s="79"/>
    </row>
    <row r="756" ht="15.75" customHeight="1">
      <c r="A756" s="76" t="s">
        <v>247</v>
      </c>
      <c r="B756" s="77" t="s">
        <v>1723</v>
      </c>
      <c r="C756" s="80">
        <v>3.0709096962E10</v>
      </c>
      <c r="D756" s="119" t="s">
        <v>264</v>
      </c>
      <c r="E756" s="79" t="s">
        <v>5499</v>
      </c>
      <c r="F756" s="44">
        <v>4467.0</v>
      </c>
      <c r="G756" s="79" t="s">
        <v>68</v>
      </c>
      <c r="H756" s="80">
        <v>1702.0</v>
      </c>
      <c r="I756" s="79">
        <v>222090.0</v>
      </c>
      <c r="J756" s="83" t="s">
        <v>568</v>
      </c>
      <c r="K756" s="77" t="s">
        <v>569</v>
      </c>
      <c r="L756" s="79" t="s">
        <v>453</v>
      </c>
      <c r="M756" s="79"/>
      <c r="N756" s="79">
        <v>28.0</v>
      </c>
      <c r="O756" s="83" t="s">
        <v>5500</v>
      </c>
      <c r="P756" s="78" t="s">
        <v>5501</v>
      </c>
      <c r="Q756" s="79" t="s">
        <v>5502</v>
      </c>
      <c r="R756" s="80"/>
      <c r="S756" s="80" t="s">
        <v>5503</v>
      </c>
      <c r="T756" s="101" t="s">
        <v>332</v>
      </c>
      <c r="U756" s="80" t="s">
        <v>332</v>
      </c>
      <c r="V756" s="102" t="s">
        <v>5504</v>
      </c>
      <c r="W756" s="79" t="s">
        <v>309</v>
      </c>
      <c r="X756" s="79" t="s">
        <v>309</v>
      </c>
      <c r="Y756" s="79" t="s">
        <v>309</v>
      </c>
      <c r="Z756" s="79"/>
    </row>
    <row r="757" ht="15.75" customHeight="1">
      <c r="A757" s="76" t="s">
        <v>247</v>
      </c>
      <c r="B757" s="77" t="s">
        <v>5506</v>
      </c>
      <c r="C757" s="80">
        <v>3.0663735043E10</v>
      </c>
      <c r="D757" s="119" t="s">
        <v>264</v>
      </c>
      <c r="E757" s="79" t="s">
        <v>3987</v>
      </c>
      <c r="F757" s="44">
        <v>9971.0</v>
      </c>
      <c r="G757" s="79" t="s">
        <v>119</v>
      </c>
      <c r="H757" s="80">
        <v>1657.0</v>
      </c>
      <c r="I757" s="79">
        <v>222090.0</v>
      </c>
      <c r="J757" s="83" t="s">
        <v>568</v>
      </c>
      <c r="K757" s="77" t="s">
        <v>569</v>
      </c>
      <c r="L757" s="79" t="s">
        <v>453</v>
      </c>
      <c r="M757" s="79"/>
      <c r="N757" s="79">
        <v>6.0</v>
      </c>
      <c r="O757" s="83" t="s">
        <v>5508</v>
      </c>
      <c r="P757" s="78" t="s">
        <v>5509</v>
      </c>
      <c r="Q757" s="79"/>
      <c r="R757" s="80"/>
      <c r="S757" s="80" t="s">
        <v>5510</v>
      </c>
      <c r="T757" s="101" t="s">
        <v>332</v>
      </c>
      <c r="U757" s="80" t="s">
        <v>332</v>
      </c>
      <c r="V757" s="102" t="s">
        <v>5512</v>
      </c>
      <c r="W757" s="79" t="s">
        <v>309</v>
      </c>
      <c r="X757" s="79" t="s">
        <v>309</v>
      </c>
      <c r="Y757" s="79" t="s">
        <v>309</v>
      </c>
      <c r="Z757" s="79"/>
    </row>
    <row r="758" ht="15.75" customHeight="1">
      <c r="A758" s="76" t="s">
        <v>247</v>
      </c>
      <c r="B758" s="77" t="s">
        <v>5513</v>
      </c>
      <c r="C758" s="80">
        <v>3.0709453773E10</v>
      </c>
      <c r="D758" s="79" t="s">
        <v>264</v>
      </c>
      <c r="E758" s="79" t="s">
        <v>2669</v>
      </c>
      <c r="F758" s="44">
        <v>3054.0</v>
      </c>
      <c r="G758" s="79" t="s">
        <v>15</v>
      </c>
      <c r="H758" s="80">
        <v>1678.0</v>
      </c>
      <c r="I758" s="79">
        <v>259999.0</v>
      </c>
      <c r="J758" s="74" t="s">
        <v>347</v>
      </c>
      <c r="K758" s="77" t="s">
        <v>839</v>
      </c>
      <c r="L758" s="79" t="s">
        <v>453</v>
      </c>
      <c r="M758" s="79"/>
      <c r="N758" s="79">
        <v>4.0</v>
      </c>
      <c r="O758" s="74"/>
      <c r="P758" s="80"/>
      <c r="Q758" s="79"/>
      <c r="R758" s="80"/>
      <c r="S758" s="80" t="s">
        <v>5515</v>
      </c>
      <c r="T758" s="101" t="s">
        <v>5516</v>
      </c>
      <c r="U758" s="80" t="s">
        <v>332</v>
      </c>
      <c r="V758" s="102" t="s">
        <v>5518</v>
      </c>
      <c r="W758" s="79" t="s">
        <v>309</v>
      </c>
      <c r="X758" s="79" t="s">
        <v>309</v>
      </c>
      <c r="Y758" s="79" t="s">
        <v>309</v>
      </c>
      <c r="Z758" s="79"/>
    </row>
    <row r="759" ht="15.0" customHeight="1">
      <c r="A759" s="103" t="s">
        <v>24</v>
      </c>
      <c r="B759" s="77" t="s">
        <v>5520</v>
      </c>
      <c r="C759" s="80">
        <v>3.0714668338E10</v>
      </c>
      <c r="D759" s="119" t="s">
        <v>264</v>
      </c>
      <c r="E759" s="79" t="s">
        <v>2669</v>
      </c>
      <c r="F759" s="44">
        <v>3054.0</v>
      </c>
      <c r="G759" s="79" t="s">
        <v>15</v>
      </c>
      <c r="H759" s="80">
        <v>1678.0</v>
      </c>
      <c r="I759" s="79">
        <v>251102.0</v>
      </c>
      <c r="J759" s="74" t="s">
        <v>347</v>
      </c>
      <c r="K759" s="79" t="s">
        <v>1611</v>
      </c>
      <c r="L759" s="79" t="s">
        <v>453</v>
      </c>
      <c r="M759" s="79"/>
      <c r="N759" s="79">
        <v>0.0</v>
      </c>
      <c r="O759" s="74"/>
      <c r="P759" s="80"/>
      <c r="Q759" s="79"/>
      <c r="R759" s="80"/>
      <c r="S759" s="78" t="s">
        <v>5522</v>
      </c>
      <c r="T759" s="101" t="s">
        <v>332</v>
      </c>
      <c r="U759" s="80" t="s">
        <v>332</v>
      </c>
      <c r="V759" s="102" t="s">
        <v>5518</v>
      </c>
      <c r="W759" s="79" t="s">
        <v>306</v>
      </c>
      <c r="X759" s="79" t="s">
        <v>306</v>
      </c>
      <c r="Y759" s="79"/>
      <c r="Z759" s="79"/>
    </row>
    <row r="760" ht="15.0" customHeight="1">
      <c r="A760" s="76" t="s">
        <v>247</v>
      </c>
      <c r="B760" s="77" t="s">
        <v>5523</v>
      </c>
      <c r="C760" s="80">
        <v>3.0639458306E10</v>
      </c>
      <c r="D760" s="119" t="s">
        <v>264</v>
      </c>
      <c r="E760" s="303" t="s">
        <v>4565</v>
      </c>
      <c r="F760" s="44">
        <v>3847.0</v>
      </c>
      <c r="G760" s="79" t="s">
        <v>15</v>
      </c>
      <c r="H760" s="80">
        <v>1678.0</v>
      </c>
      <c r="I760" s="79">
        <v>222090.0</v>
      </c>
      <c r="J760" s="83" t="s">
        <v>568</v>
      </c>
      <c r="K760" s="77" t="s">
        <v>569</v>
      </c>
      <c r="L760" s="79" t="s">
        <v>453</v>
      </c>
      <c r="M760" s="79"/>
      <c r="N760" s="79">
        <v>54.0</v>
      </c>
      <c r="O760" s="74" t="s">
        <v>5526</v>
      </c>
      <c r="P760" s="78" t="s">
        <v>5527</v>
      </c>
      <c r="Q760" s="79"/>
      <c r="R760" s="80"/>
      <c r="S760" s="78" t="s">
        <v>5528</v>
      </c>
      <c r="T760" s="85" t="s">
        <v>5529</v>
      </c>
      <c r="U760" s="80" t="s">
        <v>5530</v>
      </c>
      <c r="V760" s="102" t="s">
        <v>5531</v>
      </c>
      <c r="W760" s="79" t="s">
        <v>309</v>
      </c>
      <c r="X760" s="79" t="s">
        <v>309</v>
      </c>
      <c r="Y760" s="79"/>
      <c r="Z760" s="79"/>
    </row>
    <row r="761" ht="15.0" customHeight="1">
      <c r="A761" s="103" t="s">
        <v>24</v>
      </c>
      <c r="B761" s="77" t="s">
        <v>5532</v>
      </c>
      <c r="C761" s="80">
        <v>3.3708920539E10</v>
      </c>
      <c r="D761" s="79" t="s">
        <v>264</v>
      </c>
      <c r="E761" s="77" t="s">
        <v>943</v>
      </c>
      <c r="F761" s="44">
        <v>3007.0</v>
      </c>
      <c r="G761" s="79" t="s">
        <v>15</v>
      </c>
      <c r="H761" s="80">
        <v>1678.0</v>
      </c>
      <c r="I761" s="79">
        <v>291500.0</v>
      </c>
      <c r="J761" s="74" t="s">
        <v>347</v>
      </c>
      <c r="K761" s="79" t="s">
        <v>5534</v>
      </c>
      <c r="L761" s="79"/>
      <c r="M761" s="79"/>
      <c r="N761" s="79">
        <v>0.0</v>
      </c>
      <c r="O761" s="74"/>
      <c r="P761" s="80"/>
      <c r="Q761" s="79"/>
      <c r="R761" s="80"/>
      <c r="S761" s="80" t="s">
        <v>5536</v>
      </c>
      <c r="T761" s="101" t="s">
        <v>332</v>
      </c>
      <c r="U761" s="80" t="s">
        <v>332</v>
      </c>
      <c r="V761" s="102" t="s">
        <v>429</v>
      </c>
      <c r="W761" s="79" t="s">
        <v>306</v>
      </c>
      <c r="X761" s="79" t="s">
        <v>306</v>
      </c>
      <c r="Y761" s="79"/>
      <c r="Z761" s="79"/>
    </row>
    <row r="762" ht="15.75" customHeight="1">
      <c r="A762" s="103" t="s">
        <v>24</v>
      </c>
      <c r="B762" s="79" t="s">
        <v>5537</v>
      </c>
      <c r="C762" s="80">
        <v>2.0249224325E10</v>
      </c>
      <c r="D762" s="77" t="s">
        <v>631</v>
      </c>
      <c r="E762" s="79" t="s">
        <v>2029</v>
      </c>
      <c r="F762" s="44">
        <v>732.0</v>
      </c>
      <c r="G762" s="79" t="s">
        <v>119</v>
      </c>
      <c r="H762" s="80">
        <v>1657.0</v>
      </c>
      <c r="I762" s="79">
        <v>749009.0</v>
      </c>
      <c r="J762" s="74" t="s">
        <v>433</v>
      </c>
      <c r="K762" s="77" t="s">
        <v>5539</v>
      </c>
      <c r="L762" s="79"/>
      <c r="M762" s="79"/>
      <c r="N762" s="79"/>
      <c r="O762" s="74"/>
      <c r="P762" s="80"/>
      <c r="Q762" s="79"/>
      <c r="R762" s="80"/>
      <c r="S762" s="78" t="s">
        <v>5540</v>
      </c>
      <c r="T762" s="101"/>
      <c r="U762" s="80"/>
      <c r="V762" s="102" t="s">
        <v>429</v>
      </c>
      <c r="W762" s="79"/>
      <c r="X762" s="79"/>
      <c r="Y762" s="79"/>
      <c r="Z762" s="79"/>
    </row>
    <row r="763" ht="15.75" customHeight="1">
      <c r="A763" s="76" t="s">
        <v>247</v>
      </c>
      <c r="B763" s="77" t="s">
        <v>1728</v>
      </c>
      <c r="C763" s="239">
        <v>2.013082823E10</v>
      </c>
      <c r="D763" s="77" t="s">
        <v>2519</v>
      </c>
      <c r="E763" s="79" t="s">
        <v>1607</v>
      </c>
      <c r="F763" s="44">
        <v>4677.0</v>
      </c>
      <c r="G763" s="79" t="s">
        <v>15</v>
      </c>
      <c r="H763" s="80">
        <v>1678.0</v>
      </c>
      <c r="I763" s="79">
        <v>331210.0</v>
      </c>
      <c r="J763" s="74" t="s">
        <v>347</v>
      </c>
      <c r="K763" s="77" t="s">
        <v>5543</v>
      </c>
      <c r="L763" s="79"/>
      <c r="M763" s="79" t="s">
        <v>5544</v>
      </c>
      <c r="N763" s="79"/>
      <c r="O763" s="79" t="s">
        <v>5545</v>
      </c>
      <c r="P763" s="78" t="s">
        <v>5546</v>
      </c>
      <c r="Q763" s="79" t="s">
        <v>5547</v>
      </c>
      <c r="R763" s="78" t="s">
        <v>5548</v>
      </c>
      <c r="S763" s="78" t="s">
        <v>5549</v>
      </c>
      <c r="T763" s="101"/>
      <c r="U763" s="80"/>
      <c r="V763" s="102" t="s">
        <v>429</v>
      </c>
      <c r="W763" s="79"/>
      <c r="X763" s="79"/>
      <c r="Y763" s="79"/>
      <c r="Z763" s="79"/>
    </row>
    <row r="764" ht="15.75" customHeight="1">
      <c r="A764" s="76" t="s">
        <v>247</v>
      </c>
      <c r="B764" s="79" t="s">
        <v>5551</v>
      </c>
      <c r="C764" s="80">
        <v>2.0294086294E10</v>
      </c>
      <c r="D764" s="77" t="s">
        <v>631</v>
      </c>
      <c r="E764" s="126" t="s">
        <v>985</v>
      </c>
      <c r="F764" s="44">
        <v>4419.0</v>
      </c>
      <c r="G764" s="79" t="s">
        <v>15</v>
      </c>
      <c r="H764" s="80">
        <v>1678.0</v>
      </c>
      <c r="I764" s="79">
        <v>259999.0</v>
      </c>
      <c r="J764" s="74" t="s">
        <v>347</v>
      </c>
      <c r="K764" s="77" t="s">
        <v>839</v>
      </c>
      <c r="L764" s="79" t="s">
        <v>1122</v>
      </c>
      <c r="M764" s="79" t="s">
        <v>5552</v>
      </c>
      <c r="N764" s="79"/>
      <c r="O764" s="74"/>
      <c r="P764" s="80"/>
      <c r="Q764" s="79"/>
      <c r="R764" s="80"/>
      <c r="S764" s="78" t="s">
        <v>5554</v>
      </c>
      <c r="T764" s="85" t="s">
        <v>5555</v>
      </c>
      <c r="U764" s="80"/>
      <c r="V764" s="102" t="s">
        <v>5556</v>
      </c>
      <c r="W764" s="79"/>
      <c r="X764" s="79"/>
      <c r="Y764" s="79" t="s">
        <v>309</v>
      </c>
      <c r="Z764" s="79"/>
    </row>
    <row r="765" ht="15.0" customHeight="1">
      <c r="A765" s="76" t="s">
        <v>247</v>
      </c>
      <c r="B765" s="77" t="s">
        <v>5557</v>
      </c>
      <c r="C765" s="80">
        <v>3.0708046228E10</v>
      </c>
      <c r="D765" s="119" t="s">
        <v>264</v>
      </c>
      <c r="E765" s="126" t="s">
        <v>5559</v>
      </c>
      <c r="F765" s="44">
        <v>8237.0</v>
      </c>
      <c r="G765" s="79" t="s">
        <v>175</v>
      </c>
      <c r="H765" s="80">
        <v>1657.0</v>
      </c>
      <c r="I765" s="79">
        <v>201000.0</v>
      </c>
      <c r="J765" s="74" t="s">
        <v>313</v>
      </c>
      <c r="K765" s="77" t="s">
        <v>5560</v>
      </c>
      <c r="L765" s="79" t="s">
        <v>453</v>
      </c>
      <c r="M765" s="79"/>
      <c r="N765" s="79">
        <v>0.0</v>
      </c>
      <c r="O765" s="74"/>
      <c r="P765" s="80"/>
      <c r="Q765" s="79"/>
      <c r="R765" s="80"/>
      <c r="S765" s="80" t="s">
        <v>5562</v>
      </c>
      <c r="T765" s="101" t="s">
        <v>5563</v>
      </c>
      <c r="U765" s="80" t="s">
        <v>5564</v>
      </c>
      <c r="V765" s="102" t="s">
        <v>5565</v>
      </c>
      <c r="W765" s="79" t="s">
        <v>309</v>
      </c>
      <c r="X765" s="79" t="s">
        <v>309</v>
      </c>
      <c r="Y765" s="79" t="s">
        <v>309</v>
      </c>
      <c r="Z765" s="79"/>
    </row>
    <row r="766" ht="15.75" customHeight="1">
      <c r="A766" s="103" t="s">
        <v>24</v>
      </c>
      <c r="B766" s="77" t="s">
        <v>5566</v>
      </c>
      <c r="C766" s="79">
        <v>3.0709171921E10</v>
      </c>
      <c r="D766" s="77" t="s">
        <v>264</v>
      </c>
      <c r="E766" s="79" t="s">
        <v>5567</v>
      </c>
      <c r="F766" s="44">
        <v>1417.0</v>
      </c>
      <c r="G766" s="79" t="s">
        <v>119</v>
      </c>
      <c r="H766" s="80">
        <v>1657.0</v>
      </c>
      <c r="I766" s="79">
        <v>453900.0</v>
      </c>
      <c r="J766" s="74" t="s">
        <v>433</v>
      </c>
      <c r="K766" s="77" t="s">
        <v>5569</v>
      </c>
      <c r="L766" s="79"/>
      <c r="M766" s="79"/>
      <c r="N766" s="79">
        <v>0.0</v>
      </c>
      <c r="O766" s="74"/>
      <c r="P766" s="80"/>
      <c r="Q766" s="79"/>
      <c r="R766" s="80"/>
      <c r="S766" s="80" t="s">
        <v>5570</v>
      </c>
      <c r="T766" s="101" t="s">
        <v>5571</v>
      </c>
      <c r="U766" s="80" t="s">
        <v>332</v>
      </c>
      <c r="V766" s="102" t="s">
        <v>429</v>
      </c>
      <c r="W766" s="79" t="s">
        <v>306</v>
      </c>
      <c r="X766" s="79" t="s">
        <v>306</v>
      </c>
      <c r="Y766" s="79" t="s">
        <v>309</v>
      </c>
      <c r="Z766" s="79"/>
    </row>
    <row r="767" ht="15.0" customHeight="1">
      <c r="A767" s="76" t="s">
        <v>247</v>
      </c>
      <c r="B767" s="79" t="s">
        <v>1736</v>
      </c>
      <c r="C767" s="80">
        <v>2.0135017192E10</v>
      </c>
      <c r="D767" s="77" t="s">
        <v>631</v>
      </c>
      <c r="E767" s="77" t="s">
        <v>1357</v>
      </c>
      <c r="F767" s="128">
        <v>5466.0</v>
      </c>
      <c r="G767" s="79" t="s">
        <v>15</v>
      </c>
      <c r="H767" s="80">
        <v>1678.0</v>
      </c>
      <c r="I767" s="79">
        <v>139209.0</v>
      </c>
      <c r="J767" s="74" t="s">
        <v>261</v>
      </c>
      <c r="K767" s="77" t="s">
        <v>539</v>
      </c>
      <c r="L767" s="79"/>
      <c r="M767" s="79" t="s">
        <v>5574</v>
      </c>
      <c r="N767" s="79">
        <v>6.0</v>
      </c>
      <c r="O767" s="74" t="s">
        <v>5575</v>
      </c>
      <c r="P767" s="78" t="s">
        <v>5576</v>
      </c>
      <c r="Q767" s="79"/>
      <c r="R767" s="80"/>
      <c r="S767" s="80" t="s">
        <v>5577</v>
      </c>
      <c r="T767" s="101"/>
      <c r="U767" s="80"/>
      <c r="V767" s="102" t="s">
        <v>5578</v>
      </c>
      <c r="W767" s="79"/>
      <c r="X767" s="79"/>
      <c r="Y767" s="79"/>
      <c r="Z767" s="79"/>
    </row>
    <row r="768" ht="15.0" customHeight="1">
      <c r="A768" s="76" t="s">
        <v>247</v>
      </c>
      <c r="B768" s="77" t="s">
        <v>5580</v>
      </c>
      <c r="C768" s="80">
        <v>3.0710141874E10</v>
      </c>
      <c r="D768" s="119" t="s">
        <v>264</v>
      </c>
      <c r="E768" s="79" t="s">
        <v>398</v>
      </c>
      <c r="F768" s="44">
        <v>5048.0</v>
      </c>
      <c r="G768" s="79" t="s">
        <v>15</v>
      </c>
      <c r="H768" s="80">
        <v>1678.0</v>
      </c>
      <c r="I768" s="79">
        <v>202200.0</v>
      </c>
      <c r="J768" s="74" t="s">
        <v>316</v>
      </c>
      <c r="K768" s="79" t="s">
        <v>2635</v>
      </c>
      <c r="L768" s="79"/>
      <c r="M768" s="79"/>
      <c r="N768" s="79">
        <v>7.0</v>
      </c>
      <c r="O768" s="74" t="s">
        <v>5581</v>
      </c>
      <c r="P768" s="101" t="s">
        <v>5582</v>
      </c>
      <c r="Q768" s="79"/>
      <c r="R768" s="101"/>
      <c r="S768" s="78" t="s">
        <v>5583</v>
      </c>
      <c r="T768" s="85" t="s">
        <v>5584</v>
      </c>
      <c r="U768" s="78" t="s">
        <v>5586</v>
      </c>
      <c r="V768" s="98" t="s">
        <v>5587</v>
      </c>
      <c r="W768" s="79" t="s">
        <v>306</v>
      </c>
      <c r="X768" s="79" t="s">
        <v>306</v>
      </c>
      <c r="Y768" s="79" t="s">
        <v>309</v>
      </c>
      <c r="Z768" s="79"/>
    </row>
    <row r="769" ht="15.75" customHeight="1">
      <c r="A769" s="103" t="s">
        <v>24</v>
      </c>
      <c r="B769" s="77" t="s">
        <v>5589</v>
      </c>
      <c r="C769" s="80">
        <v>3.0710493096E10</v>
      </c>
      <c r="D769" s="119" t="s">
        <v>264</v>
      </c>
      <c r="E769" s="79" t="s">
        <v>3845</v>
      </c>
      <c r="F769" s="44">
        <v>1585.0</v>
      </c>
      <c r="G769" s="79" t="s">
        <v>134</v>
      </c>
      <c r="H769" s="80">
        <v>1682.0</v>
      </c>
      <c r="I769" s="77">
        <v>139900.0</v>
      </c>
      <c r="J769" s="74" t="s">
        <v>448</v>
      </c>
      <c r="K769" s="77" t="s">
        <v>4372</v>
      </c>
      <c r="L769" s="79"/>
      <c r="M769" s="79"/>
      <c r="N769" s="79">
        <v>8.0</v>
      </c>
      <c r="O769" s="74"/>
      <c r="P769" s="80"/>
      <c r="Q769" s="79"/>
      <c r="R769" s="80"/>
      <c r="S769" s="78" t="s">
        <v>5591</v>
      </c>
      <c r="T769" s="85" t="s">
        <v>5592</v>
      </c>
      <c r="U769" s="80" t="s">
        <v>332</v>
      </c>
      <c r="V769" s="102" t="s">
        <v>429</v>
      </c>
      <c r="W769" s="79" t="s">
        <v>306</v>
      </c>
      <c r="X769" s="79" t="s">
        <v>306</v>
      </c>
      <c r="Y769" s="79"/>
      <c r="Z769" s="79"/>
    </row>
    <row r="770" ht="15.75" customHeight="1">
      <c r="A770" s="76" t="s">
        <v>247</v>
      </c>
      <c r="B770" s="77" t="s">
        <v>1739</v>
      </c>
      <c r="C770" s="80">
        <v>3.0607180578E10</v>
      </c>
      <c r="D770" s="119" t="s">
        <v>264</v>
      </c>
      <c r="E770" s="119" t="s">
        <v>1422</v>
      </c>
      <c r="F770" s="44">
        <v>1065.0</v>
      </c>
      <c r="G770" s="79" t="s">
        <v>119</v>
      </c>
      <c r="H770" s="80">
        <v>1657.0</v>
      </c>
      <c r="I770" s="79">
        <v>275020.0</v>
      </c>
      <c r="J770" s="74" t="s">
        <v>337</v>
      </c>
      <c r="K770" s="79" t="s">
        <v>4146</v>
      </c>
      <c r="L770" s="79"/>
      <c r="M770" s="79"/>
      <c r="N770" s="79">
        <v>47.0</v>
      </c>
      <c r="O770" s="83" t="s">
        <v>5594</v>
      </c>
      <c r="P770" s="80"/>
      <c r="Q770" s="79"/>
      <c r="R770" s="80"/>
      <c r="S770" s="80" t="s">
        <v>5596</v>
      </c>
      <c r="T770" s="101" t="s">
        <v>5597</v>
      </c>
      <c r="U770" s="78" t="s">
        <v>5598</v>
      </c>
      <c r="V770" s="102" t="s">
        <v>5599</v>
      </c>
      <c r="W770" s="79" t="s">
        <v>309</v>
      </c>
      <c r="X770" s="79" t="s">
        <v>309</v>
      </c>
      <c r="Y770" s="79" t="s">
        <v>309</v>
      </c>
      <c r="Z770" s="79"/>
    </row>
    <row r="771" ht="15.0" customHeight="1">
      <c r="A771" s="76" t="s">
        <v>247</v>
      </c>
      <c r="B771" s="77" t="s">
        <v>5600</v>
      </c>
      <c r="C771" s="80">
        <v>3.0555490069E10</v>
      </c>
      <c r="D771" s="79" t="s">
        <v>264</v>
      </c>
      <c r="E771" s="79" t="s">
        <v>4223</v>
      </c>
      <c r="F771" s="44">
        <v>2045.0</v>
      </c>
      <c r="G771" s="79" t="s">
        <v>15</v>
      </c>
      <c r="H771" s="80">
        <v>1678.0</v>
      </c>
      <c r="I771" s="79">
        <v>143010.0</v>
      </c>
      <c r="J771" s="74" t="s">
        <v>448</v>
      </c>
      <c r="K771" s="79" t="s">
        <v>5602</v>
      </c>
      <c r="L771" s="79"/>
      <c r="M771" s="79"/>
      <c r="N771" s="79">
        <v>9.0</v>
      </c>
      <c r="O771" s="74"/>
      <c r="P771" s="80"/>
      <c r="Q771" s="79"/>
      <c r="R771" s="80"/>
      <c r="S771" s="80" t="s">
        <v>5603</v>
      </c>
      <c r="T771" s="101" t="s">
        <v>332</v>
      </c>
      <c r="U771" s="80" t="s">
        <v>332</v>
      </c>
      <c r="V771" s="102" t="s">
        <v>429</v>
      </c>
      <c r="W771" s="79" t="s">
        <v>309</v>
      </c>
      <c r="X771" s="79" t="s">
        <v>309</v>
      </c>
      <c r="Y771" s="79" t="s">
        <v>309</v>
      </c>
      <c r="Z771" s="79"/>
    </row>
    <row r="772" ht="15.0" customHeight="1">
      <c r="A772" s="103" t="s">
        <v>24</v>
      </c>
      <c r="B772" s="77" t="s">
        <v>5605</v>
      </c>
      <c r="C772" s="80">
        <v>3.0711813671E10</v>
      </c>
      <c r="D772" s="79" t="s">
        <v>264</v>
      </c>
      <c r="E772" s="79" t="s">
        <v>1376</v>
      </c>
      <c r="F772" s="44">
        <v>1540.0</v>
      </c>
      <c r="G772" s="79" t="s">
        <v>68</v>
      </c>
      <c r="H772" s="80">
        <v>1702.0</v>
      </c>
      <c r="I772" s="79">
        <v>310010.0</v>
      </c>
      <c r="J772" s="74" t="s">
        <v>313</v>
      </c>
      <c r="K772" s="79" t="s">
        <v>1438</v>
      </c>
      <c r="L772" s="79" t="s">
        <v>1122</v>
      </c>
      <c r="M772" s="79"/>
      <c r="N772" s="79">
        <v>10.0</v>
      </c>
      <c r="O772" s="74"/>
      <c r="P772" s="80"/>
      <c r="Q772" s="79"/>
      <c r="R772" s="80"/>
      <c r="S772" s="80" t="s">
        <v>1519</v>
      </c>
      <c r="T772" s="101" t="s">
        <v>1518</v>
      </c>
      <c r="U772" s="80" t="s">
        <v>332</v>
      </c>
      <c r="V772" s="102" t="s">
        <v>5607</v>
      </c>
      <c r="W772" s="79" t="s">
        <v>306</v>
      </c>
      <c r="X772" s="79" t="s">
        <v>306</v>
      </c>
      <c r="Y772" s="79" t="s">
        <v>309</v>
      </c>
      <c r="Z772" s="79"/>
    </row>
    <row r="773" ht="15.0" customHeight="1">
      <c r="A773" s="103" t="s">
        <v>24</v>
      </c>
      <c r="B773" s="79" t="s">
        <v>5609</v>
      </c>
      <c r="C773" s="80">
        <v>2.0253769123E10</v>
      </c>
      <c r="D773" s="77" t="s">
        <v>631</v>
      </c>
      <c r="E773" s="79" t="s">
        <v>660</v>
      </c>
      <c r="F773" s="44">
        <v>5482.0</v>
      </c>
      <c r="G773" s="79" t="s">
        <v>269</v>
      </c>
      <c r="H773" s="80">
        <v>1682.0</v>
      </c>
      <c r="I773" s="79">
        <v>259993.0</v>
      </c>
      <c r="J773" s="74" t="s">
        <v>347</v>
      </c>
      <c r="K773" s="77" t="s">
        <v>638</v>
      </c>
      <c r="L773" s="79"/>
      <c r="M773" s="79"/>
      <c r="N773" s="79"/>
      <c r="O773" s="74"/>
      <c r="P773" s="80"/>
      <c r="Q773" s="79"/>
      <c r="R773" s="80"/>
      <c r="S773" s="80" t="s">
        <v>5610</v>
      </c>
      <c r="T773" s="101"/>
      <c r="U773" s="80"/>
      <c r="V773" s="102" t="s">
        <v>5611</v>
      </c>
      <c r="W773" s="79"/>
      <c r="X773" s="79"/>
      <c r="Y773" s="79"/>
      <c r="Z773" s="79"/>
    </row>
    <row r="774" ht="15.0" customHeight="1">
      <c r="A774" s="76" t="s">
        <v>247</v>
      </c>
      <c r="B774" s="77" t="s">
        <v>5613</v>
      </c>
      <c r="C774" s="80">
        <v>3.0517617055E10</v>
      </c>
      <c r="D774" s="119" t="s">
        <v>264</v>
      </c>
      <c r="E774" s="79" t="s">
        <v>1095</v>
      </c>
      <c r="F774" s="44">
        <v>4365.0</v>
      </c>
      <c r="G774" s="79" t="s">
        <v>15</v>
      </c>
      <c r="H774" s="80">
        <v>1678.0</v>
      </c>
      <c r="I774" s="79">
        <v>293092.0</v>
      </c>
      <c r="J774" s="83" t="s">
        <v>207</v>
      </c>
      <c r="K774" s="77" t="s">
        <v>5615</v>
      </c>
      <c r="L774" s="79"/>
      <c r="M774" s="79"/>
      <c r="N774" s="79">
        <v>0.0</v>
      </c>
      <c r="O774" s="74"/>
      <c r="P774" s="80"/>
      <c r="Q774" s="176"/>
      <c r="R774" s="80"/>
      <c r="S774" s="78" t="s">
        <v>5616</v>
      </c>
      <c r="T774" s="85" t="s">
        <v>5597</v>
      </c>
      <c r="U774" s="78" t="s">
        <v>5597</v>
      </c>
      <c r="V774" s="102" t="s">
        <v>5617</v>
      </c>
      <c r="W774" s="79" t="s">
        <v>306</v>
      </c>
      <c r="X774" s="79" t="s">
        <v>306</v>
      </c>
      <c r="Y774" s="79"/>
      <c r="Z774" s="79"/>
    </row>
    <row r="775" ht="15.75" customHeight="1">
      <c r="A775" s="76" t="s">
        <v>247</v>
      </c>
      <c r="B775" s="77" t="s">
        <v>4047</v>
      </c>
      <c r="C775" s="80">
        <v>3.0709052442E10</v>
      </c>
      <c r="D775" s="79" t="s">
        <v>264</v>
      </c>
      <c r="E775" s="77" t="s">
        <v>2646</v>
      </c>
      <c r="F775" s="44">
        <v>3650.0</v>
      </c>
      <c r="G775" s="79" t="s">
        <v>68</v>
      </c>
      <c r="H775" s="80">
        <v>1702.0</v>
      </c>
      <c r="I775" s="79">
        <v>293090.0</v>
      </c>
      <c r="J775" s="74" t="s">
        <v>337</v>
      </c>
      <c r="K775" s="77" t="s">
        <v>407</v>
      </c>
      <c r="L775" s="79"/>
      <c r="M775" s="79"/>
      <c r="N775" s="79">
        <v>6.0</v>
      </c>
      <c r="O775" s="74"/>
      <c r="P775" s="80"/>
      <c r="Q775" s="79"/>
      <c r="R775" s="80"/>
      <c r="S775" s="78" t="s">
        <v>5620</v>
      </c>
      <c r="T775" s="85" t="s">
        <v>5621</v>
      </c>
      <c r="U775" s="80" t="s">
        <v>332</v>
      </c>
      <c r="V775" s="102" t="s">
        <v>5622</v>
      </c>
      <c r="W775" s="79" t="s">
        <v>309</v>
      </c>
      <c r="X775" s="79" t="s">
        <v>309</v>
      </c>
      <c r="Y775" s="79" t="s">
        <v>309</v>
      </c>
      <c r="Z775" s="79"/>
    </row>
    <row r="776" ht="15.0" customHeight="1">
      <c r="A776" s="76" t="s">
        <v>247</v>
      </c>
      <c r="B776" s="77" t="s">
        <v>5623</v>
      </c>
      <c r="C776" s="80">
        <v>3.0685252313E10</v>
      </c>
      <c r="D776" s="119" t="s">
        <v>264</v>
      </c>
      <c r="E776" s="126" t="s">
        <v>985</v>
      </c>
      <c r="F776" s="44">
        <v>4766.0</v>
      </c>
      <c r="G776" s="79" t="s">
        <v>15</v>
      </c>
      <c r="H776" s="80">
        <v>1678.0</v>
      </c>
      <c r="I776" s="79">
        <v>101030.0</v>
      </c>
      <c r="J776" s="74" t="s">
        <v>22</v>
      </c>
      <c r="K776" s="79" t="s">
        <v>3365</v>
      </c>
      <c r="L776" s="79"/>
      <c r="M776" s="79"/>
      <c r="N776" s="79">
        <v>17.0</v>
      </c>
      <c r="O776" s="74"/>
      <c r="P776" s="80"/>
      <c r="Q776" s="79"/>
      <c r="R776" s="80"/>
      <c r="S776" s="80" t="s">
        <v>5625</v>
      </c>
      <c r="T776" s="101" t="s">
        <v>332</v>
      </c>
      <c r="U776" s="80" t="s">
        <v>332</v>
      </c>
      <c r="V776" s="102" t="s">
        <v>5626</v>
      </c>
      <c r="W776" s="79" t="s">
        <v>309</v>
      </c>
      <c r="X776" s="79" t="s">
        <v>309</v>
      </c>
      <c r="Y776" s="79" t="s">
        <v>309</v>
      </c>
      <c r="Z776" s="79"/>
    </row>
    <row r="777" ht="15.0" customHeight="1">
      <c r="A777" s="103" t="s">
        <v>24</v>
      </c>
      <c r="B777" s="77" t="s">
        <v>5628</v>
      </c>
      <c r="C777" s="80">
        <v>3.0559652268E10</v>
      </c>
      <c r="D777" s="119" t="s">
        <v>264</v>
      </c>
      <c r="E777" s="77" t="s">
        <v>943</v>
      </c>
      <c r="F777" s="44">
        <v>3361.0</v>
      </c>
      <c r="G777" s="79" t="s">
        <v>15</v>
      </c>
      <c r="H777" s="80">
        <v>1678.0</v>
      </c>
      <c r="I777" s="79">
        <v>151130.0</v>
      </c>
      <c r="J777" s="74" t="s">
        <v>22</v>
      </c>
      <c r="K777" s="79" t="s">
        <v>5629</v>
      </c>
      <c r="L777" s="79"/>
      <c r="M777" s="79"/>
      <c r="N777" s="79">
        <v>0.0</v>
      </c>
      <c r="O777" s="74"/>
      <c r="P777" s="80"/>
      <c r="Q777" s="79"/>
      <c r="R777" s="80"/>
      <c r="S777" s="78" t="s">
        <v>5630</v>
      </c>
      <c r="T777" s="101" t="s">
        <v>332</v>
      </c>
      <c r="U777" s="80" t="s">
        <v>332</v>
      </c>
      <c r="V777" s="102" t="s">
        <v>429</v>
      </c>
      <c r="W777" s="79" t="s">
        <v>309</v>
      </c>
      <c r="X777" s="79" t="s">
        <v>306</v>
      </c>
      <c r="Y777" s="79"/>
      <c r="Z777" s="79"/>
    </row>
    <row r="778" ht="15.75" customHeight="1">
      <c r="A778" s="103" t="s">
        <v>24</v>
      </c>
      <c r="B778" s="77" t="s">
        <v>5632</v>
      </c>
      <c r="C778" s="80">
        <v>3.066252045E10</v>
      </c>
      <c r="D778" s="119" t="s">
        <v>264</v>
      </c>
      <c r="E778" s="79" t="s">
        <v>5633</v>
      </c>
      <c r="F778" s="44">
        <v>5010.0</v>
      </c>
      <c r="G778" s="79" t="s">
        <v>119</v>
      </c>
      <c r="H778" s="80">
        <v>1657.0</v>
      </c>
      <c r="I778" s="77">
        <v>461032.0</v>
      </c>
      <c r="J778" s="74" t="s">
        <v>22</v>
      </c>
      <c r="K778" s="77" t="s">
        <v>5634</v>
      </c>
      <c r="L778" s="79"/>
      <c r="M778" s="79"/>
      <c r="N778" s="79">
        <v>3.0</v>
      </c>
      <c r="O778" s="74"/>
      <c r="P778" s="80"/>
      <c r="Q778" s="79"/>
      <c r="R778" s="80"/>
      <c r="S778" s="78" t="s">
        <v>5635</v>
      </c>
      <c r="T778" s="276" t="s">
        <v>5636</v>
      </c>
      <c r="U778" s="80" t="s">
        <v>332</v>
      </c>
      <c r="V778" s="102" t="s">
        <v>429</v>
      </c>
      <c r="W778" s="79" t="s">
        <v>309</v>
      </c>
      <c r="X778" s="79" t="s">
        <v>309</v>
      </c>
      <c r="Y778" s="79" t="s">
        <v>309</v>
      </c>
      <c r="Z778" s="79"/>
    </row>
    <row r="779" ht="15.75" customHeight="1">
      <c r="A779" s="76" t="s">
        <v>247</v>
      </c>
      <c r="B779" s="79" t="s">
        <v>4050</v>
      </c>
      <c r="C779" s="80">
        <v>3.0707422099E10</v>
      </c>
      <c r="D779" s="119" t="s">
        <v>264</v>
      </c>
      <c r="E779" s="79" t="s">
        <v>4928</v>
      </c>
      <c r="F779" s="44">
        <v>2175.0</v>
      </c>
      <c r="G779" s="79" t="s">
        <v>15</v>
      </c>
      <c r="H779" s="80">
        <v>1678.0</v>
      </c>
      <c r="I779" s="79">
        <v>101012.0</v>
      </c>
      <c r="J779" s="74" t="s">
        <v>22</v>
      </c>
      <c r="K779" s="79" t="s">
        <v>5638</v>
      </c>
      <c r="L779" s="79"/>
      <c r="M779" s="77" t="s">
        <v>5639</v>
      </c>
      <c r="N779" s="79">
        <v>33.0</v>
      </c>
      <c r="O779" s="74" t="s">
        <v>5640</v>
      </c>
      <c r="P779" s="207" t="s">
        <v>5641</v>
      </c>
      <c r="Q779" s="79" t="s">
        <v>5642</v>
      </c>
      <c r="R779" s="78" t="s">
        <v>5643</v>
      </c>
      <c r="S779" s="80" t="s">
        <v>5644</v>
      </c>
      <c r="T779" s="101"/>
      <c r="U779" s="80" t="s">
        <v>332</v>
      </c>
      <c r="V779" s="102" t="s">
        <v>429</v>
      </c>
      <c r="W779" s="79" t="s">
        <v>306</v>
      </c>
      <c r="X779" s="79" t="s">
        <v>306</v>
      </c>
      <c r="Y779" s="79"/>
      <c r="Z779" s="79"/>
    </row>
    <row r="780" ht="15.0" customHeight="1">
      <c r="A780" s="76" t="s">
        <v>247</v>
      </c>
      <c r="B780" s="77" t="s">
        <v>5646</v>
      </c>
      <c r="C780" s="80">
        <v>3.051966629E10</v>
      </c>
      <c r="D780" s="119" t="s">
        <v>264</v>
      </c>
      <c r="E780" s="79" t="s">
        <v>5647</v>
      </c>
      <c r="F780" s="44">
        <v>1795.0</v>
      </c>
      <c r="G780" s="79" t="s">
        <v>249</v>
      </c>
      <c r="H780" s="80">
        <v>1676.0</v>
      </c>
      <c r="I780" s="79">
        <v>101030.0</v>
      </c>
      <c r="J780" s="74" t="s">
        <v>22</v>
      </c>
      <c r="K780" s="79" t="s">
        <v>3365</v>
      </c>
      <c r="L780" s="79"/>
      <c r="M780" s="79"/>
      <c r="N780" s="79">
        <v>20.0</v>
      </c>
      <c r="O780" s="74" t="s">
        <v>5648</v>
      </c>
      <c r="P780" s="80"/>
      <c r="Q780" s="79"/>
      <c r="R780" s="80"/>
      <c r="S780" s="80" t="s">
        <v>5650</v>
      </c>
      <c r="T780" s="101" t="s">
        <v>5651</v>
      </c>
      <c r="U780" s="80"/>
      <c r="V780" s="102" t="s">
        <v>5652</v>
      </c>
      <c r="W780" s="79" t="s">
        <v>309</v>
      </c>
      <c r="X780" s="79" t="s">
        <v>309</v>
      </c>
      <c r="Y780" s="79" t="s">
        <v>309</v>
      </c>
      <c r="Z780" s="79"/>
    </row>
    <row r="781" ht="15.0" customHeight="1">
      <c r="A781" s="76" t="s">
        <v>247</v>
      </c>
      <c r="B781" s="77" t="s">
        <v>4053</v>
      </c>
      <c r="C781" s="80">
        <v>3.0708866608E10</v>
      </c>
      <c r="D781" s="79" t="s">
        <v>264</v>
      </c>
      <c r="E781" s="77" t="s">
        <v>1109</v>
      </c>
      <c r="F781" s="44">
        <v>4079.0</v>
      </c>
      <c r="G781" s="79" t="s">
        <v>68</v>
      </c>
      <c r="H781" s="80">
        <v>1702.0</v>
      </c>
      <c r="I781" s="79">
        <v>131209.0</v>
      </c>
      <c r="J781" s="74" t="s">
        <v>448</v>
      </c>
      <c r="K781" s="77" t="s">
        <v>3454</v>
      </c>
      <c r="L781" s="79" t="s">
        <v>453</v>
      </c>
      <c r="M781" s="79" t="s">
        <v>5654</v>
      </c>
      <c r="N781" s="79">
        <v>3.0</v>
      </c>
      <c r="O781" s="74" t="s">
        <v>5655</v>
      </c>
      <c r="P781" s="80"/>
      <c r="Q781" s="79"/>
      <c r="R781" s="80"/>
      <c r="S781" s="80" t="s">
        <v>5656</v>
      </c>
      <c r="T781" s="80"/>
      <c r="U781" s="80" t="s">
        <v>332</v>
      </c>
      <c r="V781" s="102" t="s">
        <v>5657</v>
      </c>
      <c r="W781" s="79" t="s">
        <v>309</v>
      </c>
      <c r="X781" s="79" t="s">
        <v>309</v>
      </c>
      <c r="Y781" s="79" t="s">
        <v>309</v>
      </c>
      <c r="Z781" s="79"/>
    </row>
    <row r="782" ht="15.75" customHeight="1">
      <c r="A782" s="103" t="s">
        <v>24</v>
      </c>
      <c r="B782" s="77" t="s">
        <v>5658</v>
      </c>
      <c r="C782" s="80">
        <v>3.0709256587E10</v>
      </c>
      <c r="D782" s="79" t="s">
        <v>264</v>
      </c>
      <c r="E782" s="79" t="s">
        <v>1442</v>
      </c>
      <c r="F782" s="44">
        <v>3661.0</v>
      </c>
      <c r="G782" s="79" t="s">
        <v>68</v>
      </c>
      <c r="H782" s="80">
        <v>1702.0</v>
      </c>
      <c r="I782" s="79">
        <v>291500.0</v>
      </c>
      <c r="J782" s="74" t="s">
        <v>347</v>
      </c>
      <c r="K782" s="79" t="s">
        <v>5534</v>
      </c>
      <c r="L782" s="79"/>
      <c r="M782" s="79"/>
      <c r="N782" s="79">
        <v>0.0</v>
      </c>
      <c r="O782" s="74"/>
      <c r="P782" s="80"/>
      <c r="Q782" s="79"/>
      <c r="R782" s="80"/>
      <c r="S782" s="80" t="s">
        <v>5660</v>
      </c>
      <c r="T782" s="80" t="s">
        <v>5661</v>
      </c>
      <c r="U782" s="80" t="s">
        <v>332</v>
      </c>
      <c r="V782" s="102" t="s">
        <v>429</v>
      </c>
      <c r="W782" s="79" t="s">
        <v>306</v>
      </c>
      <c r="X782" s="79" t="s">
        <v>306</v>
      </c>
      <c r="Y782" s="79"/>
      <c r="Z782" s="79"/>
    </row>
    <row r="783" ht="15.0" customHeight="1">
      <c r="A783" s="76" t="s">
        <v>247</v>
      </c>
      <c r="B783" s="77" t="s">
        <v>5662</v>
      </c>
      <c r="C783" s="80">
        <v>2.7232221637E10</v>
      </c>
      <c r="D783" s="144" t="s">
        <v>631</v>
      </c>
      <c r="E783" s="77" t="s">
        <v>943</v>
      </c>
      <c r="F783" s="44">
        <v>2850.0</v>
      </c>
      <c r="G783" s="79" t="s">
        <v>15</v>
      </c>
      <c r="H783" s="80">
        <v>1678.0</v>
      </c>
      <c r="I783" s="119">
        <v>939090.0</v>
      </c>
      <c r="J783" s="83" t="s">
        <v>568</v>
      </c>
      <c r="K783" s="144" t="s">
        <v>5664</v>
      </c>
      <c r="L783" s="79" t="s">
        <v>453</v>
      </c>
      <c r="M783" s="79" t="s">
        <v>5665</v>
      </c>
      <c r="N783" s="79"/>
      <c r="O783" s="83" t="s">
        <v>5666</v>
      </c>
      <c r="P783" s="78" t="s">
        <v>5667</v>
      </c>
      <c r="Q783" s="79"/>
      <c r="R783" s="80"/>
      <c r="S783" s="78" t="s">
        <v>5667</v>
      </c>
      <c r="T783" s="101"/>
      <c r="U783" s="80"/>
      <c r="V783" s="102" t="s">
        <v>429</v>
      </c>
      <c r="W783" s="79"/>
      <c r="X783" s="79"/>
      <c r="Y783" s="79" t="s">
        <v>309</v>
      </c>
      <c r="Z783" s="79"/>
    </row>
    <row r="784" ht="15.0" customHeight="1">
      <c r="A784" s="76" t="s">
        <v>247</v>
      </c>
      <c r="B784" s="77" t="s">
        <v>5669</v>
      </c>
      <c r="C784" s="80">
        <v>3.0710137435E10</v>
      </c>
      <c r="D784" s="119" t="s">
        <v>264</v>
      </c>
      <c r="E784" s="77" t="s">
        <v>1109</v>
      </c>
      <c r="F784" s="44">
        <v>3307.0</v>
      </c>
      <c r="G784" s="79" t="s">
        <v>68</v>
      </c>
      <c r="H784" s="80">
        <v>1702.0</v>
      </c>
      <c r="I784" s="79">
        <v>829900.0</v>
      </c>
      <c r="J784" s="74" t="s">
        <v>433</v>
      </c>
      <c r="K784" s="77" t="s">
        <v>2924</v>
      </c>
      <c r="L784" s="79"/>
      <c r="M784" s="79"/>
      <c r="N784" s="79">
        <v>1.0</v>
      </c>
      <c r="O784" s="74"/>
      <c r="P784" s="80"/>
      <c r="Q784" s="79"/>
      <c r="R784" s="80"/>
      <c r="S784" s="78" t="s">
        <v>5670</v>
      </c>
      <c r="T784" s="101" t="s">
        <v>332</v>
      </c>
      <c r="U784" s="80" t="s">
        <v>332</v>
      </c>
      <c r="V784" s="102" t="s">
        <v>5672</v>
      </c>
      <c r="W784" s="79" t="s">
        <v>306</v>
      </c>
      <c r="X784" s="79" t="s">
        <v>306</v>
      </c>
      <c r="Y784" s="79"/>
      <c r="Z784" s="79"/>
    </row>
    <row r="785" ht="15.0" customHeight="1">
      <c r="A785" s="76" t="s">
        <v>247</v>
      </c>
      <c r="B785" s="77" t="s">
        <v>1743</v>
      </c>
      <c r="C785" s="80">
        <v>3.0709239305E10</v>
      </c>
      <c r="D785" s="119" t="s">
        <v>264</v>
      </c>
      <c r="E785" s="79" t="s">
        <v>359</v>
      </c>
      <c r="F785" s="44">
        <v>5549.0</v>
      </c>
      <c r="G785" s="79" t="s">
        <v>15</v>
      </c>
      <c r="H785" s="80">
        <v>1678.0</v>
      </c>
      <c r="I785" s="79">
        <v>222090.0</v>
      </c>
      <c r="J785" s="83" t="s">
        <v>568</v>
      </c>
      <c r="K785" s="77" t="s">
        <v>569</v>
      </c>
      <c r="L785" s="79" t="s">
        <v>453</v>
      </c>
      <c r="M785" s="79"/>
      <c r="N785" s="79">
        <v>11.0</v>
      </c>
      <c r="O785" s="74" t="s">
        <v>5674</v>
      </c>
      <c r="P785" s="78" t="s">
        <v>5675</v>
      </c>
      <c r="Q785" s="119" t="s">
        <v>5676</v>
      </c>
      <c r="R785" s="85" t="s">
        <v>5677</v>
      </c>
      <c r="S785" s="78" t="s">
        <v>5678</v>
      </c>
      <c r="T785" s="85" t="s">
        <v>5679</v>
      </c>
      <c r="U785" s="78" t="s">
        <v>5677</v>
      </c>
      <c r="V785" s="102" t="s">
        <v>5680</v>
      </c>
      <c r="W785" s="79" t="s">
        <v>309</v>
      </c>
      <c r="X785" s="79" t="s">
        <v>309</v>
      </c>
      <c r="Y785" s="79"/>
      <c r="Z785" s="79"/>
    </row>
    <row r="786" ht="15.75" customHeight="1">
      <c r="A786" s="76" t="s">
        <v>247</v>
      </c>
      <c r="B786" s="77" t="s">
        <v>5682</v>
      </c>
      <c r="C786" s="80">
        <v>3.0535302606E10</v>
      </c>
      <c r="D786" s="119" t="s">
        <v>264</v>
      </c>
      <c r="E786" s="77" t="s">
        <v>2383</v>
      </c>
      <c r="F786" s="44">
        <v>9475.0</v>
      </c>
      <c r="G786" s="79" t="s">
        <v>119</v>
      </c>
      <c r="H786" s="80">
        <v>1657.0</v>
      </c>
      <c r="I786" s="79">
        <v>243200.0</v>
      </c>
      <c r="J786" s="74" t="s">
        <v>347</v>
      </c>
      <c r="K786" s="79" t="s">
        <v>1277</v>
      </c>
      <c r="L786" s="79" t="s">
        <v>453</v>
      </c>
      <c r="M786" s="79"/>
      <c r="N786" s="79">
        <v>70.0</v>
      </c>
      <c r="O786" s="74" t="s">
        <v>5683</v>
      </c>
      <c r="P786" s="80"/>
      <c r="Q786" s="304" t="s">
        <v>5684</v>
      </c>
      <c r="R786" s="207" t="s">
        <v>5686</v>
      </c>
      <c r="S786" s="80" t="s">
        <v>5687</v>
      </c>
      <c r="T786" s="101" t="s">
        <v>5688</v>
      </c>
      <c r="U786" s="80" t="s">
        <v>5689</v>
      </c>
      <c r="V786" s="102" t="s">
        <v>5690</v>
      </c>
      <c r="W786" s="79" t="s">
        <v>309</v>
      </c>
      <c r="X786" s="79" t="s">
        <v>309</v>
      </c>
      <c r="Y786" s="79" t="s">
        <v>309</v>
      </c>
      <c r="Z786" s="79"/>
    </row>
    <row r="787" ht="15.0" customHeight="1">
      <c r="A787" s="103" t="s">
        <v>24</v>
      </c>
      <c r="B787" s="77" t="s">
        <v>5691</v>
      </c>
      <c r="C787" s="80">
        <v>3.0502204218E10</v>
      </c>
      <c r="D787" s="119" t="s">
        <v>264</v>
      </c>
      <c r="E787" s="79" t="s">
        <v>2136</v>
      </c>
      <c r="F787" s="44">
        <v>10126.0</v>
      </c>
      <c r="G787" s="79" t="s">
        <v>119</v>
      </c>
      <c r="H787" s="80">
        <v>1657.0</v>
      </c>
      <c r="I787" s="79">
        <v>273100.0</v>
      </c>
      <c r="J787" s="74" t="s">
        <v>347</v>
      </c>
      <c r="K787" s="77" t="s">
        <v>5693</v>
      </c>
      <c r="L787" s="79" t="s">
        <v>453</v>
      </c>
      <c r="M787" s="79"/>
      <c r="N787" s="79">
        <v>0.0</v>
      </c>
      <c r="O787" s="74"/>
      <c r="P787" s="80"/>
      <c r="Q787" s="79"/>
      <c r="R787" s="80"/>
      <c r="S787" s="78" t="s">
        <v>5694</v>
      </c>
      <c r="T787" s="101" t="s">
        <v>332</v>
      </c>
      <c r="U787" s="80" t="s">
        <v>332</v>
      </c>
      <c r="V787" s="102" t="s">
        <v>429</v>
      </c>
      <c r="W787" s="79" t="s">
        <v>306</v>
      </c>
      <c r="X787" s="79" t="s">
        <v>306</v>
      </c>
      <c r="Y787" s="79"/>
      <c r="Z787" s="79"/>
    </row>
    <row r="788" ht="15.75" customHeight="1">
      <c r="A788" s="76" t="s">
        <v>247</v>
      </c>
      <c r="B788" s="119" t="s">
        <v>5695</v>
      </c>
      <c r="C788" s="101">
        <v>3.3715800999E10</v>
      </c>
      <c r="D788" s="79" t="s">
        <v>264</v>
      </c>
      <c r="E788" s="77" t="s">
        <v>1683</v>
      </c>
      <c r="F788" s="44">
        <v>3914.0</v>
      </c>
      <c r="G788" s="79" t="s">
        <v>15</v>
      </c>
      <c r="H788" s="80">
        <v>1678.0</v>
      </c>
      <c r="I788" s="101">
        <v>243200.0</v>
      </c>
      <c r="J788" s="74" t="s">
        <v>347</v>
      </c>
      <c r="K788" s="129" t="s">
        <v>1277</v>
      </c>
      <c r="L788" s="79"/>
      <c r="M788" s="129" t="s">
        <v>5697</v>
      </c>
      <c r="N788" s="79"/>
      <c r="O788" s="144"/>
      <c r="P788" s="80"/>
      <c r="Q788" s="79"/>
      <c r="R788" s="80"/>
      <c r="S788" s="101" t="s">
        <v>5698</v>
      </c>
      <c r="T788" s="101"/>
      <c r="U788" s="80"/>
      <c r="V788" s="102" t="s">
        <v>5699</v>
      </c>
      <c r="W788" s="79"/>
      <c r="X788" s="79"/>
      <c r="Y788" s="79"/>
      <c r="Z788" s="79"/>
    </row>
    <row r="789" ht="15.0" customHeight="1">
      <c r="A789" s="103" t="s">
        <v>24</v>
      </c>
      <c r="B789" s="77" t="s">
        <v>5701</v>
      </c>
      <c r="C789" s="80">
        <v>3.0708555882E10</v>
      </c>
      <c r="D789" s="119" t="s">
        <v>264</v>
      </c>
      <c r="E789" s="77" t="s">
        <v>1578</v>
      </c>
      <c r="F789" s="44">
        <v>1434.0</v>
      </c>
      <c r="G789" s="79" t="s">
        <v>119</v>
      </c>
      <c r="H789" s="80">
        <v>1657.0</v>
      </c>
      <c r="I789" s="78">
        <v>243200.0</v>
      </c>
      <c r="J789" s="74" t="s">
        <v>347</v>
      </c>
      <c r="K789" s="77" t="s">
        <v>1277</v>
      </c>
      <c r="L789" s="79" t="s">
        <v>453</v>
      </c>
      <c r="M789" s="79"/>
      <c r="N789" s="79">
        <v>0.0</v>
      </c>
      <c r="O789" s="74"/>
      <c r="P789" s="80"/>
      <c r="Q789" s="79"/>
      <c r="R789" s="80"/>
      <c r="S789" s="80" t="s">
        <v>5703</v>
      </c>
      <c r="T789" s="101" t="s">
        <v>5704</v>
      </c>
      <c r="U789" s="80" t="s">
        <v>332</v>
      </c>
      <c r="V789" s="102" t="s">
        <v>429</v>
      </c>
      <c r="W789" s="79"/>
      <c r="X789" s="79"/>
      <c r="Y789" s="79" t="s">
        <v>306</v>
      </c>
      <c r="Z789" s="79"/>
    </row>
    <row r="790" ht="15.75" customHeight="1">
      <c r="A790" s="76" t="s">
        <v>247</v>
      </c>
      <c r="B790" s="77" t="s">
        <v>5706</v>
      </c>
      <c r="C790" s="80">
        <v>3.0525726505E10</v>
      </c>
      <c r="D790" s="119" t="s">
        <v>264</v>
      </c>
      <c r="E790" s="79" t="s">
        <v>1525</v>
      </c>
      <c r="F790" s="44">
        <v>2534.0</v>
      </c>
      <c r="G790" s="79" t="s">
        <v>97</v>
      </c>
      <c r="H790" s="80">
        <v>1702.0</v>
      </c>
      <c r="I790" s="79">
        <v>242090.0</v>
      </c>
      <c r="J790" s="74" t="s">
        <v>347</v>
      </c>
      <c r="K790" s="77" t="s">
        <v>2714</v>
      </c>
      <c r="L790" s="79" t="s">
        <v>453</v>
      </c>
      <c r="M790" s="79"/>
      <c r="N790" s="79">
        <v>6.0</v>
      </c>
      <c r="O790" s="74"/>
      <c r="P790" s="80"/>
      <c r="Q790" s="79"/>
      <c r="R790" s="80"/>
      <c r="S790" s="80" t="s">
        <v>5707</v>
      </c>
      <c r="T790" s="101" t="s">
        <v>332</v>
      </c>
      <c r="U790" s="80" t="s">
        <v>332</v>
      </c>
      <c r="V790" s="102" t="s">
        <v>5708</v>
      </c>
      <c r="W790" s="79" t="s">
        <v>309</v>
      </c>
      <c r="X790" s="79" t="s">
        <v>309</v>
      </c>
      <c r="Y790" s="79" t="s">
        <v>309</v>
      </c>
      <c r="Z790" s="79"/>
    </row>
    <row r="791" ht="15.0" customHeight="1">
      <c r="A791" s="103" t="s">
        <v>24</v>
      </c>
      <c r="B791" s="77" t="s">
        <v>5710</v>
      </c>
      <c r="C791" s="80">
        <v>3.0503315528E10</v>
      </c>
      <c r="D791" s="119" t="s">
        <v>264</v>
      </c>
      <c r="E791" s="79" t="s">
        <v>2637</v>
      </c>
      <c r="F791" s="44">
        <v>2084.0</v>
      </c>
      <c r="G791" s="79" t="s">
        <v>97</v>
      </c>
      <c r="H791" s="80">
        <v>1702.0</v>
      </c>
      <c r="I791" s="79">
        <v>273200.0</v>
      </c>
      <c r="J791" s="74" t="s">
        <v>347</v>
      </c>
      <c r="K791" s="77" t="s">
        <v>1277</v>
      </c>
      <c r="L791" s="79" t="s">
        <v>453</v>
      </c>
      <c r="M791" s="79"/>
      <c r="N791" s="79">
        <v>0.0</v>
      </c>
      <c r="O791" s="74"/>
      <c r="P791" s="80"/>
      <c r="Q791" s="79"/>
      <c r="R791" s="80"/>
      <c r="S791" s="80" t="s">
        <v>5711</v>
      </c>
      <c r="T791" s="101" t="s">
        <v>332</v>
      </c>
      <c r="U791" s="80" t="s">
        <v>332</v>
      </c>
      <c r="V791" s="102" t="s">
        <v>429</v>
      </c>
      <c r="W791" s="79" t="s">
        <v>306</v>
      </c>
      <c r="X791" s="79" t="s">
        <v>306</v>
      </c>
      <c r="Y791" s="79"/>
      <c r="Z791" s="79"/>
    </row>
    <row r="792" ht="15.75" customHeight="1">
      <c r="A792" s="103" t="s">
        <v>24</v>
      </c>
      <c r="B792" s="77" t="s">
        <v>5713</v>
      </c>
      <c r="C792" s="80">
        <v>3.0685015893E10</v>
      </c>
      <c r="D792" s="119" t="s">
        <v>264</v>
      </c>
      <c r="E792" s="79" t="s">
        <v>1095</v>
      </c>
      <c r="F792" s="44">
        <v>7495.0</v>
      </c>
      <c r="G792" s="79" t="s">
        <v>119</v>
      </c>
      <c r="H792" s="80">
        <v>1657.0</v>
      </c>
      <c r="I792" s="77">
        <v>243100.0</v>
      </c>
      <c r="J792" s="74" t="s">
        <v>347</v>
      </c>
      <c r="K792" s="77" t="s">
        <v>5693</v>
      </c>
      <c r="L792" s="79" t="s">
        <v>453</v>
      </c>
      <c r="M792" s="79"/>
      <c r="N792" s="79">
        <v>2.0</v>
      </c>
      <c r="O792" s="74"/>
      <c r="P792" s="80"/>
      <c r="Q792" s="79"/>
      <c r="R792" s="80"/>
      <c r="S792" s="78" t="s">
        <v>5715</v>
      </c>
      <c r="T792" s="101"/>
      <c r="U792" s="80"/>
      <c r="V792" s="102" t="s">
        <v>429</v>
      </c>
      <c r="W792" s="79" t="s">
        <v>306</v>
      </c>
      <c r="X792" s="79" t="s">
        <v>306</v>
      </c>
      <c r="Y792" s="79"/>
      <c r="Z792" s="79"/>
    </row>
    <row r="793" ht="15.0" customHeight="1">
      <c r="A793" s="76" t="s">
        <v>247</v>
      </c>
      <c r="B793" s="77" t="s">
        <v>5716</v>
      </c>
      <c r="C793" s="305">
        <v>3.0613791252E10</v>
      </c>
      <c r="D793" s="77" t="s">
        <v>264</v>
      </c>
      <c r="E793" s="77" t="s">
        <v>564</v>
      </c>
      <c r="F793" s="128">
        <v>4455.0</v>
      </c>
      <c r="G793" s="77" t="s">
        <v>68</v>
      </c>
      <c r="H793" s="78">
        <v>1702.0</v>
      </c>
      <c r="I793" s="79">
        <v>273100.0</v>
      </c>
      <c r="J793" s="74" t="s">
        <v>347</v>
      </c>
      <c r="K793" s="77" t="s">
        <v>5693</v>
      </c>
      <c r="L793" s="79"/>
      <c r="M793" s="77" t="s">
        <v>5718</v>
      </c>
      <c r="N793" s="79"/>
      <c r="O793" s="79"/>
      <c r="P793" s="80"/>
      <c r="Q793" s="79"/>
      <c r="R793" s="80"/>
      <c r="S793" s="78" t="s">
        <v>5719</v>
      </c>
      <c r="T793" s="85" t="s">
        <v>5720</v>
      </c>
      <c r="U793" s="80"/>
      <c r="V793" s="98" t="s">
        <v>5722</v>
      </c>
      <c r="W793" s="79"/>
      <c r="X793" s="79"/>
      <c r="Y793" s="79"/>
      <c r="Z793" s="79"/>
    </row>
    <row r="794" ht="15.0" customHeight="1">
      <c r="A794" s="103" t="s">
        <v>24</v>
      </c>
      <c r="B794" s="77" t="s">
        <v>5723</v>
      </c>
      <c r="C794" s="80">
        <v>3.0708561645E10</v>
      </c>
      <c r="D794" s="119" t="s">
        <v>264</v>
      </c>
      <c r="E794" s="79" t="s">
        <v>5724</v>
      </c>
      <c r="F794" s="44">
        <v>9654.0</v>
      </c>
      <c r="G794" s="79" t="s">
        <v>119</v>
      </c>
      <c r="H794" s="80">
        <v>1657.0</v>
      </c>
      <c r="I794" s="77">
        <v>243100.0</v>
      </c>
      <c r="J794" s="74" t="s">
        <v>347</v>
      </c>
      <c r="K794" s="77" t="s">
        <v>5693</v>
      </c>
      <c r="L794" s="79" t="s">
        <v>453</v>
      </c>
      <c r="M794" s="79"/>
      <c r="N794" s="79">
        <v>1.0</v>
      </c>
      <c r="O794" s="74"/>
      <c r="P794" s="80"/>
      <c r="Q794" s="79"/>
      <c r="R794" s="80"/>
      <c r="S794" s="78" t="s">
        <v>5726</v>
      </c>
      <c r="T794" s="101" t="s">
        <v>332</v>
      </c>
      <c r="U794" s="80" t="s">
        <v>332</v>
      </c>
      <c r="V794" s="102" t="s">
        <v>429</v>
      </c>
      <c r="W794" s="79" t="s">
        <v>306</v>
      </c>
      <c r="X794" s="79" t="s">
        <v>306</v>
      </c>
      <c r="Y794" s="79"/>
      <c r="Z794" s="79"/>
    </row>
    <row r="795" ht="15.0" customHeight="1">
      <c r="A795" s="103" t="s">
        <v>24</v>
      </c>
      <c r="B795" s="77" t="s">
        <v>5728</v>
      </c>
      <c r="C795" s="80">
        <v>3.0708819324E10</v>
      </c>
      <c r="D795" s="119" t="s">
        <v>264</v>
      </c>
      <c r="E795" s="79" t="s">
        <v>5729</v>
      </c>
      <c r="F795" s="44">
        <v>5180.0</v>
      </c>
      <c r="G795" s="79" t="s">
        <v>15</v>
      </c>
      <c r="H795" s="80">
        <v>1678.0</v>
      </c>
      <c r="I795" s="79">
        <v>279000.0</v>
      </c>
      <c r="J795" s="83" t="s">
        <v>207</v>
      </c>
      <c r="K795" s="77" t="s">
        <v>2081</v>
      </c>
      <c r="L795" s="79" t="s">
        <v>453</v>
      </c>
      <c r="M795" s="79" t="s">
        <v>4430</v>
      </c>
      <c r="N795" s="79">
        <v>8.0</v>
      </c>
      <c r="O795" s="83" t="s">
        <v>5730</v>
      </c>
      <c r="P795" s="80"/>
      <c r="Q795" s="79"/>
      <c r="R795" s="80"/>
      <c r="S795" s="80" t="s">
        <v>3188</v>
      </c>
      <c r="T795" s="101" t="s">
        <v>5732</v>
      </c>
      <c r="U795" s="80" t="s">
        <v>332</v>
      </c>
      <c r="V795" s="102" t="s">
        <v>5733</v>
      </c>
      <c r="W795" s="79" t="s">
        <v>309</v>
      </c>
      <c r="X795" s="79" t="s">
        <v>309</v>
      </c>
      <c r="Y795" s="79" t="s">
        <v>309</v>
      </c>
      <c r="Z795" s="79"/>
    </row>
    <row r="796" ht="15.75" customHeight="1">
      <c r="A796" s="103" t="s">
        <v>24</v>
      </c>
      <c r="B796" s="77" t="s">
        <v>5734</v>
      </c>
      <c r="C796" s="80">
        <v>3.0708766352E10</v>
      </c>
      <c r="D796" s="119" t="s">
        <v>264</v>
      </c>
      <c r="E796" s="79" t="s">
        <v>2443</v>
      </c>
      <c r="F796" s="44">
        <v>1221.0</v>
      </c>
      <c r="G796" s="79" t="s">
        <v>68</v>
      </c>
      <c r="H796" s="80">
        <v>1702.0</v>
      </c>
      <c r="I796" s="79">
        <v>289309.0</v>
      </c>
      <c r="J796" s="74" t="s">
        <v>347</v>
      </c>
      <c r="K796" s="77" t="s">
        <v>1121</v>
      </c>
      <c r="L796" s="79"/>
      <c r="M796" s="79"/>
      <c r="N796" s="79">
        <v>1.0</v>
      </c>
      <c r="O796" s="74"/>
      <c r="P796" s="80"/>
      <c r="Q796" s="79"/>
      <c r="R796" s="80"/>
      <c r="S796" s="80" t="s">
        <v>5736</v>
      </c>
      <c r="T796" s="101" t="s">
        <v>5737</v>
      </c>
      <c r="U796" s="80" t="s">
        <v>332</v>
      </c>
      <c r="V796" s="102" t="s">
        <v>429</v>
      </c>
      <c r="W796" s="79" t="s">
        <v>306</v>
      </c>
      <c r="X796" s="79" t="s">
        <v>306</v>
      </c>
      <c r="Y796" s="79"/>
      <c r="Z796" s="79"/>
    </row>
    <row r="797" ht="15.75" customHeight="1">
      <c r="A797" s="76" t="s">
        <v>247</v>
      </c>
      <c r="B797" s="77" t="s">
        <v>5738</v>
      </c>
      <c r="C797" s="79">
        <v>3.0609483063E10</v>
      </c>
      <c r="D797" s="77" t="s">
        <v>264</v>
      </c>
      <c r="E797" s="79" t="s">
        <v>2973</v>
      </c>
      <c r="F797" s="44">
        <v>2864.0</v>
      </c>
      <c r="G797" s="79" t="s">
        <v>15</v>
      </c>
      <c r="H797" s="80">
        <v>1678.0</v>
      </c>
      <c r="I797" s="79">
        <v>239399.0</v>
      </c>
      <c r="J797" s="74" t="s">
        <v>125</v>
      </c>
      <c r="K797" s="77" t="s">
        <v>5740</v>
      </c>
      <c r="L797" s="79" t="s">
        <v>453</v>
      </c>
      <c r="M797" s="79" t="s">
        <v>3289</v>
      </c>
      <c r="N797" s="79">
        <v>12.0</v>
      </c>
      <c r="O797" s="74"/>
      <c r="P797" s="80"/>
      <c r="Q797" s="79" t="s">
        <v>5741</v>
      </c>
      <c r="R797" s="80"/>
      <c r="S797" s="78" t="s">
        <v>5742</v>
      </c>
      <c r="T797" s="101" t="s">
        <v>332</v>
      </c>
      <c r="U797" s="80" t="s">
        <v>332</v>
      </c>
      <c r="V797" s="102" t="s">
        <v>5743</v>
      </c>
      <c r="W797" s="79" t="s">
        <v>309</v>
      </c>
      <c r="X797" s="79" t="s">
        <v>309</v>
      </c>
      <c r="Y797" s="79" t="s">
        <v>309</v>
      </c>
      <c r="Z797" s="79"/>
    </row>
    <row r="798" ht="15.75" customHeight="1">
      <c r="A798" s="76" t="s">
        <v>247</v>
      </c>
      <c r="B798" s="77" t="s">
        <v>5744</v>
      </c>
      <c r="C798" s="80">
        <v>3.0663743542E10</v>
      </c>
      <c r="D798" s="119" t="s">
        <v>264</v>
      </c>
      <c r="E798" s="79" t="s">
        <v>1240</v>
      </c>
      <c r="F798" s="44">
        <v>3073.0</v>
      </c>
      <c r="G798" s="77" t="s">
        <v>47</v>
      </c>
      <c r="H798" s="80">
        <v>1684.0</v>
      </c>
      <c r="I798" s="79">
        <v>620100.0</v>
      </c>
      <c r="J798" s="83" t="s">
        <v>278</v>
      </c>
      <c r="K798" s="79" t="s">
        <v>2630</v>
      </c>
      <c r="L798" s="79"/>
      <c r="M798" s="79"/>
      <c r="N798" s="79">
        <v>27.0</v>
      </c>
      <c r="O798" s="74"/>
      <c r="P798" s="80"/>
      <c r="Q798" s="79"/>
      <c r="R798" s="80"/>
      <c r="S798" s="80" t="s">
        <v>5746</v>
      </c>
      <c r="T798" s="85" t="s">
        <v>5747</v>
      </c>
      <c r="U798" s="80"/>
      <c r="V798" s="102" t="s">
        <v>5748</v>
      </c>
      <c r="W798" s="79" t="s">
        <v>309</v>
      </c>
      <c r="X798" s="79" t="s">
        <v>309</v>
      </c>
      <c r="Y798" s="79" t="s">
        <v>309</v>
      </c>
      <c r="Z798" s="79"/>
    </row>
    <row r="799" ht="15.0" customHeight="1">
      <c r="A799" s="76" t="s">
        <v>247</v>
      </c>
      <c r="B799" s="77" t="s">
        <v>5750</v>
      </c>
      <c r="C799" s="79">
        <v>3.0708252952E10</v>
      </c>
      <c r="D799" s="77" t="s">
        <v>264</v>
      </c>
      <c r="E799" s="79" t="s">
        <v>1114</v>
      </c>
      <c r="F799" s="44">
        <v>3851.0</v>
      </c>
      <c r="G799" s="79" t="s">
        <v>68</v>
      </c>
      <c r="H799" s="80">
        <v>1702.0</v>
      </c>
      <c r="I799" s="79">
        <v>502990.0</v>
      </c>
      <c r="J799" s="74" t="s">
        <v>433</v>
      </c>
      <c r="K799" s="77" t="s">
        <v>5751</v>
      </c>
      <c r="L799" s="79"/>
      <c r="M799" s="79"/>
      <c r="N799" s="79">
        <v>0.0</v>
      </c>
      <c r="O799" s="74"/>
      <c r="P799" s="80"/>
      <c r="Q799" s="79"/>
      <c r="R799" s="80"/>
      <c r="S799" s="80" t="s">
        <v>5752</v>
      </c>
      <c r="T799" s="101" t="s">
        <v>332</v>
      </c>
      <c r="U799" s="80" t="s">
        <v>332</v>
      </c>
      <c r="V799" s="102" t="s">
        <v>429</v>
      </c>
      <c r="W799" s="79" t="s">
        <v>306</v>
      </c>
      <c r="X799" s="79" t="s">
        <v>306</v>
      </c>
      <c r="Y799" s="79" t="s">
        <v>309</v>
      </c>
      <c r="Z799" s="79"/>
    </row>
    <row r="800" ht="15.0" customHeight="1">
      <c r="A800" s="103" t="s">
        <v>24</v>
      </c>
      <c r="B800" s="77" t="s">
        <v>5754</v>
      </c>
      <c r="C800" s="79">
        <v>3.0710711395E10</v>
      </c>
      <c r="D800" s="77" t="s">
        <v>264</v>
      </c>
      <c r="E800" s="77" t="s">
        <v>2748</v>
      </c>
      <c r="F800" s="44">
        <v>5545.0</v>
      </c>
      <c r="G800" s="79" t="s">
        <v>15</v>
      </c>
      <c r="H800" s="80">
        <v>1678.0</v>
      </c>
      <c r="I800" s="79">
        <v>152021.0</v>
      </c>
      <c r="J800" s="74" t="s">
        <v>73</v>
      </c>
      <c r="K800" s="77" t="s">
        <v>1693</v>
      </c>
      <c r="L800" s="79"/>
      <c r="M800" s="79"/>
      <c r="N800" s="79">
        <v>8.0</v>
      </c>
      <c r="O800" s="74"/>
      <c r="P800" s="80"/>
      <c r="Q800" s="79"/>
      <c r="R800" s="80"/>
      <c r="S800" s="80"/>
      <c r="T800" s="101" t="s">
        <v>332</v>
      </c>
      <c r="U800" s="80" t="s">
        <v>332</v>
      </c>
      <c r="V800" s="102" t="s">
        <v>429</v>
      </c>
      <c r="W800" s="79" t="s">
        <v>306</v>
      </c>
      <c r="X800" s="79" t="s">
        <v>306</v>
      </c>
      <c r="Y800" s="79" t="s">
        <v>309</v>
      </c>
      <c r="Z800" s="79"/>
    </row>
    <row r="801" ht="15.0" customHeight="1">
      <c r="A801" s="103" t="s">
        <v>24</v>
      </c>
      <c r="B801" s="77" t="s">
        <v>5756</v>
      </c>
      <c r="C801" s="80">
        <v>3.0710212208E10</v>
      </c>
      <c r="D801" s="119" t="s">
        <v>264</v>
      </c>
      <c r="E801" s="79" t="s">
        <v>1114</v>
      </c>
      <c r="F801" s="44">
        <v>3887.0</v>
      </c>
      <c r="G801" s="79" t="s">
        <v>68</v>
      </c>
      <c r="H801" s="80">
        <v>1702.0</v>
      </c>
      <c r="I801" s="79">
        <v>869090.0</v>
      </c>
      <c r="J801" s="74" t="s">
        <v>433</v>
      </c>
      <c r="K801" s="77" t="s">
        <v>4018</v>
      </c>
      <c r="L801" s="79"/>
      <c r="M801" s="79"/>
      <c r="N801" s="79">
        <v>25.0</v>
      </c>
      <c r="O801" s="74"/>
      <c r="P801" s="80"/>
      <c r="Q801" s="79"/>
      <c r="R801" s="80"/>
      <c r="S801" s="80" t="s">
        <v>5758</v>
      </c>
      <c r="T801" s="101" t="s">
        <v>5759</v>
      </c>
      <c r="U801" s="80" t="s">
        <v>5760</v>
      </c>
      <c r="V801" s="102"/>
      <c r="W801" s="79" t="s">
        <v>306</v>
      </c>
      <c r="X801" s="79" t="s">
        <v>306</v>
      </c>
      <c r="Y801" s="79"/>
      <c r="Z801" s="79"/>
    </row>
    <row r="802" ht="15.75" customHeight="1">
      <c r="A802" s="103" t="s">
        <v>24</v>
      </c>
      <c r="B802" s="79" t="s">
        <v>5761</v>
      </c>
      <c r="C802" s="80">
        <v>3.3710828089E10</v>
      </c>
      <c r="D802" s="79" t="s">
        <v>264</v>
      </c>
      <c r="E802" s="79" t="s">
        <v>1221</v>
      </c>
      <c r="F802" s="44">
        <v>8460.0</v>
      </c>
      <c r="G802" s="79" t="s">
        <v>119</v>
      </c>
      <c r="H802" s="80">
        <v>1657.0</v>
      </c>
      <c r="I802" s="79">
        <v>801090.0</v>
      </c>
      <c r="J802" s="74" t="s">
        <v>433</v>
      </c>
      <c r="K802" s="77" t="s">
        <v>484</v>
      </c>
      <c r="L802" s="79"/>
      <c r="M802" s="79"/>
      <c r="N802" s="79">
        <v>10.0</v>
      </c>
      <c r="O802" s="74"/>
      <c r="P802" s="80"/>
      <c r="Q802" s="79"/>
      <c r="R802" s="80"/>
      <c r="S802" s="80" t="s">
        <v>5763</v>
      </c>
      <c r="T802" s="80" t="s">
        <v>332</v>
      </c>
      <c r="U802" s="80" t="s">
        <v>332</v>
      </c>
      <c r="V802" s="102" t="s">
        <v>5764</v>
      </c>
      <c r="W802" s="79" t="s">
        <v>306</v>
      </c>
      <c r="X802" s="79" t="s">
        <v>306</v>
      </c>
      <c r="Y802" s="79"/>
      <c r="Z802" s="79"/>
    </row>
    <row r="803" ht="15.75" customHeight="1">
      <c r="A803" s="103" t="s">
        <v>24</v>
      </c>
      <c r="B803" s="79" t="s">
        <v>5766</v>
      </c>
      <c r="C803" s="80">
        <v>3.0573686345E10</v>
      </c>
      <c r="D803" s="79" t="s">
        <v>264</v>
      </c>
      <c r="E803" s="79" t="s">
        <v>2312</v>
      </c>
      <c r="F803" s="44">
        <v>3754.0</v>
      </c>
      <c r="G803" s="79" t="s">
        <v>15</v>
      </c>
      <c r="H803" s="80">
        <v>1678.0</v>
      </c>
      <c r="I803" s="79">
        <v>289993.0</v>
      </c>
      <c r="J803" s="74" t="s">
        <v>347</v>
      </c>
      <c r="K803" s="129" t="s">
        <v>638</v>
      </c>
      <c r="L803" s="79" t="s">
        <v>453</v>
      </c>
      <c r="M803" s="79"/>
      <c r="N803" s="79">
        <v>1.0</v>
      </c>
      <c r="O803" s="74"/>
      <c r="P803" s="80"/>
      <c r="Q803" s="79"/>
      <c r="R803" s="80"/>
      <c r="S803" s="78" t="s">
        <v>5768</v>
      </c>
      <c r="T803" s="101" t="s">
        <v>332</v>
      </c>
      <c r="U803" s="80" t="s">
        <v>332</v>
      </c>
      <c r="V803" s="102" t="s">
        <v>429</v>
      </c>
      <c r="W803" s="79" t="s">
        <v>306</v>
      </c>
      <c r="X803" s="79" t="s">
        <v>306</v>
      </c>
      <c r="Y803" s="79"/>
      <c r="Z803" s="79"/>
    </row>
    <row r="804" ht="15.75" customHeight="1">
      <c r="A804" s="76" t="s">
        <v>247</v>
      </c>
      <c r="B804" s="77" t="s">
        <v>5769</v>
      </c>
      <c r="C804" s="80">
        <v>3.0641706406E10</v>
      </c>
      <c r="D804" s="79" t="s">
        <v>264</v>
      </c>
      <c r="E804" s="126" t="s">
        <v>696</v>
      </c>
      <c r="F804" s="44">
        <v>5253.0</v>
      </c>
      <c r="G804" s="79" t="s">
        <v>15</v>
      </c>
      <c r="H804" s="80">
        <v>1678.0</v>
      </c>
      <c r="I804" s="79">
        <v>259999.0</v>
      </c>
      <c r="J804" s="74" t="s">
        <v>347</v>
      </c>
      <c r="K804" s="77" t="s">
        <v>839</v>
      </c>
      <c r="L804" s="79" t="s">
        <v>453</v>
      </c>
      <c r="M804" s="79"/>
      <c r="N804" s="79">
        <v>13.0</v>
      </c>
      <c r="O804" s="74"/>
      <c r="P804" s="80"/>
      <c r="Q804" s="79"/>
      <c r="R804" s="80"/>
      <c r="S804" s="78" t="s">
        <v>5771</v>
      </c>
      <c r="T804" s="85" t="s">
        <v>5772</v>
      </c>
      <c r="U804" s="80" t="s">
        <v>332</v>
      </c>
      <c r="V804" s="102" t="s">
        <v>429</v>
      </c>
      <c r="W804" s="79" t="s">
        <v>306</v>
      </c>
      <c r="X804" s="79" t="s">
        <v>306</v>
      </c>
      <c r="Y804" s="79" t="s">
        <v>309</v>
      </c>
      <c r="Z804" s="79"/>
    </row>
    <row r="805" ht="15.75" customHeight="1">
      <c r="A805" s="76" t="s">
        <v>247</v>
      </c>
      <c r="B805" s="77" t="s">
        <v>5773</v>
      </c>
      <c r="C805" s="80">
        <v>3.0710853335E10</v>
      </c>
      <c r="D805" s="119" t="s">
        <v>264</v>
      </c>
      <c r="E805" s="77" t="s">
        <v>943</v>
      </c>
      <c r="F805" s="44">
        <v>1933.0</v>
      </c>
      <c r="G805" s="79" t="s">
        <v>97</v>
      </c>
      <c r="H805" s="80">
        <v>1702.0</v>
      </c>
      <c r="I805" s="79">
        <v>107999.0</v>
      </c>
      <c r="J805" s="74" t="s">
        <v>22</v>
      </c>
      <c r="K805" s="77" t="s">
        <v>4497</v>
      </c>
      <c r="L805" s="79"/>
      <c r="M805" s="79"/>
      <c r="N805" s="79">
        <v>3.0</v>
      </c>
      <c r="O805" s="74" t="s">
        <v>332</v>
      </c>
      <c r="P805" s="80"/>
      <c r="Q805" s="79"/>
      <c r="R805" s="80"/>
      <c r="S805" s="78" t="s">
        <v>5775</v>
      </c>
      <c r="T805" s="85" t="s">
        <v>5776</v>
      </c>
      <c r="U805" s="80" t="s">
        <v>332</v>
      </c>
      <c r="V805" s="102" t="s">
        <v>5777</v>
      </c>
      <c r="W805" s="79" t="s">
        <v>306</v>
      </c>
      <c r="X805" s="79" t="s">
        <v>306</v>
      </c>
      <c r="Y805" s="79" t="s">
        <v>309</v>
      </c>
      <c r="Z805" s="79"/>
    </row>
    <row r="806" ht="15.75" customHeight="1">
      <c r="A806" s="76" t="s">
        <v>247</v>
      </c>
      <c r="B806" s="77" t="s">
        <v>1745</v>
      </c>
      <c r="C806" s="80">
        <v>3.0628418329E10</v>
      </c>
      <c r="D806" s="79" t="s">
        <v>264</v>
      </c>
      <c r="E806" s="79" t="s">
        <v>2533</v>
      </c>
      <c r="F806" s="44">
        <v>265.0</v>
      </c>
      <c r="G806" s="77" t="s">
        <v>226</v>
      </c>
      <c r="H806" s="80">
        <v>1674.0</v>
      </c>
      <c r="I806" s="80">
        <v>383139.0</v>
      </c>
      <c r="J806" s="74" t="s">
        <v>347</v>
      </c>
      <c r="K806" s="79" t="s">
        <v>5779</v>
      </c>
      <c r="L806" s="79" t="s">
        <v>4769</v>
      </c>
      <c r="M806" s="79"/>
      <c r="N806" s="80">
        <v>0.0</v>
      </c>
      <c r="O806" s="74" t="s">
        <v>5781</v>
      </c>
      <c r="P806" s="78" t="s">
        <v>5782</v>
      </c>
      <c r="Q806" s="79" t="s">
        <v>5783</v>
      </c>
      <c r="R806" s="78" t="s">
        <v>5784</v>
      </c>
      <c r="S806" s="78" t="s">
        <v>5785</v>
      </c>
      <c r="T806" s="78" t="s">
        <v>5786</v>
      </c>
      <c r="U806" s="78" t="s">
        <v>5787</v>
      </c>
      <c r="V806" s="102" t="s">
        <v>5788</v>
      </c>
      <c r="W806" s="79" t="s">
        <v>309</v>
      </c>
      <c r="X806" s="79" t="s">
        <v>309</v>
      </c>
      <c r="Y806" s="79" t="s">
        <v>309</v>
      </c>
      <c r="Z806" s="79"/>
    </row>
    <row r="807" ht="15.0" customHeight="1">
      <c r="A807" s="76" t="s">
        <v>247</v>
      </c>
      <c r="B807" s="77" t="s">
        <v>5789</v>
      </c>
      <c r="C807" s="80">
        <v>3.0714931721E10</v>
      </c>
      <c r="D807" s="119" t="s">
        <v>264</v>
      </c>
      <c r="E807" s="79" t="s">
        <v>5790</v>
      </c>
      <c r="F807" s="44">
        <v>4032.0</v>
      </c>
      <c r="G807" s="79" t="s">
        <v>15</v>
      </c>
      <c r="H807" s="80">
        <v>1678.0</v>
      </c>
      <c r="I807" s="79">
        <v>259200.0</v>
      </c>
      <c r="J807" s="74" t="s">
        <v>347</v>
      </c>
      <c r="K807" s="79" t="s">
        <v>1324</v>
      </c>
      <c r="L807" s="79" t="s">
        <v>453</v>
      </c>
      <c r="M807" s="79"/>
      <c r="N807" s="79">
        <v>0.0</v>
      </c>
      <c r="O807" s="74"/>
      <c r="P807" s="80"/>
      <c r="Q807" s="79"/>
      <c r="R807" s="80"/>
      <c r="S807" s="85" t="s">
        <v>5792</v>
      </c>
      <c r="T807" s="101" t="s">
        <v>332</v>
      </c>
      <c r="U807" s="80" t="s">
        <v>332</v>
      </c>
      <c r="V807" s="102" t="s">
        <v>5793</v>
      </c>
      <c r="W807" s="79" t="s">
        <v>306</v>
      </c>
      <c r="X807" s="79" t="s">
        <v>306</v>
      </c>
      <c r="Y807" s="79"/>
      <c r="Z807" s="79"/>
    </row>
    <row r="808" ht="15.75" customHeight="1">
      <c r="A808" s="103" t="s">
        <v>24</v>
      </c>
      <c r="B808" s="77" t="s">
        <v>5794</v>
      </c>
      <c r="C808" s="80">
        <v>3.0663741329E10</v>
      </c>
      <c r="D808" s="119" t="s">
        <v>264</v>
      </c>
      <c r="E808" s="77" t="s">
        <v>5795</v>
      </c>
      <c r="F808" s="44">
        <v>4254.0</v>
      </c>
      <c r="G808" s="77" t="s">
        <v>15</v>
      </c>
      <c r="H808" s="80">
        <v>1676.0</v>
      </c>
      <c r="I808" s="79">
        <v>259200.0</v>
      </c>
      <c r="J808" s="74" t="s">
        <v>347</v>
      </c>
      <c r="K808" s="79" t="s">
        <v>1324</v>
      </c>
      <c r="L808" s="79" t="s">
        <v>453</v>
      </c>
      <c r="M808" s="79"/>
      <c r="N808" s="79">
        <v>10.0</v>
      </c>
      <c r="O808" s="74"/>
      <c r="P808" s="80"/>
      <c r="Q808" s="79"/>
      <c r="R808" s="80"/>
      <c r="S808" s="80" t="s">
        <v>5797</v>
      </c>
      <c r="T808" s="101" t="s">
        <v>5798</v>
      </c>
      <c r="U808" s="78" t="s">
        <v>5799</v>
      </c>
      <c r="V808" s="102" t="s">
        <v>5800</v>
      </c>
      <c r="W808" s="79" t="s">
        <v>306</v>
      </c>
      <c r="X808" s="79" t="s">
        <v>306</v>
      </c>
      <c r="Y808" s="79" t="s">
        <v>309</v>
      </c>
      <c r="Z808" s="79"/>
    </row>
    <row r="809" ht="15.75" customHeight="1">
      <c r="A809" s="76" t="s">
        <v>247</v>
      </c>
      <c r="B809" s="77" t="s">
        <v>5802</v>
      </c>
      <c r="C809" s="80">
        <v>3.0710783981E10</v>
      </c>
      <c r="D809" s="119" t="s">
        <v>264</v>
      </c>
      <c r="E809" s="77" t="s">
        <v>97</v>
      </c>
      <c r="F809" s="44">
        <v>1999.0</v>
      </c>
      <c r="G809" s="79" t="s">
        <v>97</v>
      </c>
      <c r="H809" s="80">
        <v>1702.0</v>
      </c>
      <c r="I809" s="79">
        <v>259200.0</v>
      </c>
      <c r="J809" s="74" t="s">
        <v>347</v>
      </c>
      <c r="K809" s="79" t="s">
        <v>1324</v>
      </c>
      <c r="L809" s="79" t="s">
        <v>453</v>
      </c>
      <c r="M809" s="79"/>
      <c r="N809" s="79">
        <v>1.0</v>
      </c>
      <c r="O809" s="74"/>
      <c r="P809" s="80"/>
      <c r="Q809" s="79"/>
      <c r="R809" s="80"/>
      <c r="S809" s="80" t="s">
        <v>5804</v>
      </c>
      <c r="T809" s="85" t="s">
        <v>5805</v>
      </c>
      <c r="U809" s="80" t="s">
        <v>332</v>
      </c>
      <c r="V809" s="102" t="s">
        <v>429</v>
      </c>
      <c r="W809" s="79" t="s">
        <v>306</v>
      </c>
      <c r="X809" s="79" t="s">
        <v>306</v>
      </c>
      <c r="Y809" s="79" t="s">
        <v>309</v>
      </c>
      <c r="Z809" s="79"/>
    </row>
    <row r="810" ht="15.75" customHeight="1">
      <c r="A810" s="76" t="s">
        <v>247</v>
      </c>
      <c r="B810" s="77" t="s">
        <v>5806</v>
      </c>
      <c r="C810" s="80">
        <v>3.0555784194E10</v>
      </c>
      <c r="D810" s="119" t="s">
        <v>264</v>
      </c>
      <c r="E810" s="79" t="s">
        <v>2007</v>
      </c>
      <c r="F810" s="44">
        <v>3990.0</v>
      </c>
      <c r="G810" s="79" t="s">
        <v>15</v>
      </c>
      <c r="H810" s="80">
        <v>1678.0</v>
      </c>
      <c r="I810" s="79">
        <v>259200.0</v>
      </c>
      <c r="J810" s="74" t="s">
        <v>347</v>
      </c>
      <c r="K810" s="79" t="s">
        <v>1324</v>
      </c>
      <c r="L810" s="79" t="s">
        <v>453</v>
      </c>
      <c r="M810" s="79"/>
      <c r="N810" s="79">
        <v>4.0</v>
      </c>
      <c r="O810" s="74" t="s">
        <v>5808</v>
      </c>
      <c r="P810" s="80"/>
      <c r="Q810" s="79"/>
      <c r="R810" s="80"/>
      <c r="S810" s="80" t="s">
        <v>5809</v>
      </c>
      <c r="T810" s="101" t="s">
        <v>332</v>
      </c>
      <c r="U810" s="80" t="s">
        <v>332</v>
      </c>
      <c r="V810" s="102" t="s">
        <v>429</v>
      </c>
      <c r="W810" s="79" t="s">
        <v>306</v>
      </c>
      <c r="X810" s="79" t="s">
        <v>306</v>
      </c>
      <c r="Y810" s="79"/>
      <c r="Z810" s="79"/>
    </row>
    <row r="811" ht="15.0" customHeight="1">
      <c r="A811" s="76" t="s">
        <v>247</v>
      </c>
      <c r="B811" s="77" t="s">
        <v>1754</v>
      </c>
      <c r="C811" s="80">
        <v>3.0701149579E10</v>
      </c>
      <c r="D811" s="79" t="s">
        <v>264</v>
      </c>
      <c r="E811" s="79" t="s">
        <v>2362</v>
      </c>
      <c r="F811" s="128">
        <v>4272.0</v>
      </c>
      <c r="G811" s="79" t="s">
        <v>15</v>
      </c>
      <c r="H811" s="80">
        <v>1678.0</v>
      </c>
      <c r="I811" s="79">
        <v>259100.0</v>
      </c>
      <c r="J811" s="74" t="s">
        <v>347</v>
      </c>
      <c r="K811" s="77" t="s">
        <v>3512</v>
      </c>
      <c r="L811" s="79" t="s">
        <v>453</v>
      </c>
      <c r="M811" s="79"/>
      <c r="N811" s="79">
        <v>65.0</v>
      </c>
      <c r="O811" s="83" t="s">
        <v>5811</v>
      </c>
      <c r="P811" s="80"/>
      <c r="Q811" s="79" t="s">
        <v>5812</v>
      </c>
      <c r="R811" s="78" t="s">
        <v>5813</v>
      </c>
      <c r="S811" s="80" t="s">
        <v>5814</v>
      </c>
      <c r="T811" s="101" t="s">
        <v>5815</v>
      </c>
      <c r="U811" s="80"/>
      <c r="V811" s="102" t="s">
        <v>5816</v>
      </c>
      <c r="W811" s="79" t="s">
        <v>309</v>
      </c>
      <c r="X811" s="79" t="s">
        <v>306</v>
      </c>
      <c r="Y811" s="79" t="s">
        <v>309</v>
      </c>
      <c r="Z811" s="79"/>
    </row>
    <row r="812" ht="15.0" customHeight="1">
      <c r="A812" s="76" t="s">
        <v>247</v>
      </c>
      <c r="B812" s="79" t="s">
        <v>4064</v>
      </c>
      <c r="C812" s="80">
        <v>3.0714743062E10</v>
      </c>
      <c r="D812" s="79" t="s">
        <v>264</v>
      </c>
      <c r="E812" s="77" t="s">
        <v>5817</v>
      </c>
      <c r="F812" s="128" t="s">
        <v>5818</v>
      </c>
      <c r="G812" s="79" t="s">
        <v>15</v>
      </c>
      <c r="H812" s="80">
        <v>1678.0</v>
      </c>
      <c r="I812" s="79">
        <v>259302.0</v>
      </c>
      <c r="J812" s="74" t="s">
        <v>347</v>
      </c>
      <c r="K812" s="77" t="s">
        <v>5820</v>
      </c>
      <c r="L812" s="79" t="s">
        <v>369</v>
      </c>
      <c r="M812" s="79" t="s">
        <v>5821</v>
      </c>
      <c r="N812" s="79"/>
      <c r="O812" s="74" t="s">
        <v>5822</v>
      </c>
      <c r="P812" s="80"/>
      <c r="Q812" s="79" t="s">
        <v>5823</v>
      </c>
      <c r="R812" s="80"/>
      <c r="S812" s="78" t="s">
        <v>5824</v>
      </c>
      <c r="T812" s="101" t="s">
        <v>332</v>
      </c>
      <c r="U812" s="80" t="s">
        <v>332</v>
      </c>
      <c r="V812" s="102" t="s">
        <v>5825</v>
      </c>
      <c r="W812" s="79" t="s">
        <v>309</v>
      </c>
      <c r="X812" s="79" t="s">
        <v>309</v>
      </c>
      <c r="Y812" s="79" t="s">
        <v>309</v>
      </c>
      <c r="Z812" s="79"/>
    </row>
    <row r="813" ht="15.75" customHeight="1">
      <c r="A813" s="103" t="s">
        <v>24</v>
      </c>
      <c r="B813" s="77" t="s">
        <v>5827</v>
      </c>
      <c r="C813" s="80">
        <v>3.0708539003E10</v>
      </c>
      <c r="D813" s="119" t="s">
        <v>264</v>
      </c>
      <c r="E813" s="79" t="s">
        <v>1045</v>
      </c>
      <c r="F813" s="44">
        <v>3350.0</v>
      </c>
      <c r="G813" s="79" t="s">
        <v>15</v>
      </c>
      <c r="H813" s="80">
        <v>1678.0</v>
      </c>
      <c r="I813" s="79">
        <v>104011.0</v>
      </c>
      <c r="J813" s="74" t="s">
        <v>22</v>
      </c>
      <c r="K813" s="79" t="s">
        <v>4443</v>
      </c>
      <c r="L813" s="79"/>
      <c r="M813" s="79"/>
      <c r="N813" s="79">
        <v>2.0</v>
      </c>
      <c r="O813" s="74"/>
      <c r="P813" s="80"/>
      <c r="Q813" s="79"/>
      <c r="R813" s="80"/>
      <c r="S813" s="80" t="s">
        <v>5828</v>
      </c>
      <c r="T813" s="101" t="s">
        <v>332</v>
      </c>
      <c r="U813" s="80" t="s">
        <v>332</v>
      </c>
      <c r="V813" s="102" t="s">
        <v>429</v>
      </c>
      <c r="W813" s="79" t="s">
        <v>306</v>
      </c>
      <c r="X813" s="79" t="s">
        <v>306</v>
      </c>
      <c r="Y813" s="79"/>
      <c r="Z813" s="79"/>
    </row>
    <row r="814" ht="15.75" customHeight="1">
      <c r="A814" s="103" t="s">
        <v>24</v>
      </c>
      <c r="B814" s="79" t="s">
        <v>5830</v>
      </c>
      <c r="C814" s="80">
        <v>3.0709737461E10</v>
      </c>
      <c r="D814" s="144" t="s">
        <v>631</v>
      </c>
      <c r="E814" s="79" t="s">
        <v>4323</v>
      </c>
      <c r="F814" s="44">
        <v>756.0</v>
      </c>
      <c r="G814" s="79" t="s">
        <v>119</v>
      </c>
      <c r="H814" s="80">
        <v>1657.0</v>
      </c>
      <c r="I814" s="79">
        <v>281102.0</v>
      </c>
      <c r="J814" s="74" t="s">
        <v>347</v>
      </c>
      <c r="K814" s="79" t="s">
        <v>451</v>
      </c>
      <c r="L814" s="79" t="s">
        <v>453</v>
      </c>
      <c r="M814" s="79"/>
      <c r="N814" s="79">
        <v>1.0</v>
      </c>
      <c r="O814" s="74"/>
      <c r="P814" s="80"/>
      <c r="Q814" s="79"/>
      <c r="R814" s="80"/>
      <c r="S814" s="80"/>
      <c r="T814" s="101" t="s">
        <v>332</v>
      </c>
      <c r="U814" s="80" t="s">
        <v>332</v>
      </c>
      <c r="V814" s="102" t="s">
        <v>429</v>
      </c>
      <c r="W814" s="79" t="s">
        <v>306</v>
      </c>
      <c r="X814" s="79" t="s">
        <v>306</v>
      </c>
      <c r="Y814" s="79"/>
      <c r="Z814" s="79"/>
    </row>
    <row r="815" ht="15.75" customHeight="1">
      <c r="A815" s="76" t="s">
        <v>247</v>
      </c>
      <c r="B815" s="79" t="s">
        <v>1759</v>
      </c>
      <c r="C815" s="80">
        <v>2.0139809255E10</v>
      </c>
      <c r="D815" s="144" t="s">
        <v>631</v>
      </c>
      <c r="E815" s="79" t="s">
        <v>2613</v>
      </c>
      <c r="F815" s="44">
        <v>2179.0</v>
      </c>
      <c r="G815" s="79" t="s">
        <v>15</v>
      </c>
      <c r="H815" s="80">
        <v>1678.0</v>
      </c>
      <c r="I815" s="79">
        <v>170910.0</v>
      </c>
      <c r="J815" s="74" t="s">
        <v>283</v>
      </c>
      <c r="K815" s="77" t="s">
        <v>5832</v>
      </c>
      <c r="L815" s="79" t="s">
        <v>453</v>
      </c>
      <c r="M815" s="79" t="s">
        <v>5833</v>
      </c>
      <c r="N815" s="79"/>
      <c r="O815" s="74" t="s">
        <v>5834</v>
      </c>
      <c r="P815" s="78" t="s">
        <v>5835</v>
      </c>
      <c r="Q815" s="79"/>
      <c r="R815" s="80"/>
      <c r="S815" s="78" t="s">
        <v>5836</v>
      </c>
      <c r="T815" s="85" t="s">
        <v>5837</v>
      </c>
      <c r="U815" s="80"/>
      <c r="V815" s="102" t="s">
        <v>5838</v>
      </c>
      <c r="W815" s="79"/>
      <c r="X815" s="79"/>
      <c r="Y815" s="79" t="s">
        <v>309</v>
      </c>
      <c r="Z815" s="79"/>
    </row>
    <row r="816" ht="15.0" customHeight="1">
      <c r="A816" s="76" t="s">
        <v>247</v>
      </c>
      <c r="B816" s="79" t="s">
        <v>5840</v>
      </c>
      <c r="C816" s="80">
        <v>3.071491351E10</v>
      </c>
      <c r="D816" s="144" t="s">
        <v>631</v>
      </c>
      <c r="E816" s="79" t="s">
        <v>2518</v>
      </c>
      <c r="F816" s="44">
        <v>3014.0</v>
      </c>
      <c r="G816" s="77" t="s">
        <v>226</v>
      </c>
      <c r="H816" s="80">
        <v>1674.0</v>
      </c>
      <c r="I816" s="79">
        <v>222010.0</v>
      </c>
      <c r="J816" s="83" t="s">
        <v>568</v>
      </c>
      <c r="K816" s="79" t="s">
        <v>1170</v>
      </c>
      <c r="L816" s="79" t="s">
        <v>453</v>
      </c>
      <c r="M816" s="79"/>
      <c r="N816" s="79">
        <v>0.0</v>
      </c>
      <c r="O816" s="74"/>
      <c r="P816" s="80"/>
      <c r="Q816" s="79"/>
      <c r="R816" s="80"/>
      <c r="S816" s="80" t="s">
        <v>2523</v>
      </c>
      <c r="T816" s="101" t="s">
        <v>332</v>
      </c>
      <c r="U816" s="80" t="s">
        <v>332</v>
      </c>
      <c r="V816" s="102" t="s">
        <v>429</v>
      </c>
      <c r="W816" s="79" t="s">
        <v>306</v>
      </c>
      <c r="X816" s="79" t="s">
        <v>306</v>
      </c>
      <c r="Y816" s="79" t="s">
        <v>309</v>
      </c>
      <c r="Z816" s="79"/>
    </row>
    <row r="817" ht="15.0" customHeight="1">
      <c r="A817" s="103" t="s">
        <v>24</v>
      </c>
      <c r="B817" s="77" t="s">
        <v>5842</v>
      </c>
      <c r="C817" s="80">
        <v>3.0711519447E10</v>
      </c>
      <c r="D817" s="79" t="s">
        <v>264</v>
      </c>
      <c r="E817" s="79" t="s">
        <v>1314</v>
      </c>
      <c r="F817" s="44">
        <v>4544.0</v>
      </c>
      <c r="G817" s="79" t="s">
        <v>15</v>
      </c>
      <c r="H817" s="80">
        <v>1678.0</v>
      </c>
      <c r="I817" s="79">
        <v>259993.0</v>
      </c>
      <c r="J817" s="74" t="s">
        <v>347</v>
      </c>
      <c r="K817" s="129" t="s">
        <v>638</v>
      </c>
      <c r="L817" s="79" t="s">
        <v>453</v>
      </c>
      <c r="M817" s="79"/>
      <c r="N817" s="79">
        <v>3.0</v>
      </c>
      <c r="O817" s="74"/>
      <c r="P817" s="80"/>
      <c r="Q817" s="79"/>
      <c r="R817" s="80"/>
      <c r="S817" s="80" t="s">
        <v>5843</v>
      </c>
      <c r="T817" s="101" t="s">
        <v>332</v>
      </c>
      <c r="U817" s="80" t="s">
        <v>332</v>
      </c>
      <c r="V817" s="102" t="s">
        <v>429</v>
      </c>
      <c r="W817" s="79" t="s">
        <v>306</v>
      </c>
      <c r="X817" s="79" t="s">
        <v>306</v>
      </c>
      <c r="Y817" s="79"/>
      <c r="Z817" s="79"/>
    </row>
    <row r="818" ht="15.75" customHeight="1">
      <c r="A818" s="76" t="s">
        <v>247</v>
      </c>
      <c r="B818" s="77" t="s">
        <v>5845</v>
      </c>
      <c r="C818" s="79">
        <v>3.0517095121E10</v>
      </c>
      <c r="D818" s="77" t="s">
        <v>264</v>
      </c>
      <c r="E818" s="79" t="s">
        <v>3875</v>
      </c>
      <c r="F818" s="44">
        <v>3494.0</v>
      </c>
      <c r="G818" s="79" t="s">
        <v>15</v>
      </c>
      <c r="H818" s="80">
        <v>1678.0</v>
      </c>
      <c r="I818" s="79">
        <v>466121.0</v>
      </c>
      <c r="J818" s="74" t="s">
        <v>433</v>
      </c>
      <c r="K818" s="77" t="s">
        <v>5846</v>
      </c>
      <c r="L818" s="79"/>
      <c r="M818" s="79"/>
      <c r="N818" s="79">
        <v>178.0</v>
      </c>
      <c r="O818" s="74"/>
      <c r="P818" s="80"/>
      <c r="Q818" s="79"/>
      <c r="R818" s="80"/>
      <c r="S818" s="80" t="s">
        <v>5848</v>
      </c>
      <c r="T818" s="101" t="s">
        <v>5849</v>
      </c>
      <c r="U818" s="80" t="s">
        <v>5850</v>
      </c>
      <c r="V818" s="102" t="s">
        <v>429</v>
      </c>
      <c r="W818" s="79" t="s">
        <v>309</v>
      </c>
      <c r="X818" s="79" t="s">
        <v>309</v>
      </c>
      <c r="Y818" s="79" t="s">
        <v>309</v>
      </c>
      <c r="Z818" s="79"/>
    </row>
    <row r="819" ht="15.75" customHeight="1">
      <c r="A819" s="103" t="s">
        <v>24</v>
      </c>
      <c r="B819" s="77" t="s">
        <v>5851</v>
      </c>
      <c r="C819" s="80">
        <v>3.3687826529E10</v>
      </c>
      <c r="D819" s="119" t="s">
        <v>264</v>
      </c>
      <c r="E819" s="77" t="s">
        <v>2678</v>
      </c>
      <c r="F819" s="44">
        <v>8866.0</v>
      </c>
      <c r="G819" s="79" t="s">
        <v>119</v>
      </c>
      <c r="H819" s="80">
        <v>1657.0</v>
      </c>
      <c r="I819" s="79">
        <v>526909.0</v>
      </c>
      <c r="J819" s="74" t="s">
        <v>433</v>
      </c>
      <c r="K819" s="77" t="s">
        <v>2096</v>
      </c>
      <c r="L819" s="79"/>
      <c r="M819" s="79"/>
      <c r="N819" s="79">
        <v>0.0</v>
      </c>
      <c r="O819" s="74"/>
      <c r="P819" s="80"/>
      <c r="Q819" s="79"/>
      <c r="R819" s="80"/>
      <c r="S819" s="78" t="s">
        <v>5853</v>
      </c>
      <c r="T819" s="101" t="s">
        <v>332</v>
      </c>
      <c r="U819" s="80" t="s">
        <v>332</v>
      </c>
      <c r="V819" s="102" t="s">
        <v>429</v>
      </c>
      <c r="W819" s="79" t="s">
        <v>306</v>
      </c>
      <c r="X819" s="79" t="s">
        <v>306</v>
      </c>
      <c r="Y819" s="79"/>
      <c r="Z819" s="79"/>
    </row>
    <row r="820" ht="15.75" customHeight="1">
      <c r="A820" s="103" t="s">
        <v>24</v>
      </c>
      <c r="B820" s="77" t="s">
        <v>5854</v>
      </c>
      <c r="C820" s="79">
        <v>3.0611354157E10</v>
      </c>
      <c r="D820" s="77" t="s">
        <v>264</v>
      </c>
      <c r="E820" s="79" t="s">
        <v>3875</v>
      </c>
      <c r="F820" s="44">
        <v>3494.0</v>
      </c>
      <c r="G820" s="79" t="s">
        <v>15</v>
      </c>
      <c r="H820" s="80">
        <v>1678.0</v>
      </c>
      <c r="I820" s="79">
        <v>466121.0</v>
      </c>
      <c r="J820" s="74" t="s">
        <v>433</v>
      </c>
      <c r="K820" s="77" t="s">
        <v>5846</v>
      </c>
      <c r="L820" s="79"/>
      <c r="M820" s="79"/>
      <c r="N820" s="79">
        <v>18.0</v>
      </c>
      <c r="O820" s="74"/>
      <c r="P820" s="80"/>
      <c r="Q820" s="79"/>
      <c r="R820" s="80"/>
      <c r="S820" s="80" t="s">
        <v>5856</v>
      </c>
      <c r="T820" s="101" t="s">
        <v>5857</v>
      </c>
      <c r="U820" s="80" t="s">
        <v>332</v>
      </c>
      <c r="V820" s="102" t="s">
        <v>429</v>
      </c>
      <c r="W820" s="79" t="s">
        <v>306</v>
      </c>
      <c r="X820" s="79" t="s">
        <v>306</v>
      </c>
      <c r="Y820" s="79"/>
      <c r="Z820" s="79"/>
    </row>
    <row r="821" ht="15.0" customHeight="1">
      <c r="A821" s="103" t="s">
        <v>24</v>
      </c>
      <c r="B821" s="77" t="s">
        <v>5858</v>
      </c>
      <c r="C821" s="80">
        <v>3.0694620783E10</v>
      </c>
      <c r="D821" s="119" t="s">
        <v>264</v>
      </c>
      <c r="E821" s="79" t="s">
        <v>1246</v>
      </c>
      <c r="F821" s="44">
        <v>312.0</v>
      </c>
      <c r="G821" s="79" t="s">
        <v>68</v>
      </c>
      <c r="H821" s="80">
        <v>1702.0</v>
      </c>
      <c r="I821" s="77">
        <v>960990.0</v>
      </c>
      <c r="J821" s="74" t="s">
        <v>433</v>
      </c>
      <c r="K821" s="77" t="s">
        <v>5860</v>
      </c>
      <c r="L821" s="79"/>
      <c r="M821" s="79"/>
      <c r="N821" s="79">
        <v>1.0</v>
      </c>
      <c r="O821" s="74"/>
      <c r="P821" s="80"/>
      <c r="Q821" s="79"/>
      <c r="R821" s="80"/>
      <c r="S821" s="80" t="s">
        <v>5861</v>
      </c>
      <c r="T821" s="101" t="s">
        <v>5862</v>
      </c>
      <c r="U821" s="80" t="s">
        <v>332</v>
      </c>
      <c r="V821" s="102" t="s">
        <v>429</v>
      </c>
      <c r="W821" s="79" t="s">
        <v>306</v>
      </c>
      <c r="X821" s="79" t="s">
        <v>306</v>
      </c>
      <c r="Y821" s="79"/>
      <c r="Z821" s="79"/>
    </row>
    <row r="822" ht="15.75" customHeight="1">
      <c r="A822" s="76" t="s">
        <v>247</v>
      </c>
      <c r="B822" s="79" t="s">
        <v>5863</v>
      </c>
      <c r="C822" s="80">
        <v>2.0184463823E10</v>
      </c>
      <c r="D822" s="77" t="s">
        <v>631</v>
      </c>
      <c r="E822" s="79" t="s">
        <v>1896</v>
      </c>
      <c r="F822" s="44">
        <v>1180.0</v>
      </c>
      <c r="G822" s="79" t="s">
        <v>119</v>
      </c>
      <c r="H822" s="80">
        <v>1657.0</v>
      </c>
      <c r="I822" s="79">
        <v>162909.0</v>
      </c>
      <c r="J822" s="83" t="s">
        <v>313</v>
      </c>
      <c r="K822" s="77" t="s">
        <v>5865</v>
      </c>
      <c r="L822" s="79" t="s">
        <v>1122</v>
      </c>
      <c r="M822" s="79"/>
      <c r="N822" s="79"/>
      <c r="O822" s="74"/>
      <c r="P822" s="80"/>
      <c r="Q822" s="79"/>
      <c r="R822" s="80"/>
      <c r="S822" s="78" t="s">
        <v>5866</v>
      </c>
      <c r="T822" s="101"/>
      <c r="U822" s="80"/>
      <c r="V822" s="102" t="s">
        <v>429</v>
      </c>
      <c r="W822" s="79"/>
      <c r="X822" s="79"/>
      <c r="Y822" s="79"/>
      <c r="Z822" s="79"/>
    </row>
    <row r="823" ht="15.0" customHeight="1">
      <c r="A823" s="103" t="s">
        <v>24</v>
      </c>
      <c r="B823" s="77" t="s">
        <v>5868</v>
      </c>
      <c r="C823" s="80">
        <v>3.0708846313E10</v>
      </c>
      <c r="D823" s="119" t="s">
        <v>264</v>
      </c>
      <c r="E823" s="77" t="s">
        <v>5869</v>
      </c>
      <c r="F823" s="44">
        <v>3402.0</v>
      </c>
      <c r="G823" s="79" t="s">
        <v>249</v>
      </c>
      <c r="H823" s="80">
        <v>1676.0</v>
      </c>
      <c r="I823" s="79">
        <v>731009.0</v>
      </c>
      <c r="J823" s="74" t="s">
        <v>433</v>
      </c>
      <c r="K823" s="77" t="s">
        <v>5870</v>
      </c>
      <c r="L823" s="79"/>
      <c r="M823" s="79"/>
      <c r="N823" s="79">
        <v>2.0</v>
      </c>
      <c r="O823" s="74"/>
      <c r="P823" s="80"/>
      <c r="Q823" s="79"/>
      <c r="R823" s="80"/>
      <c r="S823" s="80" t="s">
        <v>5871</v>
      </c>
      <c r="T823" s="101" t="s">
        <v>332</v>
      </c>
      <c r="U823" s="80" t="s">
        <v>332</v>
      </c>
      <c r="V823" s="243"/>
      <c r="W823" s="79" t="s">
        <v>306</v>
      </c>
      <c r="X823" s="79" t="s">
        <v>306</v>
      </c>
      <c r="Y823" s="79"/>
      <c r="Z823" s="79"/>
    </row>
    <row r="824" ht="15.75" customHeight="1">
      <c r="A824" s="103" t="s">
        <v>24</v>
      </c>
      <c r="B824" s="77" t="s">
        <v>5873</v>
      </c>
      <c r="C824" s="80">
        <v>3.0714810266E10</v>
      </c>
      <c r="D824" s="79" t="s">
        <v>264</v>
      </c>
      <c r="E824" s="79" t="s">
        <v>564</v>
      </c>
      <c r="F824" s="44">
        <v>4644.0</v>
      </c>
      <c r="G824" s="79" t="s">
        <v>68</v>
      </c>
      <c r="H824" s="80">
        <v>1702.0</v>
      </c>
      <c r="I824" s="79">
        <v>259999.0</v>
      </c>
      <c r="J824" s="74" t="s">
        <v>347</v>
      </c>
      <c r="K824" s="77" t="s">
        <v>839</v>
      </c>
      <c r="L824" s="79" t="s">
        <v>453</v>
      </c>
      <c r="M824" s="79"/>
      <c r="N824" s="79">
        <v>0.0</v>
      </c>
      <c r="O824" s="74"/>
      <c r="P824" s="80"/>
      <c r="Q824" s="79"/>
      <c r="R824" s="80"/>
      <c r="S824" s="78" t="s">
        <v>5875</v>
      </c>
      <c r="T824" s="101" t="s">
        <v>332</v>
      </c>
      <c r="U824" s="80" t="s">
        <v>332</v>
      </c>
      <c r="V824" s="102" t="s">
        <v>429</v>
      </c>
      <c r="W824" s="79" t="s">
        <v>306</v>
      </c>
      <c r="X824" s="79" t="s">
        <v>306</v>
      </c>
      <c r="Y824" s="79"/>
      <c r="Z824" s="79"/>
    </row>
    <row r="825" ht="15.75" customHeight="1">
      <c r="A825" s="76" t="s">
        <v>247</v>
      </c>
      <c r="B825" s="77" t="s">
        <v>5876</v>
      </c>
      <c r="C825" s="79">
        <v>3.0500689826E10</v>
      </c>
      <c r="D825" s="77" t="s">
        <v>264</v>
      </c>
      <c r="E825" s="79" t="s">
        <v>1801</v>
      </c>
      <c r="F825" s="44">
        <v>4385.0</v>
      </c>
      <c r="G825" s="79" t="s">
        <v>68</v>
      </c>
      <c r="H825" s="80">
        <v>1702.0</v>
      </c>
      <c r="I825" s="79">
        <v>239600.0</v>
      </c>
      <c r="J825" s="74" t="s">
        <v>396</v>
      </c>
      <c r="K825" s="79" t="s">
        <v>2013</v>
      </c>
      <c r="L825" s="79"/>
      <c r="M825" s="79"/>
      <c r="N825" s="79">
        <v>134.0</v>
      </c>
      <c r="O825" s="126" t="s">
        <v>5878</v>
      </c>
      <c r="P825" s="85" t="s">
        <v>5879</v>
      </c>
      <c r="Q825" s="79"/>
      <c r="R825" s="80"/>
      <c r="S825" s="80" t="s">
        <v>5880</v>
      </c>
      <c r="T825" s="101" t="s">
        <v>5881</v>
      </c>
      <c r="U825" s="80" t="s">
        <v>5882</v>
      </c>
      <c r="V825" s="102" t="s">
        <v>429</v>
      </c>
      <c r="W825" s="79" t="s">
        <v>309</v>
      </c>
      <c r="X825" s="79" t="s">
        <v>309</v>
      </c>
      <c r="Y825" s="79" t="s">
        <v>309</v>
      </c>
      <c r="Z825" s="79"/>
    </row>
    <row r="826" ht="15.75" customHeight="1">
      <c r="A826" s="103" t="s">
        <v>24</v>
      </c>
      <c r="B826" s="77" t="s">
        <v>5883</v>
      </c>
      <c r="C826" s="80">
        <v>3.0519959719E10</v>
      </c>
      <c r="D826" s="79" t="s">
        <v>264</v>
      </c>
      <c r="E826" s="126" t="s">
        <v>985</v>
      </c>
      <c r="F826" s="44">
        <v>5078.0</v>
      </c>
      <c r="G826" s="79" t="s">
        <v>15</v>
      </c>
      <c r="H826" s="80">
        <v>1678.0</v>
      </c>
      <c r="I826" s="79">
        <v>361020.0</v>
      </c>
      <c r="J826" s="74" t="s">
        <v>313</v>
      </c>
      <c r="K826" s="79" t="s">
        <v>2569</v>
      </c>
      <c r="L826" s="79"/>
      <c r="M826" s="79"/>
      <c r="N826" s="79">
        <v>5.0</v>
      </c>
      <c r="O826" s="74"/>
      <c r="P826" s="80"/>
      <c r="Q826" s="79"/>
      <c r="R826" s="80"/>
      <c r="S826" s="80" t="s">
        <v>5885</v>
      </c>
      <c r="T826" s="101" t="s">
        <v>332</v>
      </c>
      <c r="U826" s="80" t="s">
        <v>332</v>
      </c>
      <c r="V826" s="102" t="s">
        <v>429</v>
      </c>
      <c r="W826" s="79" t="s">
        <v>309</v>
      </c>
      <c r="X826" s="79" t="s">
        <v>309</v>
      </c>
      <c r="Y826" s="79"/>
      <c r="Z826" s="79"/>
    </row>
    <row r="827" ht="15.75" customHeight="1">
      <c r="A827" s="103" t="s">
        <v>24</v>
      </c>
      <c r="B827" s="77" t="s">
        <v>5886</v>
      </c>
      <c r="C827" s="80">
        <v>2.0161313085E10</v>
      </c>
      <c r="D827" s="144" t="s">
        <v>631</v>
      </c>
      <c r="E827" s="77" t="s">
        <v>5888</v>
      </c>
      <c r="F827" s="128">
        <v>593.0</v>
      </c>
      <c r="G827" s="77" t="s">
        <v>226</v>
      </c>
      <c r="H827" s="80">
        <v>1674.0</v>
      </c>
      <c r="I827" s="79">
        <v>301200.0</v>
      </c>
      <c r="J827" s="83" t="s">
        <v>568</v>
      </c>
      <c r="K827" s="77" t="s">
        <v>5889</v>
      </c>
      <c r="L827" s="79" t="s">
        <v>453</v>
      </c>
      <c r="M827" s="77" t="s">
        <v>5890</v>
      </c>
      <c r="N827" s="79"/>
      <c r="O827" s="74"/>
      <c r="P827" s="80"/>
      <c r="Q827" s="79"/>
      <c r="R827" s="80"/>
      <c r="S827" s="78" t="s">
        <v>5891</v>
      </c>
      <c r="T827" s="85" t="s">
        <v>5892</v>
      </c>
      <c r="U827" s="307">
        <v>1.168204131E9</v>
      </c>
      <c r="V827" s="102" t="s">
        <v>429</v>
      </c>
      <c r="W827" s="79"/>
      <c r="X827" s="79"/>
      <c r="Y827" s="79" t="s">
        <v>309</v>
      </c>
      <c r="Z827" s="79"/>
    </row>
    <row r="828" ht="15.75" customHeight="1">
      <c r="A828" s="103" t="s">
        <v>24</v>
      </c>
      <c r="B828" s="77" t="s">
        <v>5894</v>
      </c>
      <c r="C828" s="80">
        <v>3.0708448733E10</v>
      </c>
      <c r="D828" s="119" t="s">
        <v>264</v>
      </c>
      <c r="E828" s="79" t="s">
        <v>3875</v>
      </c>
      <c r="F828" s="44">
        <v>2613.0</v>
      </c>
      <c r="G828" s="79" t="s">
        <v>15</v>
      </c>
      <c r="H828" s="80">
        <v>1678.0</v>
      </c>
      <c r="I828" s="79">
        <v>410011.0</v>
      </c>
      <c r="J828" s="74" t="s">
        <v>125</v>
      </c>
      <c r="K828" s="79" t="s">
        <v>1829</v>
      </c>
      <c r="L828" s="79" t="s">
        <v>453</v>
      </c>
      <c r="M828" s="79"/>
      <c r="N828" s="79">
        <v>0.0</v>
      </c>
      <c r="O828" s="74"/>
      <c r="P828" s="80"/>
      <c r="Q828" s="79"/>
      <c r="R828" s="80"/>
      <c r="S828" s="78" t="s">
        <v>5896</v>
      </c>
      <c r="T828" s="101" t="s">
        <v>332</v>
      </c>
      <c r="U828" s="80" t="s">
        <v>332</v>
      </c>
      <c r="V828" s="102" t="s">
        <v>429</v>
      </c>
      <c r="W828" s="79" t="s">
        <v>306</v>
      </c>
      <c r="X828" s="79" t="s">
        <v>306</v>
      </c>
      <c r="Y828" s="79"/>
      <c r="Z828" s="79"/>
    </row>
    <row r="829" ht="15.75" customHeight="1">
      <c r="A829" s="76" t="s">
        <v>247</v>
      </c>
      <c r="B829" s="77" t="s">
        <v>5897</v>
      </c>
      <c r="C829" s="80">
        <v>3.0602480247E10</v>
      </c>
      <c r="D829" s="79" t="s">
        <v>264</v>
      </c>
      <c r="E829" s="79" t="s">
        <v>1819</v>
      </c>
      <c r="F829" s="44">
        <v>4780.0</v>
      </c>
      <c r="G829" s="79" t="s">
        <v>68</v>
      </c>
      <c r="H829" s="80">
        <v>1702.0</v>
      </c>
      <c r="I829" s="79">
        <v>310010.0</v>
      </c>
      <c r="J829" s="74" t="s">
        <v>313</v>
      </c>
      <c r="K829" s="79" t="s">
        <v>1438</v>
      </c>
      <c r="L829" s="79" t="s">
        <v>1122</v>
      </c>
      <c r="M829" s="79"/>
      <c r="N829" s="79">
        <v>31.0</v>
      </c>
      <c r="O829" s="74"/>
      <c r="P829" s="78" t="s">
        <v>5898</v>
      </c>
      <c r="Q829" s="79"/>
      <c r="R829" s="80"/>
      <c r="S829" s="78" t="s">
        <v>5899</v>
      </c>
      <c r="T829" s="101"/>
      <c r="U829" s="80"/>
      <c r="V829" s="102" t="s">
        <v>5900</v>
      </c>
      <c r="W829" s="79" t="s">
        <v>309</v>
      </c>
      <c r="X829" s="79" t="s">
        <v>309</v>
      </c>
      <c r="Y829" s="79"/>
      <c r="Z829" s="79"/>
    </row>
    <row r="830" ht="15.75" customHeight="1">
      <c r="A830" s="103" t="s">
        <v>24</v>
      </c>
      <c r="B830" s="77" t="s">
        <v>5902</v>
      </c>
      <c r="C830" s="80">
        <v>3.0628574282E10</v>
      </c>
      <c r="D830" s="119" t="s">
        <v>264</v>
      </c>
      <c r="E830" s="79" t="s">
        <v>1221</v>
      </c>
      <c r="F830" s="44">
        <v>8505.0</v>
      </c>
      <c r="G830" s="79" t="s">
        <v>119</v>
      </c>
      <c r="H830" s="80">
        <v>1657.0</v>
      </c>
      <c r="I830" s="77">
        <v>463153.0</v>
      </c>
      <c r="J830" s="74" t="s">
        <v>22</v>
      </c>
      <c r="K830" s="77" t="s">
        <v>5904</v>
      </c>
      <c r="L830" s="79"/>
      <c r="M830" s="79"/>
      <c r="N830" s="79">
        <v>0.0</v>
      </c>
      <c r="O830" s="74"/>
      <c r="P830" s="80"/>
      <c r="Q830" s="79"/>
      <c r="R830" s="80"/>
      <c r="S830" s="80" t="s">
        <v>5905</v>
      </c>
      <c r="T830" s="101" t="s">
        <v>332</v>
      </c>
      <c r="U830" s="80" t="s">
        <v>332</v>
      </c>
      <c r="V830" s="102" t="s">
        <v>429</v>
      </c>
      <c r="W830" s="79" t="s">
        <v>309</v>
      </c>
      <c r="X830" s="79" t="s">
        <v>309</v>
      </c>
      <c r="Y830" s="79"/>
      <c r="Z830" s="79"/>
    </row>
    <row r="831" ht="15.0" customHeight="1">
      <c r="A831" s="76" t="s">
        <v>247</v>
      </c>
      <c r="B831" s="77" t="s">
        <v>1764</v>
      </c>
      <c r="C831" s="101">
        <v>3.0716235595E10</v>
      </c>
      <c r="D831" s="79" t="s">
        <v>264</v>
      </c>
      <c r="E831" s="79" t="s">
        <v>2089</v>
      </c>
      <c r="F831" s="44">
        <v>4698.0</v>
      </c>
      <c r="G831" s="79" t="s">
        <v>68</v>
      </c>
      <c r="H831" s="80">
        <v>1702.0</v>
      </c>
      <c r="I831" s="119">
        <v>259999.0</v>
      </c>
      <c r="J831" s="74" t="s">
        <v>347</v>
      </c>
      <c r="K831" s="144" t="s">
        <v>839</v>
      </c>
      <c r="L831" s="79"/>
      <c r="M831" s="79"/>
      <c r="N831" s="79"/>
      <c r="O831" s="79" t="s">
        <v>5907</v>
      </c>
      <c r="P831" s="78" t="s">
        <v>5908</v>
      </c>
      <c r="Q831" s="79"/>
      <c r="R831" s="80"/>
      <c r="S831" s="85" t="s">
        <v>5909</v>
      </c>
      <c r="T831" s="78" t="s">
        <v>5910</v>
      </c>
      <c r="U831" s="80"/>
      <c r="V831" s="102" t="s">
        <v>5911</v>
      </c>
      <c r="W831" s="79"/>
      <c r="X831" s="79"/>
      <c r="Y831" s="79"/>
      <c r="Z831" s="79"/>
    </row>
    <row r="832" ht="15.0" customHeight="1">
      <c r="A832" s="76" t="s">
        <v>247</v>
      </c>
      <c r="B832" s="77" t="s">
        <v>5913</v>
      </c>
      <c r="C832" s="80">
        <v>3.0692919684E10</v>
      </c>
      <c r="D832" s="119" t="s">
        <v>264</v>
      </c>
      <c r="E832" s="79" t="s">
        <v>2533</v>
      </c>
      <c r="F832" s="44">
        <v>7645.0</v>
      </c>
      <c r="G832" s="79" t="s">
        <v>97</v>
      </c>
      <c r="H832" s="80">
        <v>1702.0</v>
      </c>
      <c r="I832" s="79">
        <v>711001.0</v>
      </c>
      <c r="J832" s="74" t="s">
        <v>433</v>
      </c>
      <c r="K832" s="79" t="s">
        <v>5914</v>
      </c>
      <c r="L832" s="79"/>
      <c r="M832" s="79"/>
      <c r="N832" s="79">
        <v>10.0</v>
      </c>
      <c r="O832" s="74"/>
      <c r="P832" s="80"/>
      <c r="Q832" s="79"/>
      <c r="R832" s="80"/>
      <c r="S832" s="78" t="s">
        <v>5916</v>
      </c>
      <c r="T832" s="101" t="s">
        <v>332</v>
      </c>
      <c r="U832" s="80" t="s">
        <v>332</v>
      </c>
      <c r="V832" s="102" t="s">
        <v>429</v>
      </c>
      <c r="W832" s="79" t="s">
        <v>306</v>
      </c>
      <c r="X832" s="79" t="s">
        <v>306</v>
      </c>
      <c r="Y832" s="79"/>
      <c r="Z832" s="79"/>
    </row>
    <row r="833" ht="15.0" customHeight="1">
      <c r="A833" s="103" t="s">
        <v>24</v>
      </c>
      <c r="B833" s="77" t="s">
        <v>1769</v>
      </c>
      <c r="C833" s="80">
        <v>2.7042535228E10</v>
      </c>
      <c r="D833" s="77" t="s">
        <v>264</v>
      </c>
      <c r="E833" s="77" t="s">
        <v>5424</v>
      </c>
      <c r="F833" s="44">
        <v>1835.0</v>
      </c>
      <c r="G833" s="79" t="s">
        <v>249</v>
      </c>
      <c r="H833" s="80">
        <v>1676.0</v>
      </c>
      <c r="I833" s="79">
        <v>107410.0</v>
      </c>
      <c r="J833" s="74" t="s">
        <v>22</v>
      </c>
      <c r="K833" s="77" t="s">
        <v>5917</v>
      </c>
      <c r="L833" s="79"/>
      <c r="M833" s="79" t="s">
        <v>5919</v>
      </c>
      <c r="N833" s="79"/>
      <c r="O833" s="83" t="s">
        <v>5920</v>
      </c>
      <c r="P833" s="78">
        <v>1.5693405E9</v>
      </c>
      <c r="Q833" s="79"/>
      <c r="R833" s="80"/>
      <c r="S833" s="78" t="s">
        <v>5921</v>
      </c>
      <c r="T833" s="101"/>
      <c r="U833" s="80"/>
      <c r="V833" s="102" t="s">
        <v>429</v>
      </c>
      <c r="W833" s="79"/>
      <c r="X833" s="79"/>
      <c r="Y833" s="79"/>
      <c r="Z833" s="79"/>
    </row>
    <row r="834" ht="15.75" customHeight="1">
      <c r="A834" s="103" t="s">
        <v>24</v>
      </c>
      <c r="B834" s="77" t="s">
        <v>5922</v>
      </c>
      <c r="C834" s="80">
        <v>3.065928026E10</v>
      </c>
      <c r="D834" s="119" t="s">
        <v>264</v>
      </c>
      <c r="E834" s="79" t="s">
        <v>2669</v>
      </c>
      <c r="F834" s="44">
        <v>4750.0</v>
      </c>
      <c r="G834" s="79" t="s">
        <v>15</v>
      </c>
      <c r="H834" s="80">
        <v>1678.0</v>
      </c>
      <c r="I834" s="79">
        <v>930990.0</v>
      </c>
      <c r="J834" s="74" t="s">
        <v>433</v>
      </c>
      <c r="K834" s="77" t="s">
        <v>1727</v>
      </c>
      <c r="L834" s="79"/>
      <c r="M834" s="79"/>
      <c r="N834" s="79">
        <v>0.0</v>
      </c>
      <c r="O834" s="74"/>
      <c r="P834" s="80"/>
      <c r="Q834" s="79"/>
      <c r="R834" s="80"/>
      <c r="S834" s="80" t="s">
        <v>5923</v>
      </c>
      <c r="T834" s="101" t="s">
        <v>332</v>
      </c>
      <c r="U834" s="80" t="s">
        <v>332</v>
      </c>
      <c r="V834" s="102" t="s">
        <v>429</v>
      </c>
      <c r="W834" s="79" t="s">
        <v>309</v>
      </c>
      <c r="X834" s="79" t="s">
        <v>309</v>
      </c>
      <c r="Y834" s="79"/>
      <c r="Z834" s="79"/>
    </row>
    <row r="835" ht="15.0" customHeight="1">
      <c r="A835" s="76" t="s">
        <v>247</v>
      </c>
      <c r="B835" s="144" t="s">
        <v>1778</v>
      </c>
      <c r="C835" s="101">
        <v>3.0717426122E10</v>
      </c>
      <c r="D835" s="79" t="s">
        <v>264</v>
      </c>
      <c r="E835" s="79" t="s">
        <v>3339</v>
      </c>
      <c r="F835" s="44">
        <v>5121.0</v>
      </c>
      <c r="G835" s="79" t="s">
        <v>15</v>
      </c>
      <c r="H835" s="80">
        <v>1678.0</v>
      </c>
      <c r="I835" s="80">
        <v>682099.0</v>
      </c>
      <c r="J835" s="74" t="s">
        <v>5925</v>
      </c>
      <c r="K835" s="77" t="s">
        <v>5926</v>
      </c>
      <c r="L835" s="79"/>
      <c r="M835" s="79" t="s">
        <v>5927</v>
      </c>
      <c r="N835" s="79"/>
      <c r="O835" s="79" t="s">
        <v>5928</v>
      </c>
      <c r="P835" s="78" t="s">
        <v>5929</v>
      </c>
      <c r="Q835" s="79"/>
      <c r="R835" s="80"/>
      <c r="S835" s="78" t="s">
        <v>5930</v>
      </c>
      <c r="T835" s="85" t="s">
        <v>5931</v>
      </c>
      <c r="U835" s="80"/>
      <c r="V835" s="98" t="s">
        <v>5932</v>
      </c>
      <c r="W835" s="79"/>
      <c r="X835" s="79"/>
      <c r="Y835" s="79"/>
      <c r="Z835" s="79"/>
    </row>
    <row r="836" ht="15.75" customHeight="1">
      <c r="A836" s="103" t="s">
        <v>24</v>
      </c>
      <c r="B836" s="77" t="s">
        <v>5934</v>
      </c>
      <c r="C836" s="79">
        <v>3.0575697921E10</v>
      </c>
      <c r="D836" s="77" t="s">
        <v>264</v>
      </c>
      <c r="E836" s="79" t="s">
        <v>3875</v>
      </c>
      <c r="F836" s="44">
        <v>3494.0</v>
      </c>
      <c r="G836" s="79" t="s">
        <v>15</v>
      </c>
      <c r="H836" s="80">
        <v>1678.0</v>
      </c>
      <c r="I836" s="77">
        <v>523090.0</v>
      </c>
      <c r="J836" s="74" t="s">
        <v>433</v>
      </c>
      <c r="K836" s="77" t="s">
        <v>5936</v>
      </c>
      <c r="L836" s="79"/>
      <c r="M836" s="79"/>
      <c r="N836" s="79">
        <v>1.0</v>
      </c>
      <c r="O836" s="74"/>
      <c r="P836" s="80"/>
      <c r="Q836" s="79"/>
      <c r="R836" s="80"/>
      <c r="S836" s="78" t="s">
        <v>5937</v>
      </c>
      <c r="T836" s="101" t="s">
        <v>332</v>
      </c>
      <c r="U836" s="80" t="s">
        <v>332</v>
      </c>
      <c r="V836" s="102" t="s">
        <v>429</v>
      </c>
      <c r="W836" s="79" t="s">
        <v>306</v>
      </c>
      <c r="X836" s="79" t="s">
        <v>306</v>
      </c>
      <c r="Y836" s="79"/>
      <c r="Z836" s="79"/>
    </row>
    <row r="837" ht="15.75" customHeight="1">
      <c r="A837" s="76" t="s">
        <v>247</v>
      </c>
      <c r="B837" s="77" t="s">
        <v>4073</v>
      </c>
      <c r="C837" s="80">
        <v>3.0691261677E10</v>
      </c>
      <c r="D837" s="119" t="s">
        <v>264</v>
      </c>
      <c r="E837" s="77" t="s">
        <v>943</v>
      </c>
      <c r="F837" s="44">
        <v>2745.0</v>
      </c>
      <c r="G837" s="79" t="s">
        <v>15</v>
      </c>
      <c r="H837" s="80">
        <v>1678.0</v>
      </c>
      <c r="I837" s="79">
        <v>181200.0</v>
      </c>
      <c r="J837" s="74" t="s">
        <v>433</v>
      </c>
      <c r="K837" s="79" t="s">
        <v>1833</v>
      </c>
      <c r="L837" s="79"/>
      <c r="M837" s="79"/>
      <c r="N837" s="79">
        <v>10.0</v>
      </c>
      <c r="O837" s="129" t="s">
        <v>5939</v>
      </c>
      <c r="P837" s="80"/>
      <c r="Q837" s="79"/>
      <c r="R837" s="80"/>
      <c r="S837" s="80" t="s">
        <v>5940</v>
      </c>
      <c r="T837" s="101" t="s">
        <v>5941</v>
      </c>
      <c r="U837" s="80" t="s">
        <v>332</v>
      </c>
      <c r="V837" s="102" t="s">
        <v>429</v>
      </c>
      <c r="W837" s="79" t="s">
        <v>309</v>
      </c>
      <c r="X837" s="79" t="s">
        <v>309</v>
      </c>
      <c r="Y837" s="79"/>
      <c r="Z837" s="79"/>
    </row>
    <row r="838" ht="15.75" customHeight="1">
      <c r="A838" s="103" t="s">
        <v>24</v>
      </c>
      <c r="B838" s="77" t="s">
        <v>5943</v>
      </c>
      <c r="C838" s="80">
        <v>3.0707571922E10</v>
      </c>
      <c r="D838" s="119" t="s">
        <v>264</v>
      </c>
      <c r="E838" s="77" t="s">
        <v>943</v>
      </c>
      <c r="F838" s="44">
        <v>2814.0</v>
      </c>
      <c r="G838" s="79" t="s">
        <v>97</v>
      </c>
      <c r="H838" s="80">
        <v>1702.0</v>
      </c>
      <c r="I838" s="79">
        <v>452600.0</v>
      </c>
      <c r="J838" s="74" t="s">
        <v>433</v>
      </c>
      <c r="K838" s="77" t="s">
        <v>5944</v>
      </c>
      <c r="L838" s="79"/>
      <c r="M838" s="79"/>
      <c r="N838" s="79">
        <v>6.0</v>
      </c>
      <c r="O838" s="74"/>
      <c r="P838" s="80"/>
      <c r="Q838" s="79"/>
      <c r="R838" s="80"/>
      <c r="S838" s="78" t="s">
        <v>5946</v>
      </c>
      <c r="T838" s="101" t="s">
        <v>332</v>
      </c>
      <c r="U838" s="80" t="s">
        <v>332</v>
      </c>
      <c r="V838" s="102" t="s">
        <v>429</v>
      </c>
      <c r="W838" s="79" t="s">
        <v>306</v>
      </c>
      <c r="X838" s="79" t="s">
        <v>306</v>
      </c>
      <c r="Y838" s="79"/>
      <c r="Z838" s="79"/>
    </row>
    <row r="839" ht="15.75" customHeight="1">
      <c r="A839" s="103" t="s">
        <v>24</v>
      </c>
      <c r="B839" s="79" t="s">
        <v>5947</v>
      </c>
      <c r="C839" s="80">
        <v>2.0185550223E10</v>
      </c>
      <c r="D839" s="77" t="s">
        <v>631</v>
      </c>
      <c r="E839" s="77" t="s">
        <v>5948</v>
      </c>
      <c r="F839" s="44">
        <v>5861.0</v>
      </c>
      <c r="G839" s="79" t="s">
        <v>269</v>
      </c>
      <c r="H839" s="80">
        <v>1682.0</v>
      </c>
      <c r="I839" s="79">
        <v>181200.0</v>
      </c>
      <c r="J839" s="74" t="s">
        <v>238</v>
      </c>
      <c r="K839" s="77" t="s">
        <v>1833</v>
      </c>
      <c r="L839" s="79"/>
      <c r="M839" s="79"/>
      <c r="N839" s="79"/>
      <c r="O839" s="74"/>
      <c r="P839" s="80"/>
      <c r="Q839" s="79"/>
      <c r="R839" s="80"/>
      <c r="S839" s="101" t="s">
        <v>5950</v>
      </c>
      <c r="T839" s="101" t="s">
        <v>5951</v>
      </c>
      <c r="U839" s="80"/>
      <c r="V839" s="102" t="s">
        <v>429</v>
      </c>
      <c r="W839" s="79"/>
      <c r="X839" s="79"/>
      <c r="Y839" s="79"/>
      <c r="Z839" s="79"/>
    </row>
    <row r="840" ht="15.75" customHeight="1">
      <c r="A840" s="103" t="s">
        <v>24</v>
      </c>
      <c r="B840" s="79" t="s">
        <v>5952</v>
      </c>
      <c r="C840" s="80">
        <v>2.0183610938E10</v>
      </c>
      <c r="D840" s="77" t="s">
        <v>631</v>
      </c>
      <c r="E840" s="79" t="s">
        <v>1911</v>
      </c>
      <c r="F840" s="44">
        <v>3524.0</v>
      </c>
      <c r="G840" s="79" t="s">
        <v>68</v>
      </c>
      <c r="H840" s="80">
        <v>1702.0</v>
      </c>
      <c r="I840" s="79">
        <v>170990.0</v>
      </c>
      <c r="J840" s="74" t="s">
        <v>261</v>
      </c>
      <c r="K840" s="77" t="s">
        <v>284</v>
      </c>
      <c r="L840" s="79"/>
      <c r="M840" s="79"/>
      <c r="N840" s="79"/>
      <c r="O840" s="74"/>
      <c r="P840" s="80"/>
      <c r="Q840" s="79"/>
      <c r="R840" s="80"/>
      <c r="S840" s="78" t="s">
        <v>5954</v>
      </c>
      <c r="T840" s="101"/>
      <c r="U840" s="80"/>
      <c r="V840" s="102" t="s">
        <v>429</v>
      </c>
      <c r="W840" s="79"/>
      <c r="X840" s="79"/>
      <c r="Y840" s="79"/>
      <c r="Z840" s="79"/>
    </row>
    <row r="841" ht="15.75" customHeight="1">
      <c r="A841" s="76" t="s">
        <v>247</v>
      </c>
      <c r="B841" s="79" t="s">
        <v>1782</v>
      </c>
      <c r="C841" s="80">
        <v>2.3122995364E10</v>
      </c>
      <c r="D841" s="144" t="s">
        <v>631</v>
      </c>
      <c r="E841" s="79" t="s">
        <v>1357</v>
      </c>
      <c r="F841" s="44">
        <v>5147.0</v>
      </c>
      <c r="G841" s="79" t="s">
        <v>15</v>
      </c>
      <c r="H841" s="80">
        <v>1648.0</v>
      </c>
      <c r="I841" s="77">
        <v>464930.0</v>
      </c>
      <c r="J841" s="83" t="s">
        <v>313</v>
      </c>
      <c r="K841" s="77" t="s">
        <v>5956</v>
      </c>
      <c r="L841" s="79" t="s">
        <v>1122</v>
      </c>
      <c r="M841" s="79" t="s">
        <v>5957</v>
      </c>
      <c r="N841" s="79"/>
      <c r="O841" s="74" t="s">
        <v>5958</v>
      </c>
      <c r="P841" s="78" t="s">
        <v>5959</v>
      </c>
      <c r="Q841" s="79"/>
      <c r="R841" s="80"/>
      <c r="S841" s="78" t="s">
        <v>5960</v>
      </c>
      <c r="T841" s="101"/>
      <c r="U841" s="80"/>
      <c r="V841" s="102" t="s">
        <v>429</v>
      </c>
      <c r="W841" s="79"/>
      <c r="X841" s="79"/>
      <c r="Y841" s="79" t="s">
        <v>309</v>
      </c>
      <c r="Z841" s="79"/>
    </row>
    <row r="842" ht="15.75" customHeight="1">
      <c r="A842" s="103" t="s">
        <v>24</v>
      </c>
      <c r="B842" s="79" t="s">
        <v>5961</v>
      </c>
      <c r="C842" s="80">
        <v>2.022426321E10</v>
      </c>
      <c r="D842" s="77" t="s">
        <v>631</v>
      </c>
      <c r="E842" s="79" t="s">
        <v>4233</v>
      </c>
      <c r="F842" s="44">
        <v>4756.0</v>
      </c>
      <c r="G842" s="79" t="s">
        <v>15</v>
      </c>
      <c r="H842" s="80">
        <v>1678.0</v>
      </c>
      <c r="I842" s="79">
        <v>293090.0</v>
      </c>
      <c r="J842" s="83" t="s">
        <v>37</v>
      </c>
      <c r="K842" s="77" t="s">
        <v>5963</v>
      </c>
      <c r="L842" s="79"/>
      <c r="M842" s="79"/>
      <c r="N842" s="79"/>
      <c r="O842" s="74"/>
      <c r="P842" s="80"/>
      <c r="Q842" s="79"/>
      <c r="R842" s="80"/>
      <c r="S842" s="78" t="s">
        <v>5964</v>
      </c>
      <c r="T842" s="101"/>
      <c r="U842" s="80"/>
      <c r="V842" s="102" t="s">
        <v>429</v>
      </c>
      <c r="W842" s="79"/>
      <c r="X842" s="79"/>
      <c r="Y842" s="79"/>
      <c r="Z842" s="79"/>
    </row>
    <row r="843" ht="15.75" customHeight="1">
      <c r="A843" s="103" t="s">
        <v>24</v>
      </c>
      <c r="B843" s="77" t="s">
        <v>5965</v>
      </c>
      <c r="C843" s="80">
        <v>3.0606633951E10</v>
      </c>
      <c r="D843" s="119" t="s">
        <v>264</v>
      </c>
      <c r="E843" s="77" t="s">
        <v>2557</v>
      </c>
      <c r="F843" s="44">
        <v>6096.0</v>
      </c>
      <c r="G843" s="77" t="s">
        <v>119</v>
      </c>
      <c r="H843" s="78">
        <v>1657.0</v>
      </c>
      <c r="I843" s="79">
        <v>105030.0</v>
      </c>
      <c r="J843" s="74" t="s">
        <v>22</v>
      </c>
      <c r="K843" s="79" t="s">
        <v>1052</v>
      </c>
      <c r="L843" s="79"/>
      <c r="M843" s="79"/>
      <c r="N843" s="79">
        <v>7.0</v>
      </c>
      <c r="O843" s="74"/>
      <c r="P843" s="80"/>
      <c r="Q843" s="79"/>
      <c r="R843" s="80"/>
      <c r="S843" s="78" t="s">
        <v>5967</v>
      </c>
      <c r="T843" s="85" t="s">
        <v>5967</v>
      </c>
      <c r="U843" s="80" t="s">
        <v>332</v>
      </c>
      <c r="V843" s="102" t="s">
        <v>429</v>
      </c>
      <c r="W843" s="79" t="s">
        <v>306</v>
      </c>
      <c r="X843" s="79" t="s">
        <v>306</v>
      </c>
      <c r="Y843" s="79"/>
      <c r="Z843" s="79"/>
    </row>
    <row r="844" ht="15.75" customHeight="1">
      <c r="A844" s="103" t="s">
        <v>24</v>
      </c>
      <c r="B844" s="77" t="s">
        <v>5968</v>
      </c>
      <c r="C844" s="80">
        <v>3.0702137221E10</v>
      </c>
      <c r="D844" s="144" t="s">
        <v>264</v>
      </c>
      <c r="E844" s="79" t="s">
        <v>2916</v>
      </c>
      <c r="F844" s="44">
        <v>6167.0</v>
      </c>
      <c r="G844" s="79" t="s">
        <v>119</v>
      </c>
      <c r="H844" s="80">
        <v>1657.0</v>
      </c>
      <c r="I844" s="79">
        <v>201000.0</v>
      </c>
      <c r="J844" s="74" t="s">
        <v>313</v>
      </c>
      <c r="K844" s="79" t="s">
        <v>4655</v>
      </c>
      <c r="L844" s="79" t="s">
        <v>453</v>
      </c>
      <c r="M844" s="79"/>
      <c r="N844" s="79">
        <v>1.0</v>
      </c>
      <c r="O844" s="74"/>
      <c r="P844" s="80"/>
      <c r="Q844" s="79"/>
      <c r="R844" s="80"/>
      <c r="S844" s="80" t="s">
        <v>5970</v>
      </c>
      <c r="T844" s="101"/>
      <c r="U844" s="80" t="s">
        <v>332</v>
      </c>
      <c r="V844" s="102" t="s">
        <v>429</v>
      </c>
      <c r="W844" s="79" t="s">
        <v>306</v>
      </c>
      <c r="X844" s="79" t="s">
        <v>306</v>
      </c>
      <c r="Y844" s="79" t="s">
        <v>309</v>
      </c>
      <c r="Z844" s="79"/>
    </row>
    <row r="845" ht="15.75" customHeight="1">
      <c r="A845" s="76" t="s">
        <v>247</v>
      </c>
      <c r="B845" s="77" t="s">
        <v>4076</v>
      </c>
      <c r="C845" s="80">
        <v>3.0709593184E10</v>
      </c>
      <c r="D845" s="119" t="s">
        <v>264</v>
      </c>
      <c r="E845" s="79" t="s">
        <v>2410</v>
      </c>
      <c r="F845" s="44">
        <v>1156.0</v>
      </c>
      <c r="G845" s="79" t="s">
        <v>68</v>
      </c>
      <c r="H845" s="80">
        <v>1702.0</v>
      </c>
      <c r="I845" s="79">
        <v>181200.0</v>
      </c>
      <c r="J845" s="74" t="s">
        <v>433</v>
      </c>
      <c r="K845" s="79" t="s">
        <v>1833</v>
      </c>
      <c r="L845" s="79"/>
      <c r="M845" s="79"/>
      <c r="N845" s="79">
        <v>4.0</v>
      </c>
      <c r="O845" s="74" t="s">
        <v>5972</v>
      </c>
      <c r="P845" s="78" t="s">
        <v>5973</v>
      </c>
      <c r="Q845" s="79" t="s">
        <v>5974</v>
      </c>
      <c r="R845" s="242" t="s">
        <v>5975</v>
      </c>
      <c r="S845" s="80" t="s">
        <v>5976</v>
      </c>
      <c r="T845" s="101" t="s">
        <v>5977</v>
      </c>
      <c r="U845" s="80" t="s">
        <v>332</v>
      </c>
      <c r="V845" s="102" t="s">
        <v>5978</v>
      </c>
      <c r="W845" s="79" t="s">
        <v>309</v>
      </c>
      <c r="X845" s="79" t="s">
        <v>309</v>
      </c>
      <c r="Y845" s="79" t="s">
        <v>309</v>
      </c>
      <c r="Z845" s="79"/>
    </row>
    <row r="846" ht="15.75" customHeight="1">
      <c r="A846" s="103" t="s">
        <v>24</v>
      </c>
      <c r="B846" s="79" t="s">
        <v>5980</v>
      </c>
      <c r="C846" s="80">
        <v>3.0548701038E10</v>
      </c>
      <c r="D846" s="119" t="s">
        <v>264</v>
      </c>
      <c r="E846" s="77" t="s">
        <v>266</v>
      </c>
      <c r="F846" s="44">
        <v>3666.0</v>
      </c>
      <c r="G846" s="79" t="s">
        <v>15</v>
      </c>
      <c r="H846" s="80">
        <v>1678.0</v>
      </c>
      <c r="I846" s="79">
        <v>222010.0</v>
      </c>
      <c r="J846" s="83" t="s">
        <v>568</v>
      </c>
      <c r="K846" s="79" t="s">
        <v>1170</v>
      </c>
      <c r="L846" s="79" t="s">
        <v>453</v>
      </c>
      <c r="M846" s="79"/>
      <c r="N846" s="79">
        <v>4.0</v>
      </c>
      <c r="O846" s="74"/>
      <c r="P846" s="80"/>
      <c r="Q846" s="79"/>
      <c r="R846" s="80"/>
      <c r="S846" s="78" t="s">
        <v>5981</v>
      </c>
      <c r="T846" s="101" t="s">
        <v>332</v>
      </c>
      <c r="U846" s="80" t="s">
        <v>332</v>
      </c>
      <c r="V846" s="102" t="s">
        <v>429</v>
      </c>
      <c r="W846" s="79" t="s">
        <v>306</v>
      </c>
      <c r="X846" s="79" t="s">
        <v>306</v>
      </c>
      <c r="Y846" s="79"/>
      <c r="Z846" s="79"/>
    </row>
    <row r="847" ht="15.75" customHeight="1">
      <c r="A847" s="76" t="s">
        <v>247</v>
      </c>
      <c r="B847" s="77" t="s">
        <v>1784</v>
      </c>
      <c r="C847" s="80">
        <v>3.0711313822E10</v>
      </c>
      <c r="D847" s="119" t="s">
        <v>264</v>
      </c>
      <c r="E847" s="79" t="s">
        <v>3987</v>
      </c>
      <c r="F847" s="44">
        <v>9422.0</v>
      </c>
      <c r="G847" s="79" t="s">
        <v>119</v>
      </c>
      <c r="H847" s="80">
        <v>1657.0</v>
      </c>
      <c r="I847" s="79">
        <v>108000.0</v>
      </c>
      <c r="J847" s="74" t="s">
        <v>22</v>
      </c>
      <c r="K847" s="79" t="s">
        <v>5983</v>
      </c>
      <c r="L847" s="79"/>
      <c r="M847" s="77" t="s">
        <v>5984</v>
      </c>
      <c r="N847" s="79">
        <v>20.0</v>
      </c>
      <c r="O847" s="74" t="s">
        <v>5985</v>
      </c>
      <c r="P847" s="78" t="s">
        <v>5986</v>
      </c>
      <c r="Q847" s="79" t="s">
        <v>5987</v>
      </c>
      <c r="R847" s="78" t="s">
        <v>5989</v>
      </c>
      <c r="S847" s="78" t="s">
        <v>5990</v>
      </c>
      <c r="T847" s="101" t="s">
        <v>5991</v>
      </c>
      <c r="U847" s="78" t="s">
        <v>5992</v>
      </c>
      <c r="V847" s="102" t="s">
        <v>5993</v>
      </c>
      <c r="W847" s="79" t="s">
        <v>309</v>
      </c>
      <c r="X847" s="79" t="s">
        <v>309</v>
      </c>
      <c r="Y847" s="79" t="s">
        <v>309</v>
      </c>
      <c r="Z847" s="79"/>
    </row>
    <row r="848" ht="15.75" customHeight="1">
      <c r="A848" s="103" t="s">
        <v>24</v>
      </c>
      <c r="B848" s="77" t="s">
        <v>5994</v>
      </c>
      <c r="C848" s="80">
        <v>3.3517819129E10</v>
      </c>
      <c r="D848" s="119" t="s">
        <v>264</v>
      </c>
      <c r="E848" s="77" t="s">
        <v>5996</v>
      </c>
      <c r="F848" s="44">
        <v>3428.0</v>
      </c>
      <c r="G848" s="77" t="s">
        <v>226</v>
      </c>
      <c r="H848" s="80">
        <v>1674.0</v>
      </c>
      <c r="I848" s="79">
        <v>382213.0</v>
      </c>
      <c r="J848" s="74" t="s">
        <v>347</v>
      </c>
      <c r="K848" s="77" t="s">
        <v>5997</v>
      </c>
      <c r="L848" s="79" t="s">
        <v>662</v>
      </c>
      <c r="M848" s="79"/>
      <c r="N848" s="79">
        <v>0.0</v>
      </c>
      <c r="O848" s="74"/>
      <c r="P848" s="80"/>
      <c r="Q848" s="79"/>
      <c r="R848" s="80"/>
      <c r="S848" s="80" t="s">
        <v>5998</v>
      </c>
      <c r="T848" s="101" t="s">
        <v>332</v>
      </c>
      <c r="U848" s="80" t="s">
        <v>332</v>
      </c>
      <c r="V848" s="102" t="s">
        <v>429</v>
      </c>
      <c r="W848" s="79" t="s">
        <v>306</v>
      </c>
      <c r="X848" s="79" t="s">
        <v>306</v>
      </c>
      <c r="Y848" s="79"/>
      <c r="Z848" s="79"/>
    </row>
    <row r="849" ht="15.75" customHeight="1">
      <c r="A849" s="76" t="s">
        <v>247</v>
      </c>
      <c r="B849" s="77" t="s">
        <v>6000</v>
      </c>
      <c r="C849" s="80">
        <v>3.0707816194E10</v>
      </c>
      <c r="D849" s="79" t="s">
        <v>264</v>
      </c>
      <c r="E849" s="79" t="s">
        <v>826</v>
      </c>
      <c r="F849" s="44">
        <v>8840.0</v>
      </c>
      <c r="G849" s="79" t="s">
        <v>175</v>
      </c>
      <c r="H849" s="80">
        <v>1657.0</v>
      </c>
      <c r="I849" s="79">
        <v>293090.0</v>
      </c>
      <c r="J849" s="74" t="s">
        <v>337</v>
      </c>
      <c r="K849" s="77" t="s">
        <v>407</v>
      </c>
      <c r="L849" s="79"/>
      <c r="M849" s="79"/>
      <c r="N849" s="79">
        <v>19.0</v>
      </c>
      <c r="O849" s="74" t="s">
        <v>6001</v>
      </c>
      <c r="P849" s="78" t="s">
        <v>6002</v>
      </c>
      <c r="Q849" s="79"/>
      <c r="R849" s="80"/>
      <c r="S849" s="80" t="s">
        <v>6004</v>
      </c>
      <c r="T849" s="101" t="s">
        <v>6005</v>
      </c>
      <c r="U849" s="80" t="s">
        <v>332</v>
      </c>
      <c r="V849" s="102" t="s">
        <v>6006</v>
      </c>
      <c r="W849" s="79" t="s">
        <v>306</v>
      </c>
      <c r="X849" s="79" t="s">
        <v>306</v>
      </c>
      <c r="Y849" s="79" t="s">
        <v>309</v>
      </c>
      <c r="Z849" s="79"/>
    </row>
    <row r="850" ht="15.0" customHeight="1">
      <c r="A850" s="103" t="s">
        <v>24</v>
      </c>
      <c r="B850" s="79" t="s">
        <v>6007</v>
      </c>
      <c r="C850" s="80">
        <v>3.0615570601E10</v>
      </c>
      <c r="D850" s="144" t="s">
        <v>631</v>
      </c>
      <c r="E850" s="79" t="s">
        <v>2348</v>
      </c>
      <c r="F850" s="44">
        <v>1636.0</v>
      </c>
      <c r="G850" s="79" t="s">
        <v>68</v>
      </c>
      <c r="H850" s="80">
        <v>1702.0</v>
      </c>
      <c r="I850" s="79">
        <v>111252.0</v>
      </c>
      <c r="J850" s="74" t="s">
        <v>5</v>
      </c>
      <c r="K850" s="79" t="s">
        <v>6009</v>
      </c>
      <c r="L850" s="79"/>
      <c r="M850" s="79"/>
      <c r="N850" s="79">
        <v>0.0</v>
      </c>
      <c r="O850" s="74"/>
      <c r="P850" s="80"/>
      <c r="Q850" s="79"/>
      <c r="R850" s="80"/>
      <c r="S850" s="80" t="s">
        <v>6010</v>
      </c>
      <c r="T850" s="101" t="s">
        <v>332</v>
      </c>
      <c r="U850" s="80" t="s">
        <v>332</v>
      </c>
      <c r="V850" s="102" t="s">
        <v>429</v>
      </c>
      <c r="W850" s="79" t="s">
        <v>306</v>
      </c>
      <c r="X850" s="79" t="s">
        <v>306</v>
      </c>
      <c r="Y850" s="79"/>
      <c r="Z850" s="79"/>
    </row>
    <row r="851" ht="15.75" customHeight="1">
      <c r="A851" s="103" t="s">
        <v>24</v>
      </c>
      <c r="B851" s="77" t="s">
        <v>6012</v>
      </c>
      <c r="C851" s="80">
        <v>2.0921556951E10</v>
      </c>
      <c r="D851" s="144" t="s">
        <v>631</v>
      </c>
      <c r="E851" s="79" t="s">
        <v>1136</v>
      </c>
      <c r="F851" s="44">
        <v>2476.0</v>
      </c>
      <c r="G851" s="79" t="s">
        <v>68</v>
      </c>
      <c r="H851" s="80">
        <v>1702.0</v>
      </c>
      <c r="I851" s="79">
        <v>329090.0</v>
      </c>
      <c r="J851" s="83" t="s">
        <v>327</v>
      </c>
      <c r="K851" s="77" t="s">
        <v>4140</v>
      </c>
      <c r="L851" s="79"/>
      <c r="M851" s="79" t="s">
        <v>6013</v>
      </c>
      <c r="N851" s="79"/>
      <c r="O851" s="83" t="s">
        <v>6014</v>
      </c>
      <c r="P851" s="80"/>
      <c r="Q851" s="77" t="s">
        <v>6015</v>
      </c>
      <c r="R851" s="78" t="s">
        <v>6016</v>
      </c>
      <c r="S851" s="80" t="s">
        <v>6018</v>
      </c>
      <c r="T851" s="85" t="s">
        <v>6019</v>
      </c>
      <c r="U851" s="80"/>
      <c r="V851" s="102" t="s">
        <v>429</v>
      </c>
      <c r="W851" s="79"/>
      <c r="X851" s="79"/>
      <c r="Y851" s="79"/>
      <c r="Z851" s="79"/>
    </row>
    <row r="852" ht="15.75" customHeight="1">
      <c r="A852" s="76" t="s">
        <v>247</v>
      </c>
      <c r="B852" s="77" t="s">
        <v>6020</v>
      </c>
      <c r="C852" s="79">
        <v>3.3714935769E10</v>
      </c>
      <c r="D852" s="77" t="s">
        <v>631</v>
      </c>
      <c r="E852" s="77" t="s">
        <v>1469</v>
      </c>
      <c r="F852" s="44">
        <v>937.0</v>
      </c>
      <c r="G852" s="79" t="s">
        <v>119</v>
      </c>
      <c r="H852" s="80">
        <v>1657.0</v>
      </c>
      <c r="I852" s="79">
        <v>329090.0</v>
      </c>
      <c r="J852" s="83" t="s">
        <v>327</v>
      </c>
      <c r="K852" s="77" t="s">
        <v>1307</v>
      </c>
      <c r="L852" s="79"/>
      <c r="M852" s="79"/>
      <c r="N852" s="79">
        <v>3.0</v>
      </c>
      <c r="O852" s="129" t="s">
        <v>6022</v>
      </c>
      <c r="P852" s="80"/>
      <c r="Q852" s="79"/>
      <c r="R852" s="80"/>
      <c r="S852" s="80" t="s">
        <v>6023</v>
      </c>
      <c r="T852" s="101" t="s">
        <v>332</v>
      </c>
      <c r="U852" s="80"/>
      <c r="V852" s="102" t="s">
        <v>429</v>
      </c>
      <c r="W852" s="79" t="s">
        <v>306</v>
      </c>
      <c r="X852" s="79" t="s">
        <v>306</v>
      </c>
      <c r="Y852" s="79" t="s">
        <v>309</v>
      </c>
      <c r="Z852" s="79"/>
    </row>
    <row r="853" ht="15.0" customHeight="1">
      <c r="A853" s="76" t="s">
        <v>247</v>
      </c>
      <c r="B853" s="77" t="s">
        <v>4081</v>
      </c>
      <c r="C853" s="80">
        <v>2.005877331E10</v>
      </c>
      <c r="D853" s="77" t="s">
        <v>631</v>
      </c>
      <c r="E853" s="79" t="s">
        <v>3052</v>
      </c>
      <c r="F853" s="44" t="s">
        <v>6024</v>
      </c>
      <c r="G853" s="79" t="s">
        <v>68</v>
      </c>
      <c r="H853" s="80">
        <v>1702.0</v>
      </c>
      <c r="I853" s="79">
        <v>202200.0</v>
      </c>
      <c r="J853" s="74" t="s">
        <v>316</v>
      </c>
      <c r="K853" s="77" t="s">
        <v>2635</v>
      </c>
      <c r="L853" s="79"/>
      <c r="M853" s="79" t="s">
        <v>5173</v>
      </c>
      <c r="N853" s="79"/>
      <c r="O853" s="79"/>
      <c r="P853" s="78" t="s">
        <v>6026</v>
      </c>
      <c r="Q853" s="77" t="s">
        <v>6027</v>
      </c>
      <c r="R853" s="78" t="s">
        <v>6028</v>
      </c>
      <c r="S853" s="78" t="s">
        <v>6029</v>
      </c>
      <c r="T853" s="78" t="s">
        <v>6030</v>
      </c>
      <c r="U853" s="80"/>
      <c r="V853" s="102" t="s">
        <v>6031</v>
      </c>
      <c r="W853" s="79"/>
      <c r="X853" s="79"/>
      <c r="Y853" s="79"/>
      <c r="Z853" s="79"/>
    </row>
    <row r="854" ht="15.0" customHeight="1">
      <c r="A854" s="76" t="s">
        <v>247</v>
      </c>
      <c r="B854" s="77" t="s">
        <v>6032</v>
      </c>
      <c r="C854" s="80">
        <v>3.0709421111E10</v>
      </c>
      <c r="D854" s="119" t="s">
        <v>264</v>
      </c>
      <c r="E854" s="77" t="s">
        <v>5948</v>
      </c>
      <c r="F854" s="44">
        <v>7041.0</v>
      </c>
      <c r="G854" s="79" t="s">
        <v>269</v>
      </c>
      <c r="H854" s="80">
        <v>1682.0</v>
      </c>
      <c r="I854" s="79">
        <v>141199.0</v>
      </c>
      <c r="J854" s="74" t="s">
        <v>448</v>
      </c>
      <c r="K854" s="77" t="s">
        <v>2765</v>
      </c>
      <c r="L854" s="79" t="s">
        <v>369</v>
      </c>
      <c r="M854" s="77" t="s">
        <v>6034</v>
      </c>
      <c r="N854" s="79">
        <v>26.0</v>
      </c>
      <c r="O854" s="74"/>
      <c r="P854" s="80"/>
      <c r="Q854" s="79"/>
      <c r="R854" s="80"/>
      <c r="S854" s="78" t="s">
        <v>6035</v>
      </c>
      <c r="T854" s="78" t="s">
        <v>6036</v>
      </c>
      <c r="U854" s="101" t="s">
        <v>6037</v>
      </c>
      <c r="V854" s="98" t="s">
        <v>6038</v>
      </c>
      <c r="W854" s="79" t="s">
        <v>309</v>
      </c>
      <c r="X854" s="79" t="s">
        <v>309</v>
      </c>
      <c r="Y854" s="79" t="s">
        <v>309</v>
      </c>
      <c r="Z854" s="79"/>
    </row>
    <row r="855" ht="15.75" customHeight="1">
      <c r="A855" s="103" t="s">
        <v>24</v>
      </c>
      <c r="B855" s="77" t="s">
        <v>6040</v>
      </c>
      <c r="C855" s="80">
        <v>3.0618209829E10</v>
      </c>
      <c r="D855" s="77" t="s">
        <v>264</v>
      </c>
      <c r="E855" s="79" t="s">
        <v>3954</v>
      </c>
      <c r="F855" s="44">
        <v>3864.0</v>
      </c>
      <c r="G855" s="79" t="s">
        <v>68</v>
      </c>
      <c r="H855" s="80">
        <v>1702.0</v>
      </c>
      <c r="I855" s="101">
        <v>241009.0</v>
      </c>
      <c r="J855" s="74" t="s">
        <v>347</v>
      </c>
      <c r="K855" s="79" t="s">
        <v>6041</v>
      </c>
      <c r="L855" s="79"/>
      <c r="M855" s="79" t="s">
        <v>6043</v>
      </c>
      <c r="N855" s="79"/>
      <c r="O855" s="79"/>
      <c r="P855" s="80"/>
      <c r="Q855" s="79"/>
      <c r="R855" s="80"/>
      <c r="S855" s="80" t="s">
        <v>6044</v>
      </c>
      <c r="T855" s="200"/>
      <c r="U855" s="80"/>
      <c r="V855" s="102" t="s">
        <v>6045</v>
      </c>
      <c r="W855" s="79"/>
      <c r="X855" s="79"/>
      <c r="Y855" s="79"/>
      <c r="Z855" s="79"/>
    </row>
    <row r="856" ht="15.0" customHeight="1">
      <c r="A856" s="103" t="s">
        <v>24</v>
      </c>
      <c r="B856" s="79" t="s">
        <v>6047</v>
      </c>
      <c r="C856" s="80">
        <v>2.0045936504E10</v>
      </c>
      <c r="D856" s="144" t="s">
        <v>631</v>
      </c>
      <c r="E856" s="79" t="s">
        <v>6048</v>
      </c>
      <c r="F856" s="44">
        <v>3524.0</v>
      </c>
      <c r="G856" s="77" t="s">
        <v>226</v>
      </c>
      <c r="H856" s="80">
        <v>1674.0</v>
      </c>
      <c r="I856" s="79">
        <v>273190.0</v>
      </c>
      <c r="J856" s="74" t="s">
        <v>185</v>
      </c>
      <c r="K856" s="77" t="s">
        <v>3591</v>
      </c>
      <c r="L856" s="79" t="s">
        <v>453</v>
      </c>
      <c r="M856" s="77" t="s">
        <v>6049</v>
      </c>
      <c r="N856" s="79"/>
      <c r="O856" s="74"/>
      <c r="P856" s="80"/>
      <c r="Q856" s="79"/>
      <c r="R856" s="80"/>
      <c r="S856" s="80" t="s">
        <v>6050</v>
      </c>
      <c r="T856" s="101" t="s">
        <v>6051</v>
      </c>
      <c r="U856" s="80"/>
      <c r="V856" s="102" t="s">
        <v>6053</v>
      </c>
      <c r="W856" s="79"/>
      <c r="X856" s="79"/>
      <c r="Y856" s="79" t="s">
        <v>309</v>
      </c>
      <c r="Z856" s="79"/>
    </row>
    <row r="857" ht="15.75" customHeight="1">
      <c r="A857" s="103" t="s">
        <v>24</v>
      </c>
      <c r="B857" s="77" t="s">
        <v>6054</v>
      </c>
      <c r="C857" s="80">
        <v>2.0933827225E10</v>
      </c>
      <c r="D857" s="77" t="s">
        <v>2519</v>
      </c>
      <c r="E857" s="77" t="s">
        <v>4857</v>
      </c>
      <c r="F857" s="44">
        <v>10495.0</v>
      </c>
      <c r="G857" s="79" t="s">
        <v>119</v>
      </c>
      <c r="H857" s="80">
        <v>1657.0</v>
      </c>
      <c r="I857" s="79">
        <v>210090.0</v>
      </c>
      <c r="J857" s="74" t="s">
        <v>261</v>
      </c>
      <c r="K857" s="77" t="s">
        <v>6055</v>
      </c>
      <c r="L857" s="79"/>
      <c r="M857" s="79"/>
      <c r="N857" s="79"/>
      <c r="O857" s="74"/>
      <c r="P857" s="80"/>
      <c r="Q857" s="79"/>
      <c r="R857" s="80"/>
      <c r="S857" s="78" t="s">
        <v>6057</v>
      </c>
      <c r="T857" s="85" t="s">
        <v>6058</v>
      </c>
      <c r="U857" s="80"/>
      <c r="V857" s="102" t="s">
        <v>6059</v>
      </c>
      <c r="W857" s="79"/>
      <c r="X857" s="79"/>
      <c r="Y857" s="79"/>
      <c r="Z857" s="79"/>
    </row>
    <row r="858" ht="15.75" customHeight="1">
      <c r="A858" s="76" t="s">
        <v>247</v>
      </c>
      <c r="B858" s="77" t="s">
        <v>6060</v>
      </c>
      <c r="C858" s="80">
        <v>3.0708352701E10</v>
      </c>
      <c r="D858" s="119" t="s">
        <v>264</v>
      </c>
      <c r="E858" s="77" t="s">
        <v>2254</v>
      </c>
      <c r="F858" s="128">
        <v>688.0</v>
      </c>
      <c r="G858" s="77" t="s">
        <v>119</v>
      </c>
      <c r="H858" s="78">
        <v>1657.0</v>
      </c>
      <c r="I858" s="79">
        <v>749290.0</v>
      </c>
      <c r="J858" s="74" t="s">
        <v>433</v>
      </c>
      <c r="K858" s="77" t="s">
        <v>2144</v>
      </c>
      <c r="L858" s="79"/>
      <c r="M858" s="79"/>
      <c r="N858" s="79">
        <v>2.0</v>
      </c>
      <c r="O858" s="74"/>
      <c r="P858" s="80"/>
      <c r="Q858" s="79"/>
      <c r="R858" s="80"/>
      <c r="S858" s="78" t="s">
        <v>6062</v>
      </c>
      <c r="T858" s="101" t="s">
        <v>332</v>
      </c>
      <c r="U858" s="80" t="s">
        <v>332</v>
      </c>
      <c r="V858" s="102" t="s">
        <v>429</v>
      </c>
      <c r="W858" s="79" t="s">
        <v>306</v>
      </c>
      <c r="X858" s="79" t="s">
        <v>306</v>
      </c>
      <c r="Y858" s="79" t="s">
        <v>309</v>
      </c>
      <c r="Z858" s="79"/>
    </row>
    <row r="859" ht="15.75" customHeight="1">
      <c r="A859" s="76" t="s">
        <v>247</v>
      </c>
      <c r="B859" s="77" t="s">
        <v>6064</v>
      </c>
      <c r="C859" s="80">
        <v>3.0684823619E10</v>
      </c>
      <c r="D859" s="79" t="s">
        <v>264</v>
      </c>
      <c r="E859" s="79" t="s">
        <v>2916</v>
      </c>
      <c r="F859" s="44">
        <v>6325.0</v>
      </c>
      <c r="G859" s="79" t="s">
        <v>119</v>
      </c>
      <c r="H859" s="80">
        <v>1657.0</v>
      </c>
      <c r="I859" s="77">
        <v>581100.0</v>
      </c>
      <c r="J859" s="74" t="s">
        <v>238</v>
      </c>
      <c r="K859" s="77" t="s">
        <v>6065</v>
      </c>
      <c r="L859" s="79"/>
      <c r="M859" s="79"/>
      <c r="N859" s="79">
        <v>26.0</v>
      </c>
      <c r="O859" s="74"/>
      <c r="P859" s="80"/>
      <c r="Q859" s="79" t="s">
        <v>6066</v>
      </c>
      <c r="R859" s="80"/>
      <c r="S859" s="80" t="s">
        <v>6067</v>
      </c>
      <c r="T859" s="101" t="s">
        <v>332</v>
      </c>
      <c r="U859" s="80" t="s">
        <v>332</v>
      </c>
      <c r="V859" s="102" t="s">
        <v>6069</v>
      </c>
      <c r="W859" s="79" t="s">
        <v>309</v>
      </c>
      <c r="X859" s="79" t="s">
        <v>309</v>
      </c>
      <c r="Y859" s="79" t="s">
        <v>309</v>
      </c>
      <c r="Z859" s="79"/>
    </row>
    <row r="860" ht="15.0" customHeight="1">
      <c r="A860" s="76" t="s">
        <v>247</v>
      </c>
      <c r="B860" s="79" t="s">
        <v>6070</v>
      </c>
      <c r="C860" s="79">
        <v>3.0714335649E10</v>
      </c>
      <c r="D860" s="77" t="s">
        <v>264</v>
      </c>
      <c r="E860" s="79" t="s">
        <v>2007</v>
      </c>
      <c r="F860" s="44">
        <v>5508.0</v>
      </c>
      <c r="G860" s="79" t="s">
        <v>15</v>
      </c>
      <c r="H860" s="80">
        <v>1678.0</v>
      </c>
      <c r="I860" s="79">
        <v>181109.0</v>
      </c>
      <c r="J860" s="74" t="s">
        <v>238</v>
      </c>
      <c r="K860" s="77" t="s">
        <v>1545</v>
      </c>
      <c r="L860" s="79"/>
      <c r="M860" s="79"/>
      <c r="N860" s="79">
        <v>9.0</v>
      </c>
      <c r="O860" s="74"/>
      <c r="P860" s="78" t="s">
        <v>6071</v>
      </c>
      <c r="Q860" s="79"/>
      <c r="R860" s="80"/>
      <c r="S860" s="80" t="s">
        <v>6073</v>
      </c>
      <c r="T860" s="101" t="s">
        <v>332</v>
      </c>
      <c r="U860" s="80" t="s">
        <v>332</v>
      </c>
      <c r="V860" s="102" t="s">
        <v>429</v>
      </c>
      <c r="W860" s="79" t="s">
        <v>306</v>
      </c>
      <c r="X860" s="79" t="s">
        <v>306</v>
      </c>
      <c r="Y860" s="79" t="s">
        <v>309</v>
      </c>
      <c r="Z860" s="79"/>
    </row>
    <row r="861" ht="15.75" customHeight="1">
      <c r="A861" s="76" t="s">
        <v>247</v>
      </c>
      <c r="B861" s="77" t="s">
        <v>6074</v>
      </c>
      <c r="C861" s="80">
        <v>3.0711924562E10</v>
      </c>
      <c r="D861" s="119" t="s">
        <v>264</v>
      </c>
      <c r="E861" s="77" t="s">
        <v>6075</v>
      </c>
      <c r="F861" s="44">
        <v>1695.0</v>
      </c>
      <c r="G861" s="79" t="s">
        <v>15</v>
      </c>
      <c r="H861" s="80">
        <v>1678.0</v>
      </c>
      <c r="I861" s="79">
        <v>181109.0</v>
      </c>
      <c r="J861" s="74" t="s">
        <v>238</v>
      </c>
      <c r="K861" s="77" t="s">
        <v>1545</v>
      </c>
      <c r="L861" s="79"/>
      <c r="M861" s="79"/>
      <c r="N861" s="79">
        <v>1.0</v>
      </c>
      <c r="O861" s="74"/>
      <c r="P861" s="80"/>
      <c r="Q861" s="79"/>
      <c r="R861" s="80"/>
      <c r="S861" s="80" t="s">
        <v>6077</v>
      </c>
      <c r="T861" s="101" t="s">
        <v>332</v>
      </c>
      <c r="U861" s="80" t="s">
        <v>332</v>
      </c>
      <c r="V861" s="102" t="s">
        <v>429</v>
      </c>
      <c r="W861" s="79" t="s">
        <v>306</v>
      </c>
      <c r="X861" s="79" t="s">
        <v>306</v>
      </c>
      <c r="Y861" s="79" t="s">
        <v>309</v>
      </c>
      <c r="Z861" s="79"/>
    </row>
    <row r="862" ht="15.75" customHeight="1">
      <c r="A862" s="103" t="s">
        <v>24</v>
      </c>
      <c r="B862" s="77" t="s">
        <v>6078</v>
      </c>
      <c r="C862" s="80">
        <v>3.0712155074E10</v>
      </c>
      <c r="D862" s="119" t="s">
        <v>264</v>
      </c>
      <c r="E862" s="79" t="s">
        <v>1212</v>
      </c>
      <c r="F862" s="44">
        <v>4622.0</v>
      </c>
      <c r="G862" s="79" t="s">
        <v>68</v>
      </c>
      <c r="H862" s="80">
        <v>1702.0</v>
      </c>
      <c r="I862" s="79">
        <v>821900.0</v>
      </c>
      <c r="J862" s="74" t="s">
        <v>433</v>
      </c>
      <c r="K862" s="79" t="s">
        <v>6080</v>
      </c>
      <c r="L862" s="79"/>
      <c r="M862" s="79"/>
      <c r="N862" s="79">
        <v>5.0</v>
      </c>
      <c r="O862" s="74"/>
      <c r="P862" s="80"/>
      <c r="Q862" s="79"/>
      <c r="R862" s="80"/>
      <c r="S862" s="101" t="s">
        <v>6081</v>
      </c>
      <c r="T862" s="101" t="s">
        <v>332</v>
      </c>
      <c r="U862" s="80" t="s">
        <v>332</v>
      </c>
      <c r="V862" s="102" t="s">
        <v>429</v>
      </c>
      <c r="W862" s="79" t="s">
        <v>306</v>
      </c>
      <c r="X862" s="79" t="s">
        <v>306</v>
      </c>
      <c r="Y862" s="79"/>
      <c r="Z862" s="79"/>
    </row>
    <row r="863" ht="15.75" customHeight="1">
      <c r="A863" s="103" t="s">
        <v>24</v>
      </c>
      <c r="B863" s="79" t="s">
        <v>6082</v>
      </c>
      <c r="C863" s="79">
        <v>3.0549474981E10</v>
      </c>
      <c r="D863" s="77" t="s">
        <v>264</v>
      </c>
      <c r="E863" s="79" t="s">
        <v>3339</v>
      </c>
      <c r="F863" s="44">
        <v>5180.0</v>
      </c>
      <c r="G863" s="79" t="s">
        <v>15</v>
      </c>
      <c r="H863" s="80">
        <v>1678.0</v>
      </c>
      <c r="I863" s="79">
        <v>181109.0</v>
      </c>
      <c r="J863" s="74" t="s">
        <v>238</v>
      </c>
      <c r="K863" s="77" t="s">
        <v>1545</v>
      </c>
      <c r="L863" s="79"/>
      <c r="M863" s="79"/>
      <c r="N863" s="79">
        <v>2.0</v>
      </c>
      <c r="O863" s="74"/>
      <c r="P863" s="80"/>
      <c r="Q863" s="79"/>
      <c r="R863" s="80"/>
      <c r="S863" s="80" t="s">
        <v>6084</v>
      </c>
      <c r="T863" s="101" t="s">
        <v>6085</v>
      </c>
      <c r="U863" s="80" t="s">
        <v>6086</v>
      </c>
      <c r="V863" s="102" t="s">
        <v>429</v>
      </c>
      <c r="W863" s="79" t="s">
        <v>309</v>
      </c>
      <c r="X863" s="79" t="s">
        <v>309</v>
      </c>
      <c r="Y863" s="79"/>
      <c r="Z863" s="79"/>
    </row>
    <row r="864" ht="15.0" customHeight="1">
      <c r="A864" s="76" t="s">
        <v>247</v>
      </c>
      <c r="B864" s="77" t="s">
        <v>6087</v>
      </c>
      <c r="C864" s="80">
        <v>3.0710388144E10</v>
      </c>
      <c r="D864" s="144" t="s">
        <v>264</v>
      </c>
      <c r="E864" s="79" t="s">
        <v>3198</v>
      </c>
      <c r="F864" s="44">
        <v>6613.0</v>
      </c>
      <c r="G864" s="79" t="s">
        <v>269</v>
      </c>
      <c r="H864" s="80">
        <v>1682.0</v>
      </c>
      <c r="I864" s="79">
        <v>749600.0</v>
      </c>
      <c r="J864" s="74" t="s">
        <v>433</v>
      </c>
      <c r="K864" s="79" t="s">
        <v>6089</v>
      </c>
      <c r="L864" s="79"/>
      <c r="M864" s="79"/>
      <c r="N864" s="79">
        <v>0.0</v>
      </c>
      <c r="O864" s="74"/>
      <c r="P864" s="80"/>
      <c r="Q864" s="79"/>
      <c r="R864" s="80"/>
      <c r="S864" s="78" t="s">
        <v>6090</v>
      </c>
      <c r="T864" s="101" t="s">
        <v>332</v>
      </c>
      <c r="U864" s="80" t="s">
        <v>332</v>
      </c>
      <c r="V864" s="102" t="s">
        <v>429</v>
      </c>
      <c r="W864" s="79" t="s">
        <v>306</v>
      </c>
      <c r="X864" s="79" t="s">
        <v>306</v>
      </c>
      <c r="Y864" s="79"/>
      <c r="Z864" s="79"/>
    </row>
    <row r="865" ht="15.0" customHeight="1">
      <c r="A865" s="76" t="s">
        <v>247</v>
      </c>
      <c r="B865" s="77" t="s">
        <v>6092</v>
      </c>
      <c r="C865" s="79">
        <v>3.0708439068E10</v>
      </c>
      <c r="D865" s="77" t="s">
        <v>264</v>
      </c>
      <c r="E865" s="79" t="s">
        <v>2443</v>
      </c>
      <c r="F865" s="44">
        <v>1221.0</v>
      </c>
      <c r="G865" s="79" t="s">
        <v>68</v>
      </c>
      <c r="H865" s="80">
        <v>1702.0</v>
      </c>
      <c r="I865" s="79">
        <v>170990.0</v>
      </c>
      <c r="J865" s="74" t="s">
        <v>283</v>
      </c>
      <c r="K865" s="77" t="s">
        <v>2385</v>
      </c>
      <c r="L865" s="79"/>
      <c r="M865" s="79"/>
      <c r="N865" s="79">
        <v>12.0</v>
      </c>
      <c r="O865" s="74"/>
      <c r="P865" s="80"/>
      <c r="Q865" s="79"/>
      <c r="R865" s="80"/>
      <c r="S865" s="78" t="s">
        <v>6093</v>
      </c>
      <c r="T865" s="85" t="s">
        <v>6094</v>
      </c>
      <c r="U865" s="78" t="s">
        <v>6096</v>
      </c>
      <c r="V865" s="102" t="s">
        <v>429</v>
      </c>
      <c r="W865" s="79" t="s">
        <v>309</v>
      </c>
      <c r="X865" s="79" t="s">
        <v>309</v>
      </c>
      <c r="Y865" s="79" t="s">
        <v>309</v>
      </c>
      <c r="Z865" s="79"/>
    </row>
    <row r="866" ht="15.75" customHeight="1">
      <c r="A866" s="103" t="s">
        <v>24</v>
      </c>
      <c r="B866" s="77" t="s">
        <v>6097</v>
      </c>
      <c r="C866" s="80">
        <v>3.0640877991E10</v>
      </c>
      <c r="D866" s="119" t="s">
        <v>264</v>
      </c>
      <c r="E866" s="77" t="s">
        <v>6075</v>
      </c>
      <c r="F866" s="44">
        <v>1695.0</v>
      </c>
      <c r="G866" s="79" t="s">
        <v>15</v>
      </c>
      <c r="H866" s="80">
        <v>1678.0</v>
      </c>
      <c r="I866" s="79">
        <v>749600.0</v>
      </c>
      <c r="J866" s="74" t="s">
        <v>433</v>
      </c>
      <c r="K866" s="77" t="s">
        <v>6098</v>
      </c>
      <c r="L866" s="79"/>
      <c r="M866" s="77" t="s">
        <v>6099</v>
      </c>
      <c r="N866" s="79">
        <v>0.0</v>
      </c>
      <c r="O866" s="74"/>
      <c r="P866" s="80"/>
      <c r="Q866" s="79"/>
      <c r="R866" s="80"/>
      <c r="S866" s="78" t="s">
        <v>6101</v>
      </c>
      <c r="T866" s="80" t="s">
        <v>6077</v>
      </c>
      <c r="U866" s="308"/>
      <c r="V866" s="102" t="s">
        <v>429</v>
      </c>
      <c r="W866" s="79" t="s">
        <v>309</v>
      </c>
      <c r="X866" s="79" t="s">
        <v>309</v>
      </c>
      <c r="Y866" s="79"/>
      <c r="Z866" s="79"/>
    </row>
    <row r="867" ht="15.75" customHeight="1">
      <c r="A867" s="76" t="s">
        <v>247</v>
      </c>
      <c r="B867" s="77" t="s">
        <v>6102</v>
      </c>
      <c r="C867" s="80">
        <v>3.0714960233E10</v>
      </c>
      <c r="D867" s="119" t="s">
        <v>264</v>
      </c>
      <c r="E867" s="79" t="s">
        <v>3987</v>
      </c>
      <c r="F867" s="44">
        <v>9631.0</v>
      </c>
      <c r="G867" s="79" t="s">
        <v>119</v>
      </c>
      <c r="H867" s="80">
        <v>1657.0</v>
      </c>
      <c r="I867" s="79">
        <v>323001.0</v>
      </c>
      <c r="J867" s="74" t="s">
        <v>448</v>
      </c>
      <c r="K867" s="79" t="s">
        <v>1428</v>
      </c>
      <c r="L867" s="79"/>
      <c r="M867" s="79"/>
      <c r="N867" s="79">
        <v>1.0</v>
      </c>
      <c r="O867" s="83" t="s">
        <v>6104</v>
      </c>
      <c r="P867" s="80"/>
      <c r="Q867" s="79" t="s">
        <v>6105</v>
      </c>
      <c r="R867" s="80"/>
      <c r="S867" s="78" t="s">
        <v>6106</v>
      </c>
      <c r="T867" s="101" t="s">
        <v>332</v>
      </c>
      <c r="U867" s="80" t="s">
        <v>332</v>
      </c>
      <c r="V867" s="102" t="s">
        <v>6107</v>
      </c>
      <c r="W867" s="79" t="s">
        <v>306</v>
      </c>
      <c r="X867" s="79" t="s">
        <v>306</v>
      </c>
      <c r="Y867" s="79" t="s">
        <v>309</v>
      </c>
      <c r="Z867" s="79"/>
    </row>
    <row r="868" ht="15.0" customHeight="1">
      <c r="A868" s="103" t="s">
        <v>24</v>
      </c>
      <c r="B868" s="77" t="s">
        <v>6108</v>
      </c>
      <c r="C868" s="80">
        <v>3.0707611576E10</v>
      </c>
      <c r="D868" s="119" t="s">
        <v>264</v>
      </c>
      <c r="E868" s="79" t="s">
        <v>3052</v>
      </c>
      <c r="F868" s="44">
        <v>43.0</v>
      </c>
      <c r="G868" s="79" t="s">
        <v>68</v>
      </c>
      <c r="H868" s="80">
        <v>1702.0</v>
      </c>
      <c r="I868" s="79">
        <v>181120.0</v>
      </c>
      <c r="J868" s="74" t="s">
        <v>448</v>
      </c>
      <c r="K868" s="77" t="s">
        <v>6110</v>
      </c>
      <c r="L868" s="79" t="s">
        <v>369</v>
      </c>
      <c r="M868" s="79"/>
      <c r="N868" s="79">
        <v>2.0</v>
      </c>
      <c r="O868" s="74"/>
      <c r="P868" s="80"/>
      <c r="Q868" s="79"/>
      <c r="R868" s="80"/>
      <c r="S868" s="78" t="s">
        <v>6111</v>
      </c>
      <c r="T868" s="101" t="s">
        <v>332</v>
      </c>
      <c r="U868" s="80" t="s">
        <v>332</v>
      </c>
      <c r="V868" s="102" t="s">
        <v>429</v>
      </c>
      <c r="W868" s="79" t="s">
        <v>306</v>
      </c>
      <c r="X868" s="79" t="s">
        <v>306</v>
      </c>
      <c r="Y868" s="79"/>
      <c r="Z868" s="79"/>
    </row>
    <row r="869" ht="15.0" customHeight="1">
      <c r="A869" s="76" t="s">
        <v>247</v>
      </c>
      <c r="B869" s="77" t="s">
        <v>1791</v>
      </c>
      <c r="C869" s="80">
        <v>3.07122946E10</v>
      </c>
      <c r="D869" s="79" t="s">
        <v>264</v>
      </c>
      <c r="E869" s="77" t="s">
        <v>6113</v>
      </c>
      <c r="F869" s="128">
        <v>871.0</v>
      </c>
      <c r="G869" s="79" t="s">
        <v>119</v>
      </c>
      <c r="H869" s="80">
        <v>1657.0</v>
      </c>
      <c r="I869" s="79">
        <v>259999.0</v>
      </c>
      <c r="J869" s="74" t="s">
        <v>347</v>
      </c>
      <c r="K869" s="77" t="s">
        <v>839</v>
      </c>
      <c r="L869" s="79" t="s">
        <v>453</v>
      </c>
      <c r="M869" s="79"/>
      <c r="N869" s="79">
        <v>21.0</v>
      </c>
      <c r="O869" s="74"/>
      <c r="P869" s="80"/>
      <c r="Q869" s="79"/>
      <c r="R869" s="80"/>
      <c r="S869" s="80" t="s">
        <v>6114</v>
      </c>
      <c r="T869" s="101" t="s">
        <v>6115</v>
      </c>
      <c r="U869" s="80" t="s">
        <v>332</v>
      </c>
      <c r="V869" s="102" t="s">
        <v>6116</v>
      </c>
      <c r="W869" s="79" t="s">
        <v>306</v>
      </c>
      <c r="X869" s="79" t="s">
        <v>306</v>
      </c>
      <c r="Y869" s="79" t="s">
        <v>309</v>
      </c>
      <c r="Z869" s="79"/>
    </row>
    <row r="870" ht="15.0" customHeight="1">
      <c r="A870" s="103" t="s">
        <v>24</v>
      </c>
      <c r="B870" s="79" t="s">
        <v>6118</v>
      </c>
      <c r="C870" s="80">
        <v>3.0567975653E10</v>
      </c>
      <c r="D870" s="144" t="s">
        <v>631</v>
      </c>
      <c r="E870" s="79" t="s">
        <v>4958</v>
      </c>
      <c r="F870" s="44">
        <v>3520.0</v>
      </c>
      <c r="G870" s="79" t="s">
        <v>15</v>
      </c>
      <c r="H870" s="80">
        <v>1678.0</v>
      </c>
      <c r="I870" s="77">
        <v>259991.0</v>
      </c>
      <c r="J870" s="74" t="s">
        <v>347</v>
      </c>
      <c r="K870" s="77" t="s">
        <v>6119</v>
      </c>
      <c r="L870" s="79" t="s">
        <v>453</v>
      </c>
      <c r="M870" s="79"/>
      <c r="N870" s="79">
        <v>2.0</v>
      </c>
      <c r="O870" s="74"/>
      <c r="P870" s="80"/>
      <c r="Q870" s="79"/>
      <c r="R870" s="80"/>
      <c r="S870" s="80" t="s">
        <v>6121</v>
      </c>
      <c r="T870" s="101" t="s">
        <v>332</v>
      </c>
      <c r="U870" s="80" t="s">
        <v>332</v>
      </c>
      <c r="V870" s="102" t="s">
        <v>429</v>
      </c>
      <c r="W870" s="79" t="s">
        <v>306</v>
      </c>
      <c r="X870" s="79" t="s">
        <v>306</v>
      </c>
      <c r="Y870" s="79"/>
      <c r="Z870" s="79"/>
    </row>
    <row r="871" ht="15.0" customHeight="1">
      <c r="A871" s="76" t="s">
        <v>247</v>
      </c>
      <c r="B871" s="77" t="s">
        <v>1795</v>
      </c>
      <c r="C871" s="80">
        <v>2.0238334862E10</v>
      </c>
      <c r="D871" s="77" t="s">
        <v>631</v>
      </c>
      <c r="E871" s="79" t="s">
        <v>15</v>
      </c>
      <c r="F871" s="44">
        <v>2720.0</v>
      </c>
      <c r="G871" s="79" t="s">
        <v>15</v>
      </c>
      <c r="H871" s="80">
        <v>1678.0</v>
      </c>
      <c r="I871" s="79">
        <v>711009.0</v>
      </c>
      <c r="J871" s="74" t="s">
        <v>433</v>
      </c>
      <c r="K871" s="77" t="s">
        <v>2325</v>
      </c>
      <c r="L871" s="79" t="s">
        <v>453</v>
      </c>
      <c r="M871" s="77" t="s">
        <v>6122</v>
      </c>
      <c r="N871" s="79"/>
      <c r="O871" s="74" t="s">
        <v>6123</v>
      </c>
      <c r="P871" s="78" t="s">
        <v>6124</v>
      </c>
      <c r="Q871" s="79"/>
      <c r="R871" s="80"/>
      <c r="S871" s="78" t="s">
        <v>6125</v>
      </c>
      <c r="T871" s="85" t="s">
        <v>6127</v>
      </c>
      <c r="U871" s="78" t="s">
        <v>6128</v>
      </c>
      <c r="V871" s="102" t="s">
        <v>6129</v>
      </c>
      <c r="W871" s="79"/>
      <c r="X871" s="79"/>
      <c r="Y871" s="79" t="s">
        <v>309</v>
      </c>
      <c r="Z871" s="79"/>
    </row>
    <row r="872" ht="15.75" customHeight="1">
      <c r="A872" s="76" t="s">
        <v>247</v>
      </c>
      <c r="B872" s="77" t="s">
        <v>6130</v>
      </c>
      <c r="C872" s="78">
        <v>2.0133159119E10</v>
      </c>
      <c r="D872" s="77" t="s">
        <v>631</v>
      </c>
      <c r="E872" s="77" t="s">
        <v>5424</v>
      </c>
      <c r="F872" s="44">
        <v>1015.0</v>
      </c>
      <c r="G872" s="77" t="s">
        <v>226</v>
      </c>
      <c r="H872" s="80">
        <v>1674.0</v>
      </c>
      <c r="I872" s="77">
        <v>310010.0</v>
      </c>
      <c r="J872" s="83" t="s">
        <v>313</v>
      </c>
      <c r="K872" s="77" t="s">
        <v>1438</v>
      </c>
      <c r="L872" s="79"/>
      <c r="M872" s="79"/>
      <c r="N872" s="79"/>
      <c r="O872" s="74"/>
      <c r="P872" s="80"/>
      <c r="Q872" s="79"/>
      <c r="R872" s="80"/>
      <c r="S872" s="80" t="s">
        <v>6132</v>
      </c>
      <c r="T872" s="101"/>
      <c r="U872" s="80"/>
      <c r="V872" s="102" t="s">
        <v>6133</v>
      </c>
      <c r="W872" s="79"/>
      <c r="X872" s="79"/>
      <c r="Y872" s="79"/>
      <c r="Z872" s="79"/>
    </row>
    <row r="873" ht="15.75" customHeight="1">
      <c r="A873" s="76" t="s">
        <v>247</v>
      </c>
      <c r="B873" s="77" t="s">
        <v>1800</v>
      </c>
      <c r="C873" s="80">
        <v>3.070903706E10</v>
      </c>
      <c r="D873" s="79" t="s">
        <v>264</v>
      </c>
      <c r="E873" s="77" t="s">
        <v>1437</v>
      </c>
      <c r="F873" s="44">
        <v>5350.0</v>
      </c>
      <c r="G873" s="79" t="s">
        <v>119</v>
      </c>
      <c r="H873" s="80">
        <v>1657.0</v>
      </c>
      <c r="I873" s="79">
        <v>243200.0</v>
      </c>
      <c r="J873" s="74" t="s">
        <v>347</v>
      </c>
      <c r="K873" s="79" t="s">
        <v>1277</v>
      </c>
      <c r="L873" s="79" t="s">
        <v>453</v>
      </c>
      <c r="M873" s="79" t="s">
        <v>6136</v>
      </c>
      <c r="N873" s="79">
        <v>57.0</v>
      </c>
      <c r="O873" s="83" t="s">
        <v>6137</v>
      </c>
      <c r="P873" s="78" t="s">
        <v>6138</v>
      </c>
      <c r="Q873" s="79"/>
      <c r="R873" s="80"/>
      <c r="S873" s="80" t="s">
        <v>6139</v>
      </c>
      <c r="T873" s="80" t="s">
        <v>6140</v>
      </c>
      <c r="U873" s="80" t="s">
        <v>332</v>
      </c>
      <c r="V873" s="102" t="s">
        <v>6141</v>
      </c>
      <c r="W873" s="79" t="s">
        <v>309</v>
      </c>
      <c r="X873" s="79" t="s">
        <v>309</v>
      </c>
      <c r="Y873" s="79" t="s">
        <v>309</v>
      </c>
      <c r="Z873" s="309"/>
    </row>
    <row r="874" ht="15.75" customHeight="1">
      <c r="A874" s="103" t="s">
        <v>24</v>
      </c>
      <c r="B874" s="77" t="s">
        <v>6143</v>
      </c>
      <c r="C874" s="80">
        <v>3.0711211396E10</v>
      </c>
      <c r="D874" s="79" t="s">
        <v>264</v>
      </c>
      <c r="E874" s="79" t="s">
        <v>5499</v>
      </c>
      <c r="F874" s="44">
        <v>4561.0</v>
      </c>
      <c r="G874" s="79" t="s">
        <v>68</v>
      </c>
      <c r="H874" s="80">
        <v>1702.0</v>
      </c>
      <c r="I874" s="79">
        <v>162909.0</v>
      </c>
      <c r="J874" s="74" t="s">
        <v>313</v>
      </c>
      <c r="K874" s="77" t="s">
        <v>3064</v>
      </c>
      <c r="L874" s="79" t="s">
        <v>1122</v>
      </c>
      <c r="M874" s="79"/>
      <c r="N874" s="79">
        <v>5.0</v>
      </c>
      <c r="O874" s="74"/>
      <c r="P874" s="80"/>
      <c r="Q874" s="79"/>
      <c r="R874" s="80"/>
      <c r="S874" s="80" t="s">
        <v>6144</v>
      </c>
      <c r="T874" s="101" t="s">
        <v>332</v>
      </c>
      <c r="U874" s="80" t="s">
        <v>332</v>
      </c>
      <c r="V874" s="102" t="s">
        <v>429</v>
      </c>
      <c r="W874" s="79" t="s">
        <v>306</v>
      </c>
      <c r="X874" s="79" t="s">
        <v>306</v>
      </c>
      <c r="Y874" s="79" t="s">
        <v>309</v>
      </c>
      <c r="Z874" s="79"/>
    </row>
    <row r="875" ht="15.0" customHeight="1">
      <c r="A875" s="103" t="s">
        <v>24</v>
      </c>
      <c r="B875" s="77" t="s">
        <v>6146</v>
      </c>
      <c r="C875" s="80">
        <v>3.0709849227E10</v>
      </c>
      <c r="D875" s="119" t="s">
        <v>264</v>
      </c>
      <c r="E875" s="77" t="s">
        <v>6147</v>
      </c>
      <c r="F875" s="44">
        <v>2314.0</v>
      </c>
      <c r="G875" s="77" t="s">
        <v>47</v>
      </c>
      <c r="H875" s="80">
        <v>1684.0</v>
      </c>
      <c r="I875" s="79">
        <v>829900.0</v>
      </c>
      <c r="J875" s="74" t="s">
        <v>433</v>
      </c>
      <c r="K875" s="77" t="s">
        <v>2924</v>
      </c>
      <c r="L875" s="79"/>
      <c r="M875" s="79"/>
      <c r="N875" s="79">
        <v>0.0</v>
      </c>
      <c r="O875" s="74"/>
      <c r="P875" s="80"/>
      <c r="Q875" s="79"/>
      <c r="R875" s="80"/>
      <c r="S875" s="78" t="s">
        <v>6148</v>
      </c>
      <c r="T875" s="101" t="s">
        <v>332</v>
      </c>
      <c r="U875" s="80" t="s">
        <v>332</v>
      </c>
      <c r="V875" s="102" t="s">
        <v>429</v>
      </c>
      <c r="W875" s="79" t="s">
        <v>306</v>
      </c>
      <c r="X875" s="79" t="s">
        <v>306</v>
      </c>
      <c r="Y875" s="79"/>
      <c r="Z875" s="79"/>
    </row>
    <row r="876" ht="15.75" customHeight="1">
      <c r="A876" s="76" t="s">
        <v>247</v>
      </c>
      <c r="B876" s="77" t="s">
        <v>6150</v>
      </c>
      <c r="C876" s="80">
        <v>3.0709499374E10</v>
      </c>
      <c r="D876" s="119" t="s">
        <v>264</v>
      </c>
      <c r="E876" s="79" t="s">
        <v>1088</v>
      </c>
      <c r="F876" s="44">
        <v>4724.0</v>
      </c>
      <c r="G876" s="79" t="s">
        <v>15</v>
      </c>
      <c r="H876" s="80">
        <v>1678.0</v>
      </c>
      <c r="I876" s="79">
        <v>251200.0</v>
      </c>
      <c r="J876" s="74" t="s">
        <v>347</v>
      </c>
      <c r="K876" s="79" t="s">
        <v>6151</v>
      </c>
      <c r="L876" s="79" t="s">
        <v>453</v>
      </c>
      <c r="M876" s="79"/>
      <c r="N876" s="79">
        <v>4.0</v>
      </c>
      <c r="O876" s="74"/>
      <c r="P876" s="80"/>
      <c r="Q876" s="79"/>
      <c r="R876" s="80"/>
      <c r="S876" s="80" t="s">
        <v>6152</v>
      </c>
      <c r="T876" s="101" t="s">
        <v>332</v>
      </c>
      <c r="U876" s="80" t="s">
        <v>332</v>
      </c>
      <c r="V876" s="102" t="s">
        <v>429</v>
      </c>
      <c r="W876" s="79" t="s">
        <v>306</v>
      </c>
      <c r="X876" s="79" t="s">
        <v>306</v>
      </c>
      <c r="Y876" s="79" t="s">
        <v>309</v>
      </c>
      <c r="Z876" s="79"/>
    </row>
    <row r="877" ht="15.75" customHeight="1">
      <c r="A877" s="103" t="s">
        <v>24</v>
      </c>
      <c r="B877" s="77" t="s">
        <v>6154</v>
      </c>
      <c r="C877" s="80">
        <v>3.0711633002E10</v>
      </c>
      <c r="D877" s="119" t="s">
        <v>264</v>
      </c>
      <c r="E877" s="77" t="s">
        <v>1427</v>
      </c>
      <c r="F877" s="44">
        <v>2542.0</v>
      </c>
      <c r="G877" s="79" t="s">
        <v>15</v>
      </c>
      <c r="H877" s="80">
        <v>1678.0</v>
      </c>
      <c r="I877" s="79">
        <v>801090.0</v>
      </c>
      <c r="J877" s="74" t="s">
        <v>433</v>
      </c>
      <c r="K877" s="77" t="s">
        <v>484</v>
      </c>
      <c r="L877" s="79"/>
      <c r="M877" s="79"/>
      <c r="N877" s="79">
        <v>9.0</v>
      </c>
      <c r="O877" s="74"/>
      <c r="P877" s="80"/>
      <c r="Q877" s="79"/>
      <c r="R877" s="80"/>
      <c r="S877" s="78" t="s">
        <v>6155</v>
      </c>
      <c r="T877" s="85" t="s">
        <v>6157</v>
      </c>
      <c r="U877" s="80" t="s">
        <v>332</v>
      </c>
      <c r="V877" s="102" t="s">
        <v>6158</v>
      </c>
      <c r="W877" s="79" t="s">
        <v>306</v>
      </c>
      <c r="X877" s="79" t="s">
        <v>306</v>
      </c>
      <c r="Y877" s="79"/>
      <c r="Z877" s="79"/>
    </row>
    <row r="878" ht="15.75" customHeight="1">
      <c r="A878" s="103" t="s">
        <v>24</v>
      </c>
      <c r="B878" s="77" t="s">
        <v>6159</v>
      </c>
      <c r="C878" s="80">
        <v>3.0710707673E10</v>
      </c>
      <c r="D878" s="119" t="s">
        <v>264</v>
      </c>
      <c r="E878" s="79" t="s">
        <v>314</v>
      </c>
      <c r="F878" s="44">
        <v>5054.0</v>
      </c>
      <c r="G878" s="79" t="s">
        <v>15</v>
      </c>
      <c r="H878" s="80">
        <v>1678.0</v>
      </c>
      <c r="I878" s="79">
        <v>410011.0</v>
      </c>
      <c r="J878" s="74" t="s">
        <v>125</v>
      </c>
      <c r="K878" s="79" t="s">
        <v>1829</v>
      </c>
      <c r="L878" s="79" t="s">
        <v>453</v>
      </c>
      <c r="M878" s="79"/>
      <c r="N878" s="79">
        <v>0.0</v>
      </c>
      <c r="O878" s="74"/>
      <c r="P878" s="80"/>
      <c r="Q878" s="79"/>
      <c r="R878" s="80"/>
      <c r="S878" s="78">
        <v>4.7346052E7</v>
      </c>
      <c r="T878" s="101" t="s">
        <v>332</v>
      </c>
      <c r="U878" s="80" t="s">
        <v>332</v>
      </c>
      <c r="V878" s="102" t="s">
        <v>429</v>
      </c>
      <c r="W878" s="79" t="s">
        <v>306</v>
      </c>
      <c r="X878" s="79" t="s">
        <v>306</v>
      </c>
      <c r="Y878" s="79"/>
      <c r="Z878" s="79"/>
    </row>
    <row r="879" ht="15.0" customHeight="1">
      <c r="A879" s="103" t="s">
        <v>24</v>
      </c>
      <c r="B879" s="77" t="s">
        <v>6162</v>
      </c>
      <c r="C879" s="80">
        <v>3.0713215801E10</v>
      </c>
      <c r="D879" s="119" t="s">
        <v>264</v>
      </c>
      <c r="E879" s="79" t="s">
        <v>2186</v>
      </c>
      <c r="F879" s="44">
        <v>3911.0</v>
      </c>
      <c r="G879" s="79" t="s">
        <v>68</v>
      </c>
      <c r="H879" s="80">
        <v>1702.0</v>
      </c>
      <c r="I879" s="79">
        <v>711009.0</v>
      </c>
      <c r="J879" s="74" t="s">
        <v>433</v>
      </c>
      <c r="K879" s="77" t="s">
        <v>2325</v>
      </c>
      <c r="L879" s="79"/>
      <c r="M879" s="79"/>
      <c r="N879" s="79">
        <v>1.0</v>
      </c>
      <c r="O879" s="74"/>
      <c r="P879" s="80"/>
      <c r="Q879" s="79"/>
      <c r="R879" s="80"/>
      <c r="S879" s="78" t="s">
        <v>6163</v>
      </c>
      <c r="T879" s="101" t="s">
        <v>332</v>
      </c>
      <c r="U879" s="80" t="s">
        <v>332</v>
      </c>
      <c r="V879" s="102" t="s">
        <v>6165</v>
      </c>
      <c r="W879" s="79" t="s">
        <v>306</v>
      </c>
      <c r="X879" s="79" t="s">
        <v>306</v>
      </c>
      <c r="Y879" s="79"/>
      <c r="Z879" s="79"/>
    </row>
    <row r="880" ht="15.0" customHeight="1">
      <c r="A880" s="76" t="s">
        <v>247</v>
      </c>
      <c r="B880" s="77" t="s">
        <v>1805</v>
      </c>
      <c r="C880" s="101">
        <v>3.0710637152E10</v>
      </c>
      <c r="D880" s="79" t="s">
        <v>264</v>
      </c>
      <c r="E880" s="79" t="s">
        <v>2960</v>
      </c>
      <c r="F880" s="44">
        <v>2060.0</v>
      </c>
      <c r="G880" s="79" t="s">
        <v>134</v>
      </c>
      <c r="H880" s="78">
        <v>1682.0</v>
      </c>
      <c r="I880" s="77">
        <v>251101.0</v>
      </c>
      <c r="J880" s="83" t="s">
        <v>125</v>
      </c>
      <c r="K880" s="77" t="s">
        <v>6167</v>
      </c>
      <c r="L880" s="79"/>
      <c r="M880" s="79" t="s">
        <v>6168</v>
      </c>
      <c r="N880" s="79"/>
      <c r="O880" s="79"/>
      <c r="P880" s="80"/>
      <c r="Q880" s="79"/>
      <c r="R880" s="80"/>
      <c r="S880" s="78" t="s">
        <v>6169</v>
      </c>
      <c r="T880" s="101"/>
      <c r="U880" s="80"/>
      <c r="V880" s="102" t="s">
        <v>6170</v>
      </c>
      <c r="W880" s="79"/>
      <c r="X880" s="79"/>
      <c r="Y880" s="79"/>
      <c r="Z880" s="79"/>
    </row>
    <row r="881" ht="15.75" customHeight="1">
      <c r="A881" s="76" t="s">
        <v>247</v>
      </c>
      <c r="B881" s="77" t="s">
        <v>6172</v>
      </c>
      <c r="C881" s="80">
        <v>3.0707894993E10</v>
      </c>
      <c r="D881" s="79" t="s">
        <v>264</v>
      </c>
      <c r="E881" s="79" t="s">
        <v>2938</v>
      </c>
      <c r="F881" s="44">
        <v>2063.0</v>
      </c>
      <c r="G881" s="79" t="s">
        <v>68</v>
      </c>
      <c r="H881" s="80">
        <v>1702.0</v>
      </c>
      <c r="I881" s="79">
        <v>231090.0</v>
      </c>
      <c r="J881" s="74" t="s">
        <v>457</v>
      </c>
      <c r="K881" s="77" t="s">
        <v>2477</v>
      </c>
      <c r="L881" s="79"/>
      <c r="M881" s="79"/>
      <c r="N881" s="79">
        <v>14.0</v>
      </c>
      <c r="O881" s="74"/>
      <c r="P881" s="80"/>
      <c r="Q881" s="79"/>
      <c r="R881" s="80"/>
      <c r="S881" s="78" t="s">
        <v>6173</v>
      </c>
      <c r="T881" s="85" t="s">
        <v>6173</v>
      </c>
      <c r="U881" s="80" t="s">
        <v>332</v>
      </c>
      <c r="V881" s="102" t="s">
        <v>6174</v>
      </c>
      <c r="W881" s="79" t="s">
        <v>309</v>
      </c>
      <c r="X881" s="79" t="s">
        <v>309</v>
      </c>
      <c r="Y881" s="79" t="s">
        <v>309</v>
      </c>
      <c r="Z881" s="79"/>
    </row>
    <row r="882" ht="15.0" customHeight="1">
      <c r="A882" s="76" t="s">
        <v>247</v>
      </c>
      <c r="B882" s="77" t="s">
        <v>6176</v>
      </c>
      <c r="C882" s="80">
        <v>3.0710015461E10</v>
      </c>
      <c r="D882" s="119" t="s">
        <v>264</v>
      </c>
      <c r="E882" s="77" t="s">
        <v>3205</v>
      </c>
      <c r="F882" s="44">
        <v>1431.0</v>
      </c>
      <c r="G882" s="79" t="s">
        <v>285</v>
      </c>
      <c r="H882" s="80">
        <v>1674.0</v>
      </c>
      <c r="I882" s="79">
        <v>152011.0</v>
      </c>
      <c r="J882" s="74" t="s">
        <v>73</v>
      </c>
      <c r="K882" s="79" t="s">
        <v>1471</v>
      </c>
      <c r="L882" s="79"/>
      <c r="M882" s="79"/>
      <c r="N882" s="79">
        <v>27.0</v>
      </c>
      <c r="O882" s="74"/>
      <c r="P882" s="80"/>
      <c r="Q882" s="79"/>
      <c r="R882" s="80"/>
      <c r="S882" s="78" t="s">
        <v>6177</v>
      </c>
      <c r="T882" s="101" t="s">
        <v>6178</v>
      </c>
      <c r="U882" s="78" t="s">
        <v>6179</v>
      </c>
      <c r="V882" s="102" t="s">
        <v>429</v>
      </c>
      <c r="W882" s="79" t="s">
        <v>306</v>
      </c>
      <c r="X882" s="79" t="s">
        <v>306</v>
      </c>
      <c r="Y882" s="79" t="s">
        <v>309</v>
      </c>
      <c r="Z882" s="79"/>
    </row>
    <row r="883" ht="15.0" customHeight="1">
      <c r="A883" s="76" t="s">
        <v>247</v>
      </c>
      <c r="B883" s="77" t="s">
        <v>1808</v>
      </c>
      <c r="C883" s="80">
        <v>3.3624658529E10</v>
      </c>
      <c r="D883" s="119" t="s">
        <v>264</v>
      </c>
      <c r="E883" s="79" t="s">
        <v>2333</v>
      </c>
      <c r="F883" s="128" t="s">
        <v>6181</v>
      </c>
      <c r="G883" s="79" t="s">
        <v>68</v>
      </c>
      <c r="H883" s="80">
        <v>1702.0</v>
      </c>
      <c r="I883" s="79">
        <v>202908.0</v>
      </c>
      <c r="J883" s="74" t="s">
        <v>238</v>
      </c>
      <c r="K883" s="77" t="s">
        <v>1153</v>
      </c>
      <c r="L883" s="79"/>
      <c r="M883" s="77" t="s">
        <v>6182</v>
      </c>
      <c r="N883" s="77">
        <v>77.0</v>
      </c>
      <c r="O883" s="83" t="s">
        <v>6183</v>
      </c>
      <c r="P883" s="80"/>
      <c r="Q883" s="144" t="s">
        <v>6184</v>
      </c>
      <c r="R883" s="78" t="s">
        <v>6185</v>
      </c>
      <c r="S883" s="78" t="s">
        <v>6186</v>
      </c>
      <c r="T883" s="85" t="s">
        <v>6188</v>
      </c>
      <c r="U883" s="78" t="s">
        <v>6189</v>
      </c>
      <c r="V883" s="102" t="s">
        <v>6190</v>
      </c>
      <c r="W883" s="79" t="s">
        <v>309</v>
      </c>
      <c r="X883" s="79" t="s">
        <v>309</v>
      </c>
      <c r="Y883" s="79" t="s">
        <v>309</v>
      </c>
      <c r="Z883" s="79"/>
    </row>
    <row r="884" ht="15.75" customHeight="1">
      <c r="A884" s="76" t="s">
        <v>247</v>
      </c>
      <c r="B884" s="77" t="s">
        <v>6191</v>
      </c>
      <c r="C884" s="79">
        <v>3.052012901E10</v>
      </c>
      <c r="D884" s="77" t="s">
        <v>264</v>
      </c>
      <c r="E884" s="77" t="s">
        <v>1070</v>
      </c>
      <c r="F884" s="44">
        <v>977.0</v>
      </c>
      <c r="G884" s="79" t="s">
        <v>68</v>
      </c>
      <c r="H884" s="80">
        <v>1702.0</v>
      </c>
      <c r="I884" s="79">
        <v>329090.0</v>
      </c>
      <c r="J884" s="83" t="s">
        <v>327</v>
      </c>
      <c r="K884" s="77" t="s">
        <v>1307</v>
      </c>
      <c r="L884" s="79"/>
      <c r="M884" s="79"/>
      <c r="N884" s="79">
        <v>11.0</v>
      </c>
      <c r="O884" s="74"/>
      <c r="P884" s="80"/>
      <c r="Q884" s="79"/>
      <c r="R884" s="80"/>
      <c r="S884" s="78" t="s">
        <v>6193</v>
      </c>
      <c r="T884" s="85" t="s">
        <v>6194</v>
      </c>
      <c r="U884" s="80" t="s">
        <v>332</v>
      </c>
      <c r="V884" s="102" t="s">
        <v>6195</v>
      </c>
      <c r="W884" s="79" t="s">
        <v>309</v>
      </c>
      <c r="X884" s="79" t="s">
        <v>309</v>
      </c>
      <c r="Y884" s="79" t="s">
        <v>309</v>
      </c>
      <c r="Z884" s="79"/>
    </row>
    <row r="885" ht="15.75" customHeight="1">
      <c r="A885" s="103" t="s">
        <v>24</v>
      </c>
      <c r="B885" s="77" t="s">
        <v>6197</v>
      </c>
      <c r="C885" s="80">
        <v>3.0503325558E10</v>
      </c>
      <c r="D885" s="79" t="s">
        <v>264</v>
      </c>
      <c r="E885" s="79" t="s">
        <v>532</v>
      </c>
      <c r="F885" s="44">
        <v>45.0</v>
      </c>
      <c r="G885" s="79" t="s">
        <v>68</v>
      </c>
      <c r="H885" s="80">
        <v>1702.0</v>
      </c>
      <c r="I885" s="79">
        <v>251909.0</v>
      </c>
      <c r="J885" s="74" t="s">
        <v>88</v>
      </c>
      <c r="K885" s="82" t="s">
        <v>2473</v>
      </c>
      <c r="L885" s="79"/>
      <c r="M885" s="79"/>
      <c r="N885" s="79">
        <v>0.0</v>
      </c>
      <c r="O885" s="74"/>
      <c r="P885" s="80"/>
      <c r="Q885" s="79"/>
      <c r="R885" s="80"/>
      <c r="S885" s="80" t="s">
        <v>6198</v>
      </c>
      <c r="T885" s="101" t="s">
        <v>332</v>
      </c>
      <c r="U885" s="80" t="s">
        <v>332</v>
      </c>
      <c r="V885" s="102" t="s">
        <v>429</v>
      </c>
      <c r="W885" s="79" t="s">
        <v>306</v>
      </c>
      <c r="X885" s="79" t="s">
        <v>306</v>
      </c>
      <c r="Y885" s="79"/>
      <c r="Z885" s="79"/>
    </row>
    <row r="886" ht="15.0" customHeight="1">
      <c r="A886" s="76" t="s">
        <v>247</v>
      </c>
      <c r="B886" s="79" t="s">
        <v>6200</v>
      </c>
      <c r="C886" s="80">
        <v>2.3179968339E10</v>
      </c>
      <c r="D886" s="77" t="s">
        <v>631</v>
      </c>
      <c r="E886" s="77" t="s">
        <v>6201</v>
      </c>
      <c r="F886" s="44">
        <v>2368.0</v>
      </c>
      <c r="G886" s="79" t="s">
        <v>175</v>
      </c>
      <c r="H886" s="80">
        <v>1657.0</v>
      </c>
      <c r="I886" s="77">
        <v>329030.0</v>
      </c>
      <c r="J886" s="74" t="s">
        <v>433</v>
      </c>
      <c r="K886" s="77" t="s">
        <v>6202</v>
      </c>
      <c r="L886" s="79"/>
      <c r="M886" s="79"/>
      <c r="N886" s="79"/>
      <c r="O886" s="74"/>
      <c r="P886" s="80"/>
      <c r="Q886" s="176"/>
      <c r="R886" s="80"/>
      <c r="S886" s="101" t="s">
        <v>6203</v>
      </c>
      <c r="T886" s="101"/>
      <c r="U886" s="80"/>
      <c r="V886" s="102" t="s">
        <v>429</v>
      </c>
      <c r="W886" s="79"/>
      <c r="X886" s="79"/>
      <c r="Y886" s="79"/>
      <c r="Z886" s="79"/>
    </row>
    <row r="887" ht="15.0" customHeight="1">
      <c r="A887" s="76" t="s">
        <v>247</v>
      </c>
      <c r="B887" s="79" t="s">
        <v>6204</v>
      </c>
      <c r="C887" s="80">
        <v>2.0102330782E10</v>
      </c>
      <c r="D887" s="77" t="s">
        <v>631</v>
      </c>
      <c r="E887" s="79" t="s">
        <v>2362</v>
      </c>
      <c r="F887" s="44">
        <v>4262.0</v>
      </c>
      <c r="G887" s="77" t="s">
        <v>15</v>
      </c>
      <c r="H887" s="78">
        <v>1678.0</v>
      </c>
      <c r="I887" s="77">
        <v>259200.0</v>
      </c>
      <c r="J887" s="83" t="s">
        <v>347</v>
      </c>
      <c r="K887" s="77" t="s">
        <v>1324</v>
      </c>
      <c r="L887" s="79"/>
      <c r="M887" s="79"/>
      <c r="N887" s="79"/>
      <c r="O887" s="74"/>
      <c r="P887" s="80"/>
      <c r="Q887" s="79"/>
      <c r="R887" s="80"/>
      <c r="S887" s="101" t="s">
        <v>6206</v>
      </c>
      <c r="T887" s="101"/>
      <c r="U887" s="80"/>
      <c r="V887" s="102" t="s">
        <v>429</v>
      </c>
      <c r="W887" s="79"/>
      <c r="X887" s="79"/>
      <c r="Y887" s="79"/>
      <c r="Z887" s="79"/>
    </row>
    <row r="888" ht="15.0" customHeight="1">
      <c r="A888" s="103" t="s">
        <v>24</v>
      </c>
      <c r="B888" s="79" t="s">
        <v>6207</v>
      </c>
      <c r="C888" s="80">
        <v>2.3166571359E10</v>
      </c>
      <c r="D888" s="77" t="s">
        <v>631</v>
      </c>
      <c r="E888" s="79" t="s">
        <v>2872</v>
      </c>
      <c r="F888" s="44">
        <v>2783.0</v>
      </c>
      <c r="G888" s="79" t="s">
        <v>15</v>
      </c>
      <c r="H888" s="80">
        <v>1678.0</v>
      </c>
      <c r="I888" s="79">
        <v>282909.0</v>
      </c>
      <c r="J888" s="74" t="s">
        <v>261</v>
      </c>
      <c r="K888" s="77" t="s">
        <v>2642</v>
      </c>
      <c r="L888" s="79"/>
      <c r="M888" s="79"/>
      <c r="N888" s="79"/>
      <c r="O888" s="74"/>
      <c r="P888" s="80"/>
      <c r="Q888" s="79"/>
      <c r="R888" s="80"/>
      <c r="S888" s="78" t="s">
        <v>6209</v>
      </c>
      <c r="T888" s="101"/>
      <c r="U888" s="80"/>
      <c r="V888" s="102" t="s">
        <v>429</v>
      </c>
      <c r="W888" s="79"/>
      <c r="X888" s="79"/>
      <c r="Y888" s="79"/>
      <c r="Z888" s="79"/>
    </row>
    <row r="889" ht="15.75" customHeight="1">
      <c r="A889" s="103" t="s">
        <v>24</v>
      </c>
      <c r="B889" s="77" t="s">
        <v>6210</v>
      </c>
      <c r="C889" s="80">
        <v>3.061121382E10</v>
      </c>
      <c r="D889" s="119" t="s">
        <v>264</v>
      </c>
      <c r="E889" s="79" t="s">
        <v>6212</v>
      </c>
      <c r="F889" s="44">
        <v>613.0</v>
      </c>
      <c r="G889" s="79" t="s">
        <v>68</v>
      </c>
      <c r="H889" s="80">
        <v>1702.0</v>
      </c>
      <c r="I889" s="79">
        <v>383961.0</v>
      </c>
      <c r="J889" s="83" t="s">
        <v>207</v>
      </c>
      <c r="K889" s="79" t="s">
        <v>6213</v>
      </c>
      <c r="L889" s="79"/>
      <c r="M889" s="79"/>
      <c r="N889" s="79">
        <v>0.0</v>
      </c>
      <c r="O889" s="74"/>
      <c r="P889" s="80"/>
      <c r="Q889" s="79"/>
      <c r="R889" s="80"/>
      <c r="S889" s="78" t="s">
        <v>6214</v>
      </c>
      <c r="T889" s="101" t="s">
        <v>332</v>
      </c>
      <c r="U889" s="80" t="s">
        <v>332</v>
      </c>
      <c r="V889" s="102" t="s">
        <v>429</v>
      </c>
      <c r="W889" s="79" t="s">
        <v>306</v>
      </c>
      <c r="X889" s="79" t="s">
        <v>306</v>
      </c>
      <c r="Y889" s="79"/>
      <c r="Z889" s="79"/>
    </row>
    <row r="890" ht="15.0" customHeight="1">
      <c r="A890" s="76" t="s">
        <v>247</v>
      </c>
      <c r="B890" s="77" t="s">
        <v>1817</v>
      </c>
      <c r="C890" s="78">
        <v>3.0548089405E10</v>
      </c>
      <c r="D890" s="79" t="s">
        <v>264</v>
      </c>
      <c r="E890" s="79" t="s">
        <v>3833</v>
      </c>
      <c r="F890" s="128">
        <v>5100.0</v>
      </c>
      <c r="G890" s="79" t="s">
        <v>15</v>
      </c>
      <c r="H890" s="80">
        <v>1678.0</v>
      </c>
      <c r="I890" s="77">
        <v>170202.0</v>
      </c>
      <c r="J890" s="74" t="s">
        <v>283</v>
      </c>
      <c r="K890" s="77" t="s">
        <v>6216</v>
      </c>
      <c r="L890" s="79"/>
      <c r="M890" s="79"/>
      <c r="N890" s="79">
        <v>13.0</v>
      </c>
      <c r="O890" s="83" t="s">
        <v>6217</v>
      </c>
      <c r="P890" s="78" t="s">
        <v>6218</v>
      </c>
      <c r="Q890" s="79"/>
      <c r="R890" s="80"/>
      <c r="S890" s="80" t="s">
        <v>6219</v>
      </c>
      <c r="T890" s="101" t="s">
        <v>332</v>
      </c>
      <c r="U890" s="80" t="s">
        <v>332</v>
      </c>
      <c r="V890" s="102" t="s">
        <v>6220</v>
      </c>
      <c r="W890" s="79" t="s">
        <v>309</v>
      </c>
      <c r="X890" s="79" t="s">
        <v>309</v>
      </c>
      <c r="Y890" s="79" t="s">
        <v>309</v>
      </c>
      <c r="Z890" s="79"/>
    </row>
    <row r="891" ht="15.75" customHeight="1">
      <c r="A891" s="76" t="s">
        <v>247</v>
      </c>
      <c r="B891" s="77" t="s">
        <v>6222</v>
      </c>
      <c r="C891" s="79">
        <v>3.0711951527E10</v>
      </c>
      <c r="D891" s="77" t="s">
        <v>264</v>
      </c>
      <c r="E891" s="79" t="s">
        <v>1088</v>
      </c>
      <c r="F891" s="44">
        <v>4718.0</v>
      </c>
      <c r="G891" s="79" t="s">
        <v>15</v>
      </c>
      <c r="H891" s="80">
        <v>1678.0</v>
      </c>
      <c r="I891" s="79">
        <v>432920.0</v>
      </c>
      <c r="J891" s="74" t="s">
        <v>433</v>
      </c>
      <c r="K891" s="79" t="s">
        <v>2235</v>
      </c>
      <c r="L891" s="79"/>
      <c r="M891" s="79"/>
      <c r="N891" s="79">
        <v>5.0</v>
      </c>
      <c r="O891" s="74"/>
      <c r="P891" s="80"/>
      <c r="Q891" s="79"/>
      <c r="R891" s="80"/>
      <c r="S891" s="80" t="s">
        <v>6224</v>
      </c>
      <c r="T891" s="101"/>
      <c r="U891" s="80" t="s">
        <v>332</v>
      </c>
      <c r="V891" s="102" t="s">
        <v>6225</v>
      </c>
      <c r="W891" s="79" t="s">
        <v>306</v>
      </c>
      <c r="X891" s="79" t="s">
        <v>306</v>
      </c>
      <c r="Y891" s="79"/>
      <c r="Z891" s="79"/>
    </row>
    <row r="892" ht="15.75" customHeight="1">
      <c r="A892" s="103" t="s">
        <v>24</v>
      </c>
      <c r="B892" s="79" t="s">
        <v>6226</v>
      </c>
      <c r="C892" s="80">
        <v>2.0045956211E10</v>
      </c>
      <c r="D892" s="77" t="s">
        <v>631</v>
      </c>
      <c r="E892" s="288" t="s">
        <v>4565</v>
      </c>
      <c r="F892" s="44">
        <v>3446.0</v>
      </c>
      <c r="G892" s="79" t="s">
        <v>15</v>
      </c>
      <c r="H892" s="80">
        <v>1678.0</v>
      </c>
      <c r="I892" s="79">
        <v>960990.0</v>
      </c>
      <c r="J892" s="74" t="s">
        <v>433</v>
      </c>
      <c r="K892" s="77" t="s">
        <v>3982</v>
      </c>
      <c r="L892" s="79"/>
      <c r="M892" s="79" t="s">
        <v>6227</v>
      </c>
      <c r="N892" s="79"/>
      <c r="O892" s="74"/>
      <c r="P892" s="80"/>
      <c r="Q892" s="79"/>
      <c r="R892" s="80"/>
      <c r="S892" s="80"/>
      <c r="T892" s="101"/>
      <c r="U892" s="80"/>
      <c r="V892" s="102" t="s">
        <v>429</v>
      </c>
      <c r="W892" s="79"/>
      <c r="X892" s="79"/>
      <c r="Y892" s="79"/>
      <c r="Z892" s="79"/>
    </row>
    <row r="893" ht="15.75" customHeight="1">
      <c r="A893" s="76" t="s">
        <v>247</v>
      </c>
      <c r="B893" s="119" t="s">
        <v>6229</v>
      </c>
      <c r="C893" s="78" t="s">
        <v>2517</v>
      </c>
      <c r="D893" s="79" t="s">
        <v>264</v>
      </c>
      <c r="E893" s="77" t="s">
        <v>1070</v>
      </c>
      <c r="F893" s="44">
        <v>45.0</v>
      </c>
      <c r="G893" s="79" t="s">
        <v>68</v>
      </c>
      <c r="H893" s="80">
        <v>1702.0</v>
      </c>
      <c r="I893" s="78" t="s">
        <v>2519</v>
      </c>
      <c r="J893" s="74" t="s">
        <v>316</v>
      </c>
      <c r="K893" s="77" t="s">
        <v>6230</v>
      </c>
      <c r="L893" s="79"/>
      <c r="M893" s="79" t="s">
        <v>6231</v>
      </c>
      <c r="N893" s="79"/>
      <c r="O893" s="79"/>
      <c r="P893" s="80"/>
      <c r="Q893" s="79"/>
      <c r="R893" s="80"/>
      <c r="S893" s="80" t="s">
        <v>6233</v>
      </c>
      <c r="T893" s="101"/>
      <c r="U893" s="80"/>
      <c r="V893" s="98" t="s">
        <v>6234</v>
      </c>
      <c r="W893" s="79"/>
      <c r="X893" s="79"/>
      <c r="Y893" s="79"/>
      <c r="Z893" s="79"/>
    </row>
    <row r="894" ht="15.75" customHeight="1">
      <c r="A894" s="103" t="s">
        <v>24</v>
      </c>
      <c r="B894" s="77" t="s">
        <v>6235</v>
      </c>
      <c r="C894" s="79">
        <v>3.0697676542E10</v>
      </c>
      <c r="D894" s="77" t="s">
        <v>264</v>
      </c>
      <c r="E894" s="77" t="s">
        <v>1828</v>
      </c>
      <c r="F894" s="44">
        <v>651.0</v>
      </c>
      <c r="G894" s="77" t="s">
        <v>226</v>
      </c>
      <c r="H894" s="80">
        <v>1674.0</v>
      </c>
      <c r="I894" s="79">
        <v>210202.0</v>
      </c>
      <c r="J894" s="74" t="s">
        <v>283</v>
      </c>
      <c r="K894" s="79" t="s">
        <v>6237</v>
      </c>
      <c r="L894" s="79"/>
      <c r="M894" s="79"/>
      <c r="N894" s="79">
        <v>1.0</v>
      </c>
      <c r="O894" s="74"/>
      <c r="P894" s="80"/>
      <c r="Q894" s="79"/>
      <c r="R894" s="80"/>
      <c r="S894" s="80" t="s">
        <v>6238</v>
      </c>
      <c r="T894" s="101" t="s">
        <v>332</v>
      </c>
      <c r="U894" s="80" t="s">
        <v>332</v>
      </c>
      <c r="V894" s="102" t="s">
        <v>429</v>
      </c>
      <c r="W894" s="79" t="s">
        <v>309</v>
      </c>
      <c r="X894" s="79" t="s">
        <v>309</v>
      </c>
      <c r="Y894" s="79"/>
      <c r="Z894" s="79"/>
    </row>
    <row r="895" ht="15.75" customHeight="1">
      <c r="A895" s="76" t="s">
        <v>247</v>
      </c>
      <c r="B895" s="77" t="s">
        <v>1820</v>
      </c>
      <c r="C895" s="101">
        <v>3.0715436902E10</v>
      </c>
      <c r="D895" s="79" t="s">
        <v>264</v>
      </c>
      <c r="E895" s="119" t="s">
        <v>6240</v>
      </c>
      <c r="F895" s="44">
        <v>1869.0</v>
      </c>
      <c r="G895" s="79" t="s">
        <v>249</v>
      </c>
      <c r="H895" s="80">
        <v>1676.0</v>
      </c>
      <c r="I895" s="101">
        <v>103020.0</v>
      </c>
      <c r="J895" s="74" t="s">
        <v>57</v>
      </c>
      <c r="K895" s="144" t="s">
        <v>6241</v>
      </c>
      <c r="L895" s="79"/>
      <c r="M895" s="79" t="s">
        <v>6242</v>
      </c>
      <c r="N895" s="79"/>
      <c r="O895" s="126" t="s">
        <v>6243</v>
      </c>
      <c r="P895" s="85" t="s">
        <v>6244</v>
      </c>
      <c r="Q895" s="79"/>
      <c r="R895" s="80"/>
      <c r="S895" s="80"/>
      <c r="T895" s="101"/>
      <c r="U895" s="80"/>
      <c r="V895" s="102" t="s">
        <v>6245</v>
      </c>
      <c r="W895" s="79"/>
      <c r="X895" s="79"/>
      <c r="Y895" s="79"/>
      <c r="Z895" s="79"/>
    </row>
    <row r="896" ht="15.0" customHeight="1">
      <c r="A896" s="103" t="s">
        <v>24</v>
      </c>
      <c r="B896" s="77" t="s">
        <v>6247</v>
      </c>
      <c r="C896" s="80">
        <v>3.0710395663E10</v>
      </c>
      <c r="D896" s="77" t="s">
        <v>264</v>
      </c>
      <c r="E896" s="79" t="s">
        <v>1607</v>
      </c>
      <c r="F896" s="44">
        <v>5934.0</v>
      </c>
      <c r="G896" s="79" t="s">
        <v>15</v>
      </c>
      <c r="H896" s="80">
        <v>1678.0</v>
      </c>
      <c r="I896" s="79">
        <v>329030.0</v>
      </c>
      <c r="J896" s="83" t="s">
        <v>207</v>
      </c>
      <c r="K896" s="79" t="s">
        <v>3938</v>
      </c>
      <c r="L896" s="79"/>
      <c r="M896" s="79"/>
      <c r="N896" s="79">
        <v>4.0</v>
      </c>
      <c r="O896" s="310" t="s">
        <v>6249</v>
      </c>
      <c r="P896" s="80"/>
      <c r="Q896" s="79"/>
      <c r="R896" s="80"/>
      <c r="S896" s="78" t="s">
        <v>6250</v>
      </c>
      <c r="T896" s="85" t="s">
        <v>6251</v>
      </c>
      <c r="U896" s="80" t="s">
        <v>332</v>
      </c>
      <c r="V896" s="102" t="s">
        <v>6252</v>
      </c>
      <c r="W896" s="79" t="s">
        <v>306</v>
      </c>
      <c r="X896" s="79" t="s">
        <v>306</v>
      </c>
      <c r="Y896" s="79"/>
      <c r="Z896" s="79"/>
    </row>
    <row r="897" ht="15.0" customHeight="1">
      <c r="A897" s="76" t="s">
        <v>247</v>
      </c>
      <c r="B897" s="77" t="s">
        <v>6253</v>
      </c>
      <c r="C897" s="80">
        <v>3.0613775702E10</v>
      </c>
      <c r="D897" s="119" t="s">
        <v>264</v>
      </c>
      <c r="E897" s="79" t="s">
        <v>6255</v>
      </c>
      <c r="F897" s="44">
        <v>9759.0</v>
      </c>
      <c r="G897" s="79" t="s">
        <v>119</v>
      </c>
      <c r="H897" s="80">
        <v>1657.0</v>
      </c>
      <c r="I897" s="79">
        <v>282200.0</v>
      </c>
      <c r="J897" s="74" t="s">
        <v>347</v>
      </c>
      <c r="K897" s="79" t="s">
        <v>5178</v>
      </c>
      <c r="L897" s="79"/>
      <c r="M897" s="79"/>
      <c r="N897" s="79">
        <v>5.0</v>
      </c>
      <c r="O897" s="74"/>
      <c r="P897" s="80"/>
      <c r="Q897" s="79"/>
      <c r="R897" s="80"/>
      <c r="S897" s="80" t="s">
        <v>6256</v>
      </c>
      <c r="T897" s="101" t="s">
        <v>332</v>
      </c>
      <c r="U897" s="80" t="s">
        <v>332</v>
      </c>
      <c r="V897" s="102" t="s">
        <v>6257</v>
      </c>
      <c r="W897" s="79" t="s">
        <v>309</v>
      </c>
      <c r="X897" s="79" t="s">
        <v>309</v>
      </c>
      <c r="Y897" s="79" t="s">
        <v>309</v>
      </c>
      <c r="Z897" s="79"/>
    </row>
    <row r="898" ht="15.75" customHeight="1">
      <c r="A898" s="76" t="s">
        <v>247</v>
      </c>
      <c r="B898" s="77" t="s">
        <v>6259</v>
      </c>
      <c r="C898" s="80">
        <v>3.0502077658E10</v>
      </c>
      <c r="D898" s="119" t="s">
        <v>264</v>
      </c>
      <c r="E898" s="79" t="s">
        <v>1904</v>
      </c>
      <c r="F898" s="44">
        <v>3181.0</v>
      </c>
      <c r="G898" s="79" t="s">
        <v>15</v>
      </c>
      <c r="H898" s="80">
        <v>1678.0</v>
      </c>
      <c r="I898" s="77">
        <v>241009.0</v>
      </c>
      <c r="J898" s="74" t="s">
        <v>347</v>
      </c>
      <c r="K898" s="77" t="s">
        <v>1082</v>
      </c>
      <c r="L898" s="79"/>
      <c r="M898" s="79"/>
      <c r="N898" s="79">
        <v>0.0</v>
      </c>
      <c r="O898" s="74"/>
      <c r="P898" s="80"/>
      <c r="Q898" s="79"/>
      <c r="R898" s="80"/>
      <c r="S898" s="80" t="s">
        <v>6261</v>
      </c>
      <c r="T898" s="101" t="s">
        <v>332</v>
      </c>
      <c r="U898" s="80" t="s">
        <v>332</v>
      </c>
      <c r="V898" s="102" t="s">
        <v>6262</v>
      </c>
      <c r="W898" s="79" t="s">
        <v>309</v>
      </c>
      <c r="X898" s="79" t="s">
        <v>309</v>
      </c>
      <c r="Y898" s="79" t="s">
        <v>309</v>
      </c>
      <c r="Z898" s="79"/>
    </row>
    <row r="899" ht="15.0" customHeight="1">
      <c r="A899" s="76" t="s">
        <v>247</v>
      </c>
      <c r="B899" s="77" t="s">
        <v>1826</v>
      </c>
      <c r="C899" s="80">
        <v>3.0612459254E10</v>
      </c>
      <c r="D899" s="119" t="s">
        <v>264</v>
      </c>
      <c r="E899" s="126" t="s">
        <v>696</v>
      </c>
      <c r="F899" s="44">
        <v>4846.0</v>
      </c>
      <c r="G899" s="79" t="s">
        <v>15</v>
      </c>
      <c r="H899" s="80">
        <v>1678.0</v>
      </c>
      <c r="I899" s="79">
        <v>259309.0</v>
      </c>
      <c r="J899" s="74" t="s">
        <v>347</v>
      </c>
      <c r="K899" s="77" t="s">
        <v>1121</v>
      </c>
      <c r="L899" s="79"/>
      <c r="M899" s="79"/>
      <c r="N899" s="79">
        <v>27.0</v>
      </c>
      <c r="O899" s="74" t="s">
        <v>6264</v>
      </c>
      <c r="P899" s="78" t="s">
        <v>6265</v>
      </c>
      <c r="Q899" s="79"/>
      <c r="R899" s="80"/>
      <c r="S899" s="80" t="s">
        <v>6266</v>
      </c>
      <c r="T899" s="101" t="s">
        <v>332</v>
      </c>
      <c r="U899" s="80" t="s">
        <v>332</v>
      </c>
      <c r="V899" s="102" t="s">
        <v>6267</v>
      </c>
      <c r="W899" s="79" t="s">
        <v>309</v>
      </c>
      <c r="X899" s="79" t="s">
        <v>309</v>
      </c>
      <c r="Y899" s="79" t="s">
        <v>309</v>
      </c>
      <c r="Z899" s="79"/>
    </row>
    <row r="900" ht="15.75" customHeight="1">
      <c r="A900" s="76" t="s">
        <v>247</v>
      </c>
      <c r="B900" s="77" t="s">
        <v>1826</v>
      </c>
      <c r="C900" s="101">
        <v>3.0612459254E10</v>
      </c>
      <c r="D900" s="79" t="s">
        <v>264</v>
      </c>
      <c r="E900" s="126" t="s">
        <v>696</v>
      </c>
      <c r="F900" s="210">
        <v>4846.0</v>
      </c>
      <c r="G900" s="79" t="s">
        <v>15</v>
      </c>
      <c r="H900" s="80">
        <v>1678.0</v>
      </c>
      <c r="I900" s="79">
        <v>259309.0</v>
      </c>
      <c r="J900" s="74" t="s">
        <v>347</v>
      </c>
      <c r="K900" s="77" t="s">
        <v>1121</v>
      </c>
      <c r="L900" s="79"/>
      <c r="M900" s="79" t="s">
        <v>6269</v>
      </c>
      <c r="N900" s="79">
        <v>20.0</v>
      </c>
      <c r="O900" s="79" t="s">
        <v>6270</v>
      </c>
      <c r="P900" s="78" t="s">
        <v>6265</v>
      </c>
      <c r="Q900" s="79"/>
      <c r="R900" s="80"/>
      <c r="S900" s="78" t="s">
        <v>6271</v>
      </c>
      <c r="T900" s="85" t="s">
        <v>6272</v>
      </c>
      <c r="U900" s="80"/>
      <c r="V900" s="98" t="s">
        <v>6273</v>
      </c>
      <c r="W900" s="79"/>
      <c r="X900" s="79"/>
      <c r="Y900" s="79"/>
      <c r="Z900" s="79"/>
    </row>
    <row r="901" ht="15.75" customHeight="1">
      <c r="A901" s="103" t="s">
        <v>24</v>
      </c>
      <c r="B901" s="77" t="s">
        <v>6275</v>
      </c>
      <c r="C901" s="80">
        <v>3.0556401981E10</v>
      </c>
      <c r="D901" s="119" t="s">
        <v>264</v>
      </c>
      <c r="E901" s="79" t="s">
        <v>1212</v>
      </c>
      <c r="F901" s="44">
        <v>3534.0</v>
      </c>
      <c r="G901" s="79" t="s">
        <v>68</v>
      </c>
      <c r="H901" s="80">
        <v>1702.0</v>
      </c>
      <c r="I901" s="79">
        <v>289999.0</v>
      </c>
      <c r="J901" s="74" t="s">
        <v>347</v>
      </c>
      <c r="K901" s="77" t="s">
        <v>1901</v>
      </c>
      <c r="L901" s="79" t="s">
        <v>453</v>
      </c>
      <c r="M901" s="79"/>
      <c r="N901" s="79">
        <v>0.0</v>
      </c>
      <c r="O901" s="74"/>
      <c r="P901" s="80"/>
      <c r="Q901" s="79"/>
      <c r="R901" s="80"/>
      <c r="S901" s="80" t="s">
        <v>6276</v>
      </c>
      <c r="T901" s="101" t="s">
        <v>332</v>
      </c>
      <c r="U901" s="80" t="s">
        <v>332</v>
      </c>
      <c r="V901" s="102" t="s">
        <v>429</v>
      </c>
      <c r="W901" s="79" t="s">
        <v>309</v>
      </c>
      <c r="X901" s="79" t="s">
        <v>309</v>
      </c>
      <c r="Y901" s="79"/>
      <c r="Z901" s="79"/>
    </row>
    <row r="902" ht="15.75" customHeight="1">
      <c r="A902" s="76" t="s">
        <v>247</v>
      </c>
      <c r="B902" s="77" t="s">
        <v>6278</v>
      </c>
      <c r="C902" s="80">
        <v>3.0597213073E10</v>
      </c>
      <c r="D902" s="119" t="s">
        <v>264</v>
      </c>
      <c r="E902" s="77" t="s">
        <v>1109</v>
      </c>
      <c r="F902" s="44">
        <v>3887.0</v>
      </c>
      <c r="G902" s="79" t="s">
        <v>68</v>
      </c>
      <c r="H902" s="80">
        <v>1702.0</v>
      </c>
      <c r="I902" s="79">
        <v>282909.0</v>
      </c>
      <c r="J902" s="74" t="s">
        <v>347</v>
      </c>
      <c r="K902" s="77" t="s">
        <v>2642</v>
      </c>
      <c r="L902" s="79" t="s">
        <v>662</v>
      </c>
      <c r="M902" s="79" t="s">
        <v>6279</v>
      </c>
      <c r="N902" s="79">
        <v>5.0</v>
      </c>
      <c r="O902" s="74"/>
      <c r="P902" s="80"/>
      <c r="Q902" s="79"/>
      <c r="R902" s="80"/>
      <c r="S902" s="80" t="s">
        <v>6280</v>
      </c>
      <c r="T902" s="101" t="s">
        <v>6282</v>
      </c>
      <c r="U902" s="80" t="s">
        <v>6282</v>
      </c>
      <c r="V902" s="102" t="s">
        <v>6283</v>
      </c>
      <c r="W902" s="79" t="s">
        <v>309</v>
      </c>
      <c r="X902" s="79" t="s">
        <v>309</v>
      </c>
      <c r="Y902" s="79" t="s">
        <v>309</v>
      </c>
      <c r="Z902" s="79"/>
    </row>
    <row r="903" ht="15.75" customHeight="1">
      <c r="A903" s="103" t="s">
        <v>24</v>
      </c>
      <c r="B903" s="77" t="s">
        <v>6284</v>
      </c>
      <c r="C903" s="80">
        <v>3.0708066393E10</v>
      </c>
      <c r="D903" s="119" t="s">
        <v>264</v>
      </c>
      <c r="E903" s="79" t="s">
        <v>6285</v>
      </c>
      <c r="F903" s="44">
        <v>748.0</v>
      </c>
      <c r="G903" s="79" t="s">
        <v>68</v>
      </c>
      <c r="H903" s="80">
        <v>1702.0</v>
      </c>
      <c r="I903" s="79">
        <v>289309.0</v>
      </c>
      <c r="J903" s="74" t="s">
        <v>347</v>
      </c>
      <c r="K903" s="77" t="s">
        <v>2967</v>
      </c>
      <c r="L903" s="79"/>
      <c r="M903" s="79"/>
      <c r="N903" s="79">
        <v>1.0</v>
      </c>
      <c r="O903" s="74"/>
      <c r="P903" s="80"/>
      <c r="Q903" s="79"/>
      <c r="R903" s="80"/>
      <c r="S903" s="80" t="s">
        <v>6287</v>
      </c>
      <c r="T903" s="101" t="s">
        <v>332</v>
      </c>
      <c r="U903" s="80" t="s">
        <v>332</v>
      </c>
      <c r="V903" s="102" t="s">
        <v>429</v>
      </c>
      <c r="W903" s="79" t="s">
        <v>306</v>
      </c>
      <c r="X903" s="79" t="s">
        <v>306</v>
      </c>
      <c r="Y903" s="79"/>
      <c r="Z903" s="79"/>
    </row>
    <row r="904" ht="15.75" customHeight="1">
      <c r="A904" s="76" t="s">
        <v>247</v>
      </c>
      <c r="B904" s="77" t="s">
        <v>6288</v>
      </c>
      <c r="C904" s="80">
        <v>3.0712153039E10</v>
      </c>
      <c r="D904" s="119" t="s">
        <v>264</v>
      </c>
      <c r="E904" s="126" t="s">
        <v>985</v>
      </c>
      <c r="F904" s="44">
        <v>5177.0</v>
      </c>
      <c r="G904" s="79" t="s">
        <v>15</v>
      </c>
      <c r="H904" s="80">
        <v>1678.0</v>
      </c>
      <c r="I904" s="79">
        <v>259309.0</v>
      </c>
      <c r="J904" s="74" t="s">
        <v>347</v>
      </c>
      <c r="K904" s="77" t="s">
        <v>1121</v>
      </c>
      <c r="L904" s="79"/>
      <c r="M904" s="79"/>
      <c r="N904" s="79">
        <v>15.0</v>
      </c>
      <c r="O904" s="74"/>
      <c r="P904" s="80"/>
      <c r="Q904" s="79"/>
      <c r="R904" s="80"/>
      <c r="S904" s="78" t="s">
        <v>6290</v>
      </c>
      <c r="T904" s="85" t="s">
        <v>6291</v>
      </c>
      <c r="U904" s="101" t="s">
        <v>6292</v>
      </c>
      <c r="V904" s="102" t="s">
        <v>429</v>
      </c>
      <c r="W904" s="79" t="s">
        <v>309</v>
      </c>
      <c r="X904" s="79" t="s">
        <v>309</v>
      </c>
      <c r="Y904" s="79" t="s">
        <v>309</v>
      </c>
      <c r="Z904" s="79"/>
    </row>
    <row r="905" ht="15.75" customHeight="1">
      <c r="A905" s="76" t="s">
        <v>247</v>
      </c>
      <c r="B905" s="77" t="s">
        <v>6293</v>
      </c>
      <c r="C905" s="80">
        <v>3.0552952681E10</v>
      </c>
      <c r="D905" s="79" t="s">
        <v>264</v>
      </c>
      <c r="E905" s="79" t="s">
        <v>1711</v>
      </c>
      <c r="F905" s="44">
        <v>4019.0</v>
      </c>
      <c r="G905" s="79" t="s">
        <v>249</v>
      </c>
      <c r="H905" s="80">
        <v>1676.0</v>
      </c>
      <c r="I905" s="79">
        <v>259301.0</v>
      </c>
      <c r="J905" s="83" t="s">
        <v>347</v>
      </c>
      <c r="K905" s="79" t="s">
        <v>1334</v>
      </c>
      <c r="L905" s="79"/>
      <c r="M905" s="79"/>
      <c r="N905" s="79">
        <v>4.0</v>
      </c>
      <c r="O905" s="74"/>
      <c r="P905" s="80"/>
      <c r="Q905" s="79"/>
      <c r="R905" s="80"/>
      <c r="S905" s="80" t="s">
        <v>6295</v>
      </c>
      <c r="T905" s="85" t="s">
        <v>6296</v>
      </c>
      <c r="U905" s="80" t="s">
        <v>332</v>
      </c>
      <c r="V905" s="102" t="s">
        <v>6297</v>
      </c>
      <c r="W905" s="79" t="s">
        <v>309</v>
      </c>
      <c r="X905" s="79" t="s">
        <v>309</v>
      </c>
      <c r="Y905" s="79" t="s">
        <v>309</v>
      </c>
      <c r="Z905" s="79"/>
    </row>
    <row r="906" ht="15.0" customHeight="1">
      <c r="A906" s="103" t="s">
        <v>24</v>
      </c>
      <c r="B906" s="77" t="s">
        <v>6299</v>
      </c>
      <c r="C906" s="80">
        <v>3.0501187174E10</v>
      </c>
      <c r="D906" s="79" t="s">
        <v>264</v>
      </c>
      <c r="E906" s="79" t="s">
        <v>660</v>
      </c>
      <c r="F906" s="44">
        <v>4242.0</v>
      </c>
      <c r="G906" s="79" t="s">
        <v>15</v>
      </c>
      <c r="H906" s="80">
        <v>1678.0</v>
      </c>
      <c r="I906" s="79">
        <v>259301.0</v>
      </c>
      <c r="J906" s="83" t="s">
        <v>347</v>
      </c>
      <c r="K906" s="79" t="s">
        <v>1334</v>
      </c>
      <c r="L906" s="79"/>
      <c r="M906" s="79"/>
      <c r="N906" s="79">
        <v>3.0</v>
      </c>
      <c r="O906" s="74"/>
      <c r="P906" s="80"/>
      <c r="Q906" s="79"/>
      <c r="R906" s="80"/>
      <c r="S906" s="80" t="s">
        <v>6301</v>
      </c>
      <c r="T906" s="101" t="s">
        <v>6302</v>
      </c>
      <c r="U906" s="80" t="s">
        <v>332</v>
      </c>
      <c r="V906" s="102" t="s">
        <v>429</v>
      </c>
      <c r="W906" s="79" t="s">
        <v>309</v>
      </c>
      <c r="X906" s="79" t="s">
        <v>309</v>
      </c>
      <c r="Y906" s="79" t="s">
        <v>309</v>
      </c>
      <c r="Z906" s="79"/>
    </row>
    <row r="907" ht="15.0" customHeight="1">
      <c r="A907" s="76" t="s">
        <v>247</v>
      </c>
      <c r="B907" s="77" t="s">
        <v>1832</v>
      </c>
      <c r="C907" s="78" t="s">
        <v>2517</v>
      </c>
      <c r="D907" s="119" t="s">
        <v>264</v>
      </c>
      <c r="E907" s="77" t="s">
        <v>943</v>
      </c>
      <c r="F907" s="44">
        <v>3925.0</v>
      </c>
      <c r="G907" s="79" t="s">
        <v>15</v>
      </c>
      <c r="H907" s="80">
        <v>1678.0</v>
      </c>
      <c r="I907" s="78">
        <v>259999.0</v>
      </c>
      <c r="J907" s="74" t="s">
        <v>347</v>
      </c>
      <c r="K907" s="79"/>
      <c r="L907" s="79" t="s">
        <v>286</v>
      </c>
      <c r="M907" s="79" t="s">
        <v>6304</v>
      </c>
      <c r="N907" s="79"/>
      <c r="O907" s="74" t="s">
        <v>6305</v>
      </c>
      <c r="P907" s="78" t="s">
        <v>6306</v>
      </c>
      <c r="Q907" s="79"/>
      <c r="R907" s="80"/>
      <c r="S907" s="78" t="s">
        <v>6307</v>
      </c>
      <c r="T907" s="85" t="s">
        <v>6308</v>
      </c>
      <c r="U907" s="80"/>
      <c r="V907" s="102" t="s">
        <v>6310</v>
      </c>
      <c r="W907" s="79"/>
      <c r="X907" s="79"/>
      <c r="Y907" s="79"/>
      <c r="Z907" s="79"/>
    </row>
    <row r="908" ht="15.75" customHeight="1">
      <c r="A908" s="76" t="s">
        <v>247</v>
      </c>
      <c r="B908" s="77" t="s">
        <v>6311</v>
      </c>
      <c r="C908" s="101">
        <v>3.0708482095E10</v>
      </c>
      <c r="D908" s="79" t="s">
        <v>264</v>
      </c>
      <c r="E908" s="144" t="s">
        <v>6312</v>
      </c>
      <c r="F908" s="44">
        <v>2569.0</v>
      </c>
      <c r="G908" s="79" t="s">
        <v>68</v>
      </c>
      <c r="H908" s="80">
        <v>1702.0</v>
      </c>
      <c r="I908" s="79">
        <v>259999.0</v>
      </c>
      <c r="J908" s="74" t="s">
        <v>347</v>
      </c>
      <c r="K908" s="144" t="s">
        <v>839</v>
      </c>
      <c r="L908" s="79"/>
      <c r="M908" s="79"/>
      <c r="N908" s="79"/>
      <c r="O908" s="79"/>
      <c r="P908" s="80"/>
      <c r="Q908" s="79"/>
      <c r="R908" s="80"/>
      <c r="S908" s="80" t="s">
        <v>6314</v>
      </c>
      <c r="T908" s="101"/>
      <c r="U908" s="80"/>
      <c r="V908" s="102" t="s">
        <v>6315</v>
      </c>
      <c r="W908" s="79"/>
      <c r="X908" s="79"/>
      <c r="Y908" s="79"/>
      <c r="Z908" s="79"/>
    </row>
    <row r="909" ht="15.75" customHeight="1">
      <c r="A909" s="103" t="s">
        <v>24</v>
      </c>
      <c r="B909" s="144" t="s">
        <v>6317</v>
      </c>
      <c r="C909" s="119">
        <v>3.0712372725E10</v>
      </c>
      <c r="D909" s="144" t="s">
        <v>264</v>
      </c>
      <c r="E909" s="77" t="s">
        <v>3068</v>
      </c>
      <c r="F909" s="44">
        <v>6623.0</v>
      </c>
      <c r="G909" s="79" t="s">
        <v>119</v>
      </c>
      <c r="H909" s="101">
        <v>1657.0</v>
      </c>
      <c r="I909" s="119">
        <v>452990.0</v>
      </c>
      <c r="J909" s="74" t="s">
        <v>433</v>
      </c>
      <c r="K909" s="144" t="s">
        <v>6318</v>
      </c>
      <c r="L909" s="119"/>
      <c r="M909" s="119"/>
      <c r="N909" s="119">
        <v>14.0</v>
      </c>
      <c r="O909" s="126"/>
      <c r="P909" s="101"/>
      <c r="Q909" s="119"/>
      <c r="R909" s="101"/>
      <c r="S909" s="101" t="s">
        <v>6319</v>
      </c>
      <c r="T909" s="101" t="s">
        <v>332</v>
      </c>
      <c r="U909" s="101" t="s">
        <v>332</v>
      </c>
      <c r="V909" s="102" t="s">
        <v>429</v>
      </c>
      <c r="W909" s="119" t="s">
        <v>306</v>
      </c>
      <c r="X909" s="119" t="s">
        <v>306</v>
      </c>
      <c r="Y909" s="79" t="s">
        <v>309</v>
      </c>
      <c r="Z909" s="79"/>
    </row>
    <row r="910" ht="15.0" customHeight="1">
      <c r="A910" s="76" t="s">
        <v>247</v>
      </c>
      <c r="B910" s="77" t="s">
        <v>1837</v>
      </c>
      <c r="C910" s="88">
        <v>3.0695577652E10</v>
      </c>
      <c r="D910" s="79" t="s">
        <v>264</v>
      </c>
      <c r="E910" s="79" t="s">
        <v>742</v>
      </c>
      <c r="F910" s="128">
        <v>4549.0</v>
      </c>
      <c r="G910" s="79" t="s">
        <v>15</v>
      </c>
      <c r="H910" s="80">
        <v>1678.0</v>
      </c>
      <c r="I910" s="77">
        <v>281900.0</v>
      </c>
      <c r="J910" s="74" t="s">
        <v>347</v>
      </c>
      <c r="K910" s="79" t="s">
        <v>6321</v>
      </c>
      <c r="L910" s="79"/>
      <c r="M910" s="79"/>
      <c r="N910" s="79">
        <v>19.0</v>
      </c>
      <c r="O910" s="74" t="s">
        <v>6322</v>
      </c>
      <c r="P910" s="80"/>
      <c r="Q910" s="79"/>
      <c r="R910" s="80"/>
      <c r="S910" s="78" t="s">
        <v>6323</v>
      </c>
      <c r="T910" s="85" t="s">
        <v>6325</v>
      </c>
      <c r="U910" s="80" t="s">
        <v>6326</v>
      </c>
      <c r="V910" s="102" t="s">
        <v>6327</v>
      </c>
      <c r="W910" s="79"/>
      <c r="X910" s="79"/>
      <c r="Y910" s="79" t="s">
        <v>309</v>
      </c>
      <c r="Z910" s="79"/>
    </row>
    <row r="911" ht="15.0" customHeight="1">
      <c r="A911" s="76" t="s">
        <v>247</v>
      </c>
      <c r="B911" s="77" t="s">
        <v>1841</v>
      </c>
      <c r="C911" s="80">
        <v>3.0707611223E10</v>
      </c>
      <c r="D911" s="119" t="s">
        <v>264</v>
      </c>
      <c r="E911" s="126" t="s">
        <v>985</v>
      </c>
      <c r="F911" s="44">
        <v>4361.0</v>
      </c>
      <c r="G911" s="79" t="s">
        <v>15</v>
      </c>
      <c r="H911" s="80">
        <v>1678.0</v>
      </c>
      <c r="I911" s="77">
        <v>432920.0</v>
      </c>
      <c r="J911" s="74" t="s">
        <v>125</v>
      </c>
      <c r="K911" s="77" t="s">
        <v>2235</v>
      </c>
      <c r="L911" s="79" t="s">
        <v>453</v>
      </c>
      <c r="M911" s="79"/>
      <c r="N911" s="79">
        <v>46.0</v>
      </c>
      <c r="O911" s="74" t="s">
        <v>6329</v>
      </c>
      <c r="P911" s="80"/>
      <c r="Q911" s="79"/>
      <c r="R911" s="80"/>
      <c r="S911" s="80" t="s">
        <v>6330</v>
      </c>
      <c r="T911" s="101" t="s">
        <v>6331</v>
      </c>
      <c r="U911" s="80"/>
      <c r="V911" s="102" t="s">
        <v>6332</v>
      </c>
      <c r="W911" s="79" t="s">
        <v>309</v>
      </c>
      <c r="X911" s="79" t="s">
        <v>309</v>
      </c>
      <c r="Y911" s="79" t="s">
        <v>309</v>
      </c>
      <c r="Z911" s="79"/>
    </row>
    <row r="912" ht="15.75" customHeight="1">
      <c r="A912" s="103" t="s">
        <v>24</v>
      </c>
      <c r="B912" s="77" t="s">
        <v>6333</v>
      </c>
      <c r="C912" s="80">
        <v>3.0613285306E10</v>
      </c>
      <c r="D912" s="79" t="s">
        <v>264</v>
      </c>
      <c r="E912" s="77" t="s">
        <v>6334</v>
      </c>
      <c r="F912" s="44">
        <v>2050.0</v>
      </c>
      <c r="G912" s="79" t="s">
        <v>68</v>
      </c>
      <c r="H912" s="80">
        <v>1702.0</v>
      </c>
      <c r="I912" s="79">
        <v>202311.0</v>
      </c>
      <c r="J912" s="74" t="s">
        <v>316</v>
      </c>
      <c r="K912" s="79" t="s">
        <v>4406</v>
      </c>
      <c r="L912" s="79"/>
      <c r="M912" s="79"/>
      <c r="N912" s="79">
        <v>3.0</v>
      </c>
      <c r="O912" s="74"/>
      <c r="P912" s="80"/>
      <c r="Q912" s="79"/>
      <c r="R912" s="78" t="s">
        <v>6336</v>
      </c>
      <c r="S912" s="78" t="s">
        <v>6337</v>
      </c>
      <c r="T912" s="85" t="s">
        <v>6338</v>
      </c>
      <c r="U912" s="78" t="s">
        <v>6339</v>
      </c>
      <c r="V912" s="102" t="s">
        <v>429</v>
      </c>
      <c r="W912" s="79" t="s">
        <v>306</v>
      </c>
      <c r="X912" s="79" t="s">
        <v>306</v>
      </c>
      <c r="Y912" s="79" t="s">
        <v>309</v>
      </c>
      <c r="Z912" s="79"/>
    </row>
    <row r="913" ht="15.0" customHeight="1">
      <c r="A913" s="103" t="s">
        <v>24</v>
      </c>
      <c r="B913" s="77" t="s">
        <v>6340</v>
      </c>
      <c r="C913" s="80">
        <v>3.0715076507E10</v>
      </c>
      <c r="D913" s="119" t="s">
        <v>264</v>
      </c>
      <c r="E913" s="79" t="s">
        <v>314</v>
      </c>
      <c r="F913" s="44">
        <v>5755.0</v>
      </c>
      <c r="G913" s="79" t="s">
        <v>15</v>
      </c>
      <c r="H913" s="80">
        <v>1678.0</v>
      </c>
      <c r="I913" s="79">
        <v>110491.0</v>
      </c>
      <c r="J913" s="74" t="s">
        <v>57</v>
      </c>
      <c r="K913" s="79" t="s">
        <v>6342</v>
      </c>
      <c r="L913" s="79"/>
      <c r="M913" s="79"/>
      <c r="N913" s="79">
        <v>0.0</v>
      </c>
      <c r="O913" s="74"/>
      <c r="P913" s="80"/>
      <c r="Q913" s="79"/>
      <c r="R913" s="80"/>
      <c r="S913" s="80" t="s">
        <v>6343</v>
      </c>
      <c r="T913" s="101" t="s">
        <v>332</v>
      </c>
      <c r="U913" s="80" t="s">
        <v>332</v>
      </c>
      <c r="V913" s="102" t="s">
        <v>429</v>
      </c>
      <c r="W913" s="79" t="s">
        <v>306</v>
      </c>
      <c r="X913" s="79" t="s">
        <v>306</v>
      </c>
      <c r="Y913" s="79" t="s">
        <v>309</v>
      </c>
      <c r="Z913" s="79"/>
    </row>
    <row r="914" ht="15.0" customHeight="1">
      <c r="A914" s="103" t="s">
        <v>24</v>
      </c>
      <c r="B914" s="77" t="s">
        <v>6345</v>
      </c>
      <c r="C914" s="80">
        <v>3.0502872377E10</v>
      </c>
      <c r="D914" s="119" t="s">
        <v>264</v>
      </c>
      <c r="E914" s="79" t="s">
        <v>6346</v>
      </c>
      <c r="F914" s="44">
        <v>860.0</v>
      </c>
      <c r="G914" s="79" t="s">
        <v>119</v>
      </c>
      <c r="H914" s="80">
        <v>1657.0</v>
      </c>
      <c r="I914" s="79">
        <v>271009.0</v>
      </c>
      <c r="J914" s="74" t="s">
        <v>347</v>
      </c>
      <c r="K914" s="77" t="s">
        <v>1082</v>
      </c>
      <c r="L914" s="79"/>
      <c r="M914" s="79"/>
      <c r="N914" s="79">
        <v>0.0</v>
      </c>
      <c r="O914" s="74"/>
      <c r="P914" s="80"/>
      <c r="Q914" s="79"/>
      <c r="R914" s="80"/>
      <c r="S914" s="78" t="s">
        <v>6347</v>
      </c>
      <c r="T914" s="101" t="s">
        <v>332</v>
      </c>
      <c r="U914" s="80" t="s">
        <v>332</v>
      </c>
      <c r="V914" s="102" t="s">
        <v>429</v>
      </c>
      <c r="W914" s="79" t="s">
        <v>306</v>
      </c>
      <c r="X914" s="79" t="s">
        <v>306</v>
      </c>
      <c r="Y914" s="79"/>
      <c r="Z914" s="79"/>
    </row>
    <row r="915" ht="15.0" customHeight="1">
      <c r="A915" s="103" t="s">
        <v>24</v>
      </c>
      <c r="B915" s="77" t="s">
        <v>6349</v>
      </c>
      <c r="C915" s="80">
        <v>3.0644795256E10</v>
      </c>
      <c r="D915" s="119" t="s">
        <v>264</v>
      </c>
      <c r="E915" s="79" t="s">
        <v>2872</v>
      </c>
      <c r="F915" s="44">
        <v>2783.0</v>
      </c>
      <c r="G915" s="79" t="s">
        <v>15</v>
      </c>
      <c r="H915" s="80">
        <v>1678.0</v>
      </c>
      <c r="I915" s="79">
        <v>292500.0</v>
      </c>
      <c r="J915" s="74" t="s">
        <v>347</v>
      </c>
      <c r="K915" s="77" t="s">
        <v>2498</v>
      </c>
      <c r="L915" s="79" t="s">
        <v>662</v>
      </c>
      <c r="M915" s="77" t="s">
        <v>6350</v>
      </c>
      <c r="N915" s="79">
        <v>0.0</v>
      </c>
      <c r="O915" s="74" t="s">
        <v>332</v>
      </c>
      <c r="P915" s="80"/>
      <c r="Q915" s="79"/>
      <c r="R915" s="80"/>
      <c r="S915" s="80" t="s">
        <v>6352</v>
      </c>
      <c r="T915" s="101" t="s">
        <v>6353</v>
      </c>
      <c r="U915" s="78" t="s">
        <v>6354</v>
      </c>
      <c r="V915" s="102" t="s">
        <v>429</v>
      </c>
      <c r="W915" s="79" t="s">
        <v>309</v>
      </c>
      <c r="X915" s="79" t="s">
        <v>309</v>
      </c>
      <c r="Y915" s="79" t="s">
        <v>309</v>
      </c>
      <c r="Z915" s="79"/>
    </row>
    <row r="916" ht="15.75" customHeight="1">
      <c r="A916" s="103" t="s">
        <v>24</v>
      </c>
      <c r="B916" s="77" t="s">
        <v>6355</v>
      </c>
      <c r="C916" s="80">
        <v>3.071459001E10</v>
      </c>
      <c r="D916" s="79" t="s">
        <v>264</v>
      </c>
      <c r="E916" s="79" t="s">
        <v>660</v>
      </c>
      <c r="F916" s="44">
        <v>4623.0</v>
      </c>
      <c r="G916" s="79" t="s">
        <v>15</v>
      </c>
      <c r="H916" s="80">
        <v>1678.0</v>
      </c>
      <c r="I916" s="79">
        <v>251101.0</v>
      </c>
      <c r="J916" s="74" t="s">
        <v>347</v>
      </c>
      <c r="K916" s="79" t="s">
        <v>1486</v>
      </c>
      <c r="L916" s="79" t="s">
        <v>453</v>
      </c>
      <c r="M916" s="79"/>
      <c r="N916" s="79">
        <v>9.0</v>
      </c>
      <c r="O916" s="74"/>
      <c r="P916" s="80"/>
      <c r="Q916" s="79"/>
      <c r="R916" s="80"/>
      <c r="S916" s="80"/>
      <c r="T916" s="101" t="s">
        <v>332</v>
      </c>
      <c r="U916" s="80" t="s">
        <v>332</v>
      </c>
      <c r="V916" s="102" t="s">
        <v>429</v>
      </c>
      <c r="W916" s="79" t="s">
        <v>306</v>
      </c>
      <c r="X916" s="79" t="s">
        <v>306</v>
      </c>
      <c r="Y916" s="79"/>
      <c r="Z916" s="79"/>
    </row>
    <row r="917" ht="15.0" customHeight="1">
      <c r="A917" s="76" t="s">
        <v>247</v>
      </c>
      <c r="B917" s="77" t="s">
        <v>6357</v>
      </c>
      <c r="C917" s="114">
        <v>3.0707981594E10</v>
      </c>
      <c r="D917" s="119" t="s">
        <v>264</v>
      </c>
      <c r="E917" s="79" t="s">
        <v>3875</v>
      </c>
      <c r="F917" s="44">
        <v>2613.0</v>
      </c>
      <c r="G917" s="79" t="s">
        <v>15</v>
      </c>
      <c r="H917" s="80">
        <v>1678.0</v>
      </c>
      <c r="I917" s="79">
        <v>773090.0</v>
      </c>
      <c r="J917" s="74" t="s">
        <v>433</v>
      </c>
      <c r="K917" s="77" t="s">
        <v>3395</v>
      </c>
      <c r="L917" s="79"/>
      <c r="M917" s="77" t="s">
        <v>6359</v>
      </c>
      <c r="N917" s="79">
        <v>17.0</v>
      </c>
      <c r="O917" s="74"/>
      <c r="P917" s="80"/>
      <c r="Q917" s="79"/>
      <c r="R917" s="80"/>
      <c r="S917" s="78" t="s">
        <v>6360</v>
      </c>
      <c r="T917" s="78" t="s">
        <v>6361</v>
      </c>
      <c r="U917" s="78"/>
      <c r="V917" s="230" t="s">
        <v>6362</v>
      </c>
      <c r="W917" s="79" t="s">
        <v>306</v>
      </c>
      <c r="X917" s="79" t="s">
        <v>306</v>
      </c>
      <c r="Y917" s="79"/>
      <c r="Z917" s="79"/>
    </row>
    <row r="918" ht="15.75" customHeight="1">
      <c r="A918" s="76" t="s">
        <v>247</v>
      </c>
      <c r="B918" s="77" t="s">
        <v>6363</v>
      </c>
      <c r="C918" s="80">
        <v>3.0708360313E10</v>
      </c>
      <c r="D918" s="79" t="s">
        <v>264</v>
      </c>
      <c r="E918" s="126" t="s">
        <v>985</v>
      </c>
      <c r="F918" s="44">
        <v>5361.0</v>
      </c>
      <c r="G918" s="79" t="s">
        <v>15</v>
      </c>
      <c r="H918" s="80">
        <v>1678.0</v>
      </c>
      <c r="I918" s="77">
        <v>131139.0</v>
      </c>
      <c r="J918" s="74" t="s">
        <v>448</v>
      </c>
      <c r="K918" s="77" t="s">
        <v>6365</v>
      </c>
      <c r="L918" s="79"/>
      <c r="M918" s="79"/>
      <c r="N918" s="79">
        <v>3.0</v>
      </c>
      <c r="O918" s="74"/>
      <c r="P918" s="80"/>
      <c r="Q918" s="79"/>
      <c r="R918" s="80"/>
      <c r="S918" s="80" t="s">
        <v>6366</v>
      </c>
      <c r="T918" s="101"/>
      <c r="U918" s="80" t="s">
        <v>332</v>
      </c>
      <c r="V918" s="102" t="s">
        <v>429</v>
      </c>
      <c r="W918" s="79" t="s">
        <v>309</v>
      </c>
      <c r="X918" s="79" t="s">
        <v>309</v>
      </c>
      <c r="Y918" s="79" t="s">
        <v>309</v>
      </c>
      <c r="Z918" s="79"/>
    </row>
    <row r="919" ht="15.0" customHeight="1">
      <c r="A919" s="76" t="s">
        <v>247</v>
      </c>
      <c r="B919" s="77" t="s">
        <v>6368</v>
      </c>
      <c r="C919" s="80">
        <v>3.0593624362E10</v>
      </c>
      <c r="D919" s="79" t="s">
        <v>264</v>
      </c>
      <c r="E919" s="77" t="s">
        <v>6369</v>
      </c>
      <c r="F919" s="128">
        <v>224.0</v>
      </c>
      <c r="G919" s="77" t="s">
        <v>15</v>
      </c>
      <c r="H919" s="78">
        <v>1678.0</v>
      </c>
      <c r="I919" s="79">
        <v>171132.0</v>
      </c>
      <c r="J919" s="74" t="s">
        <v>448</v>
      </c>
      <c r="K919" s="77" t="s">
        <v>6370</v>
      </c>
      <c r="L919" s="79"/>
      <c r="M919" s="79"/>
      <c r="N919" s="79">
        <v>0.0</v>
      </c>
      <c r="O919" s="74"/>
      <c r="P919" s="80"/>
      <c r="Q919" s="79"/>
      <c r="R919" s="80"/>
      <c r="S919" s="78" t="s">
        <v>6371</v>
      </c>
      <c r="T919" s="101" t="s">
        <v>332</v>
      </c>
      <c r="U919" s="80" t="s">
        <v>332</v>
      </c>
      <c r="V919" s="102" t="s">
        <v>6373</v>
      </c>
      <c r="W919" s="79" t="s">
        <v>309</v>
      </c>
      <c r="X919" s="79" t="s">
        <v>309</v>
      </c>
      <c r="Y919" s="79"/>
      <c r="Z919" s="79"/>
    </row>
    <row r="920" ht="15.0" customHeight="1">
      <c r="A920" s="103" t="s">
        <v>24</v>
      </c>
      <c r="B920" s="77" t="s">
        <v>6374</v>
      </c>
      <c r="C920" s="80">
        <v>3.0587525409E10</v>
      </c>
      <c r="D920" s="79" t="s">
        <v>264</v>
      </c>
      <c r="E920" s="77" t="s">
        <v>503</v>
      </c>
      <c r="F920" s="44">
        <v>3220.0</v>
      </c>
      <c r="G920" s="79" t="s">
        <v>68</v>
      </c>
      <c r="H920" s="80">
        <v>1702.0</v>
      </c>
      <c r="I920" s="79">
        <v>171139.0</v>
      </c>
      <c r="J920" s="74" t="s">
        <v>448</v>
      </c>
      <c r="K920" s="77" t="s">
        <v>6376</v>
      </c>
      <c r="L920" s="79"/>
      <c r="M920" s="79"/>
      <c r="N920" s="79">
        <v>0.0</v>
      </c>
      <c r="O920" s="74"/>
      <c r="P920" s="80"/>
      <c r="Q920" s="79"/>
      <c r="R920" s="80"/>
      <c r="S920" s="78" t="s">
        <v>6377</v>
      </c>
      <c r="T920" s="101" t="s">
        <v>332</v>
      </c>
      <c r="U920" s="80" t="s">
        <v>332</v>
      </c>
      <c r="V920" s="102" t="s">
        <v>429</v>
      </c>
      <c r="W920" s="79" t="s">
        <v>309</v>
      </c>
      <c r="X920" s="79" t="s">
        <v>309</v>
      </c>
      <c r="Y920" s="79"/>
      <c r="Z920" s="79"/>
    </row>
    <row r="921" ht="15.75" customHeight="1">
      <c r="A921" s="76" t="s">
        <v>247</v>
      </c>
      <c r="B921" s="77" t="s">
        <v>6379</v>
      </c>
      <c r="C921" s="80">
        <v>3.0680295049E10</v>
      </c>
      <c r="D921" s="79" t="s">
        <v>264</v>
      </c>
      <c r="E921" s="79" t="s">
        <v>2533</v>
      </c>
      <c r="F921" s="44">
        <v>315.0</v>
      </c>
      <c r="G921" s="77" t="s">
        <v>226</v>
      </c>
      <c r="H921" s="80">
        <v>1674.0</v>
      </c>
      <c r="I921" s="79">
        <v>266090.0</v>
      </c>
      <c r="J921" s="74" t="s">
        <v>347</v>
      </c>
      <c r="K921" s="77" t="s">
        <v>6380</v>
      </c>
      <c r="L921" s="79" t="s">
        <v>4703</v>
      </c>
      <c r="M921" s="79"/>
      <c r="N921" s="79">
        <v>7.0</v>
      </c>
      <c r="O921" s="74"/>
      <c r="P921" s="80"/>
      <c r="Q921" s="79"/>
      <c r="R921" s="80"/>
      <c r="S921" s="80" t="s">
        <v>6381</v>
      </c>
      <c r="T921" s="101" t="s">
        <v>6382</v>
      </c>
      <c r="U921" s="80" t="s">
        <v>332</v>
      </c>
      <c r="V921" s="102" t="s">
        <v>6383</v>
      </c>
      <c r="W921" s="79" t="s">
        <v>309</v>
      </c>
      <c r="X921" s="79" t="s">
        <v>309</v>
      </c>
      <c r="Y921" s="79" t="s">
        <v>309</v>
      </c>
      <c r="Z921" s="79"/>
    </row>
    <row r="922" ht="15.0" customHeight="1">
      <c r="A922" s="76" t="s">
        <v>247</v>
      </c>
      <c r="B922" s="77" t="s">
        <v>6385</v>
      </c>
      <c r="C922" s="80">
        <v>3.071011759E10</v>
      </c>
      <c r="D922" s="119" t="s">
        <v>264</v>
      </c>
      <c r="E922" s="79" t="s">
        <v>6386</v>
      </c>
      <c r="F922" s="128">
        <v>5627.0</v>
      </c>
      <c r="G922" s="79" t="s">
        <v>269</v>
      </c>
      <c r="H922" s="80">
        <v>1682.0</v>
      </c>
      <c r="I922" s="79">
        <v>410011.0</v>
      </c>
      <c r="J922" s="74" t="s">
        <v>125</v>
      </c>
      <c r="K922" s="77" t="s">
        <v>6387</v>
      </c>
      <c r="L922" s="79" t="s">
        <v>453</v>
      </c>
      <c r="M922" s="79"/>
      <c r="N922" s="79">
        <v>3.0</v>
      </c>
      <c r="O922" s="74"/>
      <c r="P922" s="80"/>
      <c r="Q922" s="79"/>
      <c r="R922" s="80"/>
      <c r="S922" s="78" t="s">
        <v>6389</v>
      </c>
      <c r="T922" s="78" t="s">
        <v>6390</v>
      </c>
      <c r="U922" s="80" t="s">
        <v>332</v>
      </c>
      <c r="V922" s="102" t="s">
        <v>6391</v>
      </c>
      <c r="W922" s="79" t="s">
        <v>306</v>
      </c>
      <c r="X922" s="79" t="s">
        <v>306</v>
      </c>
      <c r="Y922" s="79"/>
      <c r="Z922" s="79"/>
    </row>
    <row r="923" ht="15.0" customHeight="1">
      <c r="A923" s="103" t="s">
        <v>24</v>
      </c>
      <c r="B923" s="77" t="s">
        <v>6392</v>
      </c>
      <c r="C923" s="80">
        <v>3.064710301E10</v>
      </c>
      <c r="D923" s="119" t="s">
        <v>264</v>
      </c>
      <c r="E923" s="79" t="s">
        <v>3875</v>
      </c>
      <c r="F923" s="44">
        <v>3494.0</v>
      </c>
      <c r="G923" s="79" t="s">
        <v>15</v>
      </c>
      <c r="H923" s="80">
        <v>1678.0</v>
      </c>
      <c r="I923" s="79">
        <v>523090.0</v>
      </c>
      <c r="J923" s="74" t="s">
        <v>433</v>
      </c>
      <c r="K923" s="77" t="s">
        <v>1842</v>
      </c>
      <c r="L923" s="79"/>
      <c r="M923" s="79"/>
      <c r="N923" s="79">
        <v>2.0</v>
      </c>
      <c r="O923" s="74"/>
      <c r="P923" s="80"/>
      <c r="Q923" s="79"/>
      <c r="R923" s="80"/>
      <c r="S923" s="80" t="s">
        <v>6394</v>
      </c>
      <c r="T923" s="101" t="s">
        <v>6395</v>
      </c>
      <c r="U923" s="80" t="s">
        <v>332</v>
      </c>
      <c r="V923" s="102" t="s">
        <v>429</v>
      </c>
      <c r="W923" s="79" t="s">
        <v>306</v>
      </c>
      <c r="X923" s="79" t="s">
        <v>306</v>
      </c>
      <c r="Y923" s="79"/>
      <c r="Z923" s="79"/>
    </row>
    <row r="924" ht="15.75" customHeight="1">
      <c r="A924" s="76" t="s">
        <v>247</v>
      </c>
      <c r="B924" s="77" t="s">
        <v>6396</v>
      </c>
      <c r="C924" s="80">
        <v>3.068528155E10</v>
      </c>
      <c r="D924" s="119" t="s">
        <v>264</v>
      </c>
      <c r="E924" s="79" t="s">
        <v>3052</v>
      </c>
      <c r="F924" s="128">
        <v>160.0</v>
      </c>
      <c r="G924" s="79" t="s">
        <v>68</v>
      </c>
      <c r="H924" s="80">
        <v>1702.0</v>
      </c>
      <c r="I924" s="79">
        <v>410011.0</v>
      </c>
      <c r="J924" s="74" t="s">
        <v>125</v>
      </c>
      <c r="K924" s="79" t="s">
        <v>1829</v>
      </c>
      <c r="L924" s="79" t="s">
        <v>453</v>
      </c>
      <c r="M924" s="79"/>
      <c r="N924" s="79">
        <v>11.0</v>
      </c>
      <c r="O924" s="74"/>
      <c r="P924" s="80"/>
      <c r="Q924" s="79"/>
      <c r="R924" s="80"/>
      <c r="S924" s="80" t="s">
        <v>6398</v>
      </c>
      <c r="T924" s="101" t="s">
        <v>6399</v>
      </c>
      <c r="U924" s="80" t="s">
        <v>6400</v>
      </c>
      <c r="V924" s="102" t="s">
        <v>6401</v>
      </c>
      <c r="W924" s="79" t="s">
        <v>306</v>
      </c>
      <c r="X924" s="79" t="s">
        <v>306</v>
      </c>
      <c r="Y924" s="79" t="s">
        <v>309</v>
      </c>
      <c r="Z924" s="79"/>
    </row>
    <row r="925" ht="15.0" customHeight="1">
      <c r="A925" s="76" t="s">
        <v>247</v>
      </c>
      <c r="B925" s="77" t="s">
        <v>6403</v>
      </c>
      <c r="C925" s="80">
        <v>3.0710135505E10</v>
      </c>
      <c r="D925" s="119" t="s">
        <v>264</v>
      </c>
      <c r="E925" s="77" t="s">
        <v>6404</v>
      </c>
      <c r="F925" s="128">
        <v>4226.0</v>
      </c>
      <c r="G925" s="79" t="s">
        <v>68</v>
      </c>
      <c r="H925" s="80">
        <v>1702.0</v>
      </c>
      <c r="I925" s="79">
        <v>243200.0</v>
      </c>
      <c r="J925" s="74" t="s">
        <v>347</v>
      </c>
      <c r="K925" s="79" t="s">
        <v>1277</v>
      </c>
      <c r="L925" s="79" t="s">
        <v>453</v>
      </c>
      <c r="M925" s="77" t="s">
        <v>6406</v>
      </c>
      <c r="N925" s="79">
        <v>13.0</v>
      </c>
      <c r="O925" s="74"/>
      <c r="P925" s="80"/>
      <c r="Q925" s="79" t="s">
        <v>6407</v>
      </c>
      <c r="R925" s="80"/>
      <c r="S925" s="78" t="s">
        <v>6408</v>
      </c>
      <c r="T925" s="85" t="s">
        <v>6409</v>
      </c>
      <c r="U925" s="78"/>
      <c r="V925" s="102" t="s">
        <v>6410</v>
      </c>
      <c r="W925" s="79" t="s">
        <v>309</v>
      </c>
      <c r="X925" s="79" t="s">
        <v>309</v>
      </c>
      <c r="Y925" s="79" t="s">
        <v>309</v>
      </c>
      <c r="Z925" s="79"/>
    </row>
    <row r="926" ht="15.75" customHeight="1">
      <c r="A926" s="76" t="s">
        <v>247</v>
      </c>
      <c r="B926" s="77" t="s">
        <v>1845</v>
      </c>
      <c r="C926" s="80">
        <v>3.070847167E10</v>
      </c>
      <c r="D926" s="79" t="s">
        <v>264</v>
      </c>
      <c r="E926" s="79" t="s">
        <v>3191</v>
      </c>
      <c r="F926" s="44">
        <v>3031.0</v>
      </c>
      <c r="G926" s="79" t="s">
        <v>68</v>
      </c>
      <c r="H926" s="80">
        <v>1702.0</v>
      </c>
      <c r="I926" s="79">
        <v>107121.0</v>
      </c>
      <c r="J926" s="74" t="s">
        <v>22</v>
      </c>
      <c r="K926" s="129" t="s">
        <v>6412</v>
      </c>
      <c r="L926" s="79"/>
      <c r="M926" s="79"/>
      <c r="N926" s="79">
        <v>187.0</v>
      </c>
      <c r="O926" s="74" t="s">
        <v>6413</v>
      </c>
      <c r="P926" s="78" t="s">
        <v>6414</v>
      </c>
      <c r="Q926" s="77" t="s">
        <v>6415</v>
      </c>
      <c r="R926" s="78" t="s">
        <v>6416</v>
      </c>
      <c r="S926" s="80" t="s">
        <v>6417</v>
      </c>
      <c r="T926" s="101" t="s">
        <v>6418</v>
      </c>
      <c r="U926" s="80" t="s">
        <v>6419</v>
      </c>
      <c r="V926" s="102" t="s">
        <v>6421</v>
      </c>
      <c r="W926" s="79" t="s">
        <v>306</v>
      </c>
      <c r="X926" s="79" t="s">
        <v>3234</v>
      </c>
      <c r="Y926" s="79" t="s">
        <v>309</v>
      </c>
      <c r="Z926" s="79"/>
    </row>
    <row r="927" ht="15.75" customHeight="1">
      <c r="A927" s="76" t="s">
        <v>247</v>
      </c>
      <c r="B927" s="129" t="s">
        <v>1850</v>
      </c>
      <c r="C927" s="78">
        <v>3.0712231765E10</v>
      </c>
      <c r="D927" s="119" t="s">
        <v>264</v>
      </c>
      <c r="E927" s="77" t="s">
        <v>6422</v>
      </c>
      <c r="F927" s="128">
        <v>684.0</v>
      </c>
      <c r="G927" s="77" t="s">
        <v>226</v>
      </c>
      <c r="H927" s="78">
        <v>1674.0</v>
      </c>
      <c r="I927" s="78" t="s">
        <v>2519</v>
      </c>
      <c r="J927" s="74" t="s">
        <v>347</v>
      </c>
      <c r="K927" s="79" t="s">
        <v>6424</v>
      </c>
      <c r="L927" s="79"/>
      <c r="M927" s="79"/>
      <c r="N927" s="79"/>
      <c r="O927" s="126" t="s">
        <v>6425</v>
      </c>
      <c r="P927" s="80"/>
      <c r="Q927" s="79"/>
      <c r="R927" s="80"/>
      <c r="S927" s="85" t="s">
        <v>6426</v>
      </c>
      <c r="T927" s="85" t="s">
        <v>6427</v>
      </c>
      <c r="U927" s="80"/>
      <c r="V927" s="102" t="s">
        <v>6428</v>
      </c>
      <c r="W927" s="126"/>
      <c r="X927" s="126"/>
      <c r="Y927" s="79" t="s">
        <v>309</v>
      </c>
      <c r="Z927" s="79"/>
    </row>
    <row r="928" ht="15.75" customHeight="1">
      <c r="A928" s="103" t="s">
        <v>24</v>
      </c>
      <c r="B928" s="77" t="s">
        <v>6430</v>
      </c>
      <c r="C928" s="80">
        <v>3.0669452086E10</v>
      </c>
      <c r="D928" s="119" t="s">
        <v>264</v>
      </c>
      <c r="E928" s="79" t="s">
        <v>2333</v>
      </c>
      <c r="F928" s="44">
        <v>2745.0</v>
      </c>
      <c r="G928" s="79" t="s">
        <v>97</v>
      </c>
      <c r="H928" s="80">
        <v>1702.0</v>
      </c>
      <c r="I928" s="79">
        <v>107999.0</v>
      </c>
      <c r="J928" s="74" t="s">
        <v>22</v>
      </c>
      <c r="K928" s="77" t="s">
        <v>1384</v>
      </c>
      <c r="L928" s="79"/>
      <c r="M928" s="79"/>
      <c r="N928" s="79">
        <v>15.0</v>
      </c>
      <c r="O928" s="74" t="s">
        <v>332</v>
      </c>
      <c r="P928" s="80"/>
      <c r="Q928" s="79"/>
      <c r="R928" s="80"/>
      <c r="S928" s="78" t="s">
        <v>6431</v>
      </c>
      <c r="T928" s="85" t="s">
        <v>6432</v>
      </c>
      <c r="U928" s="311"/>
      <c r="V928" s="102" t="s">
        <v>429</v>
      </c>
      <c r="W928" s="79" t="s">
        <v>309</v>
      </c>
      <c r="X928" s="79" t="s">
        <v>309</v>
      </c>
      <c r="Y928" s="79" t="s">
        <v>309</v>
      </c>
      <c r="Z928" s="79"/>
    </row>
    <row r="929" ht="15.75" customHeight="1">
      <c r="A929" s="103" t="s">
        <v>24</v>
      </c>
      <c r="B929" s="77" t="s">
        <v>6434</v>
      </c>
      <c r="C929" s="80">
        <v>3.068524252E10</v>
      </c>
      <c r="D929" s="79" t="s">
        <v>264</v>
      </c>
      <c r="E929" s="79" t="s">
        <v>1525</v>
      </c>
      <c r="F929" s="44">
        <v>3773.0</v>
      </c>
      <c r="G929" s="79" t="s">
        <v>68</v>
      </c>
      <c r="H929" s="80">
        <v>1702.0</v>
      </c>
      <c r="I929" s="79">
        <v>361010.0</v>
      </c>
      <c r="J929" s="74" t="s">
        <v>313</v>
      </c>
      <c r="K929" s="79" t="s">
        <v>2534</v>
      </c>
      <c r="L929" s="79" t="s">
        <v>1122</v>
      </c>
      <c r="M929" s="79"/>
      <c r="N929" s="79">
        <v>1.0</v>
      </c>
      <c r="O929" s="74"/>
      <c r="P929" s="80"/>
      <c r="Q929" s="79"/>
      <c r="R929" s="80"/>
      <c r="S929" s="80" t="s">
        <v>6436</v>
      </c>
      <c r="T929" s="101" t="s">
        <v>332</v>
      </c>
      <c r="U929" s="80" t="s">
        <v>332</v>
      </c>
      <c r="V929" s="102" t="s">
        <v>429</v>
      </c>
      <c r="W929" s="79" t="s">
        <v>306</v>
      </c>
      <c r="X929" s="79" t="s">
        <v>306</v>
      </c>
      <c r="Y929" s="79"/>
      <c r="Z929" s="79"/>
    </row>
    <row r="930" ht="15.75" customHeight="1">
      <c r="A930" s="76" t="s">
        <v>247</v>
      </c>
      <c r="B930" s="77" t="s">
        <v>1853</v>
      </c>
      <c r="C930" s="80">
        <v>3.0701170179E10</v>
      </c>
      <c r="D930" s="79" t="s">
        <v>264</v>
      </c>
      <c r="E930" s="79" t="s">
        <v>6437</v>
      </c>
      <c r="F930" s="44">
        <v>2442.0</v>
      </c>
      <c r="G930" s="79" t="s">
        <v>175</v>
      </c>
      <c r="H930" s="80">
        <v>1657.0</v>
      </c>
      <c r="I930" s="79">
        <v>152021.0</v>
      </c>
      <c r="J930" s="74" t="s">
        <v>73</v>
      </c>
      <c r="K930" s="79" t="s">
        <v>6439</v>
      </c>
      <c r="L930" s="79"/>
      <c r="M930" s="79"/>
      <c r="N930" s="79">
        <v>35.0</v>
      </c>
      <c r="O930" s="74" t="s">
        <v>6440</v>
      </c>
      <c r="P930" s="85" t="s">
        <v>6441</v>
      </c>
      <c r="Q930" s="144" t="s">
        <v>6442</v>
      </c>
      <c r="R930" s="80"/>
      <c r="S930" s="78" t="s">
        <v>6443</v>
      </c>
      <c r="T930" s="101" t="s">
        <v>6444</v>
      </c>
      <c r="U930" s="78" t="s">
        <v>6445</v>
      </c>
      <c r="V930" s="102" t="s">
        <v>6446</v>
      </c>
      <c r="W930" s="79"/>
      <c r="X930" s="79"/>
      <c r="Y930" s="79" t="s">
        <v>309</v>
      </c>
      <c r="Z930" s="79"/>
    </row>
    <row r="931" ht="15.0" customHeight="1">
      <c r="A931" s="103" t="s">
        <v>24</v>
      </c>
      <c r="B931" s="77" t="s">
        <v>6448</v>
      </c>
      <c r="C931" s="80">
        <v>3.0708033363E10</v>
      </c>
      <c r="D931" s="119" t="s">
        <v>264</v>
      </c>
      <c r="E931" s="79" t="s">
        <v>2540</v>
      </c>
      <c r="F931" s="44">
        <v>5004.0</v>
      </c>
      <c r="G931" s="79" t="s">
        <v>15</v>
      </c>
      <c r="H931" s="80">
        <v>1678.0</v>
      </c>
      <c r="I931" s="79">
        <v>154999.0</v>
      </c>
      <c r="J931" s="74" t="s">
        <v>22</v>
      </c>
      <c r="K931" s="77" t="s">
        <v>3876</v>
      </c>
      <c r="L931" s="79"/>
      <c r="M931" s="79"/>
      <c r="N931" s="79">
        <v>1.0</v>
      </c>
      <c r="O931" s="74"/>
      <c r="P931" s="80"/>
      <c r="Q931" s="79"/>
      <c r="R931" s="80"/>
      <c r="S931" s="78" t="s">
        <v>6450</v>
      </c>
      <c r="T931" s="85" t="s">
        <v>6451</v>
      </c>
      <c r="U931" s="78" t="s">
        <v>6452</v>
      </c>
      <c r="V931" s="102" t="s">
        <v>429</v>
      </c>
      <c r="W931" s="79" t="s">
        <v>306</v>
      </c>
      <c r="X931" s="79" t="s">
        <v>306</v>
      </c>
      <c r="Y931" s="79"/>
      <c r="Z931" s="79"/>
    </row>
    <row r="932" ht="15.0" customHeight="1">
      <c r="A932" s="76" t="s">
        <v>247</v>
      </c>
      <c r="B932" s="77" t="s">
        <v>1856</v>
      </c>
      <c r="C932" s="80">
        <v>3.0714699578E10</v>
      </c>
      <c r="D932" s="119" t="s">
        <v>264</v>
      </c>
      <c r="E932" s="77" t="s">
        <v>1070</v>
      </c>
      <c r="F932" s="44">
        <v>707.0</v>
      </c>
      <c r="G932" s="79" t="s">
        <v>68</v>
      </c>
      <c r="H932" s="80">
        <v>1702.0</v>
      </c>
      <c r="I932" s="79">
        <v>181200.0</v>
      </c>
      <c r="J932" s="74" t="s">
        <v>238</v>
      </c>
      <c r="K932" s="79" t="s">
        <v>1833</v>
      </c>
      <c r="L932" s="79" t="s">
        <v>453</v>
      </c>
      <c r="M932" s="79" t="s">
        <v>1546</v>
      </c>
      <c r="N932" s="79">
        <v>0.0</v>
      </c>
      <c r="O932" s="83" t="s">
        <v>6454</v>
      </c>
      <c r="P932" s="78" t="s">
        <v>6455</v>
      </c>
      <c r="Q932" s="79"/>
      <c r="R932" s="80"/>
      <c r="S932" s="78" t="s">
        <v>6456</v>
      </c>
      <c r="T932" s="80" t="s">
        <v>4369</v>
      </c>
      <c r="U932" s="312" t="s">
        <v>6457</v>
      </c>
      <c r="V932" s="102" t="s">
        <v>6459</v>
      </c>
      <c r="W932" s="79" t="s">
        <v>309</v>
      </c>
      <c r="X932" s="79" t="s">
        <v>309</v>
      </c>
      <c r="Y932" s="79" t="s">
        <v>309</v>
      </c>
      <c r="Z932" s="79"/>
    </row>
    <row r="933" ht="15.0" customHeight="1">
      <c r="A933" s="76" t="s">
        <v>247</v>
      </c>
      <c r="B933" s="77" t="s">
        <v>6461</v>
      </c>
      <c r="C933" s="80">
        <v>3.0708455586E10</v>
      </c>
      <c r="D933" s="79" t="s">
        <v>264</v>
      </c>
      <c r="E933" s="77" t="s">
        <v>591</v>
      </c>
      <c r="F933" s="44">
        <v>803.0</v>
      </c>
      <c r="G933" s="79" t="s">
        <v>68</v>
      </c>
      <c r="H933" s="80">
        <v>1702.0</v>
      </c>
      <c r="I933" s="79">
        <v>293090.0</v>
      </c>
      <c r="J933" s="74" t="s">
        <v>337</v>
      </c>
      <c r="K933" s="77" t="s">
        <v>407</v>
      </c>
      <c r="L933" s="79"/>
      <c r="M933" s="77" t="s">
        <v>6462</v>
      </c>
      <c r="N933" s="79">
        <v>3.0</v>
      </c>
      <c r="O933" s="83" t="s">
        <v>6463</v>
      </c>
      <c r="P933" s="80"/>
      <c r="Q933" s="79"/>
      <c r="R933" s="80"/>
      <c r="S933" s="78" t="s">
        <v>6464</v>
      </c>
      <c r="T933" s="101" t="s">
        <v>332</v>
      </c>
      <c r="U933" s="80" t="s">
        <v>332</v>
      </c>
      <c r="V933" s="102" t="s">
        <v>6466</v>
      </c>
      <c r="W933" s="79" t="s">
        <v>309</v>
      </c>
      <c r="X933" s="79" t="s">
        <v>309</v>
      </c>
      <c r="Y933" s="79" t="s">
        <v>309</v>
      </c>
      <c r="Z933" s="79"/>
    </row>
    <row r="934" ht="15.0" customHeight="1">
      <c r="A934" s="103" t="s">
        <v>24</v>
      </c>
      <c r="B934" s="77" t="s">
        <v>6467</v>
      </c>
      <c r="C934" s="80">
        <v>3.0714508748E10</v>
      </c>
      <c r="D934" s="119" t="s">
        <v>264</v>
      </c>
      <c r="E934" s="79" t="s">
        <v>1369</v>
      </c>
      <c r="F934" s="44">
        <v>1161.0</v>
      </c>
      <c r="G934" s="79" t="s">
        <v>68</v>
      </c>
      <c r="H934" s="80">
        <v>1702.0</v>
      </c>
      <c r="I934" s="79">
        <v>281700.0</v>
      </c>
      <c r="J934" s="74" t="s">
        <v>347</v>
      </c>
      <c r="K934" s="79" t="s">
        <v>4105</v>
      </c>
      <c r="L934" s="79" t="s">
        <v>662</v>
      </c>
      <c r="M934" s="77" t="s">
        <v>6469</v>
      </c>
      <c r="N934" s="79">
        <v>28.0</v>
      </c>
      <c r="O934" s="83" t="s">
        <v>6470</v>
      </c>
      <c r="P934" s="80"/>
      <c r="Q934" s="79"/>
      <c r="R934" s="80"/>
      <c r="S934" s="80"/>
      <c r="T934" s="101" t="s">
        <v>332</v>
      </c>
      <c r="U934" s="80" t="s">
        <v>332</v>
      </c>
      <c r="V934" s="98" t="s">
        <v>6471</v>
      </c>
      <c r="W934" s="79" t="s">
        <v>309</v>
      </c>
      <c r="X934" s="79" t="s">
        <v>309</v>
      </c>
      <c r="Y934" s="79"/>
      <c r="Z934" s="79"/>
    </row>
    <row r="935">
      <c r="A935" s="103" t="s">
        <v>24</v>
      </c>
      <c r="B935" s="77" t="s">
        <v>6473</v>
      </c>
      <c r="C935" s="80">
        <v>3.0663742627E10</v>
      </c>
      <c r="D935" s="79" t="s">
        <v>264</v>
      </c>
      <c r="E935" s="79" t="s">
        <v>1607</v>
      </c>
      <c r="F935" s="44">
        <v>4544.0</v>
      </c>
      <c r="G935" s="79" t="s">
        <v>15</v>
      </c>
      <c r="H935" s="80">
        <v>1678.0</v>
      </c>
      <c r="I935" s="79">
        <v>361020.0</v>
      </c>
      <c r="J935" s="74" t="s">
        <v>313</v>
      </c>
      <c r="K935" s="77" t="s">
        <v>6475</v>
      </c>
      <c r="L935" s="79"/>
      <c r="M935" s="77" t="s">
        <v>6476</v>
      </c>
      <c r="N935" s="79">
        <v>0.0</v>
      </c>
      <c r="O935" s="74"/>
      <c r="P935" s="80"/>
      <c r="Q935" s="79"/>
      <c r="R935" s="80"/>
      <c r="S935" s="78" t="s">
        <v>6477</v>
      </c>
      <c r="T935" s="80" t="s">
        <v>6478</v>
      </c>
      <c r="U935" s="101" t="s">
        <v>6479</v>
      </c>
      <c r="V935" s="102" t="s">
        <v>6480</v>
      </c>
      <c r="W935" s="79" t="s">
        <v>309</v>
      </c>
      <c r="X935" s="79" t="s">
        <v>309</v>
      </c>
      <c r="Y935" s="79"/>
      <c r="Z935" s="79"/>
    </row>
    <row r="936" ht="15.75" customHeight="1">
      <c r="A936" s="76" t="s">
        <v>247</v>
      </c>
      <c r="B936" s="77" t="s">
        <v>4090</v>
      </c>
      <c r="C936" s="80">
        <v>3.0707986324E10</v>
      </c>
      <c r="D936" s="79" t="s">
        <v>264</v>
      </c>
      <c r="E936" s="79" t="s">
        <v>2902</v>
      </c>
      <c r="F936" s="44">
        <v>951.0</v>
      </c>
      <c r="G936" s="79" t="s">
        <v>68</v>
      </c>
      <c r="H936" s="80">
        <v>1702.0</v>
      </c>
      <c r="I936" s="79">
        <v>329090.0</v>
      </c>
      <c r="J936" s="74" t="s">
        <v>316</v>
      </c>
      <c r="K936" s="291" t="s">
        <v>1307</v>
      </c>
      <c r="L936" s="79" t="s">
        <v>369</v>
      </c>
      <c r="M936" s="79" t="s">
        <v>6013</v>
      </c>
      <c r="N936" s="79">
        <v>146.0</v>
      </c>
      <c r="O936" s="74" t="s">
        <v>6482</v>
      </c>
      <c r="P936" s="85" t="s">
        <v>6483</v>
      </c>
      <c r="Q936" s="79" t="s">
        <v>6485</v>
      </c>
      <c r="R936" s="85" t="s">
        <v>6486</v>
      </c>
      <c r="S936" s="80" t="s">
        <v>6487</v>
      </c>
      <c r="T936" s="101" t="s">
        <v>6488</v>
      </c>
      <c r="U936" s="80" t="s">
        <v>332</v>
      </c>
      <c r="V936" s="102" t="s">
        <v>6489</v>
      </c>
      <c r="W936" s="79" t="s">
        <v>309</v>
      </c>
      <c r="X936" s="79" t="s">
        <v>309</v>
      </c>
      <c r="Y936" s="79" t="s">
        <v>309</v>
      </c>
      <c r="Z936" s="79"/>
    </row>
    <row r="937" ht="15.75" customHeight="1">
      <c r="A937" s="76" t="s">
        <v>247</v>
      </c>
      <c r="B937" s="77" t="s">
        <v>1861</v>
      </c>
      <c r="C937" s="80">
        <v>3.0714415324E10</v>
      </c>
      <c r="D937" s="79" t="s">
        <v>264</v>
      </c>
      <c r="E937" s="79" t="s">
        <v>314</v>
      </c>
      <c r="F937" s="128">
        <v>4807.0</v>
      </c>
      <c r="G937" s="77" t="s">
        <v>15</v>
      </c>
      <c r="H937" s="80">
        <v>1678.0</v>
      </c>
      <c r="I937" s="79">
        <v>274000.0</v>
      </c>
      <c r="J937" s="83" t="s">
        <v>207</v>
      </c>
      <c r="K937" s="79" t="s">
        <v>2067</v>
      </c>
      <c r="L937" s="79"/>
      <c r="M937" s="79"/>
      <c r="N937" s="79"/>
      <c r="O937" s="74" t="s">
        <v>6491</v>
      </c>
      <c r="P937" s="78" t="s">
        <v>6492</v>
      </c>
      <c r="Q937" s="79"/>
      <c r="R937" s="80"/>
      <c r="S937" s="78" t="s">
        <v>6493</v>
      </c>
      <c r="T937" s="80" t="s">
        <v>6494</v>
      </c>
      <c r="U937" s="80"/>
      <c r="V937" s="102" t="s">
        <v>6495</v>
      </c>
      <c r="W937" s="79"/>
      <c r="X937" s="79"/>
      <c r="Y937" s="79" t="s">
        <v>309</v>
      </c>
      <c r="Z937" s="79"/>
    </row>
    <row r="938" ht="15.75" customHeight="1">
      <c r="A938" s="76" t="s">
        <v>247</v>
      </c>
      <c r="B938" s="77" t="s">
        <v>1864</v>
      </c>
      <c r="C938" s="80">
        <v>3.3712338399E10</v>
      </c>
      <c r="D938" s="119" t="s">
        <v>264</v>
      </c>
      <c r="E938" s="77" t="s">
        <v>6497</v>
      </c>
      <c r="F938" s="44">
        <v>615.0</v>
      </c>
      <c r="G938" s="79" t="s">
        <v>68</v>
      </c>
      <c r="H938" s="80">
        <v>1702.0</v>
      </c>
      <c r="I938" s="79">
        <v>282300.0</v>
      </c>
      <c r="J938" s="74" t="s">
        <v>347</v>
      </c>
      <c r="K938" s="79" t="s">
        <v>4825</v>
      </c>
      <c r="L938" s="79" t="s">
        <v>662</v>
      </c>
      <c r="M938" s="77" t="s">
        <v>6498</v>
      </c>
      <c r="N938" s="79">
        <v>3.0</v>
      </c>
      <c r="O938" s="83" t="s">
        <v>6499</v>
      </c>
      <c r="P938" s="80"/>
      <c r="Q938" s="79"/>
      <c r="R938" s="80"/>
      <c r="S938" s="78" t="s">
        <v>6501</v>
      </c>
      <c r="T938" s="85" t="s">
        <v>6502</v>
      </c>
      <c r="U938" s="78" t="s">
        <v>6503</v>
      </c>
      <c r="V938" s="102" t="s">
        <v>6504</v>
      </c>
      <c r="W938" s="79" t="s">
        <v>306</v>
      </c>
      <c r="X938" s="79" t="s">
        <v>306</v>
      </c>
      <c r="Y938" s="79"/>
      <c r="Z938" s="79"/>
    </row>
    <row r="939" ht="15.0" customHeight="1">
      <c r="A939" s="76" t="s">
        <v>247</v>
      </c>
      <c r="B939" s="313" t="s">
        <v>6505</v>
      </c>
      <c r="C939" s="85">
        <v>3.3712338399E10</v>
      </c>
      <c r="D939" s="79" t="s">
        <v>264</v>
      </c>
      <c r="E939" s="126" t="s">
        <v>6506</v>
      </c>
      <c r="F939" s="44">
        <v>615.0</v>
      </c>
      <c r="G939" s="79" t="s">
        <v>68</v>
      </c>
      <c r="H939" s="80">
        <v>1702.0</v>
      </c>
      <c r="I939" s="77">
        <v>282300.0</v>
      </c>
      <c r="J939" s="83" t="s">
        <v>347</v>
      </c>
      <c r="K939" s="77" t="s">
        <v>4825</v>
      </c>
      <c r="L939" s="79" t="s">
        <v>6508</v>
      </c>
      <c r="M939" s="79" t="s">
        <v>6509</v>
      </c>
      <c r="N939" s="79"/>
      <c r="O939" s="79"/>
      <c r="P939" s="80"/>
      <c r="Q939" s="79"/>
      <c r="R939" s="80"/>
      <c r="S939" s="101" t="s">
        <v>6510</v>
      </c>
      <c r="T939" s="85" t="s">
        <v>6502</v>
      </c>
      <c r="U939" s="80"/>
      <c r="V939" s="102" t="s">
        <v>6511</v>
      </c>
      <c r="W939" s="79"/>
      <c r="X939" s="79"/>
      <c r="Y939" s="79"/>
      <c r="Z939" s="79"/>
    </row>
    <row r="940" ht="15.0" customHeight="1">
      <c r="A940" s="76" t="s">
        <v>247</v>
      </c>
      <c r="B940" s="77" t="s">
        <v>6513</v>
      </c>
      <c r="C940" s="80">
        <v>3.0698822216E10</v>
      </c>
      <c r="D940" s="79" t="s">
        <v>264</v>
      </c>
      <c r="E940" s="79" t="s">
        <v>2528</v>
      </c>
      <c r="F940" s="128" t="s">
        <v>6514</v>
      </c>
      <c r="G940" s="77" t="s">
        <v>15</v>
      </c>
      <c r="H940" s="78">
        <v>1678.0</v>
      </c>
      <c r="I940" s="77">
        <v>731009.0</v>
      </c>
      <c r="J940" s="83" t="s">
        <v>433</v>
      </c>
      <c r="K940" s="77" t="s">
        <v>5870</v>
      </c>
      <c r="L940" s="79"/>
      <c r="M940" s="79"/>
      <c r="N940" s="79"/>
      <c r="O940" s="74"/>
      <c r="P940" s="80"/>
      <c r="Q940" s="79"/>
      <c r="R940" s="80"/>
      <c r="S940" s="78" t="s">
        <v>6516</v>
      </c>
      <c r="T940" s="101"/>
      <c r="U940" s="80"/>
      <c r="V940" s="102" t="s">
        <v>6517</v>
      </c>
      <c r="W940" s="79"/>
      <c r="X940" s="79"/>
      <c r="Y940" s="79"/>
      <c r="Z940" s="79"/>
    </row>
    <row r="941" ht="15.75" customHeight="1">
      <c r="A941" s="103" t="s">
        <v>24</v>
      </c>
      <c r="B941" s="79" t="s">
        <v>6519</v>
      </c>
      <c r="C941" s="80">
        <v>3.0709600377E10</v>
      </c>
      <c r="D941" s="79" t="s">
        <v>264</v>
      </c>
      <c r="E941" s="79" t="s">
        <v>3339</v>
      </c>
      <c r="F941" s="44">
        <v>5235.0</v>
      </c>
      <c r="G941" s="79" t="s">
        <v>15</v>
      </c>
      <c r="H941" s="80">
        <v>1678.0</v>
      </c>
      <c r="I941" s="79">
        <v>259999.0</v>
      </c>
      <c r="J941" s="74" t="s">
        <v>347</v>
      </c>
      <c r="K941" s="77" t="s">
        <v>839</v>
      </c>
      <c r="L941" s="79" t="s">
        <v>453</v>
      </c>
      <c r="M941" s="79"/>
      <c r="N941" s="79">
        <v>19.0</v>
      </c>
      <c r="O941" s="126" t="s">
        <v>6440</v>
      </c>
      <c r="P941" s="78" t="s">
        <v>6521</v>
      </c>
      <c r="Q941" s="77" t="s">
        <v>6522</v>
      </c>
      <c r="R941" s="78" t="s">
        <v>6521</v>
      </c>
      <c r="S941" s="80" t="s">
        <v>6523</v>
      </c>
      <c r="T941" s="101" t="s">
        <v>6524</v>
      </c>
      <c r="U941" s="80" t="s">
        <v>6525</v>
      </c>
      <c r="V941" s="102" t="s">
        <v>429</v>
      </c>
      <c r="W941" s="79" t="s">
        <v>309</v>
      </c>
      <c r="X941" s="79" t="s">
        <v>309</v>
      </c>
      <c r="Y941" s="79" t="s">
        <v>309</v>
      </c>
      <c r="Z941" s="79"/>
    </row>
    <row r="942" ht="15.0" customHeight="1">
      <c r="A942" s="76" t="s">
        <v>247</v>
      </c>
      <c r="B942" s="77" t="s">
        <v>6526</v>
      </c>
      <c r="C942" s="80">
        <v>3.070771126E10</v>
      </c>
      <c r="D942" s="79" t="s">
        <v>264</v>
      </c>
      <c r="E942" s="79" t="s">
        <v>359</v>
      </c>
      <c r="F942" s="44">
        <v>4844.0</v>
      </c>
      <c r="G942" s="79" t="s">
        <v>15</v>
      </c>
      <c r="H942" s="80">
        <v>1678.0</v>
      </c>
      <c r="I942" s="79">
        <v>329090.0</v>
      </c>
      <c r="J942" s="74" t="s">
        <v>283</v>
      </c>
      <c r="K942" s="77" t="s">
        <v>1307</v>
      </c>
      <c r="L942" s="79" t="s">
        <v>453</v>
      </c>
      <c r="M942" s="79" t="s">
        <v>6527</v>
      </c>
      <c r="N942" s="79"/>
      <c r="O942" s="74"/>
      <c r="P942" s="78" t="s">
        <v>6529</v>
      </c>
      <c r="Q942" s="79"/>
      <c r="R942" s="80"/>
      <c r="S942" s="78" t="s">
        <v>6530</v>
      </c>
      <c r="T942" s="85" t="s">
        <v>6531</v>
      </c>
      <c r="U942" s="78" t="s">
        <v>6532</v>
      </c>
      <c r="V942" s="102" t="s">
        <v>6533</v>
      </c>
      <c r="W942" s="79"/>
      <c r="X942" s="79"/>
      <c r="Y942" s="79"/>
      <c r="Z942" s="79"/>
    </row>
    <row r="943" ht="15.0" customHeight="1">
      <c r="A943" s="76" t="s">
        <v>247</v>
      </c>
      <c r="B943" s="77" t="s">
        <v>4094</v>
      </c>
      <c r="C943" s="79">
        <v>3.0636752211E10</v>
      </c>
      <c r="D943" s="77" t="s">
        <v>264</v>
      </c>
      <c r="E943" s="79" t="s">
        <v>6534</v>
      </c>
      <c r="F943" s="44">
        <v>1927.0</v>
      </c>
      <c r="G943" s="79" t="s">
        <v>15</v>
      </c>
      <c r="H943" s="80">
        <v>1678.0</v>
      </c>
      <c r="I943" s="79">
        <v>181109.0</v>
      </c>
      <c r="J943" s="74" t="s">
        <v>238</v>
      </c>
      <c r="K943" s="77" t="s">
        <v>1545</v>
      </c>
      <c r="L943" s="79"/>
      <c r="M943" s="79"/>
      <c r="N943" s="79">
        <v>7.0</v>
      </c>
      <c r="O943" s="74"/>
      <c r="P943" s="80"/>
      <c r="Q943" s="79"/>
      <c r="R943" s="80"/>
      <c r="S943" s="78" t="s">
        <v>6535</v>
      </c>
      <c r="T943" s="85" t="s">
        <v>6536</v>
      </c>
      <c r="U943" s="80" t="s">
        <v>332</v>
      </c>
      <c r="V943" s="102" t="s">
        <v>903</v>
      </c>
      <c r="W943" s="79" t="s">
        <v>306</v>
      </c>
      <c r="X943" s="79" t="s">
        <v>306</v>
      </c>
      <c r="Y943" s="79" t="s">
        <v>309</v>
      </c>
      <c r="Z943" s="79"/>
    </row>
    <row r="944" ht="15.0" customHeight="1">
      <c r="A944" s="76" t="s">
        <v>247</v>
      </c>
      <c r="B944" s="77" t="s">
        <v>6538</v>
      </c>
      <c r="C944" s="80">
        <v>3.0515815127E10</v>
      </c>
      <c r="D944" s="79" t="s">
        <v>264</v>
      </c>
      <c r="E944" s="79" t="s">
        <v>3246</v>
      </c>
      <c r="F944" s="44">
        <v>1158.0</v>
      </c>
      <c r="G944" s="79" t="s">
        <v>285</v>
      </c>
      <c r="H944" s="80">
        <v>1674.0</v>
      </c>
      <c r="I944" s="77">
        <v>131139.0</v>
      </c>
      <c r="J944" s="74" t="s">
        <v>448</v>
      </c>
      <c r="K944" s="79" t="s">
        <v>6365</v>
      </c>
      <c r="L944" s="79"/>
      <c r="M944" s="79" t="s">
        <v>6539</v>
      </c>
      <c r="N944" s="79">
        <v>7.0</v>
      </c>
      <c r="O944" s="74" t="s">
        <v>6540</v>
      </c>
      <c r="P944" s="78" t="s">
        <v>6541</v>
      </c>
      <c r="Q944" s="79"/>
      <c r="R944" s="80"/>
      <c r="S944" s="80" t="s">
        <v>6542</v>
      </c>
      <c r="T944" s="101" t="s">
        <v>6544</v>
      </c>
      <c r="U944" s="101"/>
      <c r="V944" s="102" t="s">
        <v>6545</v>
      </c>
      <c r="W944" s="79" t="s">
        <v>309</v>
      </c>
      <c r="X944" s="79" t="s">
        <v>309</v>
      </c>
      <c r="Y944" s="79" t="s">
        <v>309</v>
      </c>
      <c r="Z944" s="79"/>
    </row>
    <row r="945" ht="15.0" customHeight="1">
      <c r="A945" s="76" t="s">
        <v>247</v>
      </c>
      <c r="B945" s="77" t="s">
        <v>6546</v>
      </c>
      <c r="C945" s="80">
        <v>3.0607371179E10</v>
      </c>
      <c r="D945" s="79" t="s">
        <v>264</v>
      </c>
      <c r="E945" s="79" t="s">
        <v>4233</v>
      </c>
      <c r="F945" s="44">
        <v>4930.0</v>
      </c>
      <c r="G945" s="79" t="s">
        <v>15</v>
      </c>
      <c r="H945" s="80">
        <v>1678.0</v>
      </c>
      <c r="I945" s="79">
        <v>201409.0</v>
      </c>
      <c r="J945" s="83" t="s">
        <v>568</v>
      </c>
      <c r="K945" s="77" t="s">
        <v>6548</v>
      </c>
      <c r="L945" s="79" t="s">
        <v>453</v>
      </c>
      <c r="M945" s="77" t="s">
        <v>6549</v>
      </c>
      <c r="N945" s="79">
        <v>8.0</v>
      </c>
      <c r="O945" s="74"/>
      <c r="P945" s="80"/>
      <c r="Q945" s="79"/>
      <c r="R945" s="80"/>
      <c r="S945" s="78" t="s">
        <v>6550</v>
      </c>
      <c r="T945" s="85" t="s">
        <v>6551</v>
      </c>
      <c r="U945" s="78" t="s">
        <v>6552</v>
      </c>
      <c r="V945" s="102" t="s">
        <v>6553</v>
      </c>
      <c r="W945" s="79" t="s">
        <v>309</v>
      </c>
      <c r="X945" s="79" t="s">
        <v>309</v>
      </c>
      <c r="Y945" s="79" t="s">
        <v>309</v>
      </c>
      <c r="Z945" s="79"/>
    </row>
    <row r="946" ht="15.75" customHeight="1">
      <c r="A946" s="76" t="s">
        <v>247</v>
      </c>
      <c r="B946" s="77" t="s">
        <v>1870</v>
      </c>
      <c r="C946" s="80">
        <v>3.0711251258E10</v>
      </c>
      <c r="D946" s="79" t="s">
        <v>264</v>
      </c>
      <c r="E946" s="79" t="s">
        <v>2540</v>
      </c>
      <c r="F946" s="44">
        <v>5219.0</v>
      </c>
      <c r="G946" s="79" t="s">
        <v>15</v>
      </c>
      <c r="H946" s="80">
        <v>1678.0</v>
      </c>
      <c r="I946" s="79">
        <v>259993.0</v>
      </c>
      <c r="J946" s="74" t="s">
        <v>347</v>
      </c>
      <c r="K946" s="79" t="s">
        <v>638</v>
      </c>
      <c r="L946" s="79" t="s">
        <v>453</v>
      </c>
      <c r="M946" s="79"/>
      <c r="N946" s="79">
        <v>37.0</v>
      </c>
      <c r="O946" s="129" t="s">
        <v>6555</v>
      </c>
      <c r="P946" s="78" t="s">
        <v>6556</v>
      </c>
      <c r="Q946" s="79"/>
      <c r="R946" s="80"/>
      <c r="S946" s="78" t="s">
        <v>6558</v>
      </c>
      <c r="T946" s="85" t="s">
        <v>6559</v>
      </c>
      <c r="U946" s="78" t="s">
        <v>6560</v>
      </c>
      <c r="V946" s="102" t="s">
        <v>6561</v>
      </c>
      <c r="W946" s="79" t="s">
        <v>306</v>
      </c>
      <c r="X946" s="79" t="s">
        <v>306</v>
      </c>
      <c r="Y946" s="79" t="s">
        <v>309</v>
      </c>
      <c r="Z946" s="79"/>
    </row>
    <row r="947" ht="15.75" customHeight="1">
      <c r="A947" s="76" t="s">
        <v>247</v>
      </c>
      <c r="B947" s="77" t="s">
        <v>6562</v>
      </c>
      <c r="C947" s="85">
        <v>3.0711251258E10</v>
      </c>
      <c r="D947" s="77" t="s">
        <v>264</v>
      </c>
      <c r="E947" s="77" t="s">
        <v>2540</v>
      </c>
      <c r="F947" s="128">
        <v>5219.0</v>
      </c>
      <c r="G947" s="77" t="s">
        <v>15</v>
      </c>
      <c r="H947" s="78">
        <v>1678.0</v>
      </c>
      <c r="I947" s="101">
        <v>259993.0</v>
      </c>
      <c r="J947" s="83" t="s">
        <v>337</v>
      </c>
      <c r="K947" s="129" t="s">
        <v>638</v>
      </c>
      <c r="L947" s="79"/>
      <c r="M947" s="77" t="s">
        <v>6564</v>
      </c>
      <c r="N947" s="79"/>
      <c r="O947" s="152" t="s">
        <v>6565</v>
      </c>
      <c r="P947" s="153" t="s">
        <v>6556</v>
      </c>
      <c r="Q947" s="79"/>
      <c r="R947" s="80"/>
      <c r="S947" s="78" t="s">
        <v>6558</v>
      </c>
      <c r="T947" s="85" t="s">
        <v>6559</v>
      </c>
      <c r="U947" s="78" t="s">
        <v>6560</v>
      </c>
      <c r="V947" s="102" t="s">
        <v>6566</v>
      </c>
      <c r="W947" s="79"/>
      <c r="X947" s="79"/>
      <c r="Y947" s="79"/>
      <c r="Z947" s="79"/>
    </row>
    <row r="948" ht="15.75" customHeight="1">
      <c r="A948" s="76" t="s">
        <v>247</v>
      </c>
      <c r="B948" s="77" t="s">
        <v>6568</v>
      </c>
      <c r="C948" s="79">
        <v>3.0707483365E10</v>
      </c>
      <c r="D948" s="77" t="s">
        <v>264</v>
      </c>
      <c r="E948" s="79" t="s">
        <v>6569</v>
      </c>
      <c r="F948" s="44">
        <v>9821.0</v>
      </c>
      <c r="G948" s="79" t="s">
        <v>119</v>
      </c>
      <c r="H948" s="80">
        <v>1657.0</v>
      </c>
      <c r="I948" s="79">
        <v>110412.0</v>
      </c>
      <c r="J948" s="74" t="s">
        <v>57</v>
      </c>
      <c r="K948" s="79" t="s">
        <v>6570</v>
      </c>
      <c r="L948" s="79" t="s">
        <v>286</v>
      </c>
      <c r="M948" s="79" t="s">
        <v>6571</v>
      </c>
      <c r="N948" s="79">
        <v>5.0</v>
      </c>
      <c r="O948" s="74" t="s">
        <v>6572</v>
      </c>
      <c r="P948" s="78" t="s">
        <v>6573</v>
      </c>
      <c r="Q948" s="176"/>
      <c r="R948" s="80"/>
      <c r="S948" s="80" t="s">
        <v>6574</v>
      </c>
      <c r="T948" s="101" t="s">
        <v>332</v>
      </c>
      <c r="U948" s="80" t="s">
        <v>332</v>
      </c>
      <c r="V948" s="102" t="s">
        <v>429</v>
      </c>
      <c r="W948" s="79" t="s">
        <v>306</v>
      </c>
      <c r="X948" s="79" t="s">
        <v>306</v>
      </c>
      <c r="Y948" s="79" t="s">
        <v>309</v>
      </c>
      <c r="Z948" s="79"/>
    </row>
    <row r="949" ht="15.75" customHeight="1">
      <c r="A949" s="103" t="s">
        <v>24</v>
      </c>
      <c r="B949" s="77" t="s">
        <v>6576</v>
      </c>
      <c r="C949" s="80">
        <v>3.0710090544E10</v>
      </c>
      <c r="D949" s="119" t="s">
        <v>264</v>
      </c>
      <c r="E949" s="79" t="s">
        <v>4223</v>
      </c>
      <c r="F949" s="44">
        <v>2055.0</v>
      </c>
      <c r="G949" s="79" t="s">
        <v>15</v>
      </c>
      <c r="H949" s="80">
        <v>1678.0</v>
      </c>
      <c r="I949" s="79">
        <v>131300.0</v>
      </c>
      <c r="J949" s="74" t="s">
        <v>448</v>
      </c>
      <c r="K949" s="79" t="s">
        <v>2680</v>
      </c>
      <c r="L949" s="79"/>
      <c r="M949" s="79"/>
      <c r="N949" s="79">
        <v>4.0</v>
      </c>
      <c r="O949" s="74"/>
      <c r="P949" s="80"/>
      <c r="Q949" s="79"/>
      <c r="R949" s="80"/>
      <c r="S949" s="80" t="s">
        <v>6577</v>
      </c>
      <c r="T949" s="101" t="s">
        <v>332</v>
      </c>
      <c r="U949" s="80" t="s">
        <v>332</v>
      </c>
      <c r="V949" s="102" t="s">
        <v>429</v>
      </c>
      <c r="W949" s="79" t="s">
        <v>306</v>
      </c>
      <c r="X949" s="79" t="s">
        <v>306</v>
      </c>
      <c r="Y949" s="79"/>
      <c r="Z949" s="79"/>
    </row>
    <row r="950" ht="15.75" customHeight="1">
      <c r="A950" s="103" t="s">
        <v>24</v>
      </c>
      <c r="B950" s="77" t="s">
        <v>6579</v>
      </c>
      <c r="C950" s="80">
        <v>3.069935505E10</v>
      </c>
      <c r="D950" s="119" t="s">
        <v>264</v>
      </c>
      <c r="E950" s="77" t="s">
        <v>6580</v>
      </c>
      <c r="F950" s="44">
        <v>6051.0</v>
      </c>
      <c r="G950" s="79" t="s">
        <v>134</v>
      </c>
      <c r="H950" s="80">
        <v>1682.0</v>
      </c>
      <c r="I950" s="79">
        <v>252090.0</v>
      </c>
      <c r="J950" s="83" t="s">
        <v>568</v>
      </c>
      <c r="K950" s="77" t="s">
        <v>569</v>
      </c>
      <c r="L950" s="79" t="s">
        <v>453</v>
      </c>
      <c r="M950" s="79"/>
      <c r="N950" s="79">
        <v>2.0</v>
      </c>
      <c r="O950" s="74"/>
      <c r="P950" s="80"/>
      <c r="Q950" s="79"/>
      <c r="R950" s="80"/>
      <c r="S950" s="101" t="s">
        <v>6581</v>
      </c>
      <c r="T950" s="101" t="s">
        <v>332</v>
      </c>
      <c r="U950" s="80" t="s">
        <v>332</v>
      </c>
      <c r="V950" s="102" t="s">
        <v>429</v>
      </c>
      <c r="W950" s="79" t="s">
        <v>306</v>
      </c>
      <c r="X950" s="79" t="s">
        <v>306</v>
      </c>
      <c r="Y950" s="79"/>
      <c r="Z950" s="79"/>
    </row>
    <row r="951" ht="15.75" customHeight="1">
      <c r="A951" s="103" t="s">
        <v>24</v>
      </c>
      <c r="B951" s="77" t="s">
        <v>6583</v>
      </c>
      <c r="C951" s="80">
        <v>3.0502666149E10</v>
      </c>
      <c r="D951" s="119" t="s">
        <v>264</v>
      </c>
      <c r="E951" s="79" t="s">
        <v>1212</v>
      </c>
      <c r="F951" s="44">
        <v>4656.0</v>
      </c>
      <c r="G951" s="79" t="s">
        <v>68</v>
      </c>
      <c r="H951" s="80">
        <v>1702.0</v>
      </c>
      <c r="I951" s="79">
        <v>222090.0</v>
      </c>
      <c r="J951" s="83" t="s">
        <v>568</v>
      </c>
      <c r="K951" s="77" t="s">
        <v>569</v>
      </c>
      <c r="L951" s="79" t="s">
        <v>453</v>
      </c>
      <c r="M951" s="79" t="s">
        <v>6584</v>
      </c>
      <c r="N951" s="79">
        <v>2.0</v>
      </c>
      <c r="O951" s="74"/>
      <c r="P951" s="80"/>
      <c r="Q951" s="79"/>
      <c r="R951" s="80"/>
      <c r="S951" s="78" t="s">
        <v>6585</v>
      </c>
      <c r="T951" s="85" t="s">
        <v>6587</v>
      </c>
      <c r="U951" s="101" t="s">
        <v>6588</v>
      </c>
      <c r="V951" s="102" t="s">
        <v>6589</v>
      </c>
      <c r="W951" s="79" t="s">
        <v>309</v>
      </c>
      <c r="X951" s="79" t="s">
        <v>309</v>
      </c>
      <c r="Y951" s="79" t="s">
        <v>309</v>
      </c>
      <c r="Z951" s="79"/>
    </row>
    <row r="952" ht="15.75" customHeight="1">
      <c r="A952" s="76" t="s">
        <v>247</v>
      </c>
      <c r="B952" s="79" t="s">
        <v>1875</v>
      </c>
      <c r="C952" s="101">
        <v>2.7200590991E10</v>
      </c>
      <c r="D952" s="77" t="s">
        <v>631</v>
      </c>
      <c r="E952" s="77" t="s">
        <v>1469</v>
      </c>
      <c r="F952" s="44">
        <v>616.0</v>
      </c>
      <c r="G952" s="79" t="s">
        <v>119</v>
      </c>
      <c r="H952" s="80">
        <v>1657.0</v>
      </c>
      <c r="I952" s="77">
        <v>331900.0</v>
      </c>
      <c r="J952" s="83" t="s">
        <v>207</v>
      </c>
      <c r="K952" s="77" t="s">
        <v>6590</v>
      </c>
      <c r="L952" s="79"/>
      <c r="M952" s="79"/>
      <c r="N952" s="79">
        <v>5.0</v>
      </c>
      <c r="O952" s="77" t="s">
        <v>6591</v>
      </c>
      <c r="P952" s="78" t="s">
        <v>6592</v>
      </c>
      <c r="Q952" s="79"/>
      <c r="R952" s="80"/>
      <c r="S952" s="78" t="s">
        <v>6592</v>
      </c>
      <c r="T952" s="101"/>
      <c r="U952" s="80"/>
      <c r="V952" s="102" t="s">
        <v>429</v>
      </c>
      <c r="W952" s="79"/>
      <c r="X952" s="79"/>
      <c r="Y952" s="79"/>
      <c r="Z952" s="79"/>
    </row>
    <row r="953" ht="15.0" customHeight="1">
      <c r="A953" s="76" t="s">
        <v>247</v>
      </c>
      <c r="B953" s="77" t="s">
        <v>1880</v>
      </c>
      <c r="C953" s="80">
        <v>3.0712493786E10</v>
      </c>
      <c r="D953" s="79" t="s">
        <v>264</v>
      </c>
      <c r="E953" s="77" t="s">
        <v>266</v>
      </c>
      <c r="F953" s="44">
        <v>3736.0</v>
      </c>
      <c r="G953" s="79" t="s">
        <v>15</v>
      </c>
      <c r="H953" s="80">
        <v>1678.0</v>
      </c>
      <c r="I953" s="79">
        <v>139209.0</v>
      </c>
      <c r="J953" s="74" t="s">
        <v>448</v>
      </c>
      <c r="K953" s="77" t="s">
        <v>539</v>
      </c>
      <c r="L953" s="79" t="s">
        <v>1122</v>
      </c>
      <c r="M953" s="79"/>
      <c r="N953" s="79">
        <v>14.0</v>
      </c>
      <c r="O953" s="74" t="s">
        <v>6594</v>
      </c>
      <c r="P953" s="78" t="s">
        <v>6595</v>
      </c>
      <c r="Q953" s="79" t="s">
        <v>6596</v>
      </c>
      <c r="R953" s="80" t="s">
        <v>188</v>
      </c>
      <c r="S953" s="85" t="s">
        <v>6597</v>
      </c>
      <c r="T953" s="85" t="s">
        <v>6598</v>
      </c>
      <c r="U953" s="78" t="s">
        <v>6599</v>
      </c>
      <c r="V953" s="102" t="s">
        <v>6600</v>
      </c>
      <c r="W953" s="79" t="s">
        <v>309</v>
      </c>
      <c r="X953" s="79" t="s">
        <v>309</v>
      </c>
      <c r="Y953" s="79" t="s">
        <v>309</v>
      </c>
      <c r="Z953" s="79"/>
    </row>
    <row r="954" ht="15.0" customHeight="1">
      <c r="A954" s="76" t="s">
        <v>247</v>
      </c>
      <c r="B954" s="77" t="s">
        <v>6601</v>
      </c>
      <c r="C954" s="80">
        <v>3.0627366554E10</v>
      </c>
      <c r="D954" s="119" t="s">
        <v>264</v>
      </c>
      <c r="E954" s="79" t="s">
        <v>2960</v>
      </c>
      <c r="F954" s="44">
        <v>2067.0</v>
      </c>
      <c r="G954" s="79" t="s">
        <v>269</v>
      </c>
      <c r="H954" s="80">
        <v>1682.0</v>
      </c>
      <c r="I954" s="79">
        <v>181109.0</v>
      </c>
      <c r="J954" s="83" t="s">
        <v>238</v>
      </c>
      <c r="K954" s="77" t="s">
        <v>1545</v>
      </c>
      <c r="L954" s="79"/>
      <c r="M954" s="79"/>
      <c r="N954" s="79">
        <v>7.0</v>
      </c>
      <c r="O954" s="74"/>
      <c r="P954" s="80"/>
      <c r="Q954" s="79"/>
      <c r="R954" s="80"/>
      <c r="S954" s="78" t="s">
        <v>6603</v>
      </c>
      <c r="T954" s="78" t="s">
        <v>6604</v>
      </c>
      <c r="U954" s="78" t="s">
        <v>6605</v>
      </c>
      <c r="V954" s="102" t="s">
        <v>6606</v>
      </c>
      <c r="W954" s="79" t="s">
        <v>306</v>
      </c>
      <c r="X954" s="79" t="s">
        <v>306</v>
      </c>
      <c r="Y954" s="79" t="s">
        <v>309</v>
      </c>
      <c r="Z954" s="79"/>
    </row>
    <row r="955" ht="15.75" customHeight="1">
      <c r="A955" s="76" t="s">
        <v>247</v>
      </c>
      <c r="B955" s="77" t="s">
        <v>6608</v>
      </c>
      <c r="C955" s="305">
        <v>3.070916519E10</v>
      </c>
      <c r="D955" s="119" t="s">
        <v>264</v>
      </c>
      <c r="E955" s="79" t="s">
        <v>678</v>
      </c>
      <c r="F955" s="44">
        <v>4250.0</v>
      </c>
      <c r="G955" s="79" t="s">
        <v>249</v>
      </c>
      <c r="H955" s="80">
        <v>1676.0</v>
      </c>
      <c r="I955" s="77">
        <v>259200.0</v>
      </c>
      <c r="J955" s="74" t="s">
        <v>347</v>
      </c>
      <c r="K955" s="77" t="s">
        <v>6609</v>
      </c>
      <c r="L955" s="79" t="s">
        <v>453</v>
      </c>
      <c r="M955" s="79"/>
      <c r="N955" s="79">
        <v>0.0</v>
      </c>
      <c r="O955" s="74"/>
      <c r="P955" s="80"/>
      <c r="Q955" s="79"/>
      <c r="R955" s="80"/>
      <c r="S955" s="78" t="s">
        <v>6611</v>
      </c>
      <c r="T955" s="85" t="s">
        <v>6612</v>
      </c>
      <c r="U955" s="78" t="s">
        <v>6613</v>
      </c>
      <c r="V955" s="102" t="s">
        <v>6614</v>
      </c>
      <c r="W955" s="79" t="s">
        <v>306</v>
      </c>
      <c r="X955" s="79" t="s">
        <v>306</v>
      </c>
      <c r="Y955" s="79"/>
      <c r="Z955" s="79"/>
    </row>
    <row r="956" ht="15.75" customHeight="1">
      <c r="A956" s="76" t="s">
        <v>247</v>
      </c>
      <c r="B956" s="77" t="s">
        <v>6615</v>
      </c>
      <c r="C956" s="79">
        <v>3.3711830419E10</v>
      </c>
      <c r="D956" s="77" t="s">
        <v>264</v>
      </c>
      <c r="E956" s="79" t="s">
        <v>2912</v>
      </c>
      <c r="F956" s="44">
        <v>6190.0</v>
      </c>
      <c r="G956" s="79" t="s">
        <v>119</v>
      </c>
      <c r="H956" s="80">
        <v>1657.0</v>
      </c>
      <c r="I956" s="79">
        <v>259100.0</v>
      </c>
      <c r="J956" s="83" t="s">
        <v>347</v>
      </c>
      <c r="K956" s="79" t="s">
        <v>1329</v>
      </c>
      <c r="L956" s="79" t="s">
        <v>453</v>
      </c>
      <c r="M956" s="79"/>
      <c r="N956" s="79">
        <v>0.0</v>
      </c>
      <c r="O956" s="74"/>
      <c r="P956" s="80"/>
      <c r="Q956" s="79"/>
      <c r="R956" s="80"/>
      <c r="S956" s="80" t="s">
        <v>6617</v>
      </c>
      <c r="T956" s="101" t="s">
        <v>332</v>
      </c>
      <c r="U956" s="80" t="s">
        <v>332</v>
      </c>
      <c r="V956" s="102" t="s">
        <v>6618</v>
      </c>
      <c r="W956" s="79" t="s">
        <v>309</v>
      </c>
      <c r="X956" s="79" t="s">
        <v>309</v>
      </c>
      <c r="Y956" s="79" t="s">
        <v>309</v>
      </c>
      <c r="Z956" s="79"/>
    </row>
    <row r="957" ht="15.0" customHeight="1">
      <c r="A957" s="76" t="s">
        <v>247</v>
      </c>
      <c r="B957" s="79" t="s">
        <v>6620</v>
      </c>
      <c r="C957" s="101">
        <v>3.3701142859E10</v>
      </c>
      <c r="D957" s="79" t="s">
        <v>264</v>
      </c>
      <c r="E957" s="79" t="s">
        <v>1494</v>
      </c>
      <c r="F957" s="44">
        <v>838.0</v>
      </c>
      <c r="G957" s="79" t="s">
        <v>269</v>
      </c>
      <c r="H957" s="80">
        <v>1682.0</v>
      </c>
      <c r="I957" s="79">
        <v>259999.0</v>
      </c>
      <c r="J957" s="74" t="s">
        <v>347</v>
      </c>
      <c r="K957" s="144" t="s">
        <v>839</v>
      </c>
      <c r="L957" s="79"/>
      <c r="M957" s="79"/>
      <c r="N957" s="79"/>
      <c r="O957" s="79"/>
      <c r="P957" s="80"/>
      <c r="Q957" s="79"/>
      <c r="R957" s="80"/>
      <c r="S957" s="114" t="s">
        <v>6622</v>
      </c>
      <c r="T957" s="101"/>
      <c r="U957" s="80"/>
      <c r="V957" s="98" t="s">
        <v>6623</v>
      </c>
      <c r="W957" s="79"/>
      <c r="X957" s="79"/>
      <c r="Y957" s="79"/>
      <c r="Z957" s="79"/>
    </row>
    <row r="958" ht="15.75" customHeight="1">
      <c r="A958" s="76" t="s">
        <v>247</v>
      </c>
      <c r="B958" s="77" t="s">
        <v>6625</v>
      </c>
      <c r="C958" s="80">
        <v>3.0710812531E10</v>
      </c>
      <c r="D958" s="79" t="s">
        <v>264</v>
      </c>
      <c r="E958" s="79" t="s">
        <v>2312</v>
      </c>
      <c r="F958" s="44">
        <v>3754.0</v>
      </c>
      <c r="G958" s="79" t="s">
        <v>15</v>
      </c>
      <c r="H958" s="80">
        <v>1678.0</v>
      </c>
      <c r="I958" s="79">
        <v>289993.0</v>
      </c>
      <c r="J958" s="74" t="s">
        <v>347</v>
      </c>
      <c r="K958" s="129" t="s">
        <v>638</v>
      </c>
      <c r="L958" s="79" t="s">
        <v>453</v>
      </c>
      <c r="M958" s="79"/>
      <c r="N958" s="79">
        <v>1.0</v>
      </c>
      <c r="O958" s="74"/>
      <c r="P958" s="80"/>
      <c r="Q958" s="79"/>
      <c r="R958" s="80"/>
      <c r="S958" s="78" t="s">
        <v>6626</v>
      </c>
      <c r="T958" s="101" t="s">
        <v>332</v>
      </c>
      <c r="U958" s="80" t="s">
        <v>332</v>
      </c>
      <c r="V958" s="102" t="s">
        <v>429</v>
      </c>
      <c r="W958" s="79" t="s">
        <v>306</v>
      </c>
      <c r="X958" s="79" t="s">
        <v>306</v>
      </c>
      <c r="Y958" s="79"/>
      <c r="Z958" s="79"/>
    </row>
    <row r="959" ht="15.75" customHeight="1">
      <c r="A959" s="76" t="s">
        <v>247</v>
      </c>
      <c r="B959" s="77" t="s">
        <v>4102</v>
      </c>
      <c r="C959" s="80">
        <v>3.3708635419E10</v>
      </c>
      <c r="D959" s="119" t="s">
        <v>264</v>
      </c>
      <c r="E959" s="77" t="s">
        <v>2678</v>
      </c>
      <c r="F959" s="44">
        <v>8946.0</v>
      </c>
      <c r="G959" s="79" t="s">
        <v>119</v>
      </c>
      <c r="H959" s="80">
        <v>1657.0</v>
      </c>
      <c r="I959" s="79">
        <v>259993.0</v>
      </c>
      <c r="J959" s="74" t="s">
        <v>347</v>
      </c>
      <c r="K959" s="129" t="s">
        <v>638</v>
      </c>
      <c r="L959" s="79" t="s">
        <v>453</v>
      </c>
      <c r="M959" s="77" t="s">
        <v>6628</v>
      </c>
      <c r="N959" s="79">
        <v>14.0</v>
      </c>
      <c r="O959" s="74" t="s">
        <v>6630</v>
      </c>
      <c r="P959" s="78" t="s">
        <v>6631</v>
      </c>
      <c r="Q959" s="314" t="s">
        <v>6632</v>
      </c>
      <c r="R959" s="153" t="s">
        <v>6633</v>
      </c>
      <c r="S959" s="80" t="s">
        <v>6634</v>
      </c>
      <c r="T959" s="101" t="s">
        <v>6635</v>
      </c>
      <c r="U959" s="80" t="s">
        <v>332</v>
      </c>
      <c r="V959" s="102" t="s">
        <v>6636</v>
      </c>
      <c r="W959" s="79" t="s">
        <v>309</v>
      </c>
      <c r="X959" s="79" t="s">
        <v>309</v>
      </c>
      <c r="Y959" s="79" t="s">
        <v>309</v>
      </c>
      <c r="Z959" s="79"/>
    </row>
    <row r="960" ht="15.75" customHeight="1">
      <c r="A960" s="103" t="s">
        <v>24</v>
      </c>
      <c r="B960" s="77" t="s">
        <v>6637</v>
      </c>
      <c r="C960" s="80">
        <v>3.0714087904E10</v>
      </c>
      <c r="D960" s="119" t="s">
        <v>264</v>
      </c>
      <c r="E960" s="79" t="s">
        <v>1143</v>
      </c>
      <c r="F960" s="44">
        <v>3136.0</v>
      </c>
      <c r="G960" s="79" t="s">
        <v>15</v>
      </c>
      <c r="H960" s="80">
        <v>1678.0</v>
      </c>
      <c r="I960" s="79">
        <v>271009.0</v>
      </c>
      <c r="J960" s="74" t="s">
        <v>347</v>
      </c>
      <c r="K960" s="77" t="s">
        <v>5156</v>
      </c>
      <c r="L960" s="79"/>
      <c r="M960" s="79"/>
      <c r="N960" s="79">
        <v>0.0</v>
      </c>
      <c r="O960" s="74"/>
      <c r="P960" s="80"/>
      <c r="Q960" s="79"/>
      <c r="R960" s="80"/>
      <c r="S960" s="78" t="s">
        <v>6639</v>
      </c>
      <c r="T960" s="101" t="s">
        <v>332</v>
      </c>
      <c r="U960" s="80" t="s">
        <v>332</v>
      </c>
      <c r="V960" s="102" t="s">
        <v>429</v>
      </c>
      <c r="W960" s="79" t="s">
        <v>306</v>
      </c>
      <c r="X960" s="79" t="s">
        <v>306</v>
      </c>
      <c r="Y960" s="79"/>
      <c r="Z960" s="79"/>
    </row>
    <row r="961" ht="15.75" customHeight="1">
      <c r="A961" s="76" t="s">
        <v>247</v>
      </c>
      <c r="B961" s="77" t="s">
        <v>6641</v>
      </c>
      <c r="C961" s="80">
        <v>3.0520976074E10</v>
      </c>
      <c r="D961" s="119" t="s">
        <v>264</v>
      </c>
      <c r="E961" s="79" t="s">
        <v>2432</v>
      </c>
      <c r="F961" s="44">
        <v>1821.0</v>
      </c>
      <c r="G961" s="79" t="s">
        <v>119</v>
      </c>
      <c r="H961" s="80">
        <v>1657.0</v>
      </c>
      <c r="I961" s="79">
        <v>331101.0</v>
      </c>
      <c r="J961" s="74" t="s">
        <v>433</v>
      </c>
      <c r="K961" s="79" t="s">
        <v>6642</v>
      </c>
      <c r="L961" s="79"/>
      <c r="M961" s="79"/>
      <c r="N961" s="79">
        <v>19.0</v>
      </c>
      <c r="O961" s="83" t="s">
        <v>6643</v>
      </c>
      <c r="P961" s="78" t="s">
        <v>6644</v>
      </c>
      <c r="Q961" s="79"/>
      <c r="R961" s="80"/>
      <c r="S961" s="78" t="s">
        <v>6645</v>
      </c>
      <c r="T961" s="85" t="s">
        <v>6646</v>
      </c>
      <c r="U961" s="78" t="s">
        <v>6647</v>
      </c>
      <c r="V961" s="102" t="s">
        <v>6649</v>
      </c>
      <c r="W961" s="79" t="s">
        <v>306</v>
      </c>
      <c r="X961" s="79" t="s">
        <v>306</v>
      </c>
      <c r="Y961" s="79" t="s">
        <v>309</v>
      </c>
      <c r="Z961" s="79"/>
    </row>
    <row r="962" ht="15.75" customHeight="1">
      <c r="A962" s="76" t="s">
        <v>247</v>
      </c>
      <c r="B962" s="79" t="s">
        <v>6650</v>
      </c>
      <c r="C962" s="101">
        <v>3.0682557148E10</v>
      </c>
      <c r="D962" s="79" t="s">
        <v>264</v>
      </c>
      <c r="E962" s="79" t="s">
        <v>4511</v>
      </c>
      <c r="F962" s="44">
        <v>3429.0</v>
      </c>
      <c r="G962" s="79" t="s">
        <v>68</v>
      </c>
      <c r="H962" s="80">
        <v>1702.0</v>
      </c>
      <c r="I962" s="79">
        <v>259999.0</v>
      </c>
      <c r="J962" s="74" t="s">
        <v>347</v>
      </c>
      <c r="K962" s="144" t="s">
        <v>839</v>
      </c>
      <c r="L962" s="79"/>
      <c r="M962" s="79"/>
      <c r="N962" s="79"/>
      <c r="O962" s="79"/>
      <c r="P962" s="80"/>
      <c r="Q962" s="79"/>
      <c r="R962" s="80"/>
      <c r="S962" s="78" t="s">
        <v>6652</v>
      </c>
      <c r="T962" s="85" t="s">
        <v>6653</v>
      </c>
      <c r="U962" s="78" t="s">
        <v>6654</v>
      </c>
      <c r="V962" s="102" t="s">
        <v>6655</v>
      </c>
      <c r="W962" s="79"/>
      <c r="X962" s="79"/>
      <c r="Y962" s="79"/>
      <c r="Z962" s="79"/>
    </row>
    <row r="963" ht="15.0" customHeight="1">
      <c r="A963" s="76" t="s">
        <v>247</v>
      </c>
      <c r="B963" s="77" t="s">
        <v>6657</v>
      </c>
      <c r="C963" s="80">
        <v>3.0663821756E10</v>
      </c>
      <c r="D963" s="79" t="s">
        <v>264</v>
      </c>
      <c r="E963" s="79" t="s">
        <v>1965</v>
      </c>
      <c r="F963" s="44">
        <v>4567.0</v>
      </c>
      <c r="G963" s="79" t="s">
        <v>15</v>
      </c>
      <c r="H963" s="80">
        <v>1678.0</v>
      </c>
      <c r="I963" s="79">
        <v>281101.0</v>
      </c>
      <c r="J963" s="74" t="s">
        <v>347</v>
      </c>
      <c r="K963" s="77" t="s">
        <v>1486</v>
      </c>
      <c r="L963" s="79" t="s">
        <v>453</v>
      </c>
      <c r="M963" s="77" t="s">
        <v>6659</v>
      </c>
      <c r="N963" s="79">
        <v>1.0</v>
      </c>
      <c r="O963" s="74"/>
      <c r="P963" s="80"/>
      <c r="Q963" s="79"/>
      <c r="R963" s="80"/>
      <c r="S963" s="78" t="s">
        <v>6660</v>
      </c>
      <c r="T963" s="80" t="s">
        <v>6661</v>
      </c>
      <c r="U963" s="101" t="s">
        <v>6662</v>
      </c>
      <c r="V963" s="98" t="s">
        <v>6663</v>
      </c>
      <c r="W963" s="79" t="s">
        <v>309</v>
      </c>
      <c r="X963" s="79" t="s">
        <v>309</v>
      </c>
      <c r="Y963" s="79"/>
      <c r="Z963" s="79"/>
    </row>
    <row r="964">
      <c r="A964" s="76" t="s">
        <v>247</v>
      </c>
      <c r="B964" s="77" t="s">
        <v>1885</v>
      </c>
      <c r="C964" s="80">
        <v>3.0649035705E10</v>
      </c>
      <c r="D964" s="79" t="s">
        <v>264</v>
      </c>
      <c r="E964" s="119" t="s">
        <v>1422</v>
      </c>
      <c r="F964" s="44">
        <v>1351.0</v>
      </c>
      <c r="G964" s="79" t="s">
        <v>119</v>
      </c>
      <c r="H964" s="80">
        <v>1657.0</v>
      </c>
      <c r="I964" s="79">
        <v>259993.0</v>
      </c>
      <c r="J964" s="74" t="s">
        <v>347</v>
      </c>
      <c r="K964" s="129" t="s">
        <v>638</v>
      </c>
      <c r="L964" s="79" t="s">
        <v>453</v>
      </c>
      <c r="M964" s="79"/>
      <c r="N964" s="79">
        <v>30.0</v>
      </c>
      <c r="O964" s="74" t="s">
        <v>6666</v>
      </c>
      <c r="P964" s="78" t="s">
        <v>6667</v>
      </c>
      <c r="Q964" s="79" t="s">
        <v>6668</v>
      </c>
      <c r="R964" s="80"/>
      <c r="S964" s="80" t="s">
        <v>6669</v>
      </c>
      <c r="T964" s="101" t="s">
        <v>6670</v>
      </c>
      <c r="U964" s="80" t="s">
        <v>332</v>
      </c>
      <c r="V964" s="102" t="s">
        <v>6671</v>
      </c>
      <c r="W964" s="79" t="s">
        <v>309</v>
      </c>
      <c r="X964" s="79" t="s">
        <v>309</v>
      </c>
      <c r="Y964" s="79" t="s">
        <v>309</v>
      </c>
      <c r="Z964" s="79"/>
    </row>
    <row r="965" ht="15.75" customHeight="1">
      <c r="A965" s="76" t="s">
        <v>247</v>
      </c>
      <c r="B965" s="77" t="s">
        <v>6672</v>
      </c>
      <c r="C965" s="80">
        <v>3.051935333E10</v>
      </c>
      <c r="D965" s="119" t="s">
        <v>264</v>
      </c>
      <c r="E965" s="79" t="s">
        <v>4233</v>
      </c>
      <c r="F965" s="44">
        <v>5465.0</v>
      </c>
      <c r="G965" s="79" t="s">
        <v>15</v>
      </c>
      <c r="H965" s="80">
        <v>1678.0</v>
      </c>
      <c r="I965" s="79">
        <v>282909.0</v>
      </c>
      <c r="J965" s="74" t="s">
        <v>347</v>
      </c>
      <c r="K965" s="77" t="s">
        <v>2642</v>
      </c>
      <c r="L965" s="79" t="s">
        <v>453</v>
      </c>
      <c r="M965" s="77" t="s">
        <v>6674</v>
      </c>
      <c r="N965" s="79">
        <v>16.0</v>
      </c>
      <c r="O965" s="74"/>
      <c r="P965" s="80"/>
      <c r="Q965" s="79"/>
      <c r="R965" s="80"/>
      <c r="S965" s="78" t="s">
        <v>6675</v>
      </c>
      <c r="T965" s="85" t="s">
        <v>6676</v>
      </c>
      <c r="U965" s="80" t="s">
        <v>332</v>
      </c>
      <c r="V965" s="102" t="s">
        <v>6677</v>
      </c>
      <c r="W965" s="79" t="s">
        <v>309</v>
      </c>
      <c r="X965" s="79" t="s">
        <v>309</v>
      </c>
      <c r="Y965" s="79" t="s">
        <v>309</v>
      </c>
      <c r="Z965" s="79"/>
    </row>
    <row r="966" ht="15.0" customHeight="1">
      <c r="A966" s="76" t="s">
        <v>247</v>
      </c>
      <c r="B966" s="77" t="s">
        <v>6679</v>
      </c>
      <c r="C966" s="80">
        <v>3.0517286962E10</v>
      </c>
      <c r="D966" s="79" t="s">
        <v>264</v>
      </c>
      <c r="E966" s="77" t="s">
        <v>1458</v>
      </c>
      <c r="F966" s="44">
        <v>5345.0</v>
      </c>
      <c r="G966" s="79" t="s">
        <v>15</v>
      </c>
      <c r="H966" s="80">
        <v>1678.0</v>
      </c>
      <c r="I966" s="79">
        <v>293090.0</v>
      </c>
      <c r="J966" s="83" t="s">
        <v>37</v>
      </c>
      <c r="K966" s="77" t="s">
        <v>407</v>
      </c>
      <c r="L966" s="79"/>
      <c r="M966" s="79"/>
      <c r="N966" s="79">
        <v>3.0</v>
      </c>
      <c r="O966" s="74"/>
      <c r="P966" s="80"/>
      <c r="Q966" s="79"/>
      <c r="R966" s="80"/>
      <c r="S966" s="315" t="s">
        <v>6680</v>
      </c>
      <c r="T966" s="101"/>
      <c r="U966" s="78"/>
      <c r="V966" s="102" t="s">
        <v>6681</v>
      </c>
      <c r="W966" s="79" t="s">
        <v>309</v>
      </c>
      <c r="X966" s="79" t="s">
        <v>309</v>
      </c>
      <c r="Y966" s="79" t="s">
        <v>309</v>
      </c>
      <c r="Z966" s="79"/>
    </row>
    <row r="967" ht="15.0" customHeight="1">
      <c r="A967" s="76" t="s">
        <v>247</v>
      </c>
      <c r="B967" s="77" t="s">
        <v>6683</v>
      </c>
      <c r="C967" s="80">
        <v>3.3709814309E10</v>
      </c>
      <c r="D967" s="79" t="s">
        <v>264</v>
      </c>
      <c r="E967" s="77" t="s">
        <v>503</v>
      </c>
      <c r="F967" s="44">
        <v>3669.0</v>
      </c>
      <c r="G967" s="79" t="s">
        <v>68</v>
      </c>
      <c r="H967" s="80">
        <v>1702.0</v>
      </c>
      <c r="I967" s="79">
        <v>259999.0</v>
      </c>
      <c r="J967" s="74" t="s">
        <v>347</v>
      </c>
      <c r="K967" s="77" t="s">
        <v>839</v>
      </c>
      <c r="L967" s="79" t="s">
        <v>453</v>
      </c>
      <c r="M967" s="79"/>
      <c r="N967" s="79">
        <v>7.0</v>
      </c>
      <c r="O967" s="74"/>
      <c r="P967" s="80"/>
      <c r="Q967" s="79" t="s">
        <v>6685</v>
      </c>
      <c r="R967" s="80"/>
      <c r="S967" s="80" t="s">
        <v>6686</v>
      </c>
      <c r="T967" s="101" t="s">
        <v>332</v>
      </c>
      <c r="U967" s="80" t="s">
        <v>332</v>
      </c>
      <c r="V967" s="102" t="s">
        <v>6687</v>
      </c>
      <c r="W967" s="79" t="s">
        <v>309</v>
      </c>
      <c r="X967" s="79" t="s">
        <v>309</v>
      </c>
      <c r="Y967" s="79" t="s">
        <v>309</v>
      </c>
      <c r="Z967" s="79"/>
    </row>
    <row r="968" ht="15.75" customHeight="1">
      <c r="A968" s="76" t="s">
        <v>247</v>
      </c>
      <c r="B968" s="77" t="s">
        <v>1890</v>
      </c>
      <c r="C968" s="80">
        <v>3.0709987867E10</v>
      </c>
      <c r="D968" s="119" t="s">
        <v>264</v>
      </c>
      <c r="E968" s="77" t="s">
        <v>4492</v>
      </c>
      <c r="F968" s="128">
        <v>940.0</v>
      </c>
      <c r="G968" s="79" t="s">
        <v>119</v>
      </c>
      <c r="H968" s="80">
        <v>1657.0</v>
      </c>
      <c r="I968" s="79">
        <v>251102.0</v>
      </c>
      <c r="J968" s="74" t="s">
        <v>337</v>
      </c>
      <c r="K968" s="79" t="s">
        <v>1611</v>
      </c>
      <c r="L968" s="79" t="s">
        <v>453</v>
      </c>
      <c r="M968" s="77" t="s">
        <v>6689</v>
      </c>
      <c r="N968" s="79">
        <v>6.0</v>
      </c>
      <c r="O968" s="74" t="s">
        <v>6690</v>
      </c>
      <c r="P968" s="78" t="s">
        <v>6691</v>
      </c>
      <c r="Q968" s="119" t="s">
        <v>6692</v>
      </c>
      <c r="R968" s="85" t="s">
        <v>6693</v>
      </c>
      <c r="S968" s="240" t="s">
        <v>6691</v>
      </c>
      <c r="T968" s="85" t="s">
        <v>6694</v>
      </c>
      <c r="U968" s="78" t="s">
        <v>6695</v>
      </c>
      <c r="V968" s="102" t="s">
        <v>6696</v>
      </c>
      <c r="W968" s="79" t="s">
        <v>309</v>
      </c>
      <c r="X968" s="79" t="s">
        <v>309</v>
      </c>
      <c r="Y968" s="79" t="s">
        <v>309</v>
      </c>
      <c r="Z968" s="79"/>
    </row>
    <row r="969" ht="15.75" customHeight="1">
      <c r="A969" s="76" t="s">
        <v>247</v>
      </c>
      <c r="B969" s="119" t="s">
        <v>1895</v>
      </c>
      <c r="C969" s="101">
        <v>3.0716296969E10</v>
      </c>
      <c r="D969" s="79" t="s">
        <v>264</v>
      </c>
      <c r="E969" s="79" t="s">
        <v>6698</v>
      </c>
      <c r="F969" s="44">
        <v>9426.0</v>
      </c>
      <c r="G969" s="79" t="s">
        <v>119</v>
      </c>
      <c r="H969" s="80">
        <v>1657.0</v>
      </c>
      <c r="I969" s="79">
        <v>259999.0</v>
      </c>
      <c r="J969" s="74" t="s">
        <v>347</v>
      </c>
      <c r="K969" s="129" t="s">
        <v>839</v>
      </c>
      <c r="L969" s="79"/>
      <c r="M969" s="79" t="s">
        <v>6700</v>
      </c>
      <c r="N969" s="79">
        <v>6.0</v>
      </c>
      <c r="O969" s="79" t="s">
        <v>6701</v>
      </c>
      <c r="P969" s="78" t="s">
        <v>6702</v>
      </c>
      <c r="Q969" s="79"/>
      <c r="R969" s="316" t="s">
        <v>6703</v>
      </c>
      <c r="S969" s="101" t="s">
        <v>6704</v>
      </c>
      <c r="T969" s="101"/>
      <c r="U969" s="80"/>
      <c r="V969" s="102" t="s">
        <v>6705</v>
      </c>
      <c r="W969" s="79"/>
      <c r="X969" s="79"/>
      <c r="Y969" s="79"/>
      <c r="Z969" s="79"/>
    </row>
    <row r="970" ht="15.75" customHeight="1">
      <c r="A970" s="76" t="s">
        <v>247</v>
      </c>
      <c r="B970" s="77" t="s">
        <v>6707</v>
      </c>
      <c r="C970" s="80">
        <v>3.0570150355E10</v>
      </c>
      <c r="D970" s="79" t="s">
        <v>264</v>
      </c>
      <c r="E970" s="77" t="s">
        <v>2048</v>
      </c>
      <c r="F970" s="44">
        <v>8802.0</v>
      </c>
      <c r="G970" s="79" t="s">
        <v>119</v>
      </c>
      <c r="H970" s="80">
        <v>1657.0</v>
      </c>
      <c r="I970" s="79">
        <v>281301.0</v>
      </c>
      <c r="J970" s="74" t="s">
        <v>347</v>
      </c>
      <c r="K970" s="79" t="s">
        <v>6708</v>
      </c>
      <c r="L970" s="79"/>
      <c r="M970" s="79"/>
      <c r="N970" s="79">
        <v>59.0</v>
      </c>
      <c r="O970" s="129" t="s">
        <v>6709</v>
      </c>
      <c r="P970" s="80"/>
      <c r="Q970" s="79" t="s">
        <v>6710</v>
      </c>
      <c r="R970" s="78" t="s">
        <v>6711</v>
      </c>
      <c r="S970" s="78" t="s">
        <v>6713</v>
      </c>
      <c r="T970" s="85" t="s">
        <v>6714</v>
      </c>
      <c r="U970" s="78" t="s">
        <v>6715</v>
      </c>
      <c r="V970" s="102" t="s">
        <v>6716</v>
      </c>
      <c r="W970" s="79" t="s">
        <v>306</v>
      </c>
      <c r="X970" s="79" t="s">
        <v>309</v>
      </c>
      <c r="Y970" s="79" t="s">
        <v>309</v>
      </c>
      <c r="Z970" s="79"/>
    </row>
    <row r="971" ht="15.75" customHeight="1">
      <c r="A971" s="76" t="s">
        <v>247</v>
      </c>
      <c r="B971" s="77" t="s">
        <v>6717</v>
      </c>
      <c r="C971" s="80">
        <v>3.0648727689E10</v>
      </c>
      <c r="D971" s="119" t="s">
        <v>264</v>
      </c>
      <c r="E971" s="79" t="s">
        <v>1819</v>
      </c>
      <c r="F971" s="44">
        <v>4539.0</v>
      </c>
      <c r="G971" s="79" t="s">
        <v>68</v>
      </c>
      <c r="H971" s="80">
        <v>1702.0</v>
      </c>
      <c r="I971" s="79">
        <v>259309.0</v>
      </c>
      <c r="J971" s="74" t="s">
        <v>347</v>
      </c>
      <c r="K971" s="77" t="s">
        <v>1121</v>
      </c>
      <c r="L971" s="79"/>
      <c r="M971" s="79"/>
      <c r="N971" s="79">
        <v>4.0</v>
      </c>
      <c r="O971" s="74"/>
      <c r="P971" s="80"/>
      <c r="Q971" s="79"/>
      <c r="R971" s="80"/>
      <c r="S971" s="80" t="s">
        <v>6719</v>
      </c>
      <c r="T971" s="101" t="s">
        <v>6720</v>
      </c>
      <c r="U971" s="80" t="s">
        <v>332</v>
      </c>
      <c r="V971" s="102" t="s">
        <v>429</v>
      </c>
      <c r="W971" s="79" t="s">
        <v>309</v>
      </c>
      <c r="X971" s="79" t="s">
        <v>309</v>
      </c>
      <c r="Y971" s="79" t="s">
        <v>309</v>
      </c>
      <c r="Z971" s="79"/>
    </row>
    <row r="972" ht="15.0" customHeight="1">
      <c r="A972" s="103" t="s">
        <v>24</v>
      </c>
      <c r="B972" s="77" t="s">
        <v>6722</v>
      </c>
      <c r="C972" s="80">
        <v>3.0502991805E10</v>
      </c>
      <c r="D972" s="79" t="s">
        <v>264</v>
      </c>
      <c r="E972" s="77" t="s">
        <v>1806</v>
      </c>
      <c r="F972" s="44">
        <v>4630.0</v>
      </c>
      <c r="G972" s="79" t="s">
        <v>15</v>
      </c>
      <c r="H972" s="80">
        <v>1678.0</v>
      </c>
      <c r="I972" s="176">
        <v>251901.0</v>
      </c>
      <c r="J972" s="74" t="s">
        <v>337</v>
      </c>
      <c r="K972" s="79" t="s">
        <v>6723</v>
      </c>
      <c r="L972" s="79"/>
      <c r="M972" s="79"/>
      <c r="N972" s="79">
        <v>0.0</v>
      </c>
      <c r="O972" s="74"/>
      <c r="P972" s="80"/>
      <c r="Q972" s="79"/>
      <c r="R972" s="80"/>
      <c r="S972" s="78" t="s">
        <v>6725</v>
      </c>
      <c r="T972" s="85" t="s">
        <v>6726</v>
      </c>
      <c r="U972" s="80" t="s">
        <v>332</v>
      </c>
      <c r="V972" s="102" t="s">
        <v>429</v>
      </c>
      <c r="W972" s="79" t="s">
        <v>309</v>
      </c>
      <c r="X972" s="79" t="s">
        <v>309</v>
      </c>
      <c r="Y972" s="79"/>
      <c r="Z972" s="79"/>
    </row>
    <row r="973" ht="15.0" customHeight="1">
      <c r="A973" s="103" t="s">
        <v>24</v>
      </c>
      <c r="B973" s="77" t="s">
        <v>6727</v>
      </c>
      <c r="C973" s="80">
        <v>3.0708581719E10</v>
      </c>
      <c r="D973" s="79" t="s">
        <v>264</v>
      </c>
      <c r="E973" s="79" t="s">
        <v>3875</v>
      </c>
      <c r="F973" s="44">
        <v>3370.0</v>
      </c>
      <c r="G973" s="79" t="s">
        <v>15</v>
      </c>
      <c r="H973" s="80">
        <v>1678.0</v>
      </c>
      <c r="I973" s="79">
        <v>259999.0</v>
      </c>
      <c r="J973" s="74" t="s">
        <v>347</v>
      </c>
      <c r="K973" s="77" t="s">
        <v>839</v>
      </c>
      <c r="L973" s="79" t="s">
        <v>453</v>
      </c>
      <c r="M973" s="79"/>
      <c r="N973" s="79">
        <v>10.0</v>
      </c>
      <c r="O973" s="74"/>
      <c r="P973" s="80"/>
      <c r="Q973" s="79"/>
      <c r="R973" s="80"/>
      <c r="S973" s="78" t="s">
        <v>6730</v>
      </c>
      <c r="T973" s="85" t="s">
        <v>6731</v>
      </c>
      <c r="U973" s="80" t="s">
        <v>332</v>
      </c>
      <c r="V973" s="102" t="s">
        <v>429</v>
      </c>
      <c r="W973" s="79" t="s">
        <v>309</v>
      </c>
      <c r="X973" s="79" t="s">
        <v>309</v>
      </c>
      <c r="Y973" s="79" t="s">
        <v>309</v>
      </c>
      <c r="Z973" s="79"/>
    </row>
    <row r="974" ht="15.75" customHeight="1">
      <c r="A974" s="76" t="s">
        <v>247</v>
      </c>
      <c r="B974" s="77" t="s">
        <v>1900</v>
      </c>
      <c r="C974" s="80">
        <v>3.0710163592E10</v>
      </c>
      <c r="D974" s="79" t="s">
        <v>264</v>
      </c>
      <c r="E974" s="77" t="s">
        <v>6733</v>
      </c>
      <c r="F974" s="44">
        <v>0.0</v>
      </c>
      <c r="G974" s="79" t="s">
        <v>119</v>
      </c>
      <c r="H974" s="80">
        <v>1657.0</v>
      </c>
      <c r="I974" s="79">
        <v>101011.0</v>
      </c>
      <c r="J974" s="74" t="s">
        <v>22</v>
      </c>
      <c r="K974" s="77" t="s">
        <v>6734</v>
      </c>
      <c r="L974" s="79" t="s">
        <v>1122</v>
      </c>
      <c r="M974" s="79" t="s">
        <v>6735</v>
      </c>
      <c r="N974" s="79">
        <v>106.0</v>
      </c>
      <c r="O974" s="74" t="s">
        <v>6736</v>
      </c>
      <c r="P974" s="78" t="s">
        <v>6737</v>
      </c>
      <c r="Q974" s="79" t="s">
        <v>6738</v>
      </c>
      <c r="R974" s="78" t="s">
        <v>6739</v>
      </c>
      <c r="S974" s="80" t="s">
        <v>6740</v>
      </c>
      <c r="T974" s="85" t="s">
        <v>6741</v>
      </c>
      <c r="U974" s="80" t="s">
        <v>332</v>
      </c>
      <c r="V974" s="102" t="s">
        <v>6742</v>
      </c>
      <c r="W974" s="79" t="s">
        <v>309</v>
      </c>
      <c r="X974" s="79" t="s">
        <v>309</v>
      </c>
      <c r="Y974" s="79" t="s">
        <v>309</v>
      </c>
      <c r="Z974" s="79"/>
    </row>
    <row r="975" ht="15.0" customHeight="1">
      <c r="A975" s="76" t="s">
        <v>247</v>
      </c>
      <c r="B975" s="77" t="s">
        <v>4113</v>
      </c>
      <c r="C975" s="80">
        <v>3.0715089498E10</v>
      </c>
      <c r="D975" s="79" t="s">
        <v>264</v>
      </c>
      <c r="E975" s="79" t="s">
        <v>1079</v>
      </c>
      <c r="F975" s="128">
        <v>5824.0</v>
      </c>
      <c r="G975" s="79" t="s">
        <v>15</v>
      </c>
      <c r="H975" s="80">
        <v>1678.0</v>
      </c>
      <c r="I975" s="79">
        <v>259993.0</v>
      </c>
      <c r="J975" s="74" t="s">
        <v>347</v>
      </c>
      <c r="K975" s="129" t="s">
        <v>638</v>
      </c>
      <c r="L975" s="79" t="s">
        <v>453</v>
      </c>
      <c r="M975" s="79"/>
      <c r="N975" s="79">
        <v>0.0</v>
      </c>
      <c r="O975" s="74" t="s">
        <v>6747</v>
      </c>
      <c r="P975" s="78" t="s">
        <v>6748</v>
      </c>
      <c r="Q975" s="77" t="s">
        <v>6749</v>
      </c>
      <c r="R975" s="78" t="s">
        <v>6750</v>
      </c>
      <c r="S975" s="78" t="s">
        <v>6751</v>
      </c>
      <c r="T975" s="85" t="s">
        <v>6752</v>
      </c>
      <c r="U975" s="80" t="s">
        <v>332</v>
      </c>
      <c r="V975" s="102" t="s">
        <v>429</v>
      </c>
      <c r="W975" s="79" t="s">
        <v>306</v>
      </c>
      <c r="X975" s="79" t="s">
        <v>306</v>
      </c>
      <c r="Y975" s="79"/>
      <c r="Z975" s="79"/>
    </row>
    <row r="976" ht="15.0" customHeight="1">
      <c r="A976" s="76" t="s">
        <v>247</v>
      </c>
      <c r="B976" s="77" t="s">
        <v>6729</v>
      </c>
      <c r="C976" s="80">
        <v>3.0709171069E10</v>
      </c>
      <c r="D976" s="79" t="s">
        <v>264</v>
      </c>
      <c r="E976" s="79" t="s">
        <v>6753</v>
      </c>
      <c r="F976" s="44">
        <v>6324.0</v>
      </c>
      <c r="G976" s="79" t="s">
        <v>119</v>
      </c>
      <c r="H976" s="80">
        <v>1657.0</v>
      </c>
      <c r="I976" s="79">
        <v>293090.0</v>
      </c>
      <c r="J976" s="74" t="s">
        <v>337</v>
      </c>
      <c r="K976" s="77" t="s">
        <v>407</v>
      </c>
      <c r="L976" s="79"/>
      <c r="M976" s="79"/>
      <c r="N976" s="79">
        <v>10.0</v>
      </c>
      <c r="O976" s="74"/>
      <c r="P976" s="80"/>
      <c r="Q976" s="79"/>
      <c r="R976" s="80"/>
      <c r="S976" s="80" t="s">
        <v>6756</v>
      </c>
      <c r="T976" s="101" t="s">
        <v>6757</v>
      </c>
      <c r="U976" s="80" t="s">
        <v>332</v>
      </c>
      <c r="V976" s="102" t="s">
        <v>6758</v>
      </c>
      <c r="W976" s="79" t="s">
        <v>309</v>
      </c>
      <c r="X976" s="79" t="s">
        <v>309</v>
      </c>
      <c r="Y976" s="79" t="s">
        <v>309</v>
      </c>
      <c r="Z976" s="79"/>
    </row>
    <row r="977" ht="15.75" customHeight="1">
      <c r="A977" s="76" t="s">
        <v>247</v>
      </c>
      <c r="B977" s="77" t="s">
        <v>1905</v>
      </c>
      <c r="C977" s="80">
        <v>3.0710181809E10</v>
      </c>
      <c r="D977" s="79" t="s">
        <v>264</v>
      </c>
      <c r="E977" s="79" t="s">
        <v>1095</v>
      </c>
      <c r="F977" s="44">
        <v>1453.0</v>
      </c>
      <c r="G977" s="79" t="s">
        <v>15</v>
      </c>
      <c r="H977" s="80">
        <v>1678.0</v>
      </c>
      <c r="I977" s="79">
        <v>251101.0</v>
      </c>
      <c r="J977" s="74" t="s">
        <v>347</v>
      </c>
      <c r="K977" s="79" t="s">
        <v>1486</v>
      </c>
      <c r="L977" s="79" t="s">
        <v>1122</v>
      </c>
      <c r="M977" s="126" t="s">
        <v>6761</v>
      </c>
      <c r="N977" s="79">
        <v>13.0</v>
      </c>
      <c r="O977" s="129" t="s">
        <v>6762</v>
      </c>
      <c r="P977" s="101" t="s">
        <v>6763</v>
      </c>
      <c r="Q977" s="79"/>
      <c r="R977" s="80"/>
      <c r="S977" s="85" t="s">
        <v>6764</v>
      </c>
      <c r="T977" s="101" t="s">
        <v>6766</v>
      </c>
      <c r="U977" s="80" t="s">
        <v>332</v>
      </c>
      <c r="V977" s="102" t="s">
        <v>429</v>
      </c>
      <c r="W977" s="79" t="s">
        <v>306</v>
      </c>
      <c r="X977" s="79" t="s">
        <v>306</v>
      </c>
      <c r="Y977" s="79" t="s">
        <v>309</v>
      </c>
      <c r="Z977" s="79"/>
    </row>
    <row r="978" ht="15.75" customHeight="1">
      <c r="A978" s="76" t="s">
        <v>247</v>
      </c>
      <c r="B978" s="77" t="s">
        <v>1912</v>
      </c>
      <c r="C978" s="80">
        <v>3.0701152022E10</v>
      </c>
      <c r="D978" s="119" t="s">
        <v>264</v>
      </c>
      <c r="E978" s="79" t="s">
        <v>1079</v>
      </c>
      <c r="F978" s="44">
        <v>5147.0</v>
      </c>
      <c r="G978" s="79" t="s">
        <v>15</v>
      </c>
      <c r="H978" s="80">
        <v>1678.0</v>
      </c>
      <c r="I978" s="79">
        <v>282909.0</v>
      </c>
      <c r="J978" s="74" t="s">
        <v>347</v>
      </c>
      <c r="K978" s="77" t="s">
        <v>2642</v>
      </c>
      <c r="L978" s="79" t="s">
        <v>453</v>
      </c>
      <c r="M978" s="77" t="s">
        <v>6768</v>
      </c>
      <c r="N978" s="79">
        <v>27.0</v>
      </c>
      <c r="O978" s="83" t="s">
        <v>6770</v>
      </c>
      <c r="P978" s="78" t="s">
        <v>6771</v>
      </c>
      <c r="Q978" s="79" t="s">
        <v>6773</v>
      </c>
      <c r="R978" s="78" t="s">
        <v>6774</v>
      </c>
      <c r="S978" s="78" t="s">
        <v>6775</v>
      </c>
      <c r="T978" s="85" t="s">
        <v>6776</v>
      </c>
      <c r="U978" s="85" t="s">
        <v>6777</v>
      </c>
      <c r="V978" s="98" t="s">
        <v>6778</v>
      </c>
      <c r="W978" s="79" t="s">
        <v>309</v>
      </c>
      <c r="X978" s="79" t="s">
        <v>309</v>
      </c>
      <c r="Y978" s="79" t="s">
        <v>309</v>
      </c>
      <c r="Z978" s="79"/>
    </row>
    <row r="979" ht="15.0" customHeight="1">
      <c r="A979" s="76" t="s">
        <v>247</v>
      </c>
      <c r="B979" s="79" t="s">
        <v>6744</v>
      </c>
      <c r="C979" s="80">
        <v>3.0700500515E10</v>
      </c>
      <c r="D979" s="119" t="s">
        <v>264</v>
      </c>
      <c r="E979" s="79" t="s">
        <v>1336</v>
      </c>
      <c r="F979" s="44">
        <v>1636.0</v>
      </c>
      <c r="G979" s="79" t="s">
        <v>68</v>
      </c>
      <c r="H979" s="80">
        <v>1702.0</v>
      </c>
      <c r="I979" s="79">
        <v>275099.0</v>
      </c>
      <c r="J979" s="83" t="s">
        <v>207</v>
      </c>
      <c r="K979" s="77" t="s">
        <v>1527</v>
      </c>
      <c r="L979" s="79"/>
      <c r="M979" s="79"/>
      <c r="N979" s="79">
        <v>7.0</v>
      </c>
      <c r="O979" s="74"/>
      <c r="P979" s="80"/>
      <c r="Q979" s="79"/>
      <c r="R979" s="80"/>
      <c r="S979" s="80" t="s">
        <v>6781</v>
      </c>
      <c r="T979" s="101" t="s">
        <v>6782</v>
      </c>
      <c r="U979" s="80" t="s">
        <v>6783</v>
      </c>
      <c r="V979" s="102" t="s">
        <v>429</v>
      </c>
      <c r="W979" s="79" t="s">
        <v>309</v>
      </c>
      <c r="X979" s="79" t="s">
        <v>309</v>
      </c>
      <c r="Y979" s="79" t="s">
        <v>309</v>
      </c>
      <c r="Z979" s="79"/>
    </row>
    <row r="980" ht="15.0" customHeight="1">
      <c r="A980" s="103" t="s">
        <v>24</v>
      </c>
      <c r="B980" s="77" t="s">
        <v>6786</v>
      </c>
      <c r="C980" s="80">
        <v>3.0709037788E10</v>
      </c>
      <c r="D980" s="79" t="s">
        <v>264</v>
      </c>
      <c r="E980" s="79" t="s">
        <v>6787</v>
      </c>
      <c r="F980" s="44">
        <v>750.0</v>
      </c>
      <c r="G980" s="79" t="s">
        <v>119</v>
      </c>
      <c r="H980" s="80">
        <v>1657.0</v>
      </c>
      <c r="I980" s="79">
        <v>259993.0</v>
      </c>
      <c r="J980" s="74" t="s">
        <v>347</v>
      </c>
      <c r="K980" s="129" t="s">
        <v>638</v>
      </c>
      <c r="L980" s="79" t="s">
        <v>453</v>
      </c>
      <c r="M980" s="79"/>
      <c r="N980" s="79">
        <v>3.0</v>
      </c>
      <c r="O980" s="74"/>
      <c r="P980" s="80"/>
      <c r="Q980" s="79"/>
      <c r="R980" s="80"/>
      <c r="S980" s="101" t="s">
        <v>6789</v>
      </c>
      <c r="T980" s="101" t="s">
        <v>332</v>
      </c>
      <c r="U980" s="114" t="s">
        <v>332</v>
      </c>
      <c r="V980" s="102" t="s">
        <v>429</v>
      </c>
      <c r="W980" s="79" t="s">
        <v>306</v>
      </c>
      <c r="X980" s="79" t="s">
        <v>306</v>
      </c>
      <c r="Y980" s="79"/>
      <c r="Z980" s="79"/>
    </row>
    <row r="981" ht="15.75" customHeight="1">
      <c r="A981" s="76" t="s">
        <v>247</v>
      </c>
      <c r="B981" s="77" t="s">
        <v>6746</v>
      </c>
      <c r="C981" s="79">
        <v>3.0708239247E10</v>
      </c>
      <c r="D981" s="77" t="s">
        <v>264</v>
      </c>
      <c r="E981" s="79" t="s">
        <v>1607</v>
      </c>
      <c r="F981" s="44">
        <v>5370.0</v>
      </c>
      <c r="G981" s="79" t="s">
        <v>15</v>
      </c>
      <c r="H981" s="80">
        <v>1678.0</v>
      </c>
      <c r="I981" s="79">
        <v>259100.0</v>
      </c>
      <c r="J981" s="83" t="s">
        <v>347</v>
      </c>
      <c r="K981" s="79" t="s">
        <v>1329</v>
      </c>
      <c r="L981" s="79" t="s">
        <v>453</v>
      </c>
      <c r="M981" s="79"/>
      <c r="N981" s="79">
        <v>1.0</v>
      </c>
      <c r="O981" s="74"/>
      <c r="P981" s="80"/>
      <c r="Q981" s="79"/>
      <c r="R981" s="80"/>
      <c r="S981" s="78" t="s">
        <v>6792</v>
      </c>
      <c r="T981" s="85" t="s">
        <v>6793</v>
      </c>
      <c r="U981" s="80" t="s">
        <v>332</v>
      </c>
      <c r="V981" s="102" t="s">
        <v>429</v>
      </c>
      <c r="W981" s="79" t="s">
        <v>306</v>
      </c>
      <c r="X981" s="79" t="s">
        <v>306</v>
      </c>
      <c r="Y981" s="79" t="s">
        <v>309</v>
      </c>
      <c r="Z981" s="79"/>
    </row>
    <row r="982" ht="15.0" customHeight="1">
      <c r="A982" s="76" t="s">
        <v>247</v>
      </c>
      <c r="B982" s="79" t="s">
        <v>6755</v>
      </c>
      <c r="C982" s="101">
        <v>3.0647308607E10</v>
      </c>
      <c r="D982" s="79" t="s">
        <v>264</v>
      </c>
      <c r="E982" s="79" t="s">
        <v>898</v>
      </c>
      <c r="F982" s="44">
        <v>3237.0</v>
      </c>
      <c r="G982" s="79" t="s">
        <v>68</v>
      </c>
      <c r="H982" s="80">
        <v>1702.0</v>
      </c>
      <c r="I982" s="79">
        <v>293090.0</v>
      </c>
      <c r="J982" s="74" t="s">
        <v>337</v>
      </c>
      <c r="K982" s="144" t="s">
        <v>407</v>
      </c>
      <c r="L982" s="79"/>
      <c r="M982" s="79"/>
      <c r="N982" s="79"/>
      <c r="O982" s="79"/>
      <c r="P982" s="80"/>
      <c r="Q982" s="79"/>
      <c r="R982" s="80"/>
      <c r="S982" s="78" t="s">
        <v>6796</v>
      </c>
      <c r="T982" s="85" t="s">
        <v>6797</v>
      </c>
      <c r="U982" s="80"/>
      <c r="V982" s="102" t="s">
        <v>429</v>
      </c>
      <c r="W982" s="79"/>
      <c r="X982" s="79"/>
      <c r="Y982" s="79"/>
      <c r="Z982" s="79"/>
    </row>
    <row r="983" ht="15.0" customHeight="1">
      <c r="A983" s="76" t="s">
        <v>247</v>
      </c>
      <c r="B983" s="77" t="s">
        <v>6760</v>
      </c>
      <c r="C983" s="80">
        <v>3.0707844376E10</v>
      </c>
      <c r="D983" s="119" t="s">
        <v>264</v>
      </c>
      <c r="E983" s="79" t="s">
        <v>1079</v>
      </c>
      <c r="F983" s="44">
        <v>4821.0</v>
      </c>
      <c r="G983" s="79" t="s">
        <v>15</v>
      </c>
      <c r="H983" s="80">
        <v>1678.0</v>
      </c>
      <c r="I983" s="79">
        <v>293020.0</v>
      </c>
      <c r="J983" s="83" t="s">
        <v>207</v>
      </c>
      <c r="K983" s="79" t="s">
        <v>4167</v>
      </c>
      <c r="L983" s="79"/>
      <c r="M983" s="79"/>
      <c r="N983" s="79">
        <v>0.0</v>
      </c>
      <c r="O983" s="74"/>
      <c r="P983" s="80"/>
      <c r="Q983" s="79"/>
      <c r="R983" s="80"/>
      <c r="S983" s="78" t="s">
        <v>6801</v>
      </c>
      <c r="T983" s="101" t="s">
        <v>332</v>
      </c>
      <c r="U983" s="80" t="s">
        <v>332</v>
      </c>
      <c r="V983" s="102" t="s">
        <v>6802</v>
      </c>
      <c r="W983" s="79" t="s">
        <v>306</v>
      </c>
      <c r="X983" s="79" t="s">
        <v>306</v>
      </c>
      <c r="Y983" s="79" t="s">
        <v>309</v>
      </c>
      <c r="Z983" s="79"/>
    </row>
    <row r="984" ht="15.75" customHeight="1">
      <c r="A984" s="76" t="s">
        <v>247</v>
      </c>
      <c r="B984" s="79" t="s">
        <v>6767</v>
      </c>
      <c r="C984" s="78">
        <v>3.0716687437E10</v>
      </c>
      <c r="D984" s="79" t="s">
        <v>264</v>
      </c>
      <c r="E984" s="79" t="s">
        <v>3333</v>
      </c>
      <c r="F984" s="44">
        <v>2735.0</v>
      </c>
      <c r="G984" s="79" t="s">
        <v>15</v>
      </c>
      <c r="H984" s="80">
        <v>1678.0</v>
      </c>
      <c r="I984" s="77">
        <v>241009.0</v>
      </c>
      <c r="J984" s="83" t="s">
        <v>347</v>
      </c>
      <c r="K984" s="77" t="s">
        <v>6805</v>
      </c>
      <c r="L984" s="79"/>
      <c r="M984" s="79"/>
      <c r="N984" s="79">
        <v>0.0</v>
      </c>
      <c r="O984" s="83" t="s">
        <v>6806</v>
      </c>
      <c r="P984" s="80" t="s">
        <v>6807</v>
      </c>
      <c r="Q984" s="79"/>
      <c r="R984" s="80"/>
      <c r="S984" s="78" t="s">
        <v>6808</v>
      </c>
      <c r="T984" s="101" t="s">
        <v>6809</v>
      </c>
      <c r="U984" s="80" t="s">
        <v>6807</v>
      </c>
      <c r="V984" s="102" t="s">
        <v>6810</v>
      </c>
      <c r="W984" s="79" t="s">
        <v>309</v>
      </c>
      <c r="X984" s="79" t="s">
        <v>309</v>
      </c>
      <c r="Y984" s="79" t="s">
        <v>309</v>
      </c>
      <c r="Z984" s="79"/>
    </row>
    <row r="985" ht="15.75" customHeight="1">
      <c r="A985" s="103" t="s">
        <v>24</v>
      </c>
      <c r="B985" s="77" t="s">
        <v>6772</v>
      </c>
      <c r="C985" s="80">
        <v>3.0678981857E10</v>
      </c>
      <c r="D985" s="79" t="s">
        <v>264</v>
      </c>
      <c r="E985" s="79" t="s">
        <v>1525</v>
      </c>
      <c r="F985" s="44">
        <v>3921.0</v>
      </c>
      <c r="G985" s="79" t="s">
        <v>68</v>
      </c>
      <c r="H985" s="80">
        <v>1702.0</v>
      </c>
      <c r="I985" s="79">
        <v>274000.0</v>
      </c>
      <c r="J985" s="83" t="s">
        <v>207</v>
      </c>
      <c r="K985" s="79" t="s">
        <v>2067</v>
      </c>
      <c r="L985" s="79"/>
      <c r="M985" s="79"/>
      <c r="N985" s="79">
        <v>2.0</v>
      </c>
      <c r="O985" s="74"/>
      <c r="P985" s="80"/>
      <c r="Q985" s="79"/>
      <c r="R985" s="80"/>
      <c r="S985" s="80"/>
      <c r="T985" s="101"/>
      <c r="U985" s="80" t="s">
        <v>332</v>
      </c>
      <c r="V985" s="102" t="s">
        <v>429</v>
      </c>
      <c r="W985" s="79" t="s">
        <v>309</v>
      </c>
      <c r="X985" s="79" t="s">
        <v>309</v>
      </c>
      <c r="Y985" s="79" t="s">
        <v>309</v>
      </c>
      <c r="Z985" s="79"/>
    </row>
    <row r="986" ht="15.75" customHeight="1">
      <c r="A986" s="103" t="s">
        <v>24</v>
      </c>
      <c r="B986" s="77" t="s">
        <v>6813</v>
      </c>
      <c r="C986" s="80">
        <v>3.052134562E10</v>
      </c>
      <c r="D986" s="79" t="s">
        <v>264</v>
      </c>
      <c r="E986" s="79" t="s">
        <v>1882</v>
      </c>
      <c r="F986" s="44">
        <v>4954.0</v>
      </c>
      <c r="G986" s="79" t="s">
        <v>15</v>
      </c>
      <c r="H986" s="80">
        <v>1678.0</v>
      </c>
      <c r="I986" s="79">
        <v>259993.0</v>
      </c>
      <c r="J986" s="74" t="s">
        <v>347</v>
      </c>
      <c r="K986" s="129" t="s">
        <v>638</v>
      </c>
      <c r="L986" s="79" t="s">
        <v>453</v>
      </c>
      <c r="M986" s="79"/>
      <c r="N986" s="79">
        <v>9.0</v>
      </c>
      <c r="O986" s="83" t="s">
        <v>6816</v>
      </c>
      <c r="P986" s="80"/>
      <c r="Q986" s="79"/>
      <c r="R986" s="80"/>
      <c r="S986" s="80" t="s">
        <v>6817</v>
      </c>
      <c r="T986" s="85" t="s">
        <v>6818</v>
      </c>
      <c r="U986" s="80" t="s">
        <v>332</v>
      </c>
      <c r="V986" s="102" t="s">
        <v>429</v>
      </c>
      <c r="W986" s="79" t="s">
        <v>309</v>
      </c>
      <c r="X986" s="79" t="s">
        <v>309</v>
      </c>
      <c r="Y986" s="79" t="s">
        <v>309</v>
      </c>
      <c r="Z986" s="79"/>
    </row>
    <row r="987" ht="15.75" customHeight="1">
      <c r="A987" s="76" t="s">
        <v>247</v>
      </c>
      <c r="B987" s="77" t="s">
        <v>6780</v>
      </c>
      <c r="C987" s="80">
        <v>3.0504579553E10</v>
      </c>
      <c r="D987" s="119" t="s">
        <v>264</v>
      </c>
      <c r="E987" s="77" t="s">
        <v>943</v>
      </c>
      <c r="F987" s="44">
        <v>4266.0</v>
      </c>
      <c r="G987" s="79" t="s">
        <v>68</v>
      </c>
      <c r="H987" s="80">
        <v>1702.0</v>
      </c>
      <c r="I987" s="79">
        <v>222010.0</v>
      </c>
      <c r="J987" s="83" t="s">
        <v>568</v>
      </c>
      <c r="K987" s="79" t="s">
        <v>1170</v>
      </c>
      <c r="L987" s="79" t="s">
        <v>453</v>
      </c>
      <c r="M987" s="79"/>
      <c r="N987" s="79">
        <v>322.0</v>
      </c>
      <c r="O987" s="74"/>
      <c r="P987" s="80"/>
      <c r="Q987" s="79"/>
      <c r="R987" s="80"/>
      <c r="S987" s="78" t="s">
        <v>6821</v>
      </c>
      <c r="T987" s="85" t="s">
        <v>6822</v>
      </c>
      <c r="U987" s="80"/>
      <c r="V987" s="102" t="s">
        <v>6823</v>
      </c>
      <c r="W987" s="79" t="s">
        <v>309</v>
      </c>
      <c r="X987" s="79" t="s">
        <v>309</v>
      </c>
      <c r="Y987" s="79" t="s">
        <v>309</v>
      </c>
      <c r="Z987" s="79"/>
    </row>
    <row r="988" ht="15.75" customHeight="1">
      <c r="A988" s="76" t="s">
        <v>247</v>
      </c>
      <c r="B988" s="79" t="s">
        <v>6785</v>
      </c>
      <c r="C988" s="80">
        <v>3.0711157626E10</v>
      </c>
      <c r="D988" s="119" t="s">
        <v>264</v>
      </c>
      <c r="E988" s="79" t="s">
        <v>2613</v>
      </c>
      <c r="F988" s="44">
        <v>2018.0</v>
      </c>
      <c r="G988" s="79" t="s">
        <v>15</v>
      </c>
      <c r="H988" s="80">
        <v>1678.0</v>
      </c>
      <c r="I988" s="79">
        <v>222090.0</v>
      </c>
      <c r="J988" s="83" t="s">
        <v>568</v>
      </c>
      <c r="K988" s="77" t="s">
        <v>569</v>
      </c>
      <c r="L988" s="79" t="s">
        <v>453</v>
      </c>
      <c r="M988" s="79" t="s">
        <v>6828</v>
      </c>
      <c r="N988" s="79"/>
      <c r="O988" s="74" t="s">
        <v>6829</v>
      </c>
      <c r="P988" s="80"/>
      <c r="Q988" s="79"/>
      <c r="R988" s="80"/>
      <c r="S988" s="78" t="s">
        <v>6830</v>
      </c>
      <c r="T988" s="101"/>
      <c r="U988" s="80"/>
      <c r="V988" s="102" t="s">
        <v>6831</v>
      </c>
      <c r="W988" s="79"/>
      <c r="X988" s="79"/>
      <c r="Y988" s="79"/>
      <c r="Z988" s="79"/>
    </row>
    <row r="989" ht="15.0" customHeight="1">
      <c r="A989" s="76" t="s">
        <v>247</v>
      </c>
      <c r="B989" s="77" t="s">
        <v>1917</v>
      </c>
      <c r="C989" s="80">
        <v>3.3515957133E10</v>
      </c>
      <c r="D989" s="119" t="s">
        <v>264</v>
      </c>
      <c r="E989" s="119" t="s">
        <v>1422</v>
      </c>
      <c r="F989" s="44">
        <v>1407.0</v>
      </c>
      <c r="G989" s="79" t="s">
        <v>119</v>
      </c>
      <c r="H989" s="80">
        <v>1657.0</v>
      </c>
      <c r="I989" s="79">
        <v>202320.0</v>
      </c>
      <c r="J989" s="74" t="s">
        <v>316</v>
      </c>
      <c r="K989" s="77" t="s">
        <v>3585</v>
      </c>
      <c r="L989" s="79" t="s">
        <v>453</v>
      </c>
      <c r="M989" s="79" t="s">
        <v>6834</v>
      </c>
      <c r="N989" s="79">
        <v>215.0</v>
      </c>
      <c r="O989" s="74" t="s">
        <v>6835</v>
      </c>
      <c r="P989" s="78" t="s">
        <v>6836</v>
      </c>
      <c r="Q989" s="79" t="s">
        <v>6837</v>
      </c>
      <c r="R989" s="78" t="s">
        <v>6838</v>
      </c>
      <c r="S989" s="78" t="s">
        <v>6839</v>
      </c>
      <c r="T989" s="101"/>
      <c r="U989" s="80"/>
      <c r="V989" s="102" t="s">
        <v>6840</v>
      </c>
      <c r="W989" s="79" t="s">
        <v>309</v>
      </c>
      <c r="X989" s="79" t="s">
        <v>309</v>
      </c>
      <c r="Y989" s="79" t="s">
        <v>309</v>
      </c>
      <c r="Z989" s="79"/>
    </row>
    <row r="990" ht="15.0" customHeight="1">
      <c r="A990" s="76" t="s">
        <v>247</v>
      </c>
      <c r="B990" s="77" t="s">
        <v>6791</v>
      </c>
      <c r="C990" s="80">
        <v>3.0708419121E10</v>
      </c>
      <c r="D990" s="119" t="s">
        <v>264</v>
      </c>
      <c r="E990" s="79" t="s">
        <v>6753</v>
      </c>
      <c r="F990" s="44">
        <v>1610.0</v>
      </c>
      <c r="G990" s="79" t="s">
        <v>119</v>
      </c>
      <c r="H990" s="80">
        <v>1657.0</v>
      </c>
      <c r="I990" s="79">
        <v>241009.0</v>
      </c>
      <c r="J990" s="74" t="s">
        <v>347</v>
      </c>
      <c r="K990" s="77" t="s">
        <v>5011</v>
      </c>
      <c r="L990" s="79"/>
      <c r="M990" s="79"/>
      <c r="N990" s="79">
        <v>1.0</v>
      </c>
      <c r="O990" s="74"/>
      <c r="P990" s="80"/>
      <c r="Q990" s="79"/>
      <c r="R990" s="80"/>
      <c r="S990" s="78" t="s">
        <v>6843</v>
      </c>
      <c r="T990" s="101" t="s">
        <v>332</v>
      </c>
      <c r="U990" s="80" t="s">
        <v>332</v>
      </c>
      <c r="V990" s="102" t="s">
        <v>429</v>
      </c>
      <c r="W990" s="79" t="s">
        <v>306</v>
      </c>
      <c r="X990" s="79" t="s">
        <v>306</v>
      </c>
      <c r="Y990" s="79" t="s">
        <v>309</v>
      </c>
      <c r="Z990" s="79"/>
    </row>
    <row r="991" ht="15.75" customHeight="1">
      <c r="A991" s="76" t="s">
        <v>247</v>
      </c>
      <c r="B991" s="77" t="s">
        <v>6795</v>
      </c>
      <c r="C991" s="80">
        <v>3.0710819013E10</v>
      </c>
      <c r="D991" s="79" t="s">
        <v>264</v>
      </c>
      <c r="E991" s="77" t="s">
        <v>1255</v>
      </c>
      <c r="F991" s="44">
        <v>9781.0</v>
      </c>
      <c r="G991" s="79" t="s">
        <v>119</v>
      </c>
      <c r="H991" s="80">
        <v>1657.0</v>
      </c>
      <c r="I991" s="79">
        <v>259993.0</v>
      </c>
      <c r="J991" s="74" t="s">
        <v>347</v>
      </c>
      <c r="K991" s="129" t="s">
        <v>638</v>
      </c>
      <c r="L991" s="79" t="s">
        <v>453</v>
      </c>
      <c r="M991" s="79"/>
      <c r="N991" s="79">
        <v>2.0</v>
      </c>
      <c r="O991" s="74"/>
      <c r="P991" s="80"/>
      <c r="Q991" s="79"/>
      <c r="R991" s="80"/>
      <c r="S991" s="80" t="s">
        <v>6846</v>
      </c>
      <c r="T991" s="101" t="s">
        <v>332</v>
      </c>
      <c r="U991" s="80" t="s">
        <v>332</v>
      </c>
      <c r="V991" s="102" t="s">
        <v>429</v>
      </c>
      <c r="W991" s="79" t="s">
        <v>306</v>
      </c>
      <c r="X991" s="79" t="s">
        <v>306</v>
      </c>
      <c r="Y991" s="79" t="s">
        <v>309</v>
      </c>
      <c r="Z991" s="79"/>
    </row>
    <row r="992" ht="15.75" customHeight="1">
      <c r="A992" s="76" t="s">
        <v>247</v>
      </c>
      <c r="B992" s="77" t="s">
        <v>6848</v>
      </c>
      <c r="C992" s="80">
        <v>3.0689688434E10</v>
      </c>
      <c r="D992" s="79" t="s">
        <v>264</v>
      </c>
      <c r="E992" s="79" t="s">
        <v>2333</v>
      </c>
      <c r="F992" s="44">
        <v>4651.0</v>
      </c>
      <c r="G992" s="79" t="s">
        <v>68</v>
      </c>
      <c r="H992" s="80">
        <v>1702.0</v>
      </c>
      <c r="I992" s="79">
        <v>131131.0</v>
      </c>
      <c r="J992" s="74" t="s">
        <v>448</v>
      </c>
      <c r="K992" s="79" t="s">
        <v>5415</v>
      </c>
      <c r="L992" s="79"/>
      <c r="M992" s="79"/>
      <c r="N992" s="79">
        <v>18.0</v>
      </c>
      <c r="O992" s="74"/>
      <c r="P992" s="80"/>
      <c r="Q992" s="79"/>
      <c r="R992" s="80"/>
      <c r="S992" s="78" t="s">
        <v>6851</v>
      </c>
      <c r="T992" s="78" t="s">
        <v>6852</v>
      </c>
      <c r="U992" s="101" t="s">
        <v>6853</v>
      </c>
      <c r="V992" s="102" t="s">
        <v>6854</v>
      </c>
      <c r="W992" s="79" t="s">
        <v>309</v>
      </c>
      <c r="X992" s="79" t="s">
        <v>309</v>
      </c>
      <c r="Y992" s="79" t="s">
        <v>309</v>
      </c>
      <c r="Z992" s="79"/>
    </row>
    <row r="993" ht="15.0" customHeight="1">
      <c r="A993" s="76" t="s">
        <v>247</v>
      </c>
      <c r="B993" s="77" t="s">
        <v>6799</v>
      </c>
      <c r="C993" s="80">
        <v>3.0708044128E10</v>
      </c>
      <c r="D993" s="79" t="s">
        <v>264</v>
      </c>
      <c r="E993" s="126" t="s">
        <v>985</v>
      </c>
      <c r="F993" s="44">
        <v>4627.0</v>
      </c>
      <c r="G993" s="79" t="s">
        <v>15</v>
      </c>
      <c r="H993" s="80">
        <v>1678.0</v>
      </c>
      <c r="I993" s="79">
        <v>221909.0</v>
      </c>
      <c r="J993" s="74" t="s">
        <v>88</v>
      </c>
      <c r="K993" s="82" t="s">
        <v>1186</v>
      </c>
      <c r="L993" s="79"/>
      <c r="M993" s="79"/>
      <c r="N993" s="79">
        <v>7.0</v>
      </c>
      <c r="O993" s="74"/>
      <c r="P993" s="80"/>
      <c r="Q993" s="79"/>
      <c r="R993" s="80"/>
      <c r="S993" s="240" t="s">
        <v>6858</v>
      </c>
      <c r="T993" s="85" t="s">
        <v>6860</v>
      </c>
      <c r="U993" s="80" t="s">
        <v>332</v>
      </c>
      <c r="V993" s="102" t="s">
        <v>6861</v>
      </c>
      <c r="W993" s="79" t="s">
        <v>306</v>
      </c>
      <c r="X993" s="79" t="s">
        <v>306</v>
      </c>
      <c r="Y993" s="79" t="s">
        <v>309</v>
      </c>
      <c r="Z993" s="79"/>
    </row>
    <row r="994" ht="15.0" customHeight="1">
      <c r="A994" s="76" t="s">
        <v>247</v>
      </c>
      <c r="B994" s="77" t="s">
        <v>4131</v>
      </c>
      <c r="C994" s="80">
        <v>3.067712724E10</v>
      </c>
      <c r="D994" s="119" t="s">
        <v>264</v>
      </c>
      <c r="E994" s="79" t="s">
        <v>2902</v>
      </c>
      <c r="F994" s="44">
        <v>345.0</v>
      </c>
      <c r="G994" s="79" t="s">
        <v>68</v>
      </c>
      <c r="H994" s="80">
        <v>1702.0</v>
      </c>
      <c r="I994" s="79">
        <v>282500.0</v>
      </c>
      <c r="J994" s="74" t="s">
        <v>347</v>
      </c>
      <c r="K994" s="79" t="s">
        <v>2498</v>
      </c>
      <c r="L994" s="79" t="s">
        <v>662</v>
      </c>
      <c r="M994" s="79"/>
      <c r="N994" s="79">
        <v>55.0</v>
      </c>
      <c r="O994" s="83" t="s">
        <v>6864</v>
      </c>
      <c r="P994" s="80"/>
      <c r="Q994" s="79" t="s">
        <v>6865</v>
      </c>
      <c r="R994" s="78" t="s">
        <v>6866</v>
      </c>
      <c r="S994" s="78" t="s">
        <v>6867</v>
      </c>
      <c r="T994" s="78" t="s">
        <v>5598</v>
      </c>
      <c r="U994" s="80" t="s">
        <v>6868</v>
      </c>
      <c r="V994" s="102" t="s">
        <v>6870</v>
      </c>
      <c r="W994" s="79" t="s">
        <v>309</v>
      </c>
      <c r="X994" s="79" t="s">
        <v>309</v>
      </c>
      <c r="Y994" s="79" t="s">
        <v>309</v>
      </c>
      <c r="Z994" s="79"/>
    </row>
    <row r="995" ht="15.75" customHeight="1">
      <c r="A995" s="76" t="s">
        <v>247</v>
      </c>
      <c r="B995" s="77" t="s">
        <v>6804</v>
      </c>
      <c r="C995" s="80">
        <v>3.0631369045E10</v>
      </c>
      <c r="D995" s="79" t="s">
        <v>264</v>
      </c>
      <c r="E995" s="79" t="s">
        <v>398</v>
      </c>
      <c r="F995" s="44">
        <v>5123.0</v>
      </c>
      <c r="G995" s="79" t="s">
        <v>15</v>
      </c>
      <c r="H995" s="80">
        <v>1678.0</v>
      </c>
      <c r="I995" s="79">
        <v>251909.0</v>
      </c>
      <c r="J995" s="74" t="s">
        <v>88</v>
      </c>
      <c r="K995" s="77" t="s">
        <v>2473</v>
      </c>
      <c r="L995" s="79"/>
      <c r="M995" s="79"/>
      <c r="N995" s="79">
        <v>0.0</v>
      </c>
      <c r="O995" s="74"/>
      <c r="P995" s="80"/>
      <c r="Q995" s="79"/>
      <c r="R995" s="80"/>
      <c r="S995" s="80" t="s">
        <v>6873</v>
      </c>
      <c r="T995" s="101" t="s">
        <v>6874</v>
      </c>
      <c r="U995" s="78" t="s">
        <v>6875</v>
      </c>
      <c r="V995" s="86" t="s">
        <v>6876</v>
      </c>
      <c r="W995" s="79" t="s">
        <v>309</v>
      </c>
      <c r="X995" s="79" t="s">
        <v>309</v>
      </c>
      <c r="Y995" s="79" t="s">
        <v>309</v>
      </c>
      <c r="Z995" s="79"/>
    </row>
    <row r="996" ht="15.75" customHeight="1">
      <c r="A996" s="103" t="s">
        <v>24</v>
      </c>
      <c r="B996" s="77" t="s">
        <v>6812</v>
      </c>
      <c r="C996" s="79">
        <v>3.0699653248E10</v>
      </c>
      <c r="D996" s="77" t="s">
        <v>264</v>
      </c>
      <c r="E996" s="79" t="s">
        <v>4126</v>
      </c>
      <c r="F996" s="44">
        <v>1734.0</v>
      </c>
      <c r="G996" s="79" t="s">
        <v>249</v>
      </c>
      <c r="H996" s="80">
        <v>1676.0</v>
      </c>
      <c r="I996" s="79">
        <v>749009.0</v>
      </c>
      <c r="J996" s="74" t="s">
        <v>433</v>
      </c>
      <c r="K996" s="77" t="s">
        <v>5539</v>
      </c>
      <c r="L996" s="79"/>
      <c r="M996" s="79"/>
      <c r="N996" s="79">
        <v>14.0</v>
      </c>
      <c r="O996" s="74"/>
      <c r="P996" s="80"/>
      <c r="Q996" s="79"/>
      <c r="R996" s="80"/>
      <c r="S996" s="80" t="s">
        <v>6878</v>
      </c>
      <c r="T996" s="101" t="s">
        <v>332</v>
      </c>
      <c r="U996" s="80" t="s">
        <v>332</v>
      </c>
      <c r="V996" s="102" t="s">
        <v>429</v>
      </c>
      <c r="W996" s="79" t="s">
        <v>306</v>
      </c>
      <c r="X996" s="79" t="s">
        <v>306</v>
      </c>
      <c r="Y996" s="79" t="s">
        <v>309</v>
      </c>
      <c r="Z996" s="79"/>
    </row>
    <row r="997" ht="15.0" customHeight="1">
      <c r="A997" s="76" t="s">
        <v>247</v>
      </c>
      <c r="B997" s="77" t="s">
        <v>6815</v>
      </c>
      <c r="C997" s="80">
        <v>3.0700884232E10</v>
      </c>
      <c r="D997" s="119" t="s">
        <v>264</v>
      </c>
      <c r="E997" s="79" t="s">
        <v>1944</v>
      </c>
      <c r="F997" s="44">
        <v>844.0</v>
      </c>
      <c r="G997" s="79" t="s">
        <v>68</v>
      </c>
      <c r="H997" s="80">
        <v>1702.0</v>
      </c>
      <c r="I997" s="79">
        <v>410011.0</v>
      </c>
      <c r="J997" s="74" t="s">
        <v>125</v>
      </c>
      <c r="K997" s="77" t="s">
        <v>6387</v>
      </c>
      <c r="L997" s="79" t="s">
        <v>453</v>
      </c>
      <c r="M997" s="79"/>
      <c r="N997" s="79">
        <v>3.0</v>
      </c>
      <c r="O997" s="74"/>
      <c r="P997" s="80"/>
      <c r="Q997" s="79"/>
      <c r="R997" s="80"/>
      <c r="S997" s="78" t="s">
        <v>6882</v>
      </c>
      <c r="T997" s="101" t="s">
        <v>6883</v>
      </c>
      <c r="U997" s="80" t="s">
        <v>6884</v>
      </c>
      <c r="V997" s="102" t="s">
        <v>6885</v>
      </c>
      <c r="W997" s="79" t="s">
        <v>309</v>
      </c>
      <c r="X997" s="79" t="s">
        <v>309</v>
      </c>
      <c r="Y997" s="79"/>
      <c r="Z997" s="79"/>
    </row>
    <row r="998" ht="15.0" customHeight="1">
      <c r="A998" s="103" t="s">
        <v>24</v>
      </c>
      <c r="B998" s="77" t="s">
        <v>6888</v>
      </c>
      <c r="C998" s="80">
        <v>3.0590372222E10</v>
      </c>
      <c r="D998" s="119" t="s">
        <v>264</v>
      </c>
      <c r="E998" s="79" t="s">
        <v>1079</v>
      </c>
      <c r="F998" s="44">
        <v>5030.0</v>
      </c>
      <c r="G998" s="79" t="s">
        <v>15</v>
      </c>
      <c r="H998" s="80">
        <v>1678.0</v>
      </c>
      <c r="I998" s="79">
        <v>312000.0</v>
      </c>
      <c r="J998" s="83" t="s">
        <v>207</v>
      </c>
      <c r="K998" s="79" t="s">
        <v>6889</v>
      </c>
      <c r="L998" s="79"/>
      <c r="M998" s="79"/>
      <c r="N998" s="79">
        <v>0.0</v>
      </c>
      <c r="O998" s="74"/>
      <c r="P998" s="80"/>
      <c r="Q998" s="79"/>
      <c r="R998" s="80"/>
      <c r="S998" s="78" t="s">
        <v>6890</v>
      </c>
      <c r="T998" s="101" t="s">
        <v>332</v>
      </c>
      <c r="U998" s="80" t="s">
        <v>332</v>
      </c>
      <c r="V998" s="102" t="s">
        <v>429</v>
      </c>
      <c r="W998" s="79" t="s">
        <v>306</v>
      </c>
      <c r="X998" s="79" t="s">
        <v>306</v>
      </c>
      <c r="Y998" s="79"/>
      <c r="Z998" s="79"/>
    </row>
    <row r="999" ht="15.0" customHeight="1">
      <c r="A999" s="103" t="s">
        <v>24</v>
      </c>
      <c r="B999" s="77" t="s">
        <v>6893</v>
      </c>
      <c r="C999" s="80">
        <v>3.0641939869E10</v>
      </c>
      <c r="D999" s="119" t="s">
        <v>264</v>
      </c>
      <c r="E999" s="79" t="s">
        <v>2533</v>
      </c>
      <c r="F999" s="128">
        <v>7865.0</v>
      </c>
      <c r="G999" s="79" t="s">
        <v>68</v>
      </c>
      <c r="H999" s="80">
        <v>1702.0</v>
      </c>
      <c r="I999" s="79">
        <v>429090.0</v>
      </c>
      <c r="J999" s="74" t="s">
        <v>125</v>
      </c>
      <c r="K999" s="77" t="s">
        <v>2860</v>
      </c>
      <c r="L999" s="79" t="s">
        <v>453</v>
      </c>
      <c r="M999" s="79"/>
      <c r="N999" s="79">
        <v>4.0</v>
      </c>
      <c r="O999" s="74"/>
      <c r="P999" s="80"/>
      <c r="Q999" s="79"/>
      <c r="R999" s="80"/>
      <c r="S999" s="80" t="s">
        <v>6895</v>
      </c>
      <c r="T999" s="101" t="s">
        <v>6896</v>
      </c>
      <c r="U999" s="80" t="s">
        <v>6898</v>
      </c>
      <c r="V999" s="102" t="s">
        <v>429</v>
      </c>
      <c r="W999" s="79" t="s">
        <v>309</v>
      </c>
      <c r="X999" s="79" t="s">
        <v>309</v>
      </c>
      <c r="Y999" s="79" t="s">
        <v>309</v>
      </c>
      <c r="Z999" s="79"/>
    </row>
    <row r="1000" ht="15.0" customHeight="1">
      <c r="A1000" s="76" t="s">
        <v>247</v>
      </c>
      <c r="B1000" s="79" t="s">
        <v>6899</v>
      </c>
      <c r="C1000" s="80">
        <v>2.0127034126E10</v>
      </c>
      <c r="D1000" s="77" t="s">
        <v>631</v>
      </c>
      <c r="E1000" s="77" t="s">
        <v>6900</v>
      </c>
      <c r="F1000" s="128">
        <v>912.0</v>
      </c>
      <c r="G1000" s="77" t="s">
        <v>269</v>
      </c>
      <c r="H1000" s="78">
        <v>1682.0</v>
      </c>
      <c r="I1000" s="82">
        <v>222090.0</v>
      </c>
      <c r="J1000" s="83" t="s">
        <v>568</v>
      </c>
      <c r="K1000" s="77" t="s">
        <v>569</v>
      </c>
      <c r="L1000" s="79"/>
      <c r="M1000" s="79"/>
      <c r="N1000" s="79"/>
      <c r="O1000" s="74"/>
      <c r="P1000" s="80"/>
      <c r="Q1000" s="79"/>
      <c r="R1000" s="80"/>
      <c r="S1000" s="80" t="s">
        <v>6903</v>
      </c>
      <c r="T1000" s="101"/>
      <c r="U1000" s="80"/>
      <c r="V1000" s="102" t="s">
        <v>429</v>
      </c>
      <c r="W1000" s="79"/>
      <c r="X1000" s="79"/>
      <c r="Y1000" s="79"/>
      <c r="Z1000" s="79"/>
    </row>
    <row r="1001" ht="15.75" customHeight="1">
      <c r="A1001" s="76" t="s">
        <v>247</v>
      </c>
      <c r="B1001" s="77" t="s">
        <v>6820</v>
      </c>
      <c r="C1001" s="80">
        <v>3.0708216042E10</v>
      </c>
      <c r="D1001" s="79" t="s">
        <v>264</v>
      </c>
      <c r="E1001" s="79" t="s">
        <v>5790</v>
      </c>
      <c r="F1001" s="44">
        <v>3645.0</v>
      </c>
      <c r="G1001" s="79" t="s">
        <v>15</v>
      </c>
      <c r="H1001" s="80">
        <v>1678.0</v>
      </c>
      <c r="I1001" s="79">
        <v>131132.0</v>
      </c>
      <c r="J1001" s="74" t="s">
        <v>448</v>
      </c>
      <c r="K1001" s="79" t="s">
        <v>6905</v>
      </c>
      <c r="L1001" s="79" t="s">
        <v>453</v>
      </c>
      <c r="M1001" s="79" t="s">
        <v>6907</v>
      </c>
      <c r="N1001" s="79">
        <v>6.0</v>
      </c>
      <c r="O1001" s="74"/>
      <c r="P1001" s="80"/>
      <c r="Q1001" s="79"/>
      <c r="R1001" s="80"/>
      <c r="S1001" s="80" t="s">
        <v>6908</v>
      </c>
      <c r="T1001" s="101" t="s">
        <v>6909</v>
      </c>
      <c r="U1001" s="80" t="s">
        <v>332</v>
      </c>
      <c r="V1001" s="102" t="s">
        <v>429</v>
      </c>
      <c r="W1001" s="79" t="s">
        <v>309</v>
      </c>
      <c r="X1001" s="79" t="s">
        <v>309</v>
      </c>
      <c r="Y1001" s="79"/>
      <c r="Z1001" s="79"/>
    </row>
    <row r="1002" ht="15.0" customHeight="1">
      <c r="A1002" s="76" t="s">
        <v>247</v>
      </c>
      <c r="B1002" s="77" t="s">
        <v>6825</v>
      </c>
      <c r="C1002" s="80">
        <v>3.0572883015E10</v>
      </c>
      <c r="D1002" s="79" t="s">
        <v>264</v>
      </c>
      <c r="E1002" s="79" t="s">
        <v>826</v>
      </c>
      <c r="F1002" s="128" t="s">
        <v>6911</v>
      </c>
      <c r="G1002" s="79" t="s">
        <v>15</v>
      </c>
      <c r="H1002" s="80">
        <v>1678.0</v>
      </c>
      <c r="I1002" s="79">
        <v>222090.0</v>
      </c>
      <c r="J1002" s="83" t="s">
        <v>568</v>
      </c>
      <c r="K1002" s="77" t="s">
        <v>569</v>
      </c>
      <c r="L1002" s="79" t="s">
        <v>453</v>
      </c>
      <c r="M1002" s="79"/>
      <c r="N1002" s="79">
        <v>35.0</v>
      </c>
      <c r="O1002" s="83" t="s">
        <v>6912</v>
      </c>
      <c r="P1002" s="80"/>
      <c r="Q1002" s="79"/>
      <c r="R1002" s="80"/>
      <c r="S1002" s="78" t="s">
        <v>6913</v>
      </c>
      <c r="T1002" s="85" t="s">
        <v>6914</v>
      </c>
      <c r="U1002" s="80"/>
      <c r="V1002" s="102" t="s">
        <v>6915</v>
      </c>
      <c r="W1002" s="79" t="s">
        <v>309</v>
      </c>
      <c r="X1002" s="79" t="s">
        <v>309</v>
      </c>
      <c r="Y1002" s="79" t="s">
        <v>309</v>
      </c>
      <c r="Z1002" s="79"/>
    </row>
    <row r="1003" ht="15.75" customHeight="1">
      <c r="A1003" s="76" t="s">
        <v>247</v>
      </c>
      <c r="B1003" s="77" t="s">
        <v>6827</v>
      </c>
      <c r="C1003" s="80">
        <v>3.3712668909E10</v>
      </c>
      <c r="D1003" s="119" t="s">
        <v>264</v>
      </c>
      <c r="E1003" s="77" t="s">
        <v>5869</v>
      </c>
      <c r="F1003" s="128" t="s">
        <v>6918</v>
      </c>
      <c r="G1003" s="79" t="s">
        <v>249</v>
      </c>
      <c r="H1003" s="80">
        <v>1676.0</v>
      </c>
      <c r="I1003" s="79">
        <v>711009.0</v>
      </c>
      <c r="J1003" s="74" t="s">
        <v>433</v>
      </c>
      <c r="K1003" s="77" t="s">
        <v>2325</v>
      </c>
      <c r="L1003" s="79"/>
      <c r="M1003" s="79"/>
      <c r="N1003" s="79">
        <v>3.0</v>
      </c>
      <c r="O1003" s="74"/>
      <c r="P1003" s="80"/>
      <c r="Q1003" s="79"/>
      <c r="R1003" s="80"/>
      <c r="S1003" s="78" t="s">
        <v>6920</v>
      </c>
      <c r="T1003" s="101" t="s">
        <v>332</v>
      </c>
      <c r="U1003" s="80" t="s">
        <v>332</v>
      </c>
      <c r="V1003" s="102" t="s">
        <v>6921</v>
      </c>
      <c r="W1003" s="79" t="s">
        <v>306</v>
      </c>
      <c r="X1003" s="79" t="s">
        <v>306</v>
      </c>
      <c r="Y1003" s="79" t="s">
        <v>309</v>
      </c>
      <c r="Z1003" s="79"/>
    </row>
    <row r="1004" ht="15.75" customHeight="1">
      <c r="A1004" s="76" t="s">
        <v>247</v>
      </c>
      <c r="B1004" s="77" t="s">
        <v>6924</v>
      </c>
      <c r="C1004" s="80">
        <v>3.0708239948E10</v>
      </c>
      <c r="D1004" s="77" t="s">
        <v>264</v>
      </c>
      <c r="E1004" s="79" t="s">
        <v>314</v>
      </c>
      <c r="F1004" s="44">
        <v>3566.0</v>
      </c>
      <c r="G1004" s="79" t="s">
        <v>15</v>
      </c>
      <c r="H1004" s="80">
        <v>1678.0</v>
      </c>
      <c r="I1004" s="77">
        <v>251200.0</v>
      </c>
      <c r="J1004" s="74" t="s">
        <v>347</v>
      </c>
      <c r="K1004" s="79" t="s">
        <v>6925</v>
      </c>
      <c r="L1004" s="79"/>
      <c r="M1004" s="79"/>
      <c r="N1004" s="79"/>
      <c r="O1004" s="79"/>
      <c r="P1004" s="80"/>
      <c r="Q1004" s="79"/>
      <c r="R1004" s="80"/>
      <c r="S1004" s="85" t="s">
        <v>6927</v>
      </c>
      <c r="T1004" s="101"/>
      <c r="U1004" s="80"/>
      <c r="V1004" s="102" t="s">
        <v>6928</v>
      </c>
      <c r="W1004" s="79"/>
      <c r="X1004" s="79"/>
      <c r="Y1004" s="79"/>
      <c r="Z1004" s="79"/>
    </row>
    <row r="1005" ht="15.0" customHeight="1">
      <c r="A1005" s="103" t="s">
        <v>24</v>
      </c>
      <c r="B1005" s="77" t="s">
        <v>6929</v>
      </c>
      <c r="C1005" s="80">
        <v>3.0709397075E10</v>
      </c>
      <c r="D1005" s="119" t="s">
        <v>264</v>
      </c>
      <c r="E1005" s="79" t="s">
        <v>6930</v>
      </c>
      <c r="F1005" s="44">
        <v>3568.0</v>
      </c>
      <c r="G1005" s="79" t="s">
        <v>249</v>
      </c>
      <c r="H1005" s="80">
        <v>1676.0</v>
      </c>
      <c r="I1005" s="79">
        <v>930990.0</v>
      </c>
      <c r="J1005" s="74" t="s">
        <v>433</v>
      </c>
      <c r="K1005" s="77" t="s">
        <v>3982</v>
      </c>
      <c r="L1005" s="79"/>
      <c r="M1005" s="79"/>
      <c r="N1005" s="79">
        <v>1.0</v>
      </c>
      <c r="O1005" s="74"/>
      <c r="P1005" s="80"/>
      <c r="Q1005" s="79"/>
      <c r="R1005" s="80"/>
      <c r="S1005" s="78" t="s">
        <v>6933</v>
      </c>
      <c r="T1005" s="101" t="s">
        <v>332</v>
      </c>
      <c r="U1005" s="80" t="s">
        <v>332</v>
      </c>
      <c r="V1005" s="102" t="s">
        <v>429</v>
      </c>
      <c r="W1005" s="79" t="s">
        <v>306</v>
      </c>
      <c r="X1005" s="79" t="s">
        <v>306</v>
      </c>
      <c r="Y1005" s="79"/>
      <c r="Z1005" s="79"/>
    </row>
    <row r="1006" ht="15.0" customHeight="1">
      <c r="A1006" s="103" t="s">
        <v>24</v>
      </c>
      <c r="B1006" s="77" t="s">
        <v>6833</v>
      </c>
      <c r="C1006" s="80">
        <v>3.070963565E10</v>
      </c>
      <c r="D1006" s="119" t="s">
        <v>264</v>
      </c>
      <c r="E1006" s="79" t="s">
        <v>4709</v>
      </c>
      <c r="F1006" s="44">
        <v>7750.0</v>
      </c>
      <c r="G1006" s="79" t="s">
        <v>134</v>
      </c>
      <c r="H1006" s="80">
        <v>1682.0</v>
      </c>
      <c r="I1006" s="79">
        <v>722000.0</v>
      </c>
      <c r="J1006" s="74" t="s">
        <v>433</v>
      </c>
      <c r="K1006" s="77" t="s">
        <v>2630</v>
      </c>
      <c r="L1006" s="79"/>
      <c r="M1006" s="79"/>
      <c r="N1006" s="79">
        <v>0.0</v>
      </c>
      <c r="O1006" s="74"/>
      <c r="P1006" s="80"/>
      <c r="Q1006" s="79"/>
      <c r="R1006" s="80"/>
      <c r="S1006" s="80"/>
      <c r="T1006" s="101" t="s">
        <v>332</v>
      </c>
      <c r="U1006" s="80" t="s">
        <v>332</v>
      </c>
      <c r="V1006" s="102" t="s">
        <v>6936</v>
      </c>
      <c r="W1006" s="79" t="s">
        <v>306</v>
      </c>
      <c r="X1006" s="79" t="s">
        <v>306</v>
      </c>
      <c r="Y1006" s="79" t="s">
        <v>309</v>
      </c>
      <c r="Z1006" s="79"/>
    </row>
    <row r="1007" ht="15.75" customHeight="1">
      <c r="A1007" s="76" t="s">
        <v>247</v>
      </c>
      <c r="B1007" s="77" t="s">
        <v>6842</v>
      </c>
      <c r="C1007" s="80">
        <v>3.0605044189E10</v>
      </c>
      <c r="D1007" s="79" t="s">
        <v>264</v>
      </c>
      <c r="E1007" s="79" t="s">
        <v>3987</v>
      </c>
      <c r="F1007" s="44">
        <v>8949.0</v>
      </c>
      <c r="G1007" s="79" t="s">
        <v>119</v>
      </c>
      <c r="H1007" s="80">
        <v>1657.0</v>
      </c>
      <c r="I1007" s="79">
        <v>259993.0</v>
      </c>
      <c r="J1007" s="74" t="s">
        <v>347</v>
      </c>
      <c r="K1007" s="129" t="s">
        <v>638</v>
      </c>
      <c r="L1007" s="79" t="s">
        <v>453</v>
      </c>
      <c r="M1007" s="77" t="s">
        <v>6939</v>
      </c>
      <c r="N1007" s="79">
        <v>7.0</v>
      </c>
      <c r="O1007" s="74"/>
      <c r="P1007" s="80"/>
      <c r="Q1007" s="79"/>
      <c r="R1007" s="80"/>
      <c r="S1007" s="78" t="s">
        <v>6940</v>
      </c>
      <c r="T1007" s="85" t="s">
        <v>6941</v>
      </c>
      <c r="U1007" s="78" t="s">
        <v>6943</v>
      </c>
      <c r="V1007" s="102" t="s">
        <v>6944</v>
      </c>
      <c r="W1007" s="79" t="s">
        <v>309</v>
      </c>
      <c r="X1007" s="79" t="s">
        <v>309</v>
      </c>
      <c r="Y1007" s="79" t="s">
        <v>309</v>
      </c>
      <c r="Z1007" s="79"/>
    </row>
    <row r="1008" ht="15.75" customHeight="1">
      <c r="A1008" s="76" t="s">
        <v>247</v>
      </c>
      <c r="B1008" s="77" t="s">
        <v>6845</v>
      </c>
      <c r="C1008" s="80">
        <v>3.0663740578E10</v>
      </c>
      <c r="D1008" s="79" t="s">
        <v>264</v>
      </c>
      <c r="E1008" s="79" t="s">
        <v>1916</v>
      </c>
      <c r="F1008" s="128">
        <v>610.0</v>
      </c>
      <c r="G1008" s="77" t="s">
        <v>226</v>
      </c>
      <c r="H1008" s="80">
        <v>1674.0</v>
      </c>
      <c r="I1008" s="79">
        <v>329090.0</v>
      </c>
      <c r="J1008" s="74" t="s">
        <v>347</v>
      </c>
      <c r="K1008" s="77" t="s">
        <v>2448</v>
      </c>
      <c r="L1008" s="79"/>
      <c r="M1008" s="79" t="s">
        <v>6948</v>
      </c>
      <c r="N1008" s="79">
        <v>45.0</v>
      </c>
      <c r="O1008" s="126" t="s">
        <v>6949</v>
      </c>
      <c r="P1008" s="80"/>
      <c r="Q1008" s="79" t="s">
        <v>6950</v>
      </c>
      <c r="R1008" s="78" t="s">
        <v>6951</v>
      </c>
      <c r="S1008" s="80" t="s">
        <v>6952</v>
      </c>
      <c r="T1008" s="101" t="s">
        <v>6953</v>
      </c>
      <c r="U1008" s="101" t="s">
        <v>6954</v>
      </c>
      <c r="V1008" s="102" t="s">
        <v>6955</v>
      </c>
      <c r="W1008" s="79" t="s">
        <v>309</v>
      </c>
      <c r="X1008" s="79" t="s">
        <v>309</v>
      </c>
      <c r="Y1008" s="79" t="s">
        <v>309</v>
      </c>
      <c r="Z1008" s="79"/>
    </row>
    <row r="1009" ht="15.75" customHeight="1">
      <c r="A1009" s="103" t="s">
        <v>24</v>
      </c>
      <c r="B1009" s="77" t="s">
        <v>6956</v>
      </c>
      <c r="C1009" s="80">
        <v>3.0685760483E10</v>
      </c>
      <c r="D1009" s="79" t="s">
        <v>264</v>
      </c>
      <c r="E1009" s="79" t="s">
        <v>742</v>
      </c>
      <c r="F1009" s="128" t="s">
        <v>6958</v>
      </c>
      <c r="G1009" s="79" t="s">
        <v>15</v>
      </c>
      <c r="H1009" s="80">
        <v>1678.0</v>
      </c>
      <c r="I1009" s="79">
        <v>239900.0</v>
      </c>
      <c r="J1009" s="74" t="s">
        <v>347</v>
      </c>
      <c r="K1009" s="77" t="s">
        <v>3517</v>
      </c>
      <c r="L1009" s="79" t="s">
        <v>453</v>
      </c>
      <c r="M1009" s="79"/>
      <c r="N1009" s="79">
        <v>1.0</v>
      </c>
      <c r="O1009" s="74"/>
      <c r="P1009" s="80"/>
      <c r="Q1009" s="79"/>
      <c r="R1009" s="80"/>
      <c r="S1009" s="78" t="s">
        <v>6960</v>
      </c>
      <c r="T1009" s="85" t="s">
        <v>6961</v>
      </c>
      <c r="U1009" s="318" t="s">
        <v>6962</v>
      </c>
      <c r="V1009" s="102" t="s">
        <v>429</v>
      </c>
      <c r="W1009" s="79" t="s">
        <v>309</v>
      </c>
      <c r="X1009" s="79" t="s">
        <v>309</v>
      </c>
      <c r="Y1009" s="79" t="s">
        <v>309</v>
      </c>
      <c r="Z1009" s="79"/>
    </row>
    <row r="1010" ht="15.75" customHeight="1">
      <c r="A1010" s="76" t="s">
        <v>247</v>
      </c>
      <c r="B1010" s="77" t="s">
        <v>1919</v>
      </c>
      <c r="C1010" s="80">
        <v>3.3708141769E10</v>
      </c>
      <c r="D1010" s="119" t="s">
        <v>264</v>
      </c>
      <c r="E1010" s="77" t="s">
        <v>5948</v>
      </c>
      <c r="F1010" s="44">
        <v>7370.0</v>
      </c>
      <c r="G1010" s="79" t="s">
        <v>269</v>
      </c>
      <c r="H1010" s="80">
        <v>1682.0</v>
      </c>
      <c r="I1010" s="79">
        <v>141199.0</v>
      </c>
      <c r="J1010" s="74" t="s">
        <v>448</v>
      </c>
      <c r="K1010" s="77" t="s">
        <v>2765</v>
      </c>
      <c r="L1010" s="79" t="s">
        <v>453</v>
      </c>
      <c r="M1010" s="77" t="s">
        <v>6965</v>
      </c>
      <c r="N1010" s="79">
        <v>40.0</v>
      </c>
      <c r="O1010" s="74" t="s">
        <v>6966</v>
      </c>
      <c r="P1010" s="78" t="s">
        <v>6967</v>
      </c>
      <c r="Q1010" s="79"/>
      <c r="R1010" s="80"/>
      <c r="S1010" s="80" t="s">
        <v>6969</v>
      </c>
      <c r="T1010" s="101" t="s">
        <v>6970</v>
      </c>
      <c r="U1010" s="78" t="s">
        <v>6971</v>
      </c>
      <c r="V1010" s="98" t="s">
        <v>6973</v>
      </c>
      <c r="W1010" s="79" t="s">
        <v>309</v>
      </c>
      <c r="X1010" s="79" t="s">
        <v>309</v>
      </c>
      <c r="Y1010" s="79" t="s">
        <v>309</v>
      </c>
      <c r="Z1010" s="79"/>
    </row>
    <row r="1011" ht="15.0" customHeight="1">
      <c r="A1011" s="76" t="s">
        <v>247</v>
      </c>
      <c r="B1011" s="77" t="s">
        <v>6850</v>
      </c>
      <c r="C1011" s="80">
        <v>3.057576671E10</v>
      </c>
      <c r="D1011" s="79" t="s">
        <v>264</v>
      </c>
      <c r="E1011" s="79" t="s">
        <v>6974</v>
      </c>
      <c r="F1011" s="44">
        <v>992.0</v>
      </c>
      <c r="G1011" s="79" t="s">
        <v>119</v>
      </c>
      <c r="H1011" s="80">
        <v>1657.0</v>
      </c>
      <c r="I1011" s="79">
        <v>192000.0</v>
      </c>
      <c r="J1011" s="74" t="s">
        <v>316</v>
      </c>
      <c r="K1011" s="79" t="s">
        <v>6977</v>
      </c>
      <c r="L1011" s="79"/>
      <c r="M1011" s="79"/>
      <c r="N1011" s="79">
        <v>35.0</v>
      </c>
      <c r="O1011" s="74" t="s">
        <v>6978</v>
      </c>
      <c r="P1011" s="80"/>
      <c r="Q1011" s="79"/>
      <c r="R1011" s="80"/>
      <c r="S1011" s="80" t="s">
        <v>6979</v>
      </c>
      <c r="T1011" s="101" t="s">
        <v>6980</v>
      </c>
      <c r="U1011" s="80" t="s">
        <v>6979</v>
      </c>
      <c r="V1011" s="102" t="s">
        <v>6981</v>
      </c>
      <c r="W1011" s="79" t="s">
        <v>309</v>
      </c>
      <c r="X1011" s="79" t="s">
        <v>309</v>
      </c>
      <c r="Y1011" s="79" t="s">
        <v>309</v>
      </c>
      <c r="Z1011" s="79"/>
    </row>
    <row r="1012" ht="15.75" customHeight="1">
      <c r="A1012" s="76" t="s">
        <v>247</v>
      </c>
      <c r="B1012" s="77" t="s">
        <v>6856</v>
      </c>
      <c r="C1012" s="80">
        <v>3.3710754239E10</v>
      </c>
      <c r="D1012" s="79" t="s">
        <v>264</v>
      </c>
      <c r="E1012" s="79" t="s">
        <v>1079</v>
      </c>
      <c r="F1012" s="128">
        <v>4821.0</v>
      </c>
      <c r="G1012" s="79" t="s">
        <v>15</v>
      </c>
      <c r="H1012" s="80">
        <v>1678.0</v>
      </c>
      <c r="I1012" s="79">
        <v>259993.0</v>
      </c>
      <c r="J1012" s="74" t="s">
        <v>347</v>
      </c>
      <c r="K1012" s="129" t="s">
        <v>638</v>
      </c>
      <c r="L1012" s="79" t="s">
        <v>453</v>
      </c>
      <c r="M1012" s="79"/>
      <c r="N1012" s="79">
        <v>19.0</v>
      </c>
      <c r="O1012" s="74"/>
      <c r="P1012" s="80"/>
      <c r="Q1012" s="79"/>
      <c r="R1012" s="80"/>
      <c r="S1012" s="101" t="s">
        <v>6983</v>
      </c>
      <c r="T1012" s="101" t="s">
        <v>332</v>
      </c>
      <c r="U1012" s="80" t="s">
        <v>332</v>
      </c>
      <c r="V1012" s="102" t="s">
        <v>6984</v>
      </c>
      <c r="W1012" s="79" t="s">
        <v>309</v>
      </c>
      <c r="X1012" s="79" t="s">
        <v>309</v>
      </c>
      <c r="Y1012" s="79"/>
      <c r="Z1012" s="79"/>
    </row>
    <row r="1013" ht="15.75" customHeight="1">
      <c r="A1013" s="76" t="s">
        <v>247</v>
      </c>
      <c r="B1013" s="77" t="s">
        <v>6859</v>
      </c>
      <c r="C1013" s="80">
        <v>3.0621517119E10</v>
      </c>
      <c r="D1013" s="119" t="s">
        <v>264</v>
      </c>
      <c r="E1013" s="77" t="s">
        <v>4857</v>
      </c>
      <c r="F1013" s="44">
        <v>8652.0</v>
      </c>
      <c r="G1013" s="79" t="s">
        <v>175</v>
      </c>
      <c r="H1013" s="80">
        <v>1657.0</v>
      </c>
      <c r="I1013" s="79">
        <v>282909.0</v>
      </c>
      <c r="J1013" s="74" t="s">
        <v>347</v>
      </c>
      <c r="K1013" s="77" t="s">
        <v>2642</v>
      </c>
      <c r="L1013" s="79" t="s">
        <v>662</v>
      </c>
      <c r="M1013" s="79"/>
      <c r="N1013" s="79">
        <v>24.0</v>
      </c>
      <c r="O1013" s="74" t="s">
        <v>6988</v>
      </c>
      <c r="P1013" s="80"/>
      <c r="Q1013" s="79"/>
      <c r="R1013" s="80"/>
      <c r="S1013" s="78" t="s">
        <v>6990</v>
      </c>
      <c r="T1013" s="85" t="s">
        <v>6991</v>
      </c>
      <c r="U1013" s="80" t="s">
        <v>6992</v>
      </c>
      <c r="V1013" s="102" t="s">
        <v>6993</v>
      </c>
      <c r="W1013" s="79" t="s">
        <v>309</v>
      </c>
      <c r="X1013" s="79" t="s">
        <v>309</v>
      </c>
      <c r="Y1013" s="79" t="s">
        <v>309</v>
      </c>
      <c r="Z1013" s="79"/>
    </row>
    <row r="1014" ht="15.75" customHeight="1">
      <c r="A1014" s="103" t="s">
        <v>24</v>
      </c>
      <c r="B1014" s="77" t="s">
        <v>6995</v>
      </c>
      <c r="C1014" s="80">
        <v>3.0708624795E10</v>
      </c>
      <c r="D1014" s="119" t="s">
        <v>264</v>
      </c>
      <c r="E1014" s="79" t="s">
        <v>6997</v>
      </c>
      <c r="F1014" s="44">
        <v>4706.0</v>
      </c>
      <c r="G1014" s="79" t="s">
        <v>15</v>
      </c>
      <c r="H1014" s="80">
        <v>1678.0</v>
      </c>
      <c r="I1014" s="79">
        <v>801090.0</v>
      </c>
      <c r="J1014" s="74" t="s">
        <v>433</v>
      </c>
      <c r="K1014" s="77" t="s">
        <v>484</v>
      </c>
      <c r="L1014" s="79"/>
      <c r="M1014" s="79"/>
      <c r="N1014" s="79">
        <v>20.0</v>
      </c>
      <c r="O1014" s="74"/>
      <c r="P1014" s="80"/>
      <c r="Q1014" s="79"/>
      <c r="R1014" s="80"/>
      <c r="S1014" s="78" t="s">
        <v>6998</v>
      </c>
      <c r="T1014" s="85" t="s">
        <v>6999</v>
      </c>
      <c r="U1014" s="80" t="s">
        <v>332</v>
      </c>
      <c r="V1014" s="102" t="s">
        <v>7001</v>
      </c>
      <c r="W1014" s="79" t="s">
        <v>306</v>
      </c>
      <c r="X1014" s="79" t="s">
        <v>306</v>
      </c>
      <c r="Y1014" s="79"/>
      <c r="Z1014" s="79"/>
    </row>
    <row r="1015" ht="15.0" customHeight="1">
      <c r="A1015" s="76" t="s">
        <v>247</v>
      </c>
      <c r="B1015" s="77" t="s">
        <v>6863</v>
      </c>
      <c r="C1015" s="80">
        <v>3.0505035042E10</v>
      </c>
      <c r="D1015" s="119" t="s">
        <v>264</v>
      </c>
      <c r="E1015" s="79" t="s">
        <v>1711</v>
      </c>
      <c r="F1015" s="44">
        <v>5426.0</v>
      </c>
      <c r="G1015" s="79" t="s">
        <v>15</v>
      </c>
      <c r="H1015" s="80">
        <v>1678.0</v>
      </c>
      <c r="I1015" s="79">
        <v>222090.0</v>
      </c>
      <c r="J1015" s="83" t="s">
        <v>568</v>
      </c>
      <c r="K1015" s="77" t="s">
        <v>569</v>
      </c>
      <c r="L1015" s="79" t="s">
        <v>453</v>
      </c>
      <c r="M1015" s="79"/>
      <c r="N1015" s="79">
        <v>3.0</v>
      </c>
      <c r="O1015" s="74"/>
      <c r="P1015" s="80"/>
      <c r="Q1015" s="79"/>
      <c r="R1015" s="80"/>
      <c r="S1015" s="78" t="s">
        <v>7005</v>
      </c>
      <c r="T1015" s="85" t="s">
        <v>7006</v>
      </c>
      <c r="U1015" s="80" t="s">
        <v>332</v>
      </c>
      <c r="V1015" s="102" t="s">
        <v>7007</v>
      </c>
      <c r="W1015" s="79" t="s">
        <v>309</v>
      </c>
      <c r="X1015" s="79" t="s">
        <v>309</v>
      </c>
      <c r="Y1015" s="79" t="s">
        <v>309</v>
      </c>
      <c r="Z1015" s="79"/>
    </row>
    <row r="1016" ht="15.75" customHeight="1">
      <c r="A1016" s="76" t="s">
        <v>247</v>
      </c>
      <c r="B1016" s="77" t="s">
        <v>6871</v>
      </c>
      <c r="C1016" s="80">
        <v>3.0521766928E10</v>
      </c>
      <c r="D1016" s="79" t="s">
        <v>264</v>
      </c>
      <c r="E1016" s="79" t="s">
        <v>1607</v>
      </c>
      <c r="F1016" s="44">
        <v>5664.0</v>
      </c>
      <c r="G1016" s="79" t="s">
        <v>15</v>
      </c>
      <c r="H1016" s="80">
        <v>1678.0</v>
      </c>
      <c r="I1016" s="79">
        <v>201401.0</v>
      </c>
      <c r="J1016" s="74" t="s">
        <v>88</v>
      </c>
      <c r="K1016" s="82" t="s">
        <v>2473</v>
      </c>
      <c r="L1016" s="79"/>
      <c r="M1016" s="77" t="s">
        <v>7010</v>
      </c>
      <c r="N1016" s="79">
        <v>14.0</v>
      </c>
      <c r="O1016" s="74"/>
      <c r="P1016" s="80"/>
      <c r="Q1016" s="79"/>
      <c r="R1016" s="80"/>
      <c r="S1016" s="80" t="s">
        <v>7012</v>
      </c>
      <c r="T1016" s="85" t="s">
        <v>7013</v>
      </c>
      <c r="U1016" s="80" t="s">
        <v>7014</v>
      </c>
      <c r="V1016" s="102" t="s">
        <v>7015</v>
      </c>
      <c r="W1016" s="79" t="s">
        <v>309</v>
      </c>
      <c r="X1016" s="79" t="s">
        <v>309</v>
      </c>
      <c r="Y1016" s="79" t="s">
        <v>309</v>
      </c>
      <c r="Z1016" s="79"/>
    </row>
    <row r="1017" ht="15.0" customHeight="1">
      <c r="A1017" s="76" t="s">
        <v>247</v>
      </c>
      <c r="B1017" s="77" t="s">
        <v>1926</v>
      </c>
      <c r="C1017" s="80">
        <v>3.0716798778E10</v>
      </c>
      <c r="D1017" s="77" t="s">
        <v>264</v>
      </c>
      <c r="E1017" s="126" t="s">
        <v>985</v>
      </c>
      <c r="F1017" s="44">
        <v>5872.0</v>
      </c>
      <c r="G1017" s="79" t="s">
        <v>15</v>
      </c>
      <c r="H1017" s="80">
        <v>1678.0</v>
      </c>
      <c r="I1017" s="79">
        <v>259993.0</v>
      </c>
      <c r="J1017" s="74" t="s">
        <v>347</v>
      </c>
      <c r="K1017" s="144" t="s">
        <v>638</v>
      </c>
      <c r="L1017" s="79"/>
      <c r="M1017" s="79"/>
      <c r="N1017" s="79"/>
      <c r="O1017" s="79" t="s">
        <v>7018</v>
      </c>
      <c r="P1017" s="78" t="s">
        <v>7019</v>
      </c>
      <c r="Q1017" s="79" t="s">
        <v>3646</v>
      </c>
      <c r="R1017" s="78" t="s">
        <v>7021</v>
      </c>
      <c r="S1017" s="78" t="s">
        <v>7022</v>
      </c>
      <c r="T1017" s="101" t="s">
        <v>7023</v>
      </c>
      <c r="U1017" s="80"/>
      <c r="V1017" s="98" t="s">
        <v>3648</v>
      </c>
      <c r="W1017" s="79"/>
      <c r="X1017" s="79"/>
      <c r="Y1017" s="79"/>
      <c r="Z1017" s="79"/>
    </row>
    <row r="1018" ht="15.0" customHeight="1">
      <c r="A1018" s="76" t="s">
        <v>247</v>
      </c>
      <c r="B1018" s="77" t="s">
        <v>6879</v>
      </c>
      <c r="C1018" s="80">
        <v>3.3685293949E10</v>
      </c>
      <c r="D1018" s="79" t="s">
        <v>264</v>
      </c>
      <c r="E1018" s="79" t="s">
        <v>1607</v>
      </c>
      <c r="F1018" s="128" t="s">
        <v>7025</v>
      </c>
      <c r="G1018" s="79" t="s">
        <v>15</v>
      </c>
      <c r="H1018" s="80">
        <v>1678.0</v>
      </c>
      <c r="I1018" s="79">
        <v>251101.0</v>
      </c>
      <c r="J1018" s="74" t="s">
        <v>347</v>
      </c>
      <c r="K1018" s="79" t="s">
        <v>1486</v>
      </c>
      <c r="L1018" s="79" t="s">
        <v>453</v>
      </c>
      <c r="M1018" s="79"/>
      <c r="N1018" s="79">
        <v>24.0</v>
      </c>
      <c r="O1018" s="74"/>
      <c r="P1018" s="80"/>
      <c r="Q1018" s="79"/>
      <c r="R1018" s="80"/>
      <c r="S1018" s="78" t="s">
        <v>7028</v>
      </c>
      <c r="T1018" s="85" t="s">
        <v>7029</v>
      </c>
      <c r="U1018" s="78" t="s">
        <v>7030</v>
      </c>
      <c r="V1018" s="102" t="s">
        <v>7031</v>
      </c>
      <c r="W1018" s="79" t="s">
        <v>309</v>
      </c>
      <c r="X1018" s="79" t="s">
        <v>309</v>
      </c>
      <c r="Y1018" s="79" t="s">
        <v>309</v>
      </c>
      <c r="Z1018" s="79"/>
    </row>
    <row r="1019" ht="15.0" customHeight="1">
      <c r="A1019" s="76" t="s">
        <v>247</v>
      </c>
      <c r="B1019" s="77" t="s">
        <v>6881</v>
      </c>
      <c r="C1019" s="80">
        <v>3.0707474366E10</v>
      </c>
      <c r="D1019" s="119" t="s">
        <v>264</v>
      </c>
      <c r="E1019" s="79" t="s">
        <v>2007</v>
      </c>
      <c r="F1019" s="44">
        <v>5252.0</v>
      </c>
      <c r="G1019" s="79" t="s">
        <v>15</v>
      </c>
      <c r="H1019" s="80">
        <v>1678.0</v>
      </c>
      <c r="I1019" s="79">
        <v>107110.0</v>
      </c>
      <c r="J1019" s="74" t="s">
        <v>22</v>
      </c>
      <c r="K1019" s="77" t="s">
        <v>7034</v>
      </c>
      <c r="L1019" s="79" t="s">
        <v>286</v>
      </c>
      <c r="M1019" s="79" t="s">
        <v>1316</v>
      </c>
      <c r="N1019" s="79">
        <v>16.0</v>
      </c>
      <c r="O1019" s="74" t="s">
        <v>7035</v>
      </c>
      <c r="P1019" s="80"/>
      <c r="Q1019" s="79"/>
      <c r="R1019" s="80"/>
      <c r="S1019" s="78" t="s">
        <v>7036</v>
      </c>
      <c r="T1019" s="101"/>
      <c r="U1019" s="80" t="s">
        <v>332</v>
      </c>
      <c r="V1019" s="102" t="s">
        <v>7037</v>
      </c>
      <c r="W1019" s="79" t="s">
        <v>306</v>
      </c>
      <c r="X1019" s="79" t="s">
        <v>306</v>
      </c>
      <c r="Y1019" s="79" t="s">
        <v>309</v>
      </c>
      <c r="Z1019" s="79"/>
    </row>
    <row r="1020" ht="15.0" customHeight="1">
      <c r="A1020" s="76" t="s">
        <v>247</v>
      </c>
      <c r="B1020" s="77" t="s">
        <v>6887</v>
      </c>
      <c r="C1020" s="80">
        <v>3.0502847402E10</v>
      </c>
      <c r="D1020" s="79" t="s">
        <v>264</v>
      </c>
      <c r="E1020" s="79" t="s">
        <v>1569</v>
      </c>
      <c r="F1020" s="44">
        <v>4291.0</v>
      </c>
      <c r="G1020" s="79" t="s">
        <v>68</v>
      </c>
      <c r="H1020" s="80">
        <v>1702.0</v>
      </c>
      <c r="I1020" s="79">
        <v>281201.0</v>
      </c>
      <c r="J1020" s="74" t="s">
        <v>347</v>
      </c>
      <c r="K1020" s="79" t="s">
        <v>7041</v>
      </c>
      <c r="L1020" s="79"/>
      <c r="M1020" s="79"/>
      <c r="N1020" s="79">
        <v>14.0</v>
      </c>
      <c r="O1020" s="74"/>
      <c r="P1020" s="80"/>
      <c r="Q1020" s="79"/>
      <c r="R1020" s="80"/>
      <c r="S1020" s="80" t="s">
        <v>7043</v>
      </c>
      <c r="T1020" s="101" t="s">
        <v>7044</v>
      </c>
      <c r="U1020" s="80" t="s">
        <v>7045</v>
      </c>
      <c r="V1020" s="102" t="s">
        <v>7046</v>
      </c>
      <c r="W1020" s="79" t="s">
        <v>309</v>
      </c>
      <c r="X1020" s="79" t="s">
        <v>309</v>
      </c>
      <c r="Y1020" s="79" t="s">
        <v>309</v>
      </c>
      <c r="Z1020" s="79"/>
    </row>
    <row r="1021" ht="15.75" customHeight="1">
      <c r="A1021" s="76" t="s">
        <v>247</v>
      </c>
      <c r="B1021" s="77" t="s">
        <v>7049</v>
      </c>
      <c r="C1021" s="80">
        <v>3.0608744092E10</v>
      </c>
      <c r="D1021" s="119" t="s">
        <v>264</v>
      </c>
      <c r="E1021" s="79" t="s">
        <v>5195</v>
      </c>
      <c r="F1021" s="44">
        <v>3321.0</v>
      </c>
      <c r="G1021" s="77" t="s">
        <v>226</v>
      </c>
      <c r="H1021" s="80">
        <v>1674.0</v>
      </c>
      <c r="I1021" s="79">
        <v>282909.0</v>
      </c>
      <c r="J1021" s="74" t="s">
        <v>347</v>
      </c>
      <c r="K1021" s="77" t="s">
        <v>2642</v>
      </c>
      <c r="L1021" s="79" t="s">
        <v>286</v>
      </c>
      <c r="M1021" s="79" t="s">
        <v>7050</v>
      </c>
      <c r="N1021" s="79">
        <v>0.0</v>
      </c>
      <c r="O1021" s="74"/>
      <c r="P1021" s="80"/>
      <c r="Q1021" s="79"/>
      <c r="R1021" s="80"/>
      <c r="S1021" s="80" t="s">
        <v>6426</v>
      </c>
      <c r="T1021" s="101" t="s">
        <v>7052</v>
      </c>
      <c r="U1021" s="78" t="s">
        <v>7053</v>
      </c>
      <c r="V1021" s="102" t="s">
        <v>7054</v>
      </c>
      <c r="W1021" s="79" t="s">
        <v>309</v>
      </c>
      <c r="X1021" s="79" t="s">
        <v>309</v>
      </c>
      <c r="Y1021" s="79"/>
      <c r="Z1021" s="79"/>
    </row>
    <row r="1022" ht="15.75" customHeight="1">
      <c r="A1022" s="76" t="s">
        <v>247</v>
      </c>
      <c r="B1022" s="77" t="s">
        <v>6892</v>
      </c>
      <c r="C1022" s="78" t="s">
        <v>7055</v>
      </c>
      <c r="D1022" s="79" t="s">
        <v>264</v>
      </c>
      <c r="E1022" s="79" t="s">
        <v>4233</v>
      </c>
      <c r="F1022" s="44">
        <v>5259.0</v>
      </c>
      <c r="G1022" s="79" t="s">
        <v>15</v>
      </c>
      <c r="H1022" s="80">
        <v>1678.0</v>
      </c>
      <c r="I1022" s="79">
        <v>259993.0</v>
      </c>
      <c r="J1022" s="74" t="s">
        <v>347</v>
      </c>
      <c r="K1022" s="79" t="s">
        <v>638</v>
      </c>
      <c r="L1022" s="79" t="s">
        <v>453</v>
      </c>
      <c r="M1022" s="77" t="s">
        <v>7057</v>
      </c>
      <c r="N1022" s="79">
        <v>5.0</v>
      </c>
      <c r="O1022" s="74"/>
      <c r="P1022" s="80"/>
      <c r="Q1022" s="79" t="s">
        <v>7058</v>
      </c>
      <c r="R1022" s="80"/>
      <c r="S1022" s="78" t="s">
        <v>7059</v>
      </c>
      <c r="T1022" s="101" t="s">
        <v>7060</v>
      </c>
      <c r="U1022" s="80" t="s">
        <v>332</v>
      </c>
      <c r="V1022" s="102" t="s">
        <v>7061</v>
      </c>
      <c r="W1022" s="79" t="s">
        <v>306</v>
      </c>
      <c r="X1022" s="79" t="s">
        <v>306</v>
      </c>
      <c r="Y1022" s="79" t="s">
        <v>309</v>
      </c>
      <c r="Z1022" s="79"/>
    </row>
    <row r="1023" ht="15.0" customHeight="1">
      <c r="A1023" s="103" t="s">
        <v>24</v>
      </c>
      <c r="B1023" s="77" t="s">
        <v>7064</v>
      </c>
      <c r="C1023" s="80">
        <v>3.3685302689E10</v>
      </c>
      <c r="D1023" s="119" t="s">
        <v>264</v>
      </c>
      <c r="E1023" s="77" t="s">
        <v>7065</v>
      </c>
      <c r="F1023" s="44">
        <v>6817.0</v>
      </c>
      <c r="G1023" s="79" t="s">
        <v>119</v>
      </c>
      <c r="H1023" s="80">
        <v>1657.0</v>
      </c>
      <c r="I1023" s="79">
        <v>181200.0</v>
      </c>
      <c r="J1023" s="74" t="s">
        <v>433</v>
      </c>
      <c r="K1023" s="79" t="s">
        <v>1833</v>
      </c>
      <c r="L1023" s="79"/>
      <c r="M1023" s="79"/>
      <c r="N1023" s="79">
        <v>0.0</v>
      </c>
      <c r="O1023" s="74"/>
      <c r="P1023" s="80"/>
      <c r="Q1023" s="79"/>
      <c r="R1023" s="80"/>
      <c r="S1023" s="78" t="s">
        <v>7067</v>
      </c>
      <c r="T1023" s="101" t="s">
        <v>332</v>
      </c>
      <c r="U1023" s="80" t="s">
        <v>332</v>
      </c>
      <c r="V1023" s="102" t="s">
        <v>7068</v>
      </c>
      <c r="W1023" s="79" t="s">
        <v>306</v>
      </c>
      <c r="X1023" s="79" t="s">
        <v>306</v>
      </c>
      <c r="Y1023" s="79"/>
      <c r="Z1023" s="79"/>
    </row>
    <row r="1024" ht="15.0" customHeight="1">
      <c r="A1024" s="76" t="s">
        <v>247</v>
      </c>
      <c r="B1024" s="77" t="s">
        <v>6897</v>
      </c>
      <c r="C1024" s="80">
        <v>3.071032871E10</v>
      </c>
      <c r="D1024" s="79" t="s">
        <v>264</v>
      </c>
      <c r="E1024" s="79" t="s">
        <v>1666</v>
      </c>
      <c r="F1024" s="44">
        <v>2946.0</v>
      </c>
      <c r="G1024" s="79" t="s">
        <v>15</v>
      </c>
      <c r="H1024" s="80">
        <v>1678.0</v>
      </c>
      <c r="I1024" s="79">
        <v>251101.0</v>
      </c>
      <c r="J1024" s="74" t="s">
        <v>347</v>
      </c>
      <c r="K1024" s="79" t="s">
        <v>1486</v>
      </c>
      <c r="L1024" s="79" t="s">
        <v>453</v>
      </c>
      <c r="M1024" s="79"/>
      <c r="N1024" s="77">
        <v>6.0</v>
      </c>
      <c r="O1024" s="74"/>
      <c r="P1024" s="80"/>
      <c r="Q1024" s="77" t="s">
        <v>7071</v>
      </c>
      <c r="R1024" s="80"/>
      <c r="S1024" s="80" t="s">
        <v>7072</v>
      </c>
      <c r="T1024" s="101" t="s">
        <v>7074</v>
      </c>
      <c r="U1024" s="78" t="s">
        <v>7075</v>
      </c>
      <c r="V1024" s="102" t="s">
        <v>7076</v>
      </c>
      <c r="W1024" s="79" t="s">
        <v>306</v>
      </c>
      <c r="X1024" s="79" t="s">
        <v>306</v>
      </c>
      <c r="Y1024" s="79" t="s">
        <v>309</v>
      </c>
      <c r="Z1024" s="79"/>
    </row>
    <row r="1025" ht="15.75" customHeight="1">
      <c r="A1025" s="103" t="s">
        <v>24</v>
      </c>
      <c r="B1025" s="77" t="s">
        <v>7078</v>
      </c>
      <c r="C1025" s="79">
        <v>3.0608588503E10</v>
      </c>
      <c r="D1025" s="77" t="s">
        <v>264</v>
      </c>
      <c r="E1025" s="79" t="s">
        <v>1045</v>
      </c>
      <c r="F1025" s="44">
        <v>5340.0</v>
      </c>
      <c r="G1025" s="79" t="s">
        <v>15</v>
      </c>
      <c r="H1025" s="80">
        <v>1678.0</v>
      </c>
      <c r="I1025" s="79">
        <v>192020.0</v>
      </c>
      <c r="J1025" s="74" t="s">
        <v>73</v>
      </c>
      <c r="K1025" s="79" t="s">
        <v>7081</v>
      </c>
      <c r="L1025" s="79"/>
      <c r="M1025" s="79"/>
      <c r="N1025" s="79">
        <v>13.0</v>
      </c>
      <c r="O1025" s="74"/>
      <c r="P1025" s="80"/>
      <c r="Q1025" s="79"/>
      <c r="R1025" s="80"/>
      <c r="S1025" s="80" t="s">
        <v>7082</v>
      </c>
      <c r="T1025" s="101" t="s">
        <v>332</v>
      </c>
      <c r="U1025" s="80" t="s">
        <v>332</v>
      </c>
      <c r="V1025" s="102" t="s">
        <v>429</v>
      </c>
      <c r="W1025" s="79" t="s">
        <v>309</v>
      </c>
      <c r="X1025" s="79" t="s">
        <v>309</v>
      </c>
      <c r="Y1025" s="79"/>
      <c r="Z1025" s="79"/>
    </row>
    <row r="1026" ht="15.75" customHeight="1">
      <c r="A1026" s="103" t="s">
        <v>24</v>
      </c>
      <c r="B1026" s="77" t="s">
        <v>7083</v>
      </c>
      <c r="C1026" s="79">
        <v>3.0708009489E10</v>
      </c>
      <c r="D1026" s="77" t="s">
        <v>264</v>
      </c>
      <c r="E1026" s="79" t="s">
        <v>15</v>
      </c>
      <c r="F1026" s="44">
        <v>3143.0</v>
      </c>
      <c r="G1026" s="79" t="s">
        <v>15</v>
      </c>
      <c r="H1026" s="80">
        <v>1678.0</v>
      </c>
      <c r="I1026" s="79">
        <v>453300.0</v>
      </c>
      <c r="J1026" s="74" t="s">
        <v>433</v>
      </c>
      <c r="K1026" s="77" t="s">
        <v>7084</v>
      </c>
      <c r="L1026" s="79"/>
      <c r="M1026" s="79"/>
      <c r="N1026" s="79">
        <v>0.0</v>
      </c>
      <c r="O1026" s="74"/>
      <c r="P1026" s="80"/>
      <c r="Q1026" s="79"/>
      <c r="R1026" s="80"/>
      <c r="S1026" s="80" t="s">
        <v>7087</v>
      </c>
      <c r="T1026" s="101" t="s">
        <v>332</v>
      </c>
      <c r="U1026" s="80" t="s">
        <v>332</v>
      </c>
      <c r="V1026" s="102" t="s">
        <v>429</v>
      </c>
      <c r="W1026" s="79" t="s">
        <v>306</v>
      </c>
      <c r="X1026" s="79" t="s">
        <v>306</v>
      </c>
      <c r="Y1026" s="79"/>
      <c r="Z1026" s="79"/>
    </row>
    <row r="1027" ht="15.0" customHeight="1">
      <c r="A1027" s="103" t="s">
        <v>24</v>
      </c>
      <c r="B1027" s="77" t="s">
        <v>7088</v>
      </c>
      <c r="C1027" s="80">
        <v>3.0710044461E10</v>
      </c>
      <c r="D1027" s="119" t="s">
        <v>264</v>
      </c>
      <c r="E1027" s="77" t="s">
        <v>2678</v>
      </c>
      <c r="F1027" s="44">
        <v>8175.0</v>
      </c>
      <c r="G1027" s="79" t="s">
        <v>119</v>
      </c>
      <c r="H1027" s="80">
        <v>1657.0</v>
      </c>
      <c r="I1027" s="77">
        <v>107410.0</v>
      </c>
      <c r="J1027" s="74" t="s">
        <v>22</v>
      </c>
      <c r="K1027" s="79" t="s">
        <v>5917</v>
      </c>
      <c r="L1027" s="79"/>
      <c r="M1027" s="79"/>
      <c r="N1027" s="79">
        <v>0.0</v>
      </c>
      <c r="O1027" s="74" t="s">
        <v>332</v>
      </c>
      <c r="P1027" s="80"/>
      <c r="Q1027" s="79"/>
      <c r="R1027" s="80"/>
      <c r="S1027" s="80" t="s">
        <v>7091</v>
      </c>
      <c r="T1027" s="101" t="s">
        <v>332</v>
      </c>
      <c r="U1027" s="80" t="s">
        <v>332</v>
      </c>
      <c r="V1027" s="102" t="s">
        <v>429</v>
      </c>
      <c r="W1027" s="79" t="s">
        <v>309</v>
      </c>
      <c r="X1027" s="79" t="s">
        <v>309</v>
      </c>
      <c r="Y1027" s="79" t="s">
        <v>309</v>
      </c>
      <c r="Z1027" s="79"/>
    </row>
    <row r="1028" ht="15.0" customHeight="1">
      <c r="A1028" s="76" t="s">
        <v>247</v>
      </c>
      <c r="B1028" s="77" t="s">
        <v>6902</v>
      </c>
      <c r="C1028" s="80">
        <v>3.0707033122E10</v>
      </c>
      <c r="D1028" s="119" t="s">
        <v>264</v>
      </c>
      <c r="E1028" s="79" t="s">
        <v>1819</v>
      </c>
      <c r="F1028" s="44">
        <v>2953.0</v>
      </c>
      <c r="G1028" s="79" t="s">
        <v>97</v>
      </c>
      <c r="H1028" s="80">
        <v>1702.0</v>
      </c>
      <c r="I1028" s="79">
        <v>202908.0</v>
      </c>
      <c r="J1028" s="74" t="s">
        <v>316</v>
      </c>
      <c r="K1028" s="77" t="s">
        <v>1153</v>
      </c>
      <c r="L1028" s="79"/>
      <c r="M1028" s="79"/>
      <c r="N1028" s="79">
        <v>4.0</v>
      </c>
      <c r="O1028" s="74"/>
      <c r="P1028" s="80"/>
      <c r="Q1028" s="79"/>
      <c r="R1028" s="80"/>
      <c r="S1028" s="80" t="s">
        <v>7094</v>
      </c>
      <c r="T1028" s="101" t="s">
        <v>7095</v>
      </c>
      <c r="U1028" s="80" t="s">
        <v>7096</v>
      </c>
      <c r="V1028" s="102" t="s">
        <v>7098</v>
      </c>
      <c r="W1028" s="79" t="s">
        <v>309</v>
      </c>
      <c r="X1028" s="79" t="s">
        <v>309</v>
      </c>
      <c r="Y1028" s="79" t="s">
        <v>309</v>
      </c>
      <c r="Z1028" s="79"/>
    </row>
    <row r="1029" ht="15.0" customHeight="1">
      <c r="A1029" s="103" t="s">
        <v>24</v>
      </c>
      <c r="B1029" s="77" t="s">
        <v>7100</v>
      </c>
      <c r="C1029" s="80">
        <v>3.0688065859E10</v>
      </c>
      <c r="D1029" s="119" t="s">
        <v>264</v>
      </c>
      <c r="E1029" s="79" t="s">
        <v>7101</v>
      </c>
      <c r="F1029" s="44">
        <v>1793.0</v>
      </c>
      <c r="G1029" s="79" t="s">
        <v>285</v>
      </c>
      <c r="H1029" s="80">
        <v>1674.0</v>
      </c>
      <c r="I1029" s="79">
        <v>422200.0</v>
      </c>
      <c r="J1029" s="74" t="s">
        <v>433</v>
      </c>
      <c r="K1029" s="79" t="s">
        <v>1740</v>
      </c>
      <c r="L1029" s="79" t="s">
        <v>2861</v>
      </c>
      <c r="M1029" s="79" t="s">
        <v>7104</v>
      </c>
      <c r="N1029" s="79">
        <v>61.0</v>
      </c>
      <c r="O1029" s="74"/>
      <c r="P1029" s="80"/>
      <c r="Q1029" s="79"/>
      <c r="R1029" s="80"/>
      <c r="S1029" s="80" t="s">
        <v>7105</v>
      </c>
      <c r="T1029" s="85" t="s">
        <v>7106</v>
      </c>
      <c r="U1029" s="80" t="s">
        <v>7107</v>
      </c>
      <c r="V1029" s="102" t="s">
        <v>429</v>
      </c>
      <c r="W1029" s="79" t="s">
        <v>309</v>
      </c>
      <c r="X1029" s="79" t="s">
        <v>309</v>
      </c>
      <c r="Y1029" s="79"/>
      <c r="Z1029" s="79"/>
    </row>
    <row r="1030" ht="15.75" customHeight="1">
      <c r="A1030" s="103" t="s">
        <v>24</v>
      </c>
      <c r="B1030" s="77" t="s">
        <v>7108</v>
      </c>
      <c r="C1030" s="80">
        <v>3.0504124823E10</v>
      </c>
      <c r="D1030" s="79" t="s">
        <v>264</v>
      </c>
      <c r="E1030" s="79" t="s">
        <v>7110</v>
      </c>
      <c r="F1030" s="44">
        <v>4434.0</v>
      </c>
      <c r="G1030" s="79" t="s">
        <v>68</v>
      </c>
      <c r="H1030" s="80">
        <v>1702.0</v>
      </c>
      <c r="I1030" s="79">
        <v>311000.0</v>
      </c>
      <c r="J1030" s="83" t="s">
        <v>207</v>
      </c>
      <c r="K1030" s="79" t="s">
        <v>7111</v>
      </c>
      <c r="L1030" s="79"/>
      <c r="M1030" s="79"/>
      <c r="N1030" s="79">
        <v>1.0</v>
      </c>
      <c r="O1030" s="74"/>
      <c r="P1030" s="80"/>
      <c r="Q1030" s="79"/>
      <c r="R1030" s="80"/>
      <c r="S1030" s="80" t="s">
        <v>7112</v>
      </c>
      <c r="T1030" s="101" t="s">
        <v>332</v>
      </c>
      <c r="U1030" s="80" t="s">
        <v>332</v>
      </c>
      <c r="V1030" s="102" t="s">
        <v>429</v>
      </c>
      <c r="W1030" s="79" t="s">
        <v>306</v>
      </c>
      <c r="X1030" s="79" t="s">
        <v>306</v>
      </c>
      <c r="Y1030" s="79"/>
      <c r="Z1030" s="79"/>
    </row>
    <row r="1031" ht="15.0" customHeight="1">
      <c r="A1031" s="76" t="s">
        <v>247</v>
      </c>
      <c r="B1031" s="77" t="s">
        <v>4139</v>
      </c>
      <c r="C1031" s="80">
        <v>3.0562175861E10</v>
      </c>
      <c r="D1031" s="119" t="s">
        <v>264</v>
      </c>
      <c r="E1031" s="79" t="s">
        <v>5499</v>
      </c>
      <c r="F1031" s="44">
        <v>4679.0</v>
      </c>
      <c r="G1031" s="79" t="s">
        <v>68</v>
      </c>
      <c r="H1031" s="80">
        <v>1702.0</v>
      </c>
      <c r="I1031" s="79">
        <v>222090.0</v>
      </c>
      <c r="J1031" s="83" t="s">
        <v>568</v>
      </c>
      <c r="K1031" s="77" t="s">
        <v>569</v>
      </c>
      <c r="L1031" s="79" t="s">
        <v>453</v>
      </c>
      <c r="M1031" s="79"/>
      <c r="N1031" s="79">
        <v>8.0</v>
      </c>
      <c r="O1031" s="74"/>
      <c r="P1031" s="80"/>
      <c r="Q1031" s="79" t="s">
        <v>7114</v>
      </c>
      <c r="R1031" s="78" t="s">
        <v>7115</v>
      </c>
      <c r="S1031" s="80" t="s">
        <v>7116</v>
      </c>
      <c r="T1031" s="101" t="s">
        <v>7117</v>
      </c>
      <c r="U1031" s="80" t="s">
        <v>7118</v>
      </c>
      <c r="V1031" s="102" t="s">
        <v>7119</v>
      </c>
      <c r="W1031" s="79" t="s">
        <v>309</v>
      </c>
      <c r="X1031" s="79" t="s">
        <v>309</v>
      </c>
      <c r="Y1031" s="79" t="s">
        <v>309</v>
      </c>
      <c r="Z1031" s="79"/>
    </row>
    <row r="1032" ht="15.75" customHeight="1">
      <c r="A1032" s="76" t="s">
        <v>247</v>
      </c>
      <c r="B1032" s="77" t="s">
        <v>6906</v>
      </c>
      <c r="C1032" s="80">
        <v>3.0568926281E10</v>
      </c>
      <c r="D1032" s="79" t="s">
        <v>264</v>
      </c>
      <c r="E1032" s="79" t="s">
        <v>532</v>
      </c>
      <c r="F1032" s="44">
        <v>77.0</v>
      </c>
      <c r="G1032" s="79" t="s">
        <v>68</v>
      </c>
      <c r="H1032" s="80">
        <v>1702.0</v>
      </c>
      <c r="I1032" s="79">
        <v>170201.0</v>
      </c>
      <c r="J1032" s="74" t="s">
        <v>283</v>
      </c>
      <c r="K1032" s="79" t="s">
        <v>7122</v>
      </c>
      <c r="L1032" s="79" t="s">
        <v>453</v>
      </c>
      <c r="M1032" s="79"/>
      <c r="N1032" s="79">
        <v>20.0</v>
      </c>
      <c r="O1032" s="74"/>
      <c r="P1032" s="80"/>
      <c r="Q1032" s="79"/>
      <c r="R1032" s="80"/>
      <c r="S1032" s="78" t="s">
        <v>7123</v>
      </c>
      <c r="T1032" s="101" t="s">
        <v>7124</v>
      </c>
      <c r="U1032" s="80" t="s">
        <v>7126</v>
      </c>
      <c r="V1032" s="102" t="s">
        <v>429</v>
      </c>
      <c r="W1032" s="79" t="s">
        <v>309</v>
      </c>
      <c r="X1032" s="79" t="s">
        <v>309</v>
      </c>
      <c r="Y1032" s="79" t="s">
        <v>309</v>
      </c>
      <c r="Z1032" s="79"/>
    </row>
    <row r="1033" ht="15.0" customHeight="1">
      <c r="A1033" s="76" t="s">
        <v>247</v>
      </c>
      <c r="B1033" s="77" t="s">
        <v>1928</v>
      </c>
      <c r="C1033" s="80">
        <v>3.0712043039E10</v>
      </c>
      <c r="D1033" s="79" t="s">
        <v>264</v>
      </c>
      <c r="E1033" s="77" t="s">
        <v>1806</v>
      </c>
      <c r="F1033" s="44">
        <v>3660.0</v>
      </c>
      <c r="G1033" s="79" t="s">
        <v>15</v>
      </c>
      <c r="H1033" s="80">
        <v>1678.0</v>
      </c>
      <c r="I1033" s="79">
        <v>310020.0</v>
      </c>
      <c r="J1033" s="74" t="s">
        <v>313</v>
      </c>
      <c r="K1033" s="79" t="s">
        <v>3277</v>
      </c>
      <c r="L1033" s="79" t="s">
        <v>1122</v>
      </c>
      <c r="M1033" s="77" t="s">
        <v>7128</v>
      </c>
      <c r="N1033" s="79">
        <v>4.0</v>
      </c>
      <c r="O1033" s="74" t="s">
        <v>7129</v>
      </c>
      <c r="P1033" s="78" t="s">
        <v>7131</v>
      </c>
      <c r="Q1033" s="79"/>
      <c r="R1033" s="80"/>
      <c r="S1033" s="78" t="s">
        <v>7132</v>
      </c>
      <c r="T1033" s="85" t="s">
        <v>7133</v>
      </c>
      <c r="U1033" s="80" t="s">
        <v>332</v>
      </c>
      <c r="V1033" s="86" t="s">
        <v>7134</v>
      </c>
      <c r="W1033" s="79" t="s">
        <v>306</v>
      </c>
      <c r="X1033" s="79" t="s">
        <v>306</v>
      </c>
      <c r="Y1033" s="79" t="s">
        <v>309</v>
      </c>
      <c r="Z1033" s="79"/>
    </row>
    <row r="1034" ht="15.0" customHeight="1">
      <c r="A1034" s="76" t="s">
        <v>247</v>
      </c>
      <c r="B1034" s="77" t="s">
        <v>6917</v>
      </c>
      <c r="C1034" s="80">
        <v>3.0653926037E10</v>
      </c>
      <c r="D1034" s="119" t="s">
        <v>264</v>
      </c>
      <c r="E1034" s="77" t="s">
        <v>7135</v>
      </c>
      <c r="F1034" s="44">
        <v>9240.0</v>
      </c>
      <c r="G1034" s="79" t="s">
        <v>119</v>
      </c>
      <c r="H1034" s="80">
        <v>1657.0</v>
      </c>
      <c r="I1034" s="79">
        <v>241009.0</v>
      </c>
      <c r="J1034" s="74" t="s">
        <v>347</v>
      </c>
      <c r="K1034" s="77" t="s">
        <v>5011</v>
      </c>
      <c r="L1034" s="79"/>
      <c r="M1034" s="79"/>
      <c r="N1034" s="79">
        <v>16.0</v>
      </c>
      <c r="O1034" s="74" t="s">
        <v>7138</v>
      </c>
      <c r="P1034" s="78" t="s">
        <v>7139</v>
      </c>
      <c r="Q1034" s="79"/>
      <c r="R1034" s="80"/>
      <c r="S1034" s="78" t="s">
        <v>7140</v>
      </c>
      <c r="T1034" s="101" t="s">
        <v>7141</v>
      </c>
      <c r="U1034" s="80" t="s">
        <v>7142</v>
      </c>
      <c r="V1034" s="102" t="s">
        <v>7143</v>
      </c>
      <c r="W1034" s="79" t="s">
        <v>309</v>
      </c>
      <c r="X1034" s="79" t="s">
        <v>309</v>
      </c>
      <c r="Y1034" s="79" t="s">
        <v>309</v>
      </c>
      <c r="Z1034" s="79"/>
    </row>
    <row r="1035" ht="15.75" customHeight="1">
      <c r="A1035" s="76" t="s">
        <v>247</v>
      </c>
      <c r="B1035" s="77" t="s">
        <v>1937</v>
      </c>
      <c r="C1035" s="80">
        <v>3.0710855141E10</v>
      </c>
      <c r="D1035" s="79" t="s">
        <v>264</v>
      </c>
      <c r="E1035" s="79" t="s">
        <v>3948</v>
      </c>
      <c r="F1035" s="44">
        <v>1127.0</v>
      </c>
      <c r="G1035" s="79" t="s">
        <v>68</v>
      </c>
      <c r="H1035" s="80">
        <v>1702.0</v>
      </c>
      <c r="I1035" s="79">
        <v>259999.0</v>
      </c>
      <c r="J1035" s="74" t="s">
        <v>347</v>
      </c>
      <c r="K1035" s="77" t="s">
        <v>839</v>
      </c>
      <c r="L1035" s="79" t="s">
        <v>453</v>
      </c>
      <c r="M1035" s="79" t="s">
        <v>7146</v>
      </c>
      <c r="N1035" s="79">
        <v>4.0</v>
      </c>
      <c r="O1035" s="74" t="s">
        <v>7147</v>
      </c>
      <c r="P1035" s="78" t="s">
        <v>7148</v>
      </c>
      <c r="Q1035" s="79"/>
      <c r="R1035" s="80"/>
      <c r="S1035" s="80" t="s">
        <v>7149</v>
      </c>
      <c r="T1035" s="101" t="s">
        <v>7150</v>
      </c>
      <c r="U1035" s="80" t="s">
        <v>332</v>
      </c>
      <c r="V1035" s="102" t="s">
        <v>7151</v>
      </c>
      <c r="W1035" s="79" t="s">
        <v>309</v>
      </c>
      <c r="X1035" s="79" t="s">
        <v>309</v>
      </c>
      <c r="Y1035" s="79" t="s">
        <v>309</v>
      </c>
      <c r="Z1035" s="79"/>
    </row>
    <row r="1036" ht="15.75" customHeight="1">
      <c r="A1036" s="76" t="s">
        <v>247</v>
      </c>
      <c r="B1036" s="77" t="s">
        <v>6923</v>
      </c>
      <c r="C1036" s="80">
        <v>3.0710674333E10</v>
      </c>
      <c r="D1036" s="119" t="s">
        <v>264</v>
      </c>
      <c r="E1036" s="79" t="s">
        <v>7154</v>
      </c>
      <c r="F1036" s="44">
        <v>8137.0</v>
      </c>
      <c r="G1036" s="79" t="s">
        <v>175</v>
      </c>
      <c r="H1036" s="80">
        <v>1657.0</v>
      </c>
      <c r="I1036" s="79">
        <v>282909.0</v>
      </c>
      <c r="J1036" s="74" t="s">
        <v>347</v>
      </c>
      <c r="K1036" s="77" t="s">
        <v>2642</v>
      </c>
      <c r="L1036" s="79" t="s">
        <v>662</v>
      </c>
      <c r="M1036" s="79"/>
      <c r="N1036" s="79">
        <v>7.0</v>
      </c>
      <c r="O1036" s="74"/>
      <c r="P1036" s="80"/>
      <c r="Q1036" s="79"/>
      <c r="R1036" s="80"/>
      <c r="S1036" s="80" t="s">
        <v>7156</v>
      </c>
      <c r="T1036" s="101" t="s">
        <v>7157</v>
      </c>
      <c r="U1036" s="80" t="s">
        <v>332</v>
      </c>
      <c r="V1036" s="102" t="s">
        <v>7159</v>
      </c>
      <c r="W1036" s="79" t="s">
        <v>306</v>
      </c>
      <c r="X1036" s="79" t="s">
        <v>306</v>
      </c>
      <c r="Y1036" s="79" t="s">
        <v>309</v>
      </c>
      <c r="Z1036" s="79"/>
    </row>
    <row r="1037" ht="15.75" customHeight="1">
      <c r="A1037" s="76" t="s">
        <v>247</v>
      </c>
      <c r="B1037" s="144" t="s">
        <v>1942</v>
      </c>
      <c r="C1037" s="80">
        <v>3.070395754E10</v>
      </c>
      <c r="D1037" s="79" t="s">
        <v>264</v>
      </c>
      <c r="E1037" s="77" t="s">
        <v>1936</v>
      </c>
      <c r="F1037" s="128">
        <v>4548.0</v>
      </c>
      <c r="G1037" s="79" t="s">
        <v>68</v>
      </c>
      <c r="H1037" s="80">
        <v>1702.0</v>
      </c>
      <c r="I1037" s="79">
        <v>181109.0</v>
      </c>
      <c r="J1037" s="74" t="s">
        <v>238</v>
      </c>
      <c r="K1037" s="77" t="s">
        <v>1545</v>
      </c>
      <c r="L1037" s="79" t="s">
        <v>1122</v>
      </c>
      <c r="M1037" s="144" t="s">
        <v>7161</v>
      </c>
      <c r="N1037" s="79">
        <v>5.0</v>
      </c>
      <c r="O1037" s="129" t="s">
        <v>7162</v>
      </c>
      <c r="P1037" s="85" t="s">
        <v>7163</v>
      </c>
      <c r="Q1037" s="79"/>
      <c r="R1037" s="80"/>
      <c r="S1037" s="101" t="s">
        <v>7165</v>
      </c>
      <c r="T1037" s="101" t="s">
        <v>7166</v>
      </c>
      <c r="U1037" s="80" t="s">
        <v>7167</v>
      </c>
      <c r="V1037" s="102" t="s">
        <v>7168</v>
      </c>
      <c r="W1037" s="79" t="s">
        <v>306</v>
      </c>
      <c r="X1037" s="79" t="s">
        <v>306</v>
      </c>
      <c r="Y1037" s="79" t="s">
        <v>309</v>
      </c>
      <c r="Z1037" s="79"/>
    </row>
    <row r="1038" ht="15.75" customHeight="1">
      <c r="A1038" s="103" t="s">
        <v>24</v>
      </c>
      <c r="B1038" s="77" t="s">
        <v>7169</v>
      </c>
      <c r="C1038" s="80">
        <v>3.0502141496E10</v>
      </c>
      <c r="D1038" s="79" t="s">
        <v>264</v>
      </c>
      <c r="E1038" s="79" t="s">
        <v>2186</v>
      </c>
      <c r="F1038" s="44">
        <v>4279.0</v>
      </c>
      <c r="G1038" s="79" t="s">
        <v>68</v>
      </c>
      <c r="H1038" s="80">
        <v>1702.0</v>
      </c>
      <c r="I1038" s="79">
        <v>383252.0</v>
      </c>
      <c r="J1038" s="83" t="s">
        <v>207</v>
      </c>
      <c r="K1038" s="79" t="s">
        <v>7172</v>
      </c>
      <c r="L1038" s="79"/>
      <c r="M1038" s="79"/>
      <c r="N1038" s="79">
        <v>0.0</v>
      </c>
      <c r="O1038" s="74"/>
      <c r="P1038" s="80"/>
      <c r="Q1038" s="79"/>
      <c r="R1038" s="80"/>
      <c r="S1038" s="80" t="s">
        <v>7173</v>
      </c>
      <c r="T1038" s="101" t="s">
        <v>7174</v>
      </c>
      <c r="U1038" s="80" t="s">
        <v>7175</v>
      </c>
      <c r="V1038" s="102" t="s">
        <v>429</v>
      </c>
      <c r="W1038" s="79" t="s">
        <v>306</v>
      </c>
      <c r="X1038" s="79" t="s">
        <v>306</v>
      </c>
      <c r="Y1038" s="79"/>
      <c r="Z1038" s="79"/>
    </row>
    <row r="1039" ht="15.75" customHeight="1">
      <c r="A1039" s="76" t="s">
        <v>247</v>
      </c>
      <c r="B1039" s="77" t="s">
        <v>6932</v>
      </c>
      <c r="C1039" s="79">
        <v>3.3708814089E10</v>
      </c>
      <c r="D1039" s="77" t="s">
        <v>631</v>
      </c>
      <c r="E1039" s="79" t="s">
        <v>6787</v>
      </c>
      <c r="F1039" s="44">
        <v>998.0</v>
      </c>
      <c r="G1039" s="79" t="s">
        <v>119</v>
      </c>
      <c r="H1039" s="80">
        <v>1657.0</v>
      </c>
      <c r="I1039" s="79">
        <v>329090.0</v>
      </c>
      <c r="J1039" s="83" t="s">
        <v>327</v>
      </c>
      <c r="K1039" s="77" t="s">
        <v>1307</v>
      </c>
      <c r="L1039" s="79"/>
      <c r="M1039" s="79"/>
      <c r="N1039" s="79">
        <v>0.0</v>
      </c>
      <c r="O1039" s="74"/>
      <c r="P1039" s="80"/>
      <c r="Q1039" s="79"/>
      <c r="R1039" s="80"/>
      <c r="S1039" s="80" t="s">
        <v>7178</v>
      </c>
      <c r="T1039" s="101" t="s">
        <v>332</v>
      </c>
      <c r="U1039" s="80" t="s">
        <v>332</v>
      </c>
      <c r="V1039" s="102" t="s">
        <v>429</v>
      </c>
      <c r="W1039" s="79" t="s">
        <v>306</v>
      </c>
      <c r="X1039" s="79" t="s">
        <v>306</v>
      </c>
      <c r="Y1039" s="79" t="s">
        <v>309</v>
      </c>
      <c r="Z1039" s="79"/>
    </row>
    <row r="1040" ht="15.0" customHeight="1">
      <c r="A1040" s="76" t="s">
        <v>247</v>
      </c>
      <c r="B1040" s="77" t="s">
        <v>6935</v>
      </c>
      <c r="C1040" s="80">
        <v>3.0657998628E10</v>
      </c>
      <c r="D1040" s="79" t="s">
        <v>264</v>
      </c>
      <c r="E1040" s="79" t="s">
        <v>1819</v>
      </c>
      <c r="F1040" s="44">
        <v>2940.0</v>
      </c>
      <c r="G1040" s="79" t="s">
        <v>97</v>
      </c>
      <c r="H1040" s="80">
        <v>1702.0</v>
      </c>
      <c r="I1040" s="79">
        <v>251101.0</v>
      </c>
      <c r="J1040" s="74" t="s">
        <v>347</v>
      </c>
      <c r="K1040" s="79" t="s">
        <v>1486</v>
      </c>
      <c r="L1040" s="79" t="s">
        <v>453</v>
      </c>
      <c r="M1040" s="79"/>
      <c r="N1040" s="79">
        <v>15.0</v>
      </c>
      <c r="O1040" s="74" t="s">
        <v>7181</v>
      </c>
      <c r="P1040" s="80"/>
      <c r="Q1040" s="79"/>
      <c r="R1040" s="80"/>
      <c r="S1040" s="78" t="s">
        <v>7182</v>
      </c>
      <c r="T1040" s="101" t="s">
        <v>7184</v>
      </c>
      <c r="U1040" s="80" t="s">
        <v>332</v>
      </c>
      <c r="V1040" s="102" t="s">
        <v>7186</v>
      </c>
      <c r="W1040" s="79" t="s">
        <v>306</v>
      </c>
      <c r="X1040" s="79" t="s">
        <v>306</v>
      </c>
      <c r="Y1040" s="79" t="s">
        <v>309</v>
      </c>
      <c r="Z1040" s="79"/>
    </row>
    <row r="1041" ht="15.75" customHeight="1">
      <c r="A1041" s="76" t="s">
        <v>247</v>
      </c>
      <c r="B1041" s="77" t="s">
        <v>6938</v>
      </c>
      <c r="C1041" s="80">
        <v>3.0610599482E10</v>
      </c>
      <c r="D1041" s="79" t="s">
        <v>264</v>
      </c>
      <c r="E1041" s="77" t="s">
        <v>3481</v>
      </c>
      <c r="F1041" s="44">
        <v>5925.0</v>
      </c>
      <c r="G1041" s="79" t="s">
        <v>134</v>
      </c>
      <c r="H1041" s="80">
        <v>1682.0</v>
      </c>
      <c r="I1041" s="77">
        <v>524230.0</v>
      </c>
      <c r="J1041" s="83" t="s">
        <v>433</v>
      </c>
      <c r="K1041" s="82" t="s">
        <v>7187</v>
      </c>
      <c r="L1041" s="79"/>
      <c r="M1041" s="79" t="s">
        <v>7188</v>
      </c>
      <c r="N1041" s="79">
        <v>90.0</v>
      </c>
      <c r="O1041" s="74"/>
      <c r="P1041" s="80"/>
      <c r="Q1041" s="79"/>
      <c r="R1041" s="80"/>
      <c r="S1041" s="78" t="s">
        <v>7191</v>
      </c>
      <c r="T1041" s="101" t="s">
        <v>332</v>
      </c>
      <c r="U1041" s="80" t="s">
        <v>332</v>
      </c>
      <c r="V1041" s="102" t="s">
        <v>7192</v>
      </c>
      <c r="W1041" s="79" t="s">
        <v>309</v>
      </c>
      <c r="X1041" s="79" t="s">
        <v>309</v>
      </c>
      <c r="Y1041" s="79" t="s">
        <v>309</v>
      </c>
      <c r="Z1041" s="79"/>
    </row>
    <row r="1042" ht="15.75" customHeight="1">
      <c r="A1042" s="76" t="s">
        <v>247</v>
      </c>
      <c r="B1042" s="79" t="s">
        <v>7193</v>
      </c>
      <c r="C1042" s="80">
        <v>2.3141243209E10</v>
      </c>
      <c r="D1042" s="77" t="s">
        <v>631</v>
      </c>
      <c r="E1042" s="79" t="s">
        <v>2491</v>
      </c>
      <c r="F1042" s="44" t="s">
        <v>7194</v>
      </c>
      <c r="G1042" s="77" t="s">
        <v>249</v>
      </c>
      <c r="H1042" s="78">
        <v>1676.0</v>
      </c>
      <c r="I1042" s="79">
        <v>271010.0</v>
      </c>
      <c r="J1042" s="83" t="s">
        <v>207</v>
      </c>
      <c r="K1042" s="77" t="s">
        <v>661</v>
      </c>
      <c r="L1042" s="79"/>
      <c r="M1042" s="79"/>
      <c r="N1042" s="79"/>
      <c r="O1042" s="74"/>
      <c r="P1042" s="80"/>
      <c r="Q1042" s="79"/>
      <c r="R1042" s="80"/>
      <c r="S1042" s="78" t="s">
        <v>7197</v>
      </c>
      <c r="T1042" s="101"/>
      <c r="U1042" s="80"/>
      <c r="V1042" s="102" t="s">
        <v>429</v>
      </c>
      <c r="W1042" s="79"/>
      <c r="X1042" s="79"/>
      <c r="Y1042" s="79"/>
      <c r="Z1042" s="79"/>
    </row>
    <row r="1043" ht="15.75" customHeight="1">
      <c r="A1043" s="76" t="s">
        <v>247</v>
      </c>
      <c r="B1043" s="77" t="s">
        <v>1946</v>
      </c>
      <c r="C1043" s="80">
        <v>2.0102331843E10</v>
      </c>
      <c r="D1043" s="77" t="s">
        <v>631</v>
      </c>
      <c r="E1043" s="77" t="s">
        <v>1458</v>
      </c>
      <c r="F1043" s="44">
        <v>5322.0</v>
      </c>
      <c r="G1043" s="79" t="s">
        <v>15</v>
      </c>
      <c r="H1043" s="80">
        <v>1678.0</v>
      </c>
      <c r="I1043" s="79">
        <v>463199.0</v>
      </c>
      <c r="J1043" s="74" t="s">
        <v>22</v>
      </c>
      <c r="K1043" s="144" t="s">
        <v>7201</v>
      </c>
      <c r="L1043" s="79"/>
      <c r="M1043" s="79"/>
      <c r="N1043" s="79"/>
      <c r="O1043" s="74" t="s">
        <v>7203</v>
      </c>
      <c r="P1043" s="78" t="s">
        <v>7204</v>
      </c>
      <c r="Q1043" s="79"/>
      <c r="R1043" s="80"/>
      <c r="S1043" s="80"/>
      <c r="T1043" s="101"/>
      <c r="U1043" s="80"/>
      <c r="V1043" s="102" t="s">
        <v>429</v>
      </c>
      <c r="W1043" s="79"/>
      <c r="X1043" s="79"/>
      <c r="Y1043" s="79"/>
      <c r="Z1043" s="79"/>
    </row>
    <row r="1044" ht="15.75" customHeight="1">
      <c r="A1044" s="76" t="s">
        <v>247</v>
      </c>
      <c r="B1044" s="77" t="s">
        <v>6945</v>
      </c>
      <c r="C1044" s="80">
        <v>3.0703094054E10</v>
      </c>
      <c r="D1044" s="144" t="s">
        <v>631</v>
      </c>
      <c r="E1044" s="77" t="s">
        <v>1683</v>
      </c>
      <c r="F1044" s="44">
        <v>3271.0</v>
      </c>
      <c r="G1044" s="79" t="s">
        <v>15</v>
      </c>
      <c r="H1044" s="80">
        <v>1678.0</v>
      </c>
      <c r="I1044" s="79">
        <v>131202.0</v>
      </c>
      <c r="J1044" s="74" t="s">
        <v>448</v>
      </c>
      <c r="K1044" s="79" t="s">
        <v>5408</v>
      </c>
      <c r="L1044" s="79"/>
      <c r="M1044" s="79"/>
      <c r="N1044" s="79">
        <v>12.0</v>
      </c>
      <c r="O1044" s="74"/>
      <c r="P1044" s="80"/>
      <c r="Q1044" s="79"/>
      <c r="R1044" s="80"/>
      <c r="S1044" s="80" t="s">
        <v>7207</v>
      </c>
      <c r="T1044" s="101" t="s">
        <v>7208</v>
      </c>
      <c r="U1044" s="80"/>
      <c r="V1044" s="102" t="s">
        <v>7209</v>
      </c>
      <c r="W1044" s="79" t="s">
        <v>309</v>
      </c>
      <c r="X1044" s="79" t="s">
        <v>309</v>
      </c>
      <c r="Y1044" s="79" t="s">
        <v>309</v>
      </c>
      <c r="Z1044" s="79"/>
    </row>
    <row r="1045" ht="15.75" customHeight="1">
      <c r="A1045" s="76" t="s">
        <v>247</v>
      </c>
      <c r="B1045" s="77" t="s">
        <v>6947</v>
      </c>
      <c r="C1045" s="80">
        <v>3.0685248499E10</v>
      </c>
      <c r="D1045" s="77" t="s">
        <v>631</v>
      </c>
      <c r="E1045" s="79" t="s">
        <v>4958</v>
      </c>
      <c r="F1045" s="44">
        <v>3574.0</v>
      </c>
      <c r="G1045" s="79" t="s">
        <v>15</v>
      </c>
      <c r="H1045" s="80">
        <v>1678.0</v>
      </c>
      <c r="I1045" s="79">
        <v>259999.0</v>
      </c>
      <c r="J1045" s="74" t="s">
        <v>347</v>
      </c>
      <c r="K1045" s="77" t="s">
        <v>839</v>
      </c>
      <c r="L1045" s="79" t="s">
        <v>453</v>
      </c>
      <c r="M1045" s="79"/>
      <c r="N1045" s="79">
        <v>7.0</v>
      </c>
      <c r="O1045" s="74"/>
      <c r="P1045" s="80"/>
      <c r="Q1045" s="79"/>
      <c r="R1045" s="80"/>
      <c r="S1045" s="80" t="s">
        <v>7212</v>
      </c>
      <c r="T1045" s="101" t="s">
        <v>7213</v>
      </c>
      <c r="U1045" s="80" t="s">
        <v>332</v>
      </c>
      <c r="V1045" s="102" t="s">
        <v>7214</v>
      </c>
      <c r="W1045" s="79" t="s">
        <v>309</v>
      </c>
      <c r="X1045" s="79" t="s">
        <v>309</v>
      </c>
      <c r="Y1045" s="79" t="s">
        <v>309</v>
      </c>
      <c r="Z1045" s="79"/>
    </row>
    <row r="1046" ht="15.75" customHeight="1">
      <c r="A1046" s="76" t="s">
        <v>247</v>
      </c>
      <c r="B1046" s="77" t="s">
        <v>6959</v>
      </c>
      <c r="C1046" s="80">
        <v>3.070803069E10</v>
      </c>
      <c r="D1046" s="119" t="s">
        <v>264</v>
      </c>
      <c r="E1046" s="79" t="s">
        <v>2916</v>
      </c>
      <c r="F1046" s="44">
        <v>6352.0</v>
      </c>
      <c r="G1046" s="79" t="s">
        <v>119</v>
      </c>
      <c r="H1046" s="80">
        <v>1657.0</v>
      </c>
      <c r="I1046" s="79">
        <v>282200.0</v>
      </c>
      <c r="J1046" s="74" t="s">
        <v>347</v>
      </c>
      <c r="K1046" s="79" t="s">
        <v>5178</v>
      </c>
      <c r="L1046" s="79"/>
      <c r="M1046" s="79"/>
      <c r="N1046" s="79">
        <v>0.0</v>
      </c>
      <c r="O1046" s="74"/>
      <c r="P1046" s="80"/>
      <c r="Q1046" s="79"/>
      <c r="R1046" s="80"/>
      <c r="S1046" s="78" t="s">
        <v>7218</v>
      </c>
      <c r="T1046" s="101" t="s">
        <v>332</v>
      </c>
      <c r="U1046" s="80" t="s">
        <v>332</v>
      </c>
      <c r="V1046" s="102" t="s">
        <v>7220</v>
      </c>
      <c r="W1046" s="79" t="s">
        <v>309</v>
      </c>
      <c r="X1046" s="79" t="s">
        <v>309</v>
      </c>
      <c r="Y1046" s="79" t="s">
        <v>309</v>
      </c>
      <c r="Z1046" s="79"/>
    </row>
    <row r="1047" ht="15.75" customHeight="1">
      <c r="A1047" s="76" t="s">
        <v>247</v>
      </c>
      <c r="B1047" s="77" t="s">
        <v>6964</v>
      </c>
      <c r="C1047" s="80">
        <v>3.0708390409E10</v>
      </c>
      <c r="D1047" s="79" t="s">
        <v>264</v>
      </c>
      <c r="E1047" s="119" t="s">
        <v>1422</v>
      </c>
      <c r="F1047" s="44">
        <v>6151.0</v>
      </c>
      <c r="G1047" s="79" t="s">
        <v>119</v>
      </c>
      <c r="H1047" s="80">
        <v>1657.0</v>
      </c>
      <c r="I1047" s="79">
        <v>231090.0</v>
      </c>
      <c r="J1047" s="74" t="s">
        <v>457</v>
      </c>
      <c r="K1047" s="77" t="s">
        <v>2477</v>
      </c>
      <c r="L1047" s="79"/>
      <c r="M1047" s="79"/>
      <c r="N1047" s="79">
        <v>58.0</v>
      </c>
      <c r="O1047" s="74"/>
      <c r="P1047" s="80"/>
      <c r="Q1047" s="79"/>
      <c r="R1047" s="80"/>
      <c r="S1047" s="80" t="s">
        <v>7223</v>
      </c>
      <c r="T1047" s="101"/>
      <c r="U1047" s="80" t="s">
        <v>332</v>
      </c>
      <c r="V1047" s="102" t="s">
        <v>7224</v>
      </c>
      <c r="W1047" s="79" t="s">
        <v>309</v>
      </c>
      <c r="X1047" s="79" t="s">
        <v>309</v>
      </c>
      <c r="Y1047" s="79" t="s">
        <v>309</v>
      </c>
      <c r="Z1047" s="79"/>
    </row>
    <row r="1048" ht="15.75" customHeight="1">
      <c r="A1048" s="76" t="s">
        <v>247</v>
      </c>
      <c r="B1048" s="77" t="s">
        <v>6972</v>
      </c>
      <c r="C1048" s="80">
        <v>3.0685328204E10</v>
      </c>
      <c r="D1048" s="77" t="s">
        <v>631</v>
      </c>
      <c r="E1048" s="77" t="s">
        <v>1109</v>
      </c>
      <c r="F1048" s="44">
        <v>4067.0</v>
      </c>
      <c r="G1048" s="79" t="s">
        <v>68</v>
      </c>
      <c r="H1048" s="80">
        <v>1702.0</v>
      </c>
      <c r="I1048" s="79">
        <v>251101.0</v>
      </c>
      <c r="J1048" s="74" t="s">
        <v>347</v>
      </c>
      <c r="K1048" s="79" t="s">
        <v>1486</v>
      </c>
      <c r="L1048" s="79" t="s">
        <v>453</v>
      </c>
      <c r="M1048" s="79"/>
      <c r="N1048" s="79">
        <v>6.0</v>
      </c>
      <c r="O1048" s="74"/>
      <c r="P1048" s="80"/>
      <c r="Q1048" s="79"/>
      <c r="R1048" s="80"/>
      <c r="S1048" s="78" t="s">
        <v>7227</v>
      </c>
      <c r="T1048" s="85" t="s">
        <v>7228</v>
      </c>
      <c r="U1048" s="80" t="s">
        <v>332</v>
      </c>
      <c r="V1048" s="102" t="s">
        <v>429</v>
      </c>
      <c r="W1048" s="79" t="s">
        <v>306</v>
      </c>
      <c r="X1048" s="79" t="s">
        <v>306</v>
      </c>
      <c r="Y1048" s="79" t="s">
        <v>309</v>
      </c>
      <c r="Z1048" s="79"/>
    </row>
    <row r="1049" ht="15.75" customHeight="1">
      <c r="A1049" s="76" t="s">
        <v>247</v>
      </c>
      <c r="B1049" s="77" t="s">
        <v>6976</v>
      </c>
      <c r="C1049" s="80">
        <v>3.0714659576E10</v>
      </c>
      <c r="D1049" s="79" t="s">
        <v>264</v>
      </c>
      <c r="E1049" s="79" t="s">
        <v>1143</v>
      </c>
      <c r="F1049" s="128">
        <v>3487.0</v>
      </c>
      <c r="G1049" s="79" t="s">
        <v>15</v>
      </c>
      <c r="H1049" s="80">
        <v>1678.0</v>
      </c>
      <c r="I1049" s="79">
        <v>452990.0</v>
      </c>
      <c r="J1049" s="74" t="s">
        <v>433</v>
      </c>
      <c r="K1049" s="77" t="s">
        <v>6318</v>
      </c>
      <c r="L1049" s="79" t="s">
        <v>1122</v>
      </c>
      <c r="M1049" s="79" t="s">
        <v>7231</v>
      </c>
      <c r="N1049" s="79"/>
      <c r="O1049" s="74" t="s">
        <v>7233</v>
      </c>
      <c r="P1049" s="78" t="s">
        <v>7234</v>
      </c>
      <c r="Q1049" s="79"/>
      <c r="R1049" s="80"/>
      <c r="S1049" s="80" t="s">
        <v>7235</v>
      </c>
      <c r="T1049" s="101" t="s">
        <v>332</v>
      </c>
      <c r="U1049" s="80" t="s">
        <v>332</v>
      </c>
      <c r="V1049" s="102" t="s">
        <v>7236</v>
      </c>
      <c r="W1049" s="79" t="s">
        <v>306</v>
      </c>
      <c r="X1049" s="79" t="s">
        <v>306</v>
      </c>
      <c r="Y1049" s="79" t="s">
        <v>309</v>
      </c>
      <c r="Z1049" s="79"/>
    </row>
    <row r="1050" ht="15.75" customHeight="1">
      <c r="A1050" s="76" t="s">
        <v>247</v>
      </c>
      <c r="B1050" s="77" t="s">
        <v>1950</v>
      </c>
      <c r="C1050" s="80">
        <v>3.0715761668E10</v>
      </c>
      <c r="D1050" s="79" t="s">
        <v>264</v>
      </c>
      <c r="E1050" s="79" t="s">
        <v>1965</v>
      </c>
      <c r="F1050" s="210">
        <v>4746.0</v>
      </c>
      <c r="G1050" s="79" t="s">
        <v>15</v>
      </c>
      <c r="H1050" s="80">
        <v>1678.0</v>
      </c>
      <c r="I1050" s="119">
        <v>139209.0</v>
      </c>
      <c r="J1050" s="74" t="s">
        <v>448</v>
      </c>
      <c r="K1050" s="129" t="s">
        <v>539</v>
      </c>
      <c r="L1050" s="79"/>
      <c r="M1050" s="77" t="s">
        <v>7238</v>
      </c>
      <c r="N1050" s="77">
        <v>2.0</v>
      </c>
      <c r="O1050" s="126" t="s">
        <v>7239</v>
      </c>
      <c r="P1050" s="85" t="s">
        <v>7240</v>
      </c>
      <c r="Q1050" s="152" t="s">
        <v>7241</v>
      </c>
      <c r="R1050" s="153" t="s">
        <v>7242</v>
      </c>
      <c r="S1050" s="321" t="s">
        <v>7243</v>
      </c>
      <c r="T1050" s="321" t="s">
        <v>7244</v>
      </c>
      <c r="U1050" s="85" t="s">
        <v>3372</v>
      </c>
      <c r="V1050" s="102" t="s">
        <v>7246</v>
      </c>
      <c r="W1050" s="79"/>
      <c r="X1050" s="79"/>
      <c r="Y1050" s="79"/>
      <c r="Z1050" s="79"/>
    </row>
    <row r="1051" ht="15.75" customHeight="1">
      <c r="A1051" s="103" t="s">
        <v>24</v>
      </c>
      <c r="B1051" s="77" t="s">
        <v>7248</v>
      </c>
      <c r="C1051" s="80">
        <v>3.0709950319E10</v>
      </c>
      <c r="D1051" s="119" t="s">
        <v>264</v>
      </c>
      <c r="E1051" s="79" t="s">
        <v>7250</v>
      </c>
      <c r="F1051" s="128" t="s">
        <v>7251</v>
      </c>
      <c r="G1051" s="79" t="s">
        <v>285</v>
      </c>
      <c r="H1051" s="80">
        <v>1674.0</v>
      </c>
      <c r="I1051" s="79">
        <v>410011.0</v>
      </c>
      <c r="J1051" s="74" t="s">
        <v>125</v>
      </c>
      <c r="K1051" s="79" t="s">
        <v>1829</v>
      </c>
      <c r="L1051" s="79" t="s">
        <v>2861</v>
      </c>
      <c r="M1051" s="79"/>
      <c r="N1051" s="79">
        <v>9.0</v>
      </c>
      <c r="O1051" s="83" t="s">
        <v>7253</v>
      </c>
      <c r="P1051" s="80"/>
      <c r="Q1051" s="79"/>
      <c r="R1051" s="80"/>
      <c r="S1051" s="204" t="s">
        <v>7254</v>
      </c>
      <c r="T1051" s="101" t="s">
        <v>332</v>
      </c>
      <c r="U1051" s="80" t="s">
        <v>332</v>
      </c>
      <c r="V1051" s="102" t="s">
        <v>429</v>
      </c>
      <c r="W1051" s="79" t="s">
        <v>306</v>
      </c>
      <c r="X1051" s="79" t="s">
        <v>306</v>
      </c>
      <c r="Y1051" s="79"/>
      <c r="Z1051" s="79"/>
    </row>
    <row r="1052" ht="15.75" customHeight="1">
      <c r="A1052" s="103" t="s">
        <v>24</v>
      </c>
      <c r="B1052" s="77" t="s">
        <v>7255</v>
      </c>
      <c r="C1052" s="80">
        <v>3.0708537264E10</v>
      </c>
      <c r="D1052" s="144" t="s">
        <v>631</v>
      </c>
      <c r="E1052" s="79" t="s">
        <v>2669</v>
      </c>
      <c r="F1052" s="44">
        <v>4771.0</v>
      </c>
      <c r="G1052" s="79" t="s">
        <v>15</v>
      </c>
      <c r="H1052" s="80">
        <v>1678.0</v>
      </c>
      <c r="I1052" s="79">
        <v>524230.0</v>
      </c>
      <c r="J1052" s="74" t="s">
        <v>433</v>
      </c>
      <c r="K1052" s="79" t="s">
        <v>7258</v>
      </c>
      <c r="L1052" s="79"/>
      <c r="M1052" s="79"/>
      <c r="N1052" s="79">
        <v>19.0</v>
      </c>
      <c r="O1052" s="74"/>
      <c r="P1052" s="80"/>
      <c r="Q1052" s="79"/>
      <c r="R1052" s="80"/>
      <c r="S1052" s="80" t="s">
        <v>7259</v>
      </c>
      <c r="T1052" s="101" t="s">
        <v>7260</v>
      </c>
      <c r="U1052" s="80" t="s">
        <v>332</v>
      </c>
      <c r="V1052" s="102" t="s">
        <v>429</v>
      </c>
      <c r="W1052" s="79" t="s">
        <v>306</v>
      </c>
      <c r="X1052" s="79" t="s">
        <v>306</v>
      </c>
      <c r="Y1052" s="79"/>
      <c r="Z1052" s="79"/>
    </row>
    <row r="1053" ht="15.75" customHeight="1">
      <c r="A1053" s="76" t="s">
        <v>247</v>
      </c>
      <c r="B1053" s="77" t="s">
        <v>6986</v>
      </c>
      <c r="C1053" s="80">
        <v>3.0562362718E10</v>
      </c>
      <c r="D1053" s="144" t="s">
        <v>631</v>
      </c>
      <c r="E1053" s="79" t="s">
        <v>1045</v>
      </c>
      <c r="F1053" s="44">
        <v>4535.0</v>
      </c>
      <c r="G1053" s="79" t="s">
        <v>15</v>
      </c>
      <c r="H1053" s="80">
        <v>1678.0</v>
      </c>
      <c r="I1053" s="79">
        <v>329010.0</v>
      </c>
      <c r="J1053" s="74" t="s">
        <v>313</v>
      </c>
      <c r="K1053" s="79" t="s">
        <v>7262</v>
      </c>
      <c r="L1053" s="79"/>
      <c r="M1053" s="79"/>
      <c r="N1053" s="79">
        <v>1.0</v>
      </c>
      <c r="O1053" s="74"/>
      <c r="P1053" s="80"/>
      <c r="Q1053" s="79"/>
      <c r="R1053" s="80"/>
      <c r="S1053" s="78" t="s">
        <v>7265</v>
      </c>
      <c r="T1053" s="85" t="s">
        <v>7266</v>
      </c>
      <c r="U1053" s="80" t="s">
        <v>332</v>
      </c>
      <c r="V1053" s="102" t="s">
        <v>7267</v>
      </c>
      <c r="W1053" s="79" t="s">
        <v>306</v>
      </c>
      <c r="X1053" s="79" t="s">
        <v>306</v>
      </c>
      <c r="Y1053" s="79" t="s">
        <v>309</v>
      </c>
      <c r="Z1053" s="79"/>
    </row>
    <row r="1054" ht="15.75" customHeight="1">
      <c r="A1054" s="103" t="s">
        <v>24</v>
      </c>
      <c r="B1054" s="79" t="s">
        <v>7268</v>
      </c>
      <c r="C1054" s="80">
        <v>3.0522309016E10</v>
      </c>
      <c r="D1054" s="144" t="s">
        <v>631</v>
      </c>
      <c r="E1054" s="79" t="s">
        <v>7269</v>
      </c>
      <c r="F1054" s="44">
        <v>250.0</v>
      </c>
      <c r="G1054" s="77" t="s">
        <v>47</v>
      </c>
      <c r="H1054" s="80">
        <v>1684.0</v>
      </c>
      <c r="I1054" s="79">
        <v>312193.0</v>
      </c>
      <c r="J1054" s="74" t="s">
        <v>22</v>
      </c>
      <c r="K1054" s="79" t="s">
        <v>1756</v>
      </c>
      <c r="L1054" s="79"/>
      <c r="M1054" s="79"/>
      <c r="N1054" s="79">
        <v>0.0</v>
      </c>
      <c r="O1054" s="74" t="s">
        <v>332</v>
      </c>
      <c r="P1054" s="80"/>
      <c r="Q1054" s="79"/>
      <c r="R1054" s="80"/>
      <c r="S1054" s="80" t="s">
        <v>7272</v>
      </c>
      <c r="T1054" s="101" t="s">
        <v>7273</v>
      </c>
      <c r="U1054" s="80" t="s">
        <v>7274</v>
      </c>
      <c r="V1054" s="102" t="s">
        <v>429</v>
      </c>
      <c r="W1054" s="79" t="s">
        <v>306</v>
      </c>
      <c r="X1054" s="79" t="s">
        <v>306</v>
      </c>
      <c r="Y1054" s="79" t="s">
        <v>309</v>
      </c>
      <c r="Z1054" s="79"/>
    </row>
    <row r="1055" ht="15.0" customHeight="1">
      <c r="A1055" s="103" t="s">
        <v>24</v>
      </c>
      <c r="B1055" s="77" t="s">
        <v>7275</v>
      </c>
      <c r="C1055" s="80">
        <v>3.0629605866E10</v>
      </c>
      <c r="D1055" s="144" t="s">
        <v>631</v>
      </c>
      <c r="E1055" s="77" t="s">
        <v>503</v>
      </c>
      <c r="F1055" s="44">
        <v>3141.0</v>
      </c>
      <c r="G1055" s="79" t="s">
        <v>68</v>
      </c>
      <c r="H1055" s="80">
        <v>1702.0</v>
      </c>
      <c r="I1055" s="79">
        <v>259999.0</v>
      </c>
      <c r="J1055" s="74" t="s">
        <v>347</v>
      </c>
      <c r="K1055" s="77" t="s">
        <v>839</v>
      </c>
      <c r="L1055" s="79" t="s">
        <v>453</v>
      </c>
      <c r="M1055" s="79"/>
      <c r="N1055" s="79">
        <v>33.0</v>
      </c>
      <c r="O1055" s="74"/>
      <c r="P1055" s="80"/>
      <c r="Q1055" s="79"/>
      <c r="R1055" s="80"/>
      <c r="S1055" s="80" t="s">
        <v>7277</v>
      </c>
      <c r="T1055" s="101" t="s">
        <v>332</v>
      </c>
      <c r="U1055" s="80" t="s">
        <v>332</v>
      </c>
      <c r="V1055" s="102" t="s">
        <v>429</v>
      </c>
      <c r="W1055" s="79" t="s">
        <v>309</v>
      </c>
      <c r="X1055" s="79" t="s">
        <v>309</v>
      </c>
      <c r="Y1055" s="79" t="s">
        <v>309</v>
      </c>
      <c r="Z1055" s="79"/>
    </row>
    <row r="1056" ht="15.0" customHeight="1">
      <c r="A1056" s="76" t="s">
        <v>247</v>
      </c>
      <c r="B1056" s="77" t="s">
        <v>6989</v>
      </c>
      <c r="C1056" s="80">
        <v>3.062732981E10</v>
      </c>
      <c r="D1056" s="144" t="s">
        <v>631</v>
      </c>
      <c r="E1056" s="79" t="s">
        <v>2443</v>
      </c>
      <c r="F1056" s="44">
        <v>654.0</v>
      </c>
      <c r="G1056" s="79" t="s">
        <v>68</v>
      </c>
      <c r="H1056" s="80">
        <v>1702.0</v>
      </c>
      <c r="I1056" s="79">
        <v>331900.0</v>
      </c>
      <c r="J1056" s="74" t="s">
        <v>433</v>
      </c>
      <c r="K1056" s="77" t="s">
        <v>6590</v>
      </c>
      <c r="L1056" s="79"/>
      <c r="M1056" s="176"/>
      <c r="N1056" s="79">
        <v>6.0</v>
      </c>
      <c r="O1056" s="74"/>
      <c r="P1056" s="80"/>
      <c r="Q1056" s="79"/>
      <c r="R1056" s="80"/>
      <c r="S1056" s="80" t="s">
        <v>7281</v>
      </c>
      <c r="T1056" s="200" t="s">
        <v>332</v>
      </c>
      <c r="U1056" s="80" t="s">
        <v>332</v>
      </c>
      <c r="V1056" s="102" t="s">
        <v>429</v>
      </c>
      <c r="W1056" s="79" t="s">
        <v>306</v>
      </c>
      <c r="X1056" s="79" t="s">
        <v>306</v>
      </c>
      <c r="Y1056" s="79" t="s">
        <v>309</v>
      </c>
      <c r="Z1056" s="79"/>
    </row>
    <row r="1057" ht="15.0" customHeight="1">
      <c r="A1057" s="76" t="s">
        <v>247</v>
      </c>
      <c r="B1057" s="77" t="s">
        <v>6996</v>
      </c>
      <c r="C1057" s="80">
        <v>3.0521672818E10</v>
      </c>
      <c r="D1057" s="144" t="s">
        <v>631</v>
      </c>
      <c r="E1057" s="77" t="s">
        <v>943</v>
      </c>
      <c r="F1057" s="44">
        <v>4641.0</v>
      </c>
      <c r="G1057" s="79" t="s">
        <v>15</v>
      </c>
      <c r="H1057" s="80">
        <v>1678.0</v>
      </c>
      <c r="I1057" s="79">
        <v>309200.0</v>
      </c>
      <c r="J1057" s="74" t="s">
        <v>347</v>
      </c>
      <c r="K1057" s="79" t="s">
        <v>7283</v>
      </c>
      <c r="L1057" s="79"/>
      <c r="M1057" s="79"/>
      <c r="N1057" s="79">
        <v>0.0</v>
      </c>
      <c r="O1057" s="74"/>
      <c r="P1057" s="80"/>
      <c r="Q1057" s="79"/>
      <c r="R1057" s="80"/>
      <c r="S1057" s="80" t="s">
        <v>7285</v>
      </c>
      <c r="T1057" s="101" t="s">
        <v>332</v>
      </c>
      <c r="U1057" s="80" t="s">
        <v>332</v>
      </c>
      <c r="V1057" s="102" t="s">
        <v>7286</v>
      </c>
      <c r="W1057" s="79" t="s">
        <v>306</v>
      </c>
      <c r="X1057" s="79" t="s">
        <v>306</v>
      </c>
      <c r="Y1057" s="79" t="s">
        <v>309</v>
      </c>
      <c r="Z1057" s="79"/>
    </row>
    <row r="1058" ht="15.75" customHeight="1">
      <c r="A1058" s="76" t="s">
        <v>247</v>
      </c>
      <c r="B1058" s="77" t="s">
        <v>7002</v>
      </c>
      <c r="C1058" s="80">
        <v>3.0571580426E10</v>
      </c>
      <c r="D1058" s="119" t="s">
        <v>264</v>
      </c>
      <c r="E1058" s="79" t="s">
        <v>1819</v>
      </c>
      <c r="F1058" s="44">
        <v>4462.0</v>
      </c>
      <c r="G1058" s="79" t="s">
        <v>68</v>
      </c>
      <c r="H1058" s="80">
        <v>1702.0</v>
      </c>
      <c r="I1058" s="79">
        <v>273200.0</v>
      </c>
      <c r="J1058" s="74" t="s">
        <v>347</v>
      </c>
      <c r="K1058" s="79" t="s">
        <v>7289</v>
      </c>
      <c r="L1058" s="79" t="s">
        <v>453</v>
      </c>
      <c r="M1058" s="79" t="s">
        <v>7290</v>
      </c>
      <c r="N1058" s="79">
        <v>1.0</v>
      </c>
      <c r="O1058" s="74"/>
      <c r="P1058" s="80"/>
      <c r="Q1058" s="79"/>
      <c r="R1058" s="80"/>
      <c r="S1058" s="80" t="s">
        <v>7291</v>
      </c>
      <c r="T1058" s="101" t="s">
        <v>7292</v>
      </c>
      <c r="U1058" s="80"/>
      <c r="V1058" s="102" t="s">
        <v>429</v>
      </c>
      <c r="W1058" s="79" t="s">
        <v>309</v>
      </c>
      <c r="X1058" s="79" t="s">
        <v>309</v>
      </c>
      <c r="Y1058" s="79" t="s">
        <v>309</v>
      </c>
      <c r="Z1058" s="79"/>
    </row>
    <row r="1059" ht="15.75" customHeight="1">
      <c r="A1059" s="103" t="s">
        <v>24</v>
      </c>
      <c r="B1059" s="79" t="s">
        <v>7294</v>
      </c>
      <c r="C1059" s="80">
        <v>3.0548990277E10</v>
      </c>
      <c r="D1059" s="77" t="s">
        <v>631</v>
      </c>
      <c r="E1059" s="77" t="s">
        <v>6075</v>
      </c>
      <c r="F1059" s="44">
        <v>1860.0</v>
      </c>
      <c r="G1059" s="79" t="s">
        <v>15</v>
      </c>
      <c r="H1059" s="80">
        <v>1678.0</v>
      </c>
      <c r="I1059" s="79">
        <v>251901.0</v>
      </c>
      <c r="J1059" s="74" t="s">
        <v>337</v>
      </c>
      <c r="K1059" s="77" t="s">
        <v>1913</v>
      </c>
      <c r="L1059" s="79"/>
      <c r="M1059" s="79"/>
      <c r="N1059" s="79">
        <v>4.0</v>
      </c>
      <c r="O1059" s="74"/>
      <c r="P1059" s="80"/>
      <c r="Q1059" s="79"/>
      <c r="R1059" s="80"/>
      <c r="S1059" s="78" t="s">
        <v>7296</v>
      </c>
      <c r="T1059" s="85" t="s">
        <v>7297</v>
      </c>
      <c r="U1059" s="80" t="s">
        <v>332</v>
      </c>
      <c r="V1059" s="102" t="s">
        <v>429</v>
      </c>
      <c r="W1059" s="79" t="s">
        <v>309</v>
      </c>
      <c r="X1059" s="79" t="s">
        <v>309</v>
      </c>
      <c r="Y1059" s="79"/>
      <c r="Z1059" s="79"/>
    </row>
    <row r="1060" ht="15.75" customHeight="1">
      <c r="A1060" s="103" t="s">
        <v>24</v>
      </c>
      <c r="B1060" s="77" t="s">
        <v>7299</v>
      </c>
      <c r="C1060" s="80">
        <v>3.0709949639E10</v>
      </c>
      <c r="D1060" s="79" t="s">
        <v>264</v>
      </c>
      <c r="E1060" s="79" t="s">
        <v>4223</v>
      </c>
      <c r="F1060" s="44">
        <v>1464.0</v>
      </c>
      <c r="G1060" s="79" t="s">
        <v>15</v>
      </c>
      <c r="H1060" s="80">
        <v>1678.0</v>
      </c>
      <c r="I1060" s="79">
        <v>333000.0</v>
      </c>
      <c r="J1060" s="83" t="s">
        <v>207</v>
      </c>
      <c r="K1060" s="79" t="s">
        <v>7300</v>
      </c>
      <c r="L1060" s="79"/>
      <c r="M1060" s="79"/>
      <c r="N1060" s="79">
        <v>0.0</v>
      </c>
      <c r="O1060" s="74"/>
      <c r="P1060" s="80"/>
      <c r="Q1060" s="79"/>
      <c r="R1060" s="80"/>
      <c r="S1060" s="78" t="s">
        <v>7301</v>
      </c>
      <c r="T1060" s="101" t="s">
        <v>332</v>
      </c>
      <c r="U1060" s="80" t="s">
        <v>332</v>
      </c>
      <c r="V1060" s="102" t="s">
        <v>429</v>
      </c>
      <c r="W1060" s="79" t="s">
        <v>309</v>
      </c>
      <c r="X1060" s="79" t="s">
        <v>309</v>
      </c>
      <c r="Y1060" s="79"/>
      <c r="Z1060" s="79"/>
    </row>
    <row r="1061" ht="15.0" customHeight="1">
      <c r="A1061" s="103" t="s">
        <v>24</v>
      </c>
      <c r="B1061" s="77" t="s">
        <v>7304</v>
      </c>
      <c r="C1061" s="80">
        <v>3.0677274235E10</v>
      </c>
      <c r="D1061" s="119" t="s">
        <v>264</v>
      </c>
      <c r="E1061" s="79" t="s">
        <v>1095</v>
      </c>
      <c r="F1061" s="44">
        <v>1430.0</v>
      </c>
      <c r="G1061" s="79" t="s">
        <v>15</v>
      </c>
      <c r="H1061" s="80">
        <v>1678.0</v>
      </c>
      <c r="I1061" s="79">
        <v>14113.0</v>
      </c>
      <c r="J1061" s="74" t="s">
        <v>5</v>
      </c>
      <c r="K1061" s="79" t="s">
        <v>7305</v>
      </c>
      <c r="L1061" s="79"/>
      <c r="M1061" s="79"/>
      <c r="N1061" s="79">
        <v>1.0</v>
      </c>
      <c r="O1061" s="74"/>
      <c r="P1061" s="80"/>
      <c r="Q1061" s="79"/>
      <c r="R1061" s="80"/>
      <c r="S1061" s="78" t="s">
        <v>7308</v>
      </c>
      <c r="T1061" s="101" t="s">
        <v>332</v>
      </c>
      <c r="U1061" s="80" t="s">
        <v>332</v>
      </c>
      <c r="V1061" s="102" t="s">
        <v>429</v>
      </c>
      <c r="W1061" s="79" t="s">
        <v>306</v>
      </c>
      <c r="X1061" s="79" t="s">
        <v>306</v>
      </c>
      <c r="Y1061" s="79"/>
      <c r="Z1061" s="79"/>
    </row>
    <row r="1062" ht="15.75" customHeight="1">
      <c r="A1062" s="103" t="s">
        <v>24</v>
      </c>
      <c r="B1062" s="77" t="s">
        <v>7309</v>
      </c>
      <c r="C1062" s="80">
        <v>3.0709969273E10</v>
      </c>
      <c r="D1062" s="144" t="s">
        <v>631</v>
      </c>
      <c r="E1062" s="79" t="s">
        <v>1363</v>
      </c>
      <c r="F1062" s="44">
        <v>4367.0</v>
      </c>
      <c r="G1062" s="79" t="s">
        <v>15</v>
      </c>
      <c r="H1062" s="80">
        <v>1678.0</v>
      </c>
      <c r="I1062" s="79">
        <v>289999.0</v>
      </c>
      <c r="J1062" s="74" t="s">
        <v>347</v>
      </c>
      <c r="K1062" s="77" t="s">
        <v>1901</v>
      </c>
      <c r="L1062" s="79" t="s">
        <v>453</v>
      </c>
      <c r="M1062" s="79"/>
      <c r="N1062" s="79">
        <v>0.0</v>
      </c>
      <c r="O1062" s="74"/>
      <c r="P1062" s="80"/>
      <c r="Q1062" s="79"/>
      <c r="R1062" s="80"/>
      <c r="S1062" s="78" t="s">
        <v>7312</v>
      </c>
      <c r="T1062" s="85" t="s">
        <v>7313</v>
      </c>
      <c r="U1062" s="78" t="s">
        <v>7314</v>
      </c>
      <c r="V1062" s="102" t="s">
        <v>429</v>
      </c>
      <c r="W1062" s="79" t="s">
        <v>309</v>
      </c>
      <c r="X1062" s="79" t="s">
        <v>309</v>
      </c>
      <c r="Y1062" s="79"/>
      <c r="Z1062" s="79"/>
    </row>
    <row r="1063" ht="15.75" customHeight="1">
      <c r="A1063" s="103" t="s">
        <v>24</v>
      </c>
      <c r="B1063" s="77" t="s">
        <v>7317</v>
      </c>
      <c r="C1063" s="80">
        <v>3.0707736034E10</v>
      </c>
      <c r="D1063" s="144" t="s">
        <v>631</v>
      </c>
      <c r="E1063" s="79" t="s">
        <v>1363</v>
      </c>
      <c r="F1063" s="44">
        <v>4367.0</v>
      </c>
      <c r="G1063" s="79" t="s">
        <v>15</v>
      </c>
      <c r="H1063" s="80">
        <v>1678.0</v>
      </c>
      <c r="I1063" s="79">
        <v>289999.0</v>
      </c>
      <c r="J1063" s="74" t="s">
        <v>347</v>
      </c>
      <c r="K1063" s="77" t="s">
        <v>1901</v>
      </c>
      <c r="L1063" s="79" t="s">
        <v>453</v>
      </c>
      <c r="M1063" s="79"/>
      <c r="N1063" s="79">
        <v>0.0</v>
      </c>
      <c r="O1063" s="74"/>
      <c r="P1063" s="80"/>
      <c r="Q1063" s="79"/>
      <c r="R1063" s="80"/>
      <c r="S1063" s="78" t="s">
        <v>7312</v>
      </c>
      <c r="T1063" s="85" t="s">
        <v>7313</v>
      </c>
      <c r="U1063" s="78" t="s">
        <v>7314</v>
      </c>
      <c r="V1063" s="102" t="s">
        <v>429</v>
      </c>
      <c r="W1063" s="79" t="s">
        <v>306</v>
      </c>
      <c r="X1063" s="79" t="s">
        <v>306</v>
      </c>
      <c r="Y1063" s="79"/>
      <c r="Z1063" s="79"/>
    </row>
    <row r="1064" ht="15.0" customHeight="1">
      <c r="A1064" s="76" t="s">
        <v>247</v>
      </c>
      <c r="B1064" s="77" t="s">
        <v>7004</v>
      </c>
      <c r="C1064" s="80">
        <v>2.3144771699E10</v>
      </c>
      <c r="D1064" s="144" t="s">
        <v>631</v>
      </c>
      <c r="E1064" s="79" t="s">
        <v>2312</v>
      </c>
      <c r="F1064" s="44">
        <v>5249.0</v>
      </c>
      <c r="G1064" s="79" t="s">
        <v>15</v>
      </c>
      <c r="H1064" s="80">
        <v>1678.0</v>
      </c>
      <c r="I1064" s="79">
        <v>369999.0</v>
      </c>
      <c r="J1064" s="83" t="s">
        <v>327</v>
      </c>
      <c r="K1064" s="77" t="s">
        <v>2448</v>
      </c>
      <c r="L1064" s="79"/>
      <c r="M1064" s="79" t="s">
        <v>7322</v>
      </c>
      <c r="N1064" s="79">
        <v>0.0</v>
      </c>
      <c r="O1064" s="74"/>
      <c r="P1064" s="80"/>
      <c r="Q1064" s="79"/>
      <c r="R1064" s="80"/>
      <c r="S1064" s="78" t="s">
        <v>7323</v>
      </c>
      <c r="T1064" s="101" t="s">
        <v>332</v>
      </c>
      <c r="U1064" s="80" t="s">
        <v>332</v>
      </c>
      <c r="V1064" s="102" t="s">
        <v>7324</v>
      </c>
      <c r="W1064" s="79" t="s">
        <v>306</v>
      </c>
      <c r="X1064" s="79" t="s">
        <v>306</v>
      </c>
      <c r="Y1064" s="79" t="s">
        <v>309</v>
      </c>
      <c r="Z1064" s="79"/>
    </row>
    <row r="1065" ht="15.75" customHeight="1">
      <c r="A1065" s="76" t="s">
        <v>247</v>
      </c>
      <c r="B1065" s="79" t="s">
        <v>7326</v>
      </c>
      <c r="C1065" s="80">
        <v>2.0267731773E10</v>
      </c>
      <c r="D1065" s="77" t="s">
        <v>631</v>
      </c>
      <c r="E1065" s="126" t="s">
        <v>985</v>
      </c>
      <c r="F1065" s="44">
        <v>5929.0</v>
      </c>
      <c r="G1065" s="79" t="s">
        <v>15</v>
      </c>
      <c r="H1065" s="80">
        <v>1678.0</v>
      </c>
      <c r="I1065" s="79">
        <v>274000.0</v>
      </c>
      <c r="J1065" s="74" t="s">
        <v>347</v>
      </c>
      <c r="K1065" s="144" t="s">
        <v>2067</v>
      </c>
      <c r="L1065" s="79"/>
      <c r="M1065" s="79" t="s">
        <v>7328</v>
      </c>
      <c r="N1065" s="79"/>
      <c r="O1065" s="79" t="s">
        <v>3646</v>
      </c>
      <c r="P1065" s="78" t="s">
        <v>7329</v>
      </c>
      <c r="Q1065" s="79"/>
      <c r="R1065" s="80"/>
      <c r="S1065" s="80" t="s">
        <v>3647</v>
      </c>
      <c r="T1065" s="101" t="s">
        <v>7331</v>
      </c>
      <c r="U1065" s="80"/>
      <c r="V1065" s="102" t="s">
        <v>429</v>
      </c>
      <c r="W1065" s="79"/>
      <c r="X1065" s="79"/>
      <c r="Y1065" s="79"/>
      <c r="Z1065" s="79"/>
    </row>
    <row r="1066" ht="15.0" customHeight="1">
      <c r="A1066" s="76" t="s">
        <v>247</v>
      </c>
      <c r="B1066" s="77" t="s">
        <v>4145</v>
      </c>
      <c r="C1066" s="80">
        <v>3.3580452979E10</v>
      </c>
      <c r="D1066" s="79" t="s">
        <v>264</v>
      </c>
      <c r="E1066" s="79" t="s">
        <v>4619</v>
      </c>
      <c r="F1066" s="44">
        <v>2085.0</v>
      </c>
      <c r="G1066" s="79" t="s">
        <v>97</v>
      </c>
      <c r="H1066" s="80">
        <v>1702.0</v>
      </c>
      <c r="I1066" s="79">
        <v>201401.0</v>
      </c>
      <c r="J1066" s="74" t="s">
        <v>88</v>
      </c>
      <c r="K1066" s="82" t="s">
        <v>7333</v>
      </c>
      <c r="L1066" s="79" t="s">
        <v>453</v>
      </c>
      <c r="M1066" s="79" t="s">
        <v>7334</v>
      </c>
      <c r="N1066" s="79">
        <v>25.0</v>
      </c>
      <c r="O1066" s="126" t="s">
        <v>7335</v>
      </c>
      <c r="P1066" s="78" t="s">
        <v>4997</v>
      </c>
      <c r="Q1066" s="79" t="s">
        <v>7337</v>
      </c>
      <c r="R1066" s="78" t="s">
        <v>7338</v>
      </c>
      <c r="S1066" s="80" t="s">
        <v>7339</v>
      </c>
      <c r="T1066" s="101" t="s">
        <v>332</v>
      </c>
      <c r="U1066" s="80" t="s">
        <v>332</v>
      </c>
      <c r="V1066" s="102" t="s">
        <v>7341</v>
      </c>
      <c r="W1066" s="79" t="s">
        <v>309</v>
      </c>
      <c r="X1066" s="79" t="s">
        <v>309</v>
      </c>
      <c r="Y1066" s="79" t="s">
        <v>309</v>
      </c>
      <c r="Z1066" s="79"/>
    </row>
    <row r="1067" ht="15.75" customHeight="1">
      <c r="A1067" s="103" t="s">
        <v>24</v>
      </c>
      <c r="B1067" s="77" t="s">
        <v>7342</v>
      </c>
      <c r="C1067" s="80">
        <v>3.0712311572E10</v>
      </c>
      <c r="D1067" s="119" t="s">
        <v>264</v>
      </c>
      <c r="E1067" s="77" t="s">
        <v>5795</v>
      </c>
      <c r="F1067" s="44">
        <v>4751.0</v>
      </c>
      <c r="G1067" s="79" t="s">
        <v>15</v>
      </c>
      <c r="H1067" s="80">
        <v>1678.0</v>
      </c>
      <c r="I1067" s="79">
        <v>331290.0</v>
      </c>
      <c r="J1067" s="74" t="s">
        <v>433</v>
      </c>
      <c r="K1067" s="77" t="s">
        <v>7343</v>
      </c>
      <c r="L1067" s="79"/>
      <c r="M1067" s="79"/>
      <c r="N1067" s="79">
        <v>4.0</v>
      </c>
      <c r="O1067" s="74"/>
      <c r="P1067" s="80"/>
      <c r="Q1067" s="79"/>
      <c r="R1067" s="80"/>
      <c r="S1067" s="78" t="s">
        <v>7346</v>
      </c>
      <c r="T1067" s="101" t="s">
        <v>332</v>
      </c>
      <c r="U1067" s="80" t="s">
        <v>332</v>
      </c>
      <c r="V1067" s="102" t="s">
        <v>7347</v>
      </c>
      <c r="W1067" s="79" t="s">
        <v>309</v>
      </c>
      <c r="X1067" s="79" t="s">
        <v>309</v>
      </c>
      <c r="Y1067" s="79" t="s">
        <v>309</v>
      </c>
      <c r="Z1067" s="79"/>
    </row>
    <row r="1068" ht="15.0" customHeight="1">
      <c r="A1068" s="76" t="s">
        <v>247</v>
      </c>
      <c r="B1068" s="77" t="s">
        <v>7011</v>
      </c>
      <c r="C1068" s="80">
        <v>3.0661172858E10</v>
      </c>
      <c r="D1068" s="79" t="s">
        <v>264</v>
      </c>
      <c r="E1068" s="79" t="s">
        <v>2377</v>
      </c>
      <c r="F1068" s="44">
        <v>1237.0</v>
      </c>
      <c r="G1068" s="79" t="s">
        <v>97</v>
      </c>
      <c r="H1068" s="80">
        <v>1702.0</v>
      </c>
      <c r="I1068" s="79">
        <v>293090.0</v>
      </c>
      <c r="J1068" s="74" t="s">
        <v>337</v>
      </c>
      <c r="K1068" s="77" t="s">
        <v>7350</v>
      </c>
      <c r="L1068" s="79"/>
      <c r="M1068" s="79" t="s">
        <v>7351</v>
      </c>
      <c r="N1068" s="79">
        <v>12.0</v>
      </c>
      <c r="O1068" s="126" t="s">
        <v>7352</v>
      </c>
      <c r="P1068" s="80"/>
      <c r="Q1068" s="79"/>
      <c r="R1068" s="80"/>
      <c r="S1068" s="80" t="s">
        <v>7353</v>
      </c>
      <c r="T1068" s="101" t="s">
        <v>7354</v>
      </c>
      <c r="U1068" s="80" t="s">
        <v>7355</v>
      </c>
      <c r="V1068" s="102" t="s">
        <v>7357</v>
      </c>
      <c r="W1068" s="79" t="s">
        <v>309</v>
      </c>
      <c r="X1068" s="79" t="s">
        <v>309</v>
      </c>
      <c r="Y1068" s="79" t="s">
        <v>309</v>
      </c>
      <c r="Z1068" s="79"/>
    </row>
    <row r="1069" ht="15.75" customHeight="1">
      <c r="A1069" s="76" t="s">
        <v>247</v>
      </c>
      <c r="B1069" s="77" t="s">
        <v>7017</v>
      </c>
      <c r="C1069" s="80">
        <v>3.0707719911E10</v>
      </c>
      <c r="D1069" s="119" t="s">
        <v>264</v>
      </c>
      <c r="E1069" s="77" t="s">
        <v>943</v>
      </c>
      <c r="F1069" s="44">
        <v>4492.0</v>
      </c>
      <c r="G1069" s="79" t="s">
        <v>15</v>
      </c>
      <c r="H1069" s="80">
        <v>1678.0</v>
      </c>
      <c r="I1069" s="79">
        <v>279000.0</v>
      </c>
      <c r="J1069" s="83" t="s">
        <v>207</v>
      </c>
      <c r="K1069" s="77" t="s">
        <v>2081</v>
      </c>
      <c r="L1069" s="79" t="s">
        <v>453</v>
      </c>
      <c r="M1069" s="79" t="s">
        <v>7360</v>
      </c>
      <c r="N1069" s="79">
        <v>32.0</v>
      </c>
      <c r="O1069" s="74"/>
      <c r="P1069" s="80"/>
      <c r="Q1069" s="79"/>
      <c r="R1069" s="80"/>
      <c r="S1069" s="78" t="s">
        <v>7361</v>
      </c>
      <c r="T1069" s="101" t="s">
        <v>7362</v>
      </c>
      <c r="U1069" s="78" t="s">
        <v>7363</v>
      </c>
      <c r="V1069" s="102" t="s">
        <v>7364</v>
      </c>
      <c r="W1069" s="79" t="s">
        <v>309</v>
      </c>
      <c r="X1069" s="79" t="s">
        <v>309</v>
      </c>
      <c r="Y1069" s="79" t="s">
        <v>309</v>
      </c>
      <c r="Z1069" s="79"/>
    </row>
    <row r="1070" ht="15.0" customHeight="1">
      <c r="A1070" s="76" t="s">
        <v>247</v>
      </c>
      <c r="B1070" s="77" t="s">
        <v>7024</v>
      </c>
      <c r="C1070" s="80">
        <v>2.0128022636E10</v>
      </c>
      <c r="D1070" s="77" t="s">
        <v>631</v>
      </c>
      <c r="E1070" s="77" t="s">
        <v>314</v>
      </c>
      <c r="F1070" s="128">
        <v>4981.0</v>
      </c>
      <c r="G1070" s="77" t="s">
        <v>15</v>
      </c>
      <c r="H1070" s="80">
        <v>1678.0</v>
      </c>
      <c r="I1070" s="77">
        <v>282909.0</v>
      </c>
      <c r="J1070" s="74" t="s">
        <v>347</v>
      </c>
      <c r="K1070" s="77" t="s">
        <v>2642</v>
      </c>
      <c r="L1070" s="79"/>
      <c r="M1070" s="79"/>
      <c r="N1070" s="79"/>
      <c r="O1070" s="74"/>
      <c r="P1070" s="78" t="s">
        <v>7367</v>
      </c>
      <c r="Q1070" s="79"/>
      <c r="R1070" s="80"/>
      <c r="S1070" s="80" t="s">
        <v>7368</v>
      </c>
      <c r="T1070" s="85" t="s">
        <v>7369</v>
      </c>
      <c r="U1070" s="80"/>
      <c r="V1070" s="98" t="s">
        <v>7370</v>
      </c>
      <c r="W1070" s="79"/>
      <c r="X1070" s="79"/>
      <c r="Y1070" s="79"/>
      <c r="Z1070" s="79"/>
    </row>
    <row r="1071" ht="15.0" customHeight="1">
      <c r="A1071" s="103" t="s">
        <v>24</v>
      </c>
      <c r="B1071" s="77" t="s">
        <v>7027</v>
      </c>
      <c r="C1071" s="80">
        <v>3.0711505241E10</v>
      </c>
      <c r="D1071" s="119" t="s">
        <v>264</v>
      </c>
      <c r="E1071" s="79" t="s">
        <v>1323</v>
      </c>
      <c r="F1071" s="128">
        <v>3241.0</v>
      </c>
      <c r="G1071" s="79" t="s">
        <v>15</v>
      </c>
      <c r="H1071" s="80">
        <v>1678.0</v>
      </c>
      <c r="I1071" s="79">
        <v>131201.0</v>
      </c>
      <c r="J1071" s="74" t="s">
        <v>448</v>
      </c>
      <c r="K1071" s="79" t="s">
        <v>7373</v>
      </c>
      <c r="L1071" s="79"/>
      <c r="M1071" s="79"/>
      <c r="N1071" s="79">
        <v>13.0</v>
      </c>
      <c r="O1071" s="74"/>
      <c r="P1071" s="80"/>
      <c r="Q1071" s="79"/>
      <c r="R1071" s="80"/>
      <c r="S1071" s="80"/>
      <c r="T1071" s="101" t="s">
        <v>332</v>
      </c>
      <c r="U1071" s="80" t="s">
        <v>332</v>
      </c>
      <c r="V1071" s="102" t="s">
        <v>429</v>
      </c>
      <c r="W1071" s="79" t="s">
        <v>306</v>
      </c>
      <c r="X1071" s="79" t="s">
        <v>306</v>
      </c>
      <c r="Y1071" s="79"/>
      <c r="Z1071" s="79"/>
    </row>
    <row r="1072" ht="15.75" customHeight="1">
      <c r="A1072" s="76" t="s">
        <v>247</v>
      </c>
      <c r="B1072" s="77" t="s">
        <v>7033</v>
      </c>
      <c r="C1072" s="80">
        <v>3.0709387541E10</v>
      </c>
      <c r="D1072" s="144" t="s">
        <v>264</v>
      </c>
      <c r="E1072" s="77" t="s">
        <v>1458</v>
      </c>
      <c r="F1072" s="44">
        <v>5079.0</v>
      </c>
      <c r="G1072" s="79" t="s">
        <v>15</v>
      </c>
      <c r="H1072" s="80">
        <v>1678.0</v>
      </c>
      <c r="I1072" s="79">
        <v>141199.0</v>
      </c>
      <c r="J1072" s="74" t="s">
        <v>448</v>
      </c>
      <c r="K1072" s="77" t="s">
        <v>2765</v>
      </c>
      <c r="L1072" s="79" t="s">
        <v>1122</v>
      </c>
      <c r="M1072" s="79"/>
      <c r="N1072" s="79">
        <v>5.0</v>
      </c>
      <c r="O1072" s="126"/>
      <c r="P1072" s="80"/>
      <c r="Q1072" s="79" t="s">
        <v>7377</v>
      </c>
      <c r="R1072" s="78" t="s">
        <v>7378</v>
      </c>
      <c r="S1072" s="80"/>
      <c r="T1072" s="276"/>
      <c r="U1072" s="204"/>
      <c r="V1072" s="102" t="s">
        <v>429</v>
      </c>
      <c r="W1072" s="79" t="s">
        <v>306</v>
      </c>
      <c r="X1072" s="79" t="s">
        <v>306</v>
      </c>
      <c r="Y1072" s="79"/>
      <c r="Z1072" s="79"/>
    </row>
    <row r="1073" ht="15.0" customHeight="1">
      <c r="A1073" s="76" t="s">
        <v>247</v>
      </c>
      <c r="B1073" s="77" t="s">
        <v>7380</v>
      </c>
      <c r="C1073" s="80">
        <v>3.0688308948E10</v>
      </c>
      <c r="D1073" s="79" t="s">
        <v>264</v>
      </c>
      <c r="E1073" s="79" t="s">
        <v>1607</v>
      </c>
      <c r="F1073" s="44">
        <v>4664.0</v>
      </c>
      <c r="G1073" s="79" t="s">
        <v>15</v>
      </c>
      <c r="H1073" s="80">
        <v>1678.0</v>
      </c>
      <c r="I1073" s="79">
        <v>293090.0</v>
      </c>
      <c r="J1073" s="74" t="s">
        <v>347</v>
      </c>
      <c r="K1073" s="77" t="s">
        <v>407</v>
      </c>
      <c r="L1073" s="79" t="s">
        <v>453</v>
      </c>
      <c r="M1073" s="79" t="s">
        <v>7382</v>
      </c>
      <c r="N1073" s="79">
        <v>14.0</v>
      </c>
      <c r="O1073" s="83" t="s">
        <v>7384</v>
      </c>
      <c r="P1073" s="80"/>
      <c r="Q1073" s="79" t="s">
        <v>7385</v>
      </c>
      <c r="R1073" s="80"/>
      <c r="S1073" s="80" t="s">
        <v>7386</v>
      </c>
      <c r="T1073" s="101" t="s">
        <v>7387</v>
      </c>
      <c r="U1073" s="78" t="s">
        <v>7388</v>
      </c>
      <c r="V1073" s="102" t="s">
        <v>7389</v>
      </c>
      <c r="W1073" s="79" t="s">
        <v>309</v>
      </c>
      <c r="X1073" s="79" t="s">
        <v>309</v>
      </c>
      <c r="Y1073" s="79"/>
      <c r="Z1073" s="79"/>
    </row>
    <row r="1074" ht="15.75" customHeight="1">
      <c r="A1074" s="76" t="s">
        <v>247</v>
      </c>
      <c r="B1074" s="77" t="s">
        <v>7042</v>
      </c>
      <c r="C1074" s="80">
        <v>3.0516933948E10</v>
      </c>
      <c r="D1074" s="119" t="s">
        <v>264</v>
      </c>
      <c r="E1074" s="77" t="s">
        <v>1109</v>
      </c>
      <c r="F1074" s="44">
        <v>4233.0</v>
      </c>
      <c r="G1074" s="79" t="s">
        <v>68</v>
      </c>
      <c r="H1074" s="80">
        <v>1702.0</v>
      </c>
      <c r="I1074" s="79">
        <v>243200.0</v>
      </c>
      <c r="J1074" s="74" t="s">
        <v>347</v>
      </c>
      <c r="K1074" s="79" t="s">
        <v>1277</v>
      </c>
      <c r="L1074" s="79" t="s">
        <v>453</v>
      </c>
      <c r="M1074" s="79"/>
      <c r="N1074" s="79">
        <v>10.0</v>
      </c>
      <c r="O1074" s="74"/>
      <c r="P1074" s="80"/>
      <c r="Q1074" s="79"/>
      <c r="R1074" s="80"/>
      <c r="S1074" s="80" t="s">
        <v>7391</v>
      </c>
      <c r="T1074" s="101" t="s">
        <v>7392</v>
      </c>
      <c r="U1074" s="80" t="s">
        <v>332</v>
      </c>
      <c r="V1074" s="102" t="s">
        <v>7393</v>
      </c>
      <c r="W1074" s="79" t="s">
        <v>309</v>
      </c>
      <c r="X1074" s="79" t="s">
        <v>309</v>
      </c>
      <c r="Y1074" s="79" t="s">
        <v>309</v>
      </c>
      <c r="Z1074" s="79"/>
    </row>
    <row r="1075" ht="15.75" customHeight="1">
      <c r="A1075" s="103" t="s">
        <v>24</v>
      </c>
      <c r="B1075" s="77" t="s">
        <v>7396</v>
      </c>
      <c r="C1075" s="80">
        <v>3.0662935855E10</v>
      </c>
      <c r="D1075" s="79" t="s">
        <v>264</v>
      </c>
      <c r="E1075" s="79" t="s">
        <v>15</v>
      </c>
      <c r="F1075" s="44">
        <v>3451.0</v>
      </c>
      <c r="G1075" s="79" t="s">
        <v>15</v>
      </c>
      <c r="H1075" s="80">
        <v>1678.0</v>
      </c>
      <c r="I1075" s="77">
        <v>310010.0</v>
      </c>
      <c r="J1075" s="74" t="s">
        <v>313</v>
      </c>
      <c r="K1075" s="79" t="s">
        <v>2534</v>
      </c>
      <c r="L1075" s="79" t="s">
        <v>1122</v>
      </c>
      <c r="M1075" s="79"/>
      <c r="N1075" s="79">
        <v>1.0</v>
      </c>
      <c r="O1075" s="74"/>
      <c r="P1075" s="80"/>
      <c r="Q1075" s="79"/>
      <c r="R1075" s="80"/>
      <c r="S1075" s="80" t="s">
        <v>7398</v>
      </c>
      <c r="T1075" s="101" t="s">
        <v>7399</v>
      </c>
      <c r="U1075" s="80" t="s">
        <v>332</v>
      </c>
      <c r="V1075" s="102" t="s">
        <v>429</v>
      </c>
      <c r="W1075" s="79" t="s">
        <v>306</v>
      </c>
      <c r="X1075" s="79" t="s">
        <v>306</v>
      </c>
      <c r="Y1075" s="79"/>
      <c r="Z1075" s="79"/>
    </row>
    <row r="1076" ht="15.75" customHeight="1">
      <c r="A1076" s="103" t="s">
        <v>24</v>
      </c>
      <c r="B1076" s="77" t="s">
        <v>7400</v>
      </c>
      <c r="C1076" s="80">
        <v>3.0686466775E10</v>
      </c>
      <c r="D1076" s="119" t="s">
        <v>264</v>
      </c>
      <c r="E1076" s="79" t="s">
        <v>2916</v>
      </c>
      <c r="F1076" s="44">
        <v>6448.0</v>
      </c>
      <c r="G1076" s="79" t="s">
        <v>119</v>
      </c>
      <c r="H1076" s="80">
        <v>1657.0</v>
      </c>
      <c r="I1076" s="79">
        <v>171149.0</v>
      </c>
      <c r="J1076" s="74" t="s">
        <v>448</v>
      </c>
      <c r="K1076" s="77" t="s">
        <v>7401</v>
      </c>
      <c r="L1076" s="79"/>
      <c r="M1076" s="79"/>
      <c r="N1076" s="79">
        <v>3.0</v>
      </c>
      <c r="O1076" s="74"/>
      <c r="P1076" s="80"/>
      <c r="Q1076" s="79"/>
      <c r="R1076" s="80"/>
      <c r="S1076" s="80" t="s">
        <v>7404</v>
      </c>
      <c r="T1076" s="101" t="s">
        <v>332</v>
      </c>
      <c r="U1076" s="80" t="s">
        <v>332</v>
      </c>
      <c r="V1076" s="102" t="s">
        <v>429</v>
      </c>
      <c r="W1076" s="79" t="s">
        <v>309</v>
      </c>
      <c r="X1076" s="79" t="s">
        <v>309</v>
      </c>
      <c r="Y1076" s="79" t="s">
        <v>309</v>
      </c>
      <c r="Z1076" s="79"/>
    </row>
    <row r="1077" ht="15.0" customHeight="1">
      <c r="A1077" s="103" t="s">
        <v>24</v>
      </c>
      <c r="B1077" s="77" t="s">
        <v>7405</v>
      </c>
      <c r="C1077" s="80">
        <v>3.0658784826E10</v>
      </c>
      <c r="D1077" s="119" t="s">
        <v>264</v>
      </c>
      <c r="E1077" s="79" t="s">
        <v>442</v>
      </c>
      <c r="F1077" s="44">
        <v>3835.0</v>
      </c>
      <c r="G1077" s="79" t="s">
        <v>68</v>
      </c>
      <c r="H1077" s="80">
        <v>1702.0</v>
      </c>
      <c r="I1077" s="79">
        <v>500038.0</v>
      </c>
      <c r="J1077" s="74" t="s">
        <v>125</v>
      </c>
      <c r="K1077" s="79" t="s">
        <v>7407</v>
      </c>
      <c r="L1077" s="79" t="s">
        <v>453</v>
      </c>
      <c r="M1077" s="79"/>
      <c r="N1077" s="79">
        <v>0.0</v>
      </c>
      <c r="O1077" s="74"/>
      <c r="P1077" s="80"/>
      <c r="Q1077" s="79"/>
      <c r="R1077" s="80"/>
      <c r="S1077" s="80" t="s">
        <v>7409</v>
      </c>
      <c r="T1077" s="101" t="s">
        <v>332</v>
      </c>
      <c r="U1077" s="80" t="s">
        <v>332</v>
      </c>
      <c r="V1077" s="102" t="s">
        <v>429</v>
      </c>
      <c r="W1077" s="79" t="s">
        <v>306</v>
      </c>
      <c r="X1077" s="79" t="s">
        <v>306</v>
      </c>
      <c r="Y1077" s="79"/>
      <c r="Z1077" s="79"/>
    </row>
    <row r="1078" ht="15.75" customHeight="1">
      <c r="A1078" s="103" t="s">
        <v>24</v>
      </c>
      <c r="B1078" s="77" t="s">
        <v>7048</v>
      </c>
      <c r="C1078" s="79">
        <v>3.063079597E10</v>
      </c>
      <c r="D1078" s="77" t="s">
        <v>264</v>
      </c>
      <c r="E1078" s="79" t="s">
        <v>7110</v>
      </c>
      <c r="F1078" s="44">
        <v>4367.0</v>
      </c>
      <c r="G1078" s="79" t="s">
        <v>68</v>
      </c>
      <c r="H1078" s="80">
        <v>1702.0</v>
      </c>
      <c r="I1078" s="79">
        <v>432910.0</v>
      </c>
      <c r="J1078" s="74" t="s">
        <v>433</v>
      </c>
      <c r="K1078" s="79" t="s">
        <v>7411</v>
      </c>
      <c r="L1078" s="79"/>
      <c r="M1078" s="79"/>
      <c r="N1078" s="79">
        <v>6.0</v>
      </c>
      <c r="O1078" s="74"/>
      <c r="P1078" s="80"/>
      <c r="Q1078" s="79"/>
      <c r="R1078" s="80"/>
      <c r="S1078" s="80" t="s">
        <v>7413</v>
      </c>
      <c r="T1078" s="101" t="s">
        <v>7414</v>
      </c>
      <c r="U1078" s="80" t="s">
        <v>332</v>
      </c>
      <c r="V1078" s="102" t="s">
        <v>7415</v>
      </c>
      <c r="W1078" s="79" t="s">
        <v>309</v>
      </c>
      <c r="X1078" s="79" t="s">
        <v>306</v>
      </c>
      <c r="Y1078" s="79"/>
      <c r="Z1078" s="79"/>
    </row>
    <row r="1079" ht="15.0" customHeight="1">
      <c r="A1079" s="103" t="s">
        <v>24</v>
      </c>
      <c r="B1079" s="77" t="s">
        <v>7056</v>
      </c>
      <c r="C1079" s="80">
        <v>3.0711450153E10</v>
      </c>
      <c r="D1079" s="119" t="s">
        <v>264</v>
      </c>
      <c r="E1079" s="79" t="s">
        <v>1045</v>
      </c>
      <c r="F1079" s="44">
        <v>5436.0</v>
      </c>
      <c r="G1079" s="79" t="s">
        <v>15</v>
      </c>
      <c r="H1079" s="80">
        <v>1678.0</v>
      </c>
      <c r="I1079" s="79">
        <v>259200.0</v>
      </c>
      <c r="J1079" s="74" t="s">
        <v>347</v>
      </c>
      <c r="K1079" s="79" t="s">
        <v>1324</v>
      </c>
      <c r="L1079" s="79" t="s">
        <v>453</v>
      </c>
      <c r="M1079" s="79"/>
      <c r="N1079" s="79">
        <v>36.0</v>
      </c>
      <c r="O1079" s="74"/>
      <c r="P1079" s="80"/>
      <c r="Q1079" s="79"/>
      <c r="R1079" s="80"/>
      <c r="S1079" s="78" t="s">
        <v>7420</v>
      </c>
      <c r="T1079" s="101" t="s">
        <v>332</v>
      </c>
      <c r="U1079" s="80" t="s">
        <v>332</v>
      </c>
      <c r="V1079" s="102" t="s">
        <v>7421</v>
      </c>
      <c r="W1079" s="79" t="s">
        <v>306</v>
      </c>
      <c r="X1079" s="79" t="s">
        <v>306</v>
      </c>
      <c r="Y1079" s="79"/>
      <c r="Z1079" s="79"/>
    </row>
    <row r="1080" ht="15.75" customHeight="1">
      <c r="A1080" s="76" t="s">
        <v>247</v>
      </c>
      <c r="B1080" s="77" t="s">
        <v>1954</v>
      </c>
      <c r="C1080" s="101">
        <v>3.0708975237E10</v>
      </c>
      <c r="D1080" s="79" t="s">
        <v>264</v>
      </c>
      <c r="E1080" s="79" t="s">
        <v>3287</v>
      </c>
      <c r="F1080" s="44">
        <v>1257.0</v>
      </c>
      <c r="G1080" s="79" t="s">
        <v>15</v>
      </c>
      <c r="H1080" s="80">
        <v>1678.0</v>
      </c>
      <c r="I1080" s="79">
        <v>201409.0</v>
      </c>
      <c r="J1080" s="83" t="s">
        <v>568</v>
      </c>
      <c r="K1080" s="129" t="s">
        <v>6548</v>
      </c>
      <c r="L1080" s="79" t="s">
        <v>286</v>
      </c>
      <c r="M1080" s="79" t="s">
        <v>7423</v>
      </c>
      <c r="N1080" s="79"/>
      <c r="O1080" s="74"/>
      <c r="P1080" s="80" t="s">
        <v>7425</v>
      </c>
      <c r="Q1080" s="79"/>
      <c r="R1080" s="80"/>
      <c r="S1080" s="78" t="s">
        <v>7425</v>
      </c>
      <c r="T1080" s="101"/>
      <c r="U1080" s="80"/>
      <c r="V1080" s="102" t="s">
        <v>7427</v>
      </c>
      <c r="W1080" s="79"/>
      <c r="X1080" s="79"/>
      <c r="Y1080" s="79"/>
      <c r="Z1080" s="79"/>
    </row>
    <row r="1081" ht="15.0" customHeight="1">
      <c r="A1081" s="76" t="s">
        <v>247</v>
      </c>
      <c r="B1081" s="77" t="s">
        <v>7063</v>
      </c>
      <c r="C1081" s="80">
        <v>3.0708823186E10</v>
      </c>
      <c r="D1081" s="144" t="s">
        <v>631</v>
      </c>
      <c r="E1081" s="79" t="s">
        <v>1049</v>
      </c>
      <c r="F1081" s="44">
        <v>7385.0</v>
      </c>
      <c r="G1081" s="79" t="s">
        <v>269</v>
      </c>
      <c r="H1081" s="80">
        <v>1682.0</v>
      </c>
      <c r="I1081" s="79">
        <v>222090.0</v>
      </c>
      <c r="J1081" s="83" t="s">
        <v>568</v>
      </c>
      <c r="K1081" s="77" t="s">
        <v>569</v>
      </c>
      <c r="L1081" s="79" t="s">
        <v>453</v>
      </c>
      <c r="M1081" s="79" t="s">
        <v>7429</v>
      </c>
      <c r="N1081" s="79">
        <v>0.0</v>
      </c>
      <c r="O1081" s="74"/>
      <c r="P1081" s="80"/>
      <c r="Q1081" s="79"/>
      <c r="R1081" s="80"/>
      <c r="S1081" s="80" t="s">
        <v>7430</v>
      </c>
      <c r="T1081" s="101" t="s">
        <v>7431</v>
      </c>
      <c r="U1081" s="80" t="s">
        <v>332</v>
      </c>
      <c r="V1081" s="102" t="s">
        <v>7432</v>
      </c>
      <c r="W1081" s="79" t="s">
        <v>306</v>
      </c>
      <c r="X1081" s="79" t="s">
        <v>306</v>
      </c>
      <c r="Y1081" s="79" t="s">
        <v>309</v>
      </c>
      <c r="Z1081" s="79"/>
    </row>
    <row r="1082" ht="15.75" customHeight="1">
      <c r="A1082" s="76" t="s">
        <v>247</v>
      </c>
      <c r="B1082" s="77" t="s">
        <v>1962</v>
      </c>
      <c r="C1082" s="80">
        <v>3.3714959919E10</v>
      </c>
      <c r="D1082" s="119" t="s">
        <v>264</v>
      </c>
      <c r="E1082" s="77" t="s">
        <v>943</v>
      </c>
      <c r="F1082" s="44">
        <v>4756.0</v>
      </c>
      <c r="G1082" s="79" t="s">
        <v>68</v>
      </c>
      <c r="H1082" s="80">
        <v>1702.0</v>
      </c>
      <c r="I1082" s="79">
        <v>107129.0</v>
      </c>
      <c r="J1082" s="74" t="s">
        <v>22</v>
      </c>
      <c r="K1082" s="77" t="s">
        <v>7435</v>
      </c>
      <c r="L1082" s="79"/>
      <c r="M1082" s="79" t="s">
        <v>7437</v>
      </c>
      <c r="N1082" s="79">
        <v>6.0</v>
      </c>
      <c r="O1082" s="126" t="s">
        <v>7439</v>
      </c>
      <c r="P1082" s="85" t="s">
        <v>7440</v>
      </c>
      <c r="Q1082" s="79"/>
      <c r="R1082" s="80"/>
      <c r="S1082" s="80"/>
      <c r="T1082" s="101" t="s">
        <v>332</v>
      </c>
      <c r="U1082" s="80" t="s">
        <v>332</v>
      </c>
      <c r="V1082" s="102" t="s">
        <v>429</v>
      </c>
      <c r="W1082" s="79" t="s">
        <v>306</v>
      </c>
      <c r="X1082" s="79" t="s">
        <v>306</v>
      </c>
      <c r="Y1082" s="79"/>
      <c r="Z1082" s="79"/>
    </row>
    <row r="1083" ht="15.0" customHeight="1">
      <c r="A1083" s="76" t="s">
        <v>247</v>
      </c>
      <c r="B1083" s="77" t="s">
        <v>7070</v>
      </c>
      <c r="C1083" s="80">
        <v>3.0637937673E10</v>
      </c>
      <c r="D1083" s="79" t="s">
        <v>264</v>
      </c>
      <c r="E1083" s="126" t="s">
        <v>696</v>
      </c>
      <c r="F1083" s="44">
        <v>5751.0</v>
      </c>
      <c r="G1083" s="79" t="s">
        <v>15</v>
      </c>
      <c r="H1083" s="80">
        <v>1678.0</v>
      </c>
      <c r="I1083" s="79">
        <v>202311.0</v>
      </c>
      <c r="J1083" s="74" t="s">
        <v>316</v>
      </c>
      <c r="K1083" s="79" t="s">
        <v>4406</v>
      </c>
      <c r="L1083" s="79"/>
      <c r="M1083" s="79"/>
      <c r="N1083" s="79">
        <v>1.0</v>
      </c>
      <c r="O1083" s="74"/>
      <c r="P1083" s="114"/>
      <c r="Q1083" s="79"/>
      <c r="R1083" s="80"/>
      <c r="S1083" s="80" t="s">
        <v>7442</v>
      </c>
      <c r="T1083" s="101" t="s">
        <v>332</v>
      </c>
      <c r="U1083" s="80" t="s">
        <v>332</v>
      </c>
      <c r="V1083" s="102" t="s">
        <v>429</v>
      </c>
      <c r="W1083" s="79" t="s">
        <v>309</v>
      </c>
      <c r="X1083" s="79" t="s">
        <v>309</v>
      </c>
      <c r="Y1083" s="79" t="s">
        <v>309</v>
      </c>
      <c r="Z1083" s="79"/>
    </row>
    <row r="1084" ht="15.75" customHeight="1">
      <c r="A1084" s="76" t="s">
        <v>247</v>
      </c>
      <c r="B1084" s="77" t="s">
        <v>7077</v>
      </c>
      <c r="C1084" s="80">
        <v>3.0714782025E10</v>
      </c>
      <c r="D1084" s="79" t="s">
        <v>264</v>
      </c>
      <c r="E1084" s="79" t="s">
        <v>7445</v>
      </c>
      <c r="F1084" s="44">
        <v>632.0</v>
      </c>
      <c r="G1084" s="79" t="s">
        <v>269</v>
      </c>
      <c r="H1084" s="80">
        <v>1682.0</v>
      </c>
      <c r="I1084" s="79">
        <v>292000.0</v>
      </c>
      <c r="J1084" s="74" t="s">
        <v>347</v>
      </c>
      <c r="K1084" s="77" t="s">
        <v>7446</v>
      </c>
      <c r="L1084" s="79"/>
      <c r="M1084" s="79"/>
      <c r="N1084" s="79"/>
      <c r="O1084" s="79" t="s">
        <v>7447</v>
      </c>
      <c r="P1084" s="78" t="s">
        <v>7448</v>
      </c>
      <c r="Q1084" s="79"/>
      <c r="R1084" s="78" t="s">
        <v>7449</v>
      </c>
      <c r="S1084" s="78" t="s">
        <v>7450</v>
      </c>
      <c r="T1084" s="85" t="s">
        <v>7452</v>
      </c>
      <c r="U1084" s="80"/>
      <c r="V1084" s="98" t="s">
        <v>7453</v>
      </c>
      <c r="W1084" s="79"/>
      <c r="X1084" s="79"/>
      <c r="Y1084" s="79"/>
      <c r="Z1084" s="79"/>
    </row>
    <row r="1085" ht="15.0" customHeight="1">
      <c r="A1085" s="76" t="s">
        <v>247</v>
      </c>
      <c r="B1085" s="77" t="s">
        <v>7080</v>
      </c>
      <c r="C1085" s="79">
        <v>3.3714073759E10</v>
      </c>
      <c r="D1085" s="77" t="s">
        <v>264</v>
      </c>
      <c r="E1085" s="79" t="s">
        <v>1569</v>
      </c>
      <c r="F1085" s="44">
        <v>4346.0</v>
      </c>
      <c r="G1085" s="79" t="s">
        <v>68</v>
      </c>
      <c r="H1085" s="80">
        <v>1702.0</v>
      </c>
      <c r="I1085" s="79">
        <v>329090.0</v>
      </c>
      <c r="J1085" s="83" t="s">
        <v>327</v>
      </c>
      <c r="K1085" s="77" t="s">
        <v>1307</v>
      </c>
      <c r="L1085" s="79"/>
      <c r="M1085" s="79"/>
      <c r="N1085" s="79">
        <v>2.0</v>
      </c>
      <c r="O1085" s="74"/>
      <c r="P1085" s="80"/>
      <c r="Q1085" s="79"/>
      <c r="R1085" s="80"/>
      <c r="S1085" s="80" t="s">
        <v>4976</v>
      </c>
      <c r="T1085" s="101" t="s">
        <v>332</v>
      </c>
      <c r="U1085" s="80" t="s">
        <v>332</v>
      </c>
      <c r="V1085" s="102" t="s">
        <v>429</v>
      </c>
      <c r="W1085" s="79" t="s">
        <v>309</v>
      </c>
      <c r="X1085" s="79" t="s">
        <v>309</v>
      </c>
      <c r="Y1085" s="79" t="s">
        <v>309</v>
      </c>
      <c r="Z1085" s="79"/>
    </row>
    <row r="1086" ht="15.0" customHeight="1">
      <c r="A1086" s="76" t="s">
        <v>247</v>
      </c>
      <c r="B1086" s="77" t="s">
        <v>7086</v>
      </c>
      <c r="C1086" s="79">
        <v>3.0517014954E10</v>
      </c>
      <c r="D1086" s="77" t="s">
        <v>264</v>
      </c>
      <c r="E1086" s="79" t="s">
        <v>7458</v>
      </c>
      <c r="F1086" s="44">
        <v>1071.0</v>
      </c>
      <c r="G1086" s="79" t="s">
        <v>269</v>
      </c>
      <c r="H1086" s="80">
        <v>1682.0</v>
      </c>
      <c r="I1086" s="79">
        <v>110412.0</v>
      </c>
      <c r="J1086" s="74" t="s">
        <v>57</v>
      </c>
      <c r="K1086" s="79" t="s">
        <v>6570</v>
      </c>
      <c r="L1086" s="79"/>
      <c r="M1086" s="79"/>
      <c r="N1086" s="79">
        <v>24.0</v>
      </c>
      <c r="O1086" s="74"/>
      <c r="P1086" s="80"/>
      <c r="Q1086" s="79"/>
      <c r="R1086" s="80"/>
      <c r="S1086" s="80" t="s">
        <v>7460</v>
      </c>
      <c r="T1086" s="101" t="s">
        <v>332</v>
      </c>
      <c r="U1086" s="80" t="s">
        <v>332</v>
      </c>
      <c r="V1086" s="102" t="s">
        <v>7461</v>
      </c>
      <c r="W1086" s="79" t="s">
        <v>306</v>
      </c>
      <c r="X1086" s="79" t="s">
        <v>306</v>
      </c>
      <c r="Y1086" s="79" t="s">
        <v>309</v>
      </c>
      <c r="Z1086" s="79"/>
    </row>
    <row r="1087" ht="15.75" customHeight="1">
      <c r="A1087" s="103" t="s">
        <v>24</v>
      </c>
      <c r="B1087" s="79" t="s">
        <v>7463</v>
      </c>
      <c r="C1087" s="80">
        <v>3.0519014137E10</v>
      </c>
      <c r="D1087" s="144" t="s">
        <v>631</v>
      </c>
      <c r="E1087" s="79" t="s">
        <v>1449</v>
      </c>
      <c r="F1087" s="44">
        <v>3845.0</v>
      </c>
      <c r="G1087" s="79" t="s">
        <v>68</v>
      </c>
      <c r="H1087" s="80">
        <v>1702.0</v>
      </c>
      <c r="I1087" s="79">
        <v>252090.0</v>
      </c>
      <c r="J1087" s="83" t="s">
        <v>568</v>
      </c>
      <c r="K1087" s="77" t="s">
        <v>2920</v>
      </c>
      <c r="L1087" s="79" t="s">
        <v>453</v>
      </c>
      <c r="M1087" s="79"/>
      <c r="N1087" s="79">
        <v>0.0</v>
      </c>
      <c r="O1087" s="74"/>
      <c r="P1087" s="80"/>
      <c r="Q1087" s="79"/>
      <c r="R1087" s="80"/>
      <c r="S1087" s="80" t="s">
        <v>7465</v>
      </c>
      <c r="T1087" s="101" t="s">
        <v>7466</v>
      </c>
      <c r="U1087" s="80" t="s">
        <v>332</v>
      </c>
      <c r="V1087" s="102" t="s">
        <v>429</v>
      </c>
      <c r="W1087" s="79" t="s">
        <v>306</v>
      </c>
      <c r="X1087" s="79" t="s">
        <v>306</v>
      </c>
      <c r="Y1087" s="79"/>
      <c r="Z1087" s="79"/>
    </row>
    <row r="1088" ht="15.75" customHeight="1">
      <c r="A1088" s="76" t="s">
        <v>247</v>
      </c>
      <c r="B1088" s="77" t="s">
        <v>1966</v>
      </c>
      <c r="C1088" s="80">
        <v>3.0714857963E10</v>
      </c>
      <c r="D1088" s="144" t="s">
        <v>631</v>
      </c>
      <c r="E1088" s="79" t="s">
        <v>1114</v>
      </c>
      <c r="F1088" s="44">
        <v>3904.0</v>
      </c>
      <c r="G1088" s="79" t="s">
        <v>68</v>
      </c>
      <c r="H1088" s="80">
        <v>1702.0</v>
      </c>
      <c r="I1088" s="79">
        <v>107129.0</v>
      </c>
      <c r="J1088" s="74" t="s">
        <v>22</v>
      </c>
      <c r="K1088" s="77" t="s">
        <v>7468</v>
      </c>
      <c r="L1088" s="79"/>
      <c r="M1088" s="79"/>
      <c r="N1088" s="79">
        <v>3.0</v>
      </c>
      <c r="O1088" s="322" t="s">
        <v>7469</v>
      </c>
      <c r="P1088" s="153" t="s">
        <v>7470</v>
      </c>
      <c r="Q1088" s="314"/>
      <c r="R1088" s="80"/>
      <c r="S1088" s="80"/>
      <c r="T1088" s="101" t="s">
        <v>332</v>
      </c>
      <c r="U1088" s="80" t="s">
        <v>332</v>
      </c>
      <c r="V1088" s="102" t="s">
        <v>429</v>
      </c>
      <c r="W1088" s="79" t="s">
        <v>306</v>
      </c>
      <c r="X1088" s="79" t="s">
        <v>306</v>
      </c>
      <c r="Y1088" s="79"/>
      <c r="Z1088" s="79"/>
    </row>
    <row r="1089" ht="15.75" customHeight="1">
      <c r="A1089" s="76" t="s">
        <v>247</v>
      </c>
      <c r="B1089" s="77" t="s">
        <v>7090</v>
      </c>
      <c r="C1089" s="80">
        <v>3.0585206608E10</v>
      </c>
      <c r="D1089" s="119" t="s">
        <v>264</v>
      </c>
      <c r="E1089" s="79" t="s">
        <v>6255</v>
      </c>
      <c r="F1089" s="44">
        <v>9897.0</v>
      </c>
      <c r="G1089" s="79" t="s">
        <v>119</v>
      </c>
      <c r="H1089" s="80">
        <v>1657.0</v>
      </c>
      <c r="I1089" s="79">
        <v>222090.0</v>
      </c>
      <c r="J1089" s="83" t="s">
        <v>568</v>
      </c>
      <c r="K1089" s="77" t="s">
        <v>569</v>
      </c>
      <c r="L1089" s="79" t="s">
        <v>453</v>
      </c>
      <c r="M1089" s="79"/>
      <c r="N1089" s="79">
        <v>25.0</v>
      </c>
      <c r="O1089" s="74"/>
      <c r="P1089" s="80"/>
      <c r="Q1089" s="79"/>
      <c r="R1089" s="80"/>
      <c r="S1089" s="80" t="s">
        <v>7474</v>
      </c>
      <c r="T1089" s="101" t="s">
        <v>7475</v>
      </c>
      <c r="U1089" s="80"/>
      <c r="V1089" s="102" t="s">
        <v>7477</v>
      </c>
      <c r="W1089" s="79" t="s">
        <v>309</v>
      </c>
      <c r="X1089" s="79" t="s">
        <v>309</v>
      </c>
      <c r="Y1089" s="79" t="s">
        <v>309</v>
      </c>
      <c r="Z1089" s="77"/>
    </row>
    <row r="1090" ht="15.0" customHeight="1">
      <c r="A1090" s="76" t="s">
        <v>247</v>
      </c>
      <c r="B1090" s="77" t="s">
        <v>7093</v>
      </c>
      <c r="C1090" s="80">
        <v>3.0608523886E10</v>
      </c>
      <c r="D1090" s="119" t="s">
        <v>264</v>
      </c>
      <c r="E1090" s="77" t="s">
        <v>1176</v>
      </c>
      <c r="F1090" s="44">
        <v>3953.0</v>
      </c>
      <c r="G1090" s="79" t="s">
        <v>68</v>
      </c>
      <c r="H1090" s="80">
        <v>1702.0</v>
      </c>
      <c r="I1090" s="77">
        <v>107999.0</v>
      </c>
      <c r="J1090" s="74" t="s">
        <v>22</v>
      </c>
      <c r="K1090" s="77" t="s">
        <v>7034</v>
      </c>
      <c r="L1090" s="79"/>
      <c r="M1090" s="79"/>
      <c r="N1090" s="79">
        <v>46.0</v>
      </c>
      <c r="O1090" s="74"/>
      <c r="P1090" s="80"/>
      <c r="Q1090" s="79" t="s">
        <v>7480</v>
      </c>
      <c r="R1090" s="80"/>
      <c r="S1090" s="80" t="s">
        <v>7481</v>
      </c>
      <c r="T1090" s="101" t="s">
        <v>7482</v>
      </c>
      <c r="U1090" s="80" t="s">
        <v>7483</v>
      </c>
      <c r="V1090" s="102" t="s">
        <v>7484</v>
      </c>
      <c r="W1090" s="79" t="s">
        <v>309</v>
      </c>
      <c r="X1090" s="79" t="s">
        <v>309</v>
      </c>
      <c r="Y1090" s="79" t="s">
        <v>309</v>
      </c>
      <c r="Z1090" s="79"/>
    </row>
    <row r="1091" ht="15.0" customHeight="1">
      <c r="A1091" s="76" t="s">
        <v>247</v>
      </c>
      <c r="B1091" s="77" t="s">
        <v>7099</v>
      </c>
      <c r="C1091" s="101">
        <v>3.0663785091E10</v>
      </c>
      <c r="D1091" s="79" t="s">
        <v>264</v>
      </c>
      <c r="E1091" s="79" t="s">
        <v>1485</v>
      </c>
      <c r="F1091" s="44">
        <v>3520.0</v>
      </c>
      <c r="G1091" s="79" t="s">
        <v>68</v>
      </c>
      <c r="H1091" s="80">
        <v>1702.0</v>
      </c>
      <c r="I1091" s="79">
        <v>210010.0</v>
      </c>
      <c r="J1091" s="74" t="s">
        <v>316</v>
      </c>
      <c r="K1091" s="77" t="s">
        <v>7487</v>
      </c>
      <c r="L1091" s="79"/>
      <c r="M1091" s="79"/>
      <c r="N1091" s="79"/>
      <c r="O1091" s="79"/>
      <c r="P1091" s="80"/>
      <c r="Q1091" s="79"/>
      <c r="R1091" s="80"/>
      <c r="S1091" s="78" t="s">
        <v>7488</v>
      </c>
      <c r="T1091" s="85" t="s">
        <v>7489</v>
      </c>
      <c r="U1091" s="80"/>
      <c r="V1091" s="102" t="s">
        <v>7490</v>
      </c>
      <c r="W1091" s="79"/>
      <c r="X1091" s="79"/>
      <c r="Y1091" s="79"/>
      <c r="Z1091" s="79"/>
    </row>
    <row r="1092" ht="15.75" customHeight="1">
      <c r="A1092" s="76" t="s">
        <v>247</v>
      </c>
      <c r="B1092" s="77" t="s">
        <v>7493</v>
      </c>
      <c r="C1092" s="80">
        <v>3.0710548567E10</v>
      </c>
      <c r="D1092" s="79" t="s">
        <v>264</v>
      </c>
      <c r="E1092" s="79" t="s">
        <v>1079</v>
      </c>
      <c r="F1092" s="44">
        <v>5103.0</v>
      </c>
      <c r="G1092" s="79" t="s">
        <v>15</v>
      </c>
      <c r="H1092" s="80">
        <v>1678.0</v>
      </c>
      <c r="I1092" s="79">
        <v>210010.0</v>
      </c>
      <c r="J1092" s="74" t="s">
        <v>316</v>
      </c>
      <c r="K1092" s="79" t="s">
        <v>3181</v>
      </c>
      <c r="L1092" s="79" t="s">
        <v>286</v>
      </c>
      <c r="M1092" s="79" t="s">
        <v>7494</v>
      </c>
      <c r="N1092" s="79">
        <v>21.0</v>
      </c>
      <c r="O1092" s="74" t="s">
        <v>7496</v>
      </c>
      <c r="P1092" s="78" t="s">
        <v>7497</v>
      </c>
      <c r="Q1092" s="79" t="s">
        <v>7498</v>
      </c>
      <c r="R1092" s="80"/>
      <c r="S1092" s="78" t="s">
        <v>7500</v>
      </c>
      <c r="T1092" s="101" t="s">
        <v>7501</v>
      </c>
      <c r="U1092" s="129" t="s">
        <v>7502</v>
      </c>
      <c r="V1092" s="102" t="s">
        <v>7503</v>
      </c>
      <c r="W1092" s="79" t="s">
        <v>309</v>
      </c>
      <c r="X1092" s="79" t="s">
        <v>309</v>
      </c>
      <c r="Y1092" s="79" t="s">
        <v>309</v>
      </c>
      <c r="Z1092" s="79"/>
    </row>
    <row r="1093" ht="15.75" customHeight="1">
      <c r="A1093" s="103" t="s">
        <v>24</v>
      </c>
      <c r="B1093" s="77" t="s">
        <v>7103</v>
      </c>
      <c r="C1093" s="80">
        <v>3.0663818828E10</v>
      </c>
      <c r="D1093" s="119" t="s">
        <v>264</v>
      </c>
      <c r="E1093" s="77" t="s">
        <v>1683</v>
      </c>
      <c r="F1093" s="128">
        <v>3472.0</v>
      </c>
      <c r="G1093" s="79" t="s">
        <v>15</v>
      </c>
      <c r="H1093" s="80">
        <v>1678.0</v>
      </c>
      <c r="I1093" s="79">
        <v>202312.0</v>
      </c>
      <c r="J1093" s="74" t="s">
        <v>316</v>
      </c>
      <c r="K1093" s="79" t="s">
        <v>7505</v>
      </c>
      <c r="L1093" s="79"/>
      <c r="M1093" s="79"/>
      <c r="N1093" s="79">
        <v>77.0</v>
      </c>
      <c r="O1093" s="74"/>
      <c r="P1093" s="80"/>
      <c r="Q1093" s="79"/>
      <c r="R1093" s="80"/>
      <c r="S1093" s="78" t="s">
        <v>7507</v>
      </c>
      <c r="T1093" s="101"/>
      <c r="U1093" s="80"/>
      <c r="V1093" s="102" t="s">
        <v>7508</v>
      </c>
      <c r="W1093" s="79" t="s">
        <v>309</v>
      </c>
      <c r="X1093" s="79" t="s">
        <v>309</v>
      </c>
      <c r="Y1093" s="79" t="s">
        <v>306</v>
      </c>
      <c r="Z1093" s="79"/>
    </row>
    <row r="1094" ht="15.75" customHeight="1">
      <c r="A1094" s="103" t="s">
        <v>24</v>
      </c>
      <c r="B1094" s="77" t="s">
        <v>7511</v>
      </c>
      <c r="C1094" s="80">
        <v>3.0708882077E10</v>
      </c>
      <c r="D1094" s="79" t="s">
        <v>264</v>
      </c>
      <c r="E1094" s="79" t="s">
        <v>4223</v>
      </c>
      <c r="F1094" s="44">
        <v>1961.0</v>
      </c>
      <c r="G1094" s="79" t="s">
        <v>15</v>
      </c>
      <c r="H1094" s="80">
        <v>1678.0</v>
      </c>
      <c r="I1094" s="77">
        <v>202320.0</v>
      </c>
      <c r="J1094" s="74" t="s">
        <v>316</v>
      </c>
      <c r="K1094" s="79" t="s">
        <v>3932</v>
      </c>
      <c r="L1094" s="79"/>
      <c r="M1094" s="79"/>
      <c r="N1094" s="79">
        <v>0.0</v>
      </c>
      <c r="O1094" s="74"/>
      <c r="P1094" s="80"/>
      <c r="Q1094" s="79"/>
      <c r="R1094" s="80"/>
      <c r="S1094" s="80" t="s">
        <v>7513</v>
      </c>
      <c r="T1094" s="101" t="s">
        <v>332</v>
      </c>
      <c r="U1094" s="80" t="s">
        <v>332</v>
      </c>
      <c r="V1094" s="102" t="s">
        <v>429</v>
      </c>
      <c r="W1094" s="79" t="s">
        <v>306</v>
      </c>
      <c r="X1094" s="79" t="s">
        <v>306</v>
      </c>
      <c r="Y1094" s="79"/>
      <c r="Z1094" s="79"/>
    </row>
    <row r="1095" ht="15.75" customHeight="1">
      <c r="A1095" s="76" t="s">
        <v>247</v>
      </c>
      <c r="B1095" s="191" t="s">
        <v>1970</v>
      </c>
      <c r="C1095" s="192">
        <v>3.0708068477E10</v>
      </c>
      <c r="D1095" s="323" t="s">
        <v>264</v>
      </c>
      <c r="E1095" s="79" t="s">
        <v>3987</v>
      </c>
      <c r="F1095" s="128">
        <v>8301.0</v>
      </c>
      <c r="G1095" s="79" t="s">
        <v>119</v>
      </c>
      <c r="H1095" s="80">
        <v>1657.0</v>
      </c>
      <c r="I1095" s="192">
        <v>202908.0</v>
      </c>
      <c r="J1095" s="194" t="s">
        <v>316</v>
      </c>
      <c r="K1095" s="191" t="s">
        <v>7516</v>
      </c>
      <c r="L1095" s="79"/>
      <c r="M1095" s="79"/>
      <c r="N1095" s="79"/>
      <c r="O1095" s="194" t="s">
        <v>7517</v>
      </c>
      <c r="P1095" s="192" t="s">
        <v>7518</v>
      </c>
      <c r="Q1095" s="194" t="s">
        <v>7519</v>
      </c>
      <c r="R1095" s="196" t="s">
        <v>7520</v>
      </c>
      <c r="S1095" s="196" t="s">
        <v>7521</v>
      </c>
      <c r="T1095" s="323"/>
      <c r="U1095" s="194"/>
      <c r="V1095" s="233" t="s">
        <v>7522</v>
      </c>
      <c r="W1095" s="79"/>
      <c r="X1095" s="79"/>
      <c r="Y1095" s="79"/>
      <c r="Z1095" s="79"/>
    </row>
    <row r="1096" ht="15.75" customHeight="1">
      <c r="A1096" s="76" t="s">
        <v>247</v>
      </c>
      <c r="B1096" s="77" t="s">
        <v>1975</v>
      </c>
      <c r="C1096" s="80">
        <v>3.0504511797E10</v>
      </c>
      <c r="D1096" s="119" t="s">
        <v>264</v>
      </c>
      <c r="E1096" s="79" t="s">
        <v>4496</v>
      </c>
      <c r="F1096" s="44">
        <v>962.0</v>
      </c>
      <c r="G1096" s="79" t="s">
        <v>68</v>
      </c>
      <c r="H1096" s="80">
        <v>1702.0</v>
      </c>
      <c r="I1096" s="79">
        <v>151330.0</v>
      </c>
      <c r="J1096" s="74" t="s">
        <v>22</v>
      </c>
      <c r="K1096" s="77" t="s">
        <v>7525</v>
      </c>
      <c r="L1096" s="79"/>
      <c r="M1096" s="79"/>
      <c r="N1096" s="79">
        <v>0.0</v>
      </c>
      <c r="O1096" s="74" t="s">
        <v>7526</v>
      </c>
      <c r="P1096" s="78" t="s">
        <v>7527</v>
      </c>
      <c r="Q1096" s="79"/>
      <c r="R1096" s="80"/>
      <c r="S1096" s="80" t="s">
        <v>7529</v>
      </c>
      <c r="T1096" s="101" t="s">
        <v>7531</v>
      </c>
      <c r="U1096" s="80" t="s">
        <v>332</v>
      </c>
      <c r="V1096" s="102" t="s">
        <v>7532</v>
      </c>
      <c r="W1096" s="79" t="s">
        <v>309</v>
      </c>
      <c r="X1096" s="79" t="s">
        <v>309</v>
      </c>
      <c r="Y1096" s="79"/>
      <c r="Z1096" s="79"/>
    </row>
    <row r="1097" ht="15.75" customHeight="1">
      <c r="A1097" s="103" t="s">
        <v>24</v>
      </c>
      <c r="B1097" s="77" t="s">
        <v>7533</v>
      </c>
      <c r="C1097" s="80">
        <v>3.0503471554E10</v>
      </c>
      <c r="D1097" s="119" t="s">
        <v>264</v>
      </c>
      <c r="E1097" s="79" t="s">
        <v>7535</v>
      </c>
      <c r="F1097" s="44">
        <v>2868.0</v>
      </c>
      <c r="G1097" s="79" t="s">
        <v>15</v>
      </c>
      <c r="H1097" s="80">
        <v>1678.0</v>
      </c>
      <c r="I1097" s="79">
        <v>259200.0</v>
      </c>
      <c r="J1097" s="74" t="s">
        <v>347</v>
      </c>
      <c r="K1097" s="79" t="s">
        <v>1324</v>
      </c>
      <c r="L1097" s="79" t="s">
        <v>453</v>
      </c>
      <c r="M1097" s="79"/>
      <c r="N1097" s="79">
        <v>11.0</v>
      </c>
      <c r="O1097" s="74"/>
      <c r="P1097" s="80"/>
      <c r="Q1097" s="79"/>
      <c r="R1097" s="80"/>
      <c r="S1097" s="80" t="s">
        <v>7536</v>
      </c>
      <c r="T1097" s="101" t="s">
        <v>332</v>
      </c>
      <c r="U1097" s="80" t="s">
        <v>332</v>
      </c>
      <c r="V1097" s="102" t="s">
        <v>429</v>
      </c>
      <c r="W1097" s="79" t="s">
        <v>306</v>
      </c>
      <c r="X1097" s="79" t="s">
        <v>306</v>
      </c>
      <c r="Y1097" s="79"/>
      <c r="Z1097" s="79"/>
    </row>
    <row r="1098" ht="15.0" customHeight="1">
      <c r="A1098" s="76" t="s">
        <v>247</v>
      </c>
      <c r="B1098" s="77" t="s">
        <v>1979</v>
      </c>
      <c r="C1098" s="80">
        <v>3.3709433089E10</v>
      </c>
      <c r="D1098" s="119" t="s">
        <v>264</v>
      </c>
      <c r="E1098" s="79" t="s">
        <v>4928</v>
      </c>
      <c r="F1098" s="44">
        <v>1105.0</v>
      </c>
      <c r="G1098" s="79" t="s">
        <v>15</v>
      </c>
      <c r="H1098" s="80">
        <v>1678.0</v>
      </c>
      <c r="I1098" s="79">
        <v>222090.0</v>
      </c>
      <c r="J1098" s="83" t="s">
        <v>568</v>
      </c>
      <c r="K1098" s="77" t="s">
        <v>569</v>
      </c>
      <c r="L1098" s="79" t="s">
        <v>453</v>
      </c>
      <c r="M1098" s="79" t="s">
        <v>7539</v>
      </c>
      <c r="N1098" s="79">
        <v>3.0</v>
      </c>
      <c r="O1098" s="74" t="s">
        <v>7540</v>
      </c>
      <c r="P1098" s="78" t="s">
        <v>7541</v>
      </c>
      <c r="Q1098" s="79" t="s">
        <v>7542</v>
      </c>
      <c r="R1098" s="78" t="s">
        <v>7543</v>
      </c>
      <c r="S1098" s="78" t="s">
        <v>7544</v>
      </c>
      <c r="T1098" s="85" t="s">
        <v>7545</v>
      </c>
      <c r="U1098" s="80" t="s">
        <v>332</v>
      </c>
      <c r="V1098" s="102" t="s">
        <v>7546</v>
      </c>
      <c r="W1098" s="79" t="s">
        <v>306</v>
      </c>
      <c r="X1098" s="79" t="s">
        <v>306</v>
      </c>
      <c r="Y1098" s="79" t="s">
        <v>309</v>
      </c>
      <c r="Z1098" s="79"/>
    </row>
    <row r="1099" ht="15.75" customHeight="1">
      <c r="A1099" s="76" t="s">
        <v>247</v>
      </c>
      <c r="B1099" s="77" t="s">
        <v>7121</v>
      </c>
      <c r="C1099" s="80">
        <v>3.0708193557E10</v>
      </c>
      <c r="D1099" s="119" t="s">
        <v>264</v>
      </c>
      <c r="E1099" s="79" t="s">
        <v>1965</v>
      </c>
      <c r="F1099" s="44">
        <v>5337.0</v>
      </c>
      <c r="G1099" s="79" t="s">
        <v>15</v>
      </c>
      <c r="H1099" s="80">
        <v>1678.0</v>
      </c>
      <c r="I1099" s="79">
        <v>222090.0</v>
      </c>
      <c r="J1099" s="83" t="s">
        <v>568</v>
      </c>
      <c r="K1099" s="77" t="s">
        <v>569</v>
      </c>
      <c r="L1099" s="79" t="s">
        <v>453</v>
      </c>
      <c r="M1099" s="79"/>
      <c r="N1099" s="79">
        <v>27.0</v>
      </c>
      <c r="O1099" s="74" t="s">
        <v>7548</v>
      </c>
      <c r="P1099" s="80"/>
      <c r="Q1099" s="324"/>
      <c r="R1099" s="80"/>
      <c r="S1099" s="80" t="s">
        <v>7549</v>
      </c>
      <c r="T1099" s="101" t="s">
        <v>332</v>
      </c>
      <c r="U1099" s="80" t="s">
        <v>332</v>
      </c>
      <c r="V1099" s="102" t="s">
        <v>429</v>
      </c>
      <c r="W1099" s="79" t="s">
        <v>309</v>
      </c>
      <c r="X1099" s="79" t="s">
        <v>309</v>
      </c>
      <c r="Y1099" s="79" t="s">
        <v>309</v>
      </c>
      <c r="Z1099" s="79"/>
    </row>
    <row r="1100" ht="15.75" customHeight="1">
      <c r="A1100" s="103" t="s">
        <v>24</v>
      </c>
      <c r="B1100" s="77" t="s">
        <v>7552</v>
      </c>
      <c r="C1100" s="80">
        <v>3.0506361075E10</v>
      </c>
      <c r="D1100" s="79" t="s">
        <v>264</v>
      </c>
      <c r="E1100" s="79" t="s">
        <v>2333</v>
      </c>
      <c r="F1100" s="44">
        <v>3151.0</v>
      </c>
      <c r="G1100" s="79" t="s">
        <v>68</v>
      </c>
      <c r="H1100" s="80">
        <v>1702.0</v>
      </c>
      <c r="I1100" s="79">
        <v>202320.0</v>
      </c>
      <c r="J1100" s="74" t="s">
        <v>316</v>
      </c>
      <c r="K1100" s="79" t="s">
        <v>3585</v>
      </c>
      <c r="L1100" s="79"/>
      <c r="M1100" s="79"/>
      <c r="N1100" s="79">
        <v>16.0</v>
      </c>
      <c r="O1100" s="74"/>
      <c r="P1100" s="80"/>
      <c r="Q1100" s="79"/>
      <c r="R1100" s="80"/>
      <c r="S1100" s="80" t="s">
        <v>7553</v>
      </c>
      <c r="T1100" s="101" t="s">
        <v>7555</v>
      </c>
      <c r="U1100" s="101" t="s">
        <v>3988</v>
      </c>
      <c r="V1100" s="102" t="s">
        <v>429</v>
      </c>
      <c r="W1100" s="79" t="s">
        <v>309</v>
      </c>
      <c r="X1100" s="79" t="s">
        <v>309</v>
      </c>
      <c r="Y1100" s="79"/>
      <c r="Z1100" s="79"/>
    </row>
    <row r="1101" ht="15.75" customHeight="1">
      <c r="A1101" s="103" t="s">
        <v>24</v>
      </c>
      <c r="B1101" s="77" t="s">
        <v>7557</v>
      </c>
      <c r="C1101" s="80">
        <v>3.0583732027E10</v>
      </c>
      <c r="D1101" s="79" t="s">
        <v>264</v>
      </c>
      <c r="E1101" s="79" t="s">
        <v>2328</v>
      </c>
      <c r="F1101" s="44">
        <v>4321.0</v>
      </c>
      <c r="G1101" s="79" t="s">
        <v>68</v>
      </c>
      <c r="H1101" s="80">
        <v>1702.0</v>
      </c>
      <c r="I1101" s="79">
        <v>242320.0</v>
      </c>
      <c r="J1101" s="74" t="s">
        <v>316</v>
      </c>
      <c r="K1101" s="79" t="s">
        <v>7558</v>
      </c>
      <c r="L1101" s="79"/>
      <c r="M1101" s="79"/>
      <c r="N1101" s="79">
        <v>2.0</v>
      </c>
      <c r="O1101" s="74"/>
      <c r="P1101" s="80"/>
      <c r="Q1101" s="79"/>
      <c r="R1101" s="80"/>
      <c r="S1101" s="80" t="s">
        <v>7561</v>
      </c>
      <c r="T1101" s="101" t="s">
        <v>332</v>
      </c>
      <c r="U1101" s="80" t="s">
        <v>332</v>
      </c>
      <c r="V1101" s="102" t="s">
        <v>429</v>
      </c>
      <c r="W1101" s="79" t="s">
        <v>306</v>
      </c>
      <c r="X1101" s="79" t="s">
        <v>306</v>
      </c>
      <c r="Y1101" s="79"/>
      <c r="Z1101" s="79"/>
    </row>
    <row r="1102" ht="15.75" customHeight="1">
      <c r="A1102" s="76" t="s">
        <v>247</v>
      </c>
      <c r="B1102" s="79" t="s">
        <v>1984</v>
      </c>
      <c r="C1102" s="80">
        <v>3.0583013608E10</v>
      </c>
      <c r="D1102" s="79" t="s">
        <v>264</v>
      </c>
      <c r="E1102" s="79" t="s">
        <v>1819</v>
      </c>
      <c r="F1102" s="44">
        <v>2933.0</v>
      </c>
      <c r="G1102" s="79" t="s">
        <v>68</v>
      </c>
      <c r="H1102" s="80">
        <v>1702.0</v>
      </c>
      <c r="I1102" s="79">
        <v>712000.0</v>
      </c>
      <c r="J1102" s="74" t="s">
        <v>433</v>
      </c>
      <c r="K1102" s="77" t="s">
        <v>7562</v>
      </c>
      <c r="L1102" s="79" t="s">
        <v>453</v>
      </c>
      <c r="M1102" s="79" t="s">
        <v>7564</v>
      </c>
      <c r="N1102" s="79"/>
      <c r="O1102" s="74"/>
      <c r="P1102" s="80"/>
      <c r="Q1102" s="79"/>
      <c r="R1102" s="80"/>
      <c r="S1102" s="101" t="s">
        <v>7566</v>
      </c>
      <c r="T1102" s="85" t="s">
        <v>7567</v>
      </c>
      <c r="U1102" s="80"/>
      <c r="V1102" s="102" t="s">
        <v>7568</v>
      </c>
      <c r="W1102" s="79"/>
      <c r="X1102" s="79"/>
      <c r="Y1102" s="79" t="s">
        <v>309</v>
      </c>
      <c r="Z1102" s="79"/>
    </row>
    <row r="1103" ht="15.75" customHeight="1">
      <c r="A1103" s="76" t="s">
        <v>247</v>
      </c>
      <c r="B1103" s="191" t="s">
        <v>7127</v>
      </c>
      <c r="C1103" s="192">
        <v>3.0710641249E10</v>
      </c>
      <c r="D1103" s="191" t="s">
        <v>264</v>
      </c>
      <c r="E1103" s="245" t="s">
        <v>3987</v>
      </c>
      <c r="F1103" s="224">
        <v>8205.0</v>
      </c>
      <c r="G1103" s="194" t="s">
        <v>119</v>
      </c>
      <c r="H1103" s="192">
        <v>1657.0</v>
      </c>
      <c r="I1103" s="192">
        <v>453291.0</v>
      </c>
      <c r="J1103" s="191" t="s">
        <v>37</v>
      </c>
      <c r="K1103" s="191" t="s">
        <v>7570</v>
      </c>
      <c r="L1103" s="77" t="s">
        <v>286</v>
      </c>
      <c r="M1103" s="77" t="s">
        <v>7571</v>
      </c>
      <c r="N1103" s="79"/>
      <c r="O1103" s="79"/>
      <c r="P1103" s="80"/>
      <c r="Q1103" s="79"/>
      <c r="R1103" s="80"/>
      <c r="S1103" s="78" t="s">
        <v>7572</v>
      </c>
      <c r="T1103" s="85" t="s">
        <v>7573</v>
      </c>
      <c r="U1103" s="80"/>
      <c r="V1103" s="233" t="s">
        <v>7574</v>
      </c>
      <c r="W1103" s="79"/>
      <c r="X1103" s="79"/>
      <c r="Y1103" s="79"/>
      <c r="Z1103" s="79"/>
    </row>
    <row r="1104" ht="15.0" customHeight="1">
      <c r="A1104" s="76" t="s">
        <v>247</v>
      </c>
      <c r="B1104" s="77" t="s">
        <v>1994</v>
      </c>
      <c r="C1104" s="80">
        <v>3.3714742189E10</v>
      </c>
      <c r="D1104" s="119" t="s">
        <v>264</v>
      </c>
      <c r="E1104" s="79" t="s">
        <v>1045</v>
      </c>
      <c r="F1104" s="44">
        <v>5370.0</v>
      </c>
      <c r="G1104" s="79" t="s">
        <v>15</v>
      </c>
      <c r="H1104" s="80">
        <v>1678.0</v>
      </c>
      <c r="I1104" s="79">
        <v>202908.0</v>
      </c>
      <c r="J1104" s="74" t="s">
        <v>316</v>
      </c>
      <c r="K1104" s="77" t="s">
        <v>1153</v>
      </c>
      <c r="L1104" s="79"/>
      <c r="M1104" s="77" t="s">
        <v>7576</v>
      </c>
      <c r="N1104" s="79">
        <v>1.0</v>
      </c>
      <c r="O1104" s="83" t="s">
        <v>7577</v>
      </c>
      <c r="P1104" s="78" t="s">
        <v>7578</v>
      </c>
      <c r="Q1104" s="77" t="s">
        <v>7579</v>
      </c>
      <c r="R1104" s="78" t="s">
        <v>7580</v>
      </c>
      <c r="S1104" s="78" t="s">
        <v>7581</v>
      </c>
      <c r="T1104" s="78" t="s">
        <v>7582</v>
      </c>
      <c r="U1104" s="80" t="s">
        <v>332</v>
      </c>
      <c r="V1104" s="98" t="s">
        <v>7584</v>
      </c>
      <c r="W1104" s="79" t="s">
        <v>309</v>
      </c>
      <c r="X1104" s="79" t="s">
        <v>309</v>
      </c>
      <c r="Y1104" s="79" t="s">
        <v>309</v>
      </c>
      <c r="Z1104" s="79"/>
    </row>
    <row r="1105" ht="15.75" customHeight="1">
      <c r="A1105" s="76" t="s">
        <v>247</v>
      </c>
      <c r="B1105" s="77" t="s">
        <v>7137</v>
      </c>
      <c r="C1105" s="80">
        <v>3.0709352144E10</v>
      </c>
      <c r="D1105" s="119" t="s">
        <v>264</v>
      </c>
      <c r="E1105" s="79" t="s">
        <v>3087</v>
      </c>
      <c r="F1105" s="44">
        <v>4006.0</v>
      </c>
      <c r="G1105" s="79" t="s">
        <v>68</v>
      </c>
      <c r="H1105" s="80">
        <v>1702.0</v>
      </c>
      <c r="I1105" s="79">
        <v>279000.0</v>
      </c>
      <c r="J1105" s="83" t="s">
        <v>207</v>
      </c>
      <c r="K1105" s="77" t="s">
        <v>2081</v>
      </c>
      <c r="L1105" s="79"/>
      <c r="M1105" s="79"/>
      <c r="N1105" s="79">
        <v>0.0</v>
      </c>
      <c r="O1105" s="74"/>
      <c r="P1105" s="80"/>
      <c r="Q1105" s="79"/>
      <c r="R1105" s="80"/>
      <c r="S1105" s="80" t="s">
        <v>7587</v>
      </c>
      <c r="T1105" s="101" t="s">
        <v>7588</v>
      </c>
      <c r="U1105" s="80" t="s">
        <v>332</v>
      </c>
      <c r="V1105" s="102" t="s">
        <v>429</v>
      </c>
      <c r="W1105" s="79" t="s">
        <v>306</v>
      </c>
      <c r="X1105" s="79" t="s">
        <v>306</v>
      </c>
      <c r="Y1105" s="79" t="s">
        <v>309</v>
      </c>
      <c r="Z1105" s="79"/>
    </row>
    <row r="1106" ht="15.75" customHeight="1">
      <c r="A1106" s="103" t="s">
        <v>24</v>
      </c>
      <c r="B1106" s="77" t="s">
        <v>7589</v>
      </c>
      <c r="C1106" s="80">
        <v>3.071503658E10</v>
      </c>
      <c r="D1106" s="119" t="s">
        <v>264</v>
      </c>
      <c r="E1106" s="79" t="s">
        <v>7590</v>
      </c>
      <c r="F1106" s="44">
        <v>5966.0</v>
      </c>
      <c r="G1106" s="79" t="s">
        <v>119</v>
      </c>
      <c r="H1106" s="80">
        <v>1657.0</v>
      </c>
      <c r="I1106" s="79">
        <v>222090.0</v>
      </c>
      <c r="J1106" s="83" t="s">
        <v>568</v>
      </c>
      <c r="K1106" s="77" t="s">
        <v>569</v>
      </c>
      <c r="L1106" s="79" t="s">
        <v>453</v>
      </c>
      <c r="M1106" s="79"/>
      <c r="N1106" s="79">
        <v>0.0</v>
      </c>
      <c r="O1106" s="74"/>
      <c r="P1106" s="80"/>
      <c r="Q1106" s="79"/>
      <c r="R1106" s="80"/>
      <c r="S1106" s="78" t="s">
        <v>7593</v>
      </c>
      <c r="T1106" s="85" t="s">
        <v>7594</v>
      </c>
      <c r="U1106" s="80" t="s">
        <v>332</v>
      </c>
      <c r="V1106" s="102" t="s">
        <v>7595</v>
      </c>
      <c r="W1106" s="79" t="s">
        <v>306</v>
      </c>
      <c r="X1106" s="79" t="s">
        <v>306</v>
      </c>
      <c r="Y1106" s="79"/>
      <c r="Z1106" s="79"/>
    </row>
    <row r="1107" ht="15.75" customHeight="1">
      <c r="A1107" s="76" t="s">
        <v>247</v>
      </c>
      <c r="B1107" s="77" t="s">
        <v>7145</v>
      </c>
      <c r="C1107" s="80">
        <v>3.0574192265E10</v>
      </c>
      <c r="D1107" s="119" t="s">
        <v>264</v>
      </c>
      <c r="E1107" s="79" t="s">
        <v>2528</v>
      </c>
      <c r="F1107" s="44">
        <v>2844.0</v>
      </c>
      <c r="G1107" s="79" t="s">
        <v>15</v>
      </c>
      <c r="H1107" s="80">
        <v>1678.0</v>
      </c>
      <c r="I1107" s="79">
        <v>222090.0</v>
      </c>
      <c r="J1107" s="83" t="s">
        <v>568</v>
      </c>
      <c r="K1107" s="77" t="s">
        <v>569</v>
      </c>
      <c r="L1107" s="79" t="s">
        <v>453</v>
      </c>
      <c r="M1107" s="79"/>
      <c r="N1107" s="79">
        <v>6.0</v>
      </c>
      <c r="O1107" s="74"/>
      <c r="P1107" s="80"/>
      <c r="Q1107" s="79"/>
      <c r="R1107" s="80"/>
      <c r="S1107" s="78" t="s">
        <v>7598</v>
      </c>
      <c r="T1107" s="80" t="s">
        <v>7600</v>
      </c>
      <c r="U1107" s="101" t="s">
        <v>7601</v>
      </c>
      <c r="V1107" s="102" t="s">
        <v>429</v>
      </c>
      <c r="W1107" s="79" t="s">
        <v>309</v>
      </c>
      <c r="X1107" s="79" t="s">
        <v>309</v>
      </c>
      <c r="Y1107" s="79" t="s">
        <v>309</v>
      </c>
      <c r="Z1107" s="79"/>
    </row>
    <row r="1108" ht="15.0" customHeight="1">
      <c r="A1108" s="103" t="s">
        <v>24</v>
      </c>
      <c r="B1108" s="79" t="s">
        <v>7603</v>
      </c>
      <c r="C1108" s="80">
        <v>2.3932749564E10</v>
      </c>
      <c r="D1108" s="77" t="s">
        <v>631</v>
      </c>
      <c r="E1108" s="79" t="s">
        <v>1955</v>
      </c>
      <c r="F1108" s="44">
        <v>2889.0</v>
      </c>
      <c r="G1108" s="79" t="s">
        <v>68</v>
      </c>
      <c r="H1108" s="80">
        <v>1702.0</v>
      </c>
      <c r="I1108" s="79">
        <v>251101.0</v>
      </c>
      <c r="J1108" s="74" t="s">
        <v>261</v>
      </c>
      <c r="K1108" s="77" t="s">
        <v>1486</v>
      </c>
      <c r="L1108" s="79"/>
      <c r="M1108" s="79"/>
      <c r="N1108" s="79"/>
      <c r="O1108" s="74"/>
      <c r="P1108" s="80"/>
      <c r="Q1108" s="79"/>
      <c r="R1108" s="80"/>
      <c r="S1108" s="78" t="s">
        <v>7605</v>
      </c>
      <c r="T1108" s="200"/>
      <c r="U1108" s="80"/>
      <c r="V1108" s="102" t="s">
        <v>429</v>
      </c>
      <c r="W1108" s="79"/>
      <c r="X1108" s="79"/>
      <c r="Y1108" s="79"/>
      <c r="Z1108" s="79"/>
    </row>
    <row r="1109" ht="15.75" customHeight="1">
      <c r="A1109" s="103" t="s">
        <v>24</v>
      </c>
      <c r="B1109" s="77" t="s">
        <v>7607</v>
      </c>
      <c r="C1109" s="80">
        <v>3.0709916781E10</v>
      </c>
      <c r="D1109" s="119" t="s">
        <v>264</v>
      </c>
      <c r="E1109" s="79" t="s">
        <v>1045</v>
      </c>
      <c r="F1109" s="44">
        <v>4709.0</v>
      </c>
      <c r="G1109" s="79" t="s">
        <v>15</v>
      </c>
      <c r="H1109" s="80">
        <v>1678.0</v>
      </c>
      <c r="I1109" s="79">
        <v>410011.0</v>
      </c>
      <c r="J1109" s="74" t="s">
        <v>125</v>
      </c>
      <c r="K1109" s="79" t="s">
        <v>1829</v>
      </c>
      <c r="L1109" s="79" t="s">
        <v>453</v>
      </c>
      <c r="M1109" s="79"/>
      <c r="N1109" s="79">
        <v>2.0</v>
      </c>
      <c r="O1109" s="74"/>
      <c r="P1109" s="80"/>
      <c r="Q1109" s="79"/>
      <c r="R1109" s="80"/>
      <c r="S1109" s="78" t="s">
        <v>7609</v>
      </c>
      <c r="T1109" s="101" t="s">
        <v>332</v>
      </c>
      <c r="U1109" s="80" t="s">
        <v>332</v>
      </c>
      <c r="V1109" s="102" t="s">
        <v>429</v>
      </c>
      <c r="W1109" s="79" t="s">
        <v>306</v>
      </c>
      <c r="X1109" s="79" t="s">
        <v>306</v>
      </c>
      <c r="Y1109" s="79"/>
      <c r="Z1109" s="79"/>
    </row>
    <row r="1110" ht="15.75" customHeight="1">
      <c r="A1110" s="103" t="s">
        <v>24</v>
      </c>
      <c r="B1110" s="79" t="s">
        <v>7610</v>
      </c>
      <c r="C1110" s="80">
        <v>3.0502309656E10</v>
      </c>
      <c r="D1110" s="119" t="s">
        <v>264</v>
      </c>
      <c r="E1110" s="77" t="s">
        <v>7611</v>
      </c>
      <c r="F1110" s="44">
        <v>835.0</v>
      </c>
      <c r="G1110" s="79" t="s">
        <v>68</v>
      </c>
      <c r="H1110" s="80">
        <v>1702.0</v>
      </c>
      <c r="I1110" s="79">
        <v>139900.0</v>
      </c>
      <c r="J1110" s="74" t="s">
        <v>448</v>
      </c>
      <c r="K1110" s="77" t="s">
        <v>1760</v>
      </c>
      <c r="L1110" s="79"/>
      <c r="M1110" s="79"/>
      <c r="N1110" s="79">
        <v>12.0</v>
      </c>
      <c r="O1110" s="74"/>
      <c r="P1110" s="80"/>
      <c r="Q1110" s="79"/>
      <c r="R1110" s="80"/>
      <c r="S1110" s="80" t="s">
        <v>7614</v>
      </c>
      <c r="T1110" s="101" t="s">
        <v>7615</v>
      </c>
      <c r="U1110" s="80" t="s">
        <v>7616</v>
      </c>
      <c r="V1110" s="102" t="s">
        <v>429</v>
      </c>
      <c r="W1110" s="79" t="s">
        <v>309</v>
      </c>
      <c r="X1110" s="79" t="s">
        <v>309</v>
      </c>
      <c r="Y1110" s="79" t="s">
        <v>309</v>
      </c>
      <c r="Z1110" s="79"/>
    </row>
    <row r="1111" ht="15.75" customHeight="1">
      <c r="A1111" s="76" t="s">
        <v>247</v>
      </c>
      <c r="B1111" s="77" t="s">
        <v>7153</v>
      </c>
      <c r="C1111" s="80">
        <v>3.0610432774E10</v>
      </c>
      <c r="D1111" s="119" t="s">
        <v>264</v>
      </c>
      <c r="E1111" s="79" t="s">
        <v>1955</v>
      </c>
      <c r="F1111" s="44">
        <v>3966.0</v>
      </c>
      <c r="G1111" s="79" t="s">
        <v>68</v>
      </c>
      <c r="H1111" s="80">
        <v>1702.0</v>
      </c>
      <c r="I1111" s="79">
        <v>633190.0</v>
      </c>
      <c r="J1111" s="74" t="s">
        <v>433</v>
      </c>
      <c r="K1111" s="77" t="s">
        <v>7618</v>
      </c>
      <c r="L1111" s="79"/>
      <c r="M1111" s="79"/>
      <c r="N1111" s="79">
        <v>5.0</v>
      </c>
      <c r="O1111" s="74"/>
      <c r="P1111" s="80"/>
      <c r="Q1111" s="79"/>
      <c r="R1111" s="80"/>
      <c r="S1111" s="80" t="s">
        <v>7620</v>
      </c>
      <c r="T1111" s="85" t="s">
        <v>7621</v>
      </c>
      <c r="U1111" s="78" t="s">
        <v>7622</v>
      </c>
      <c r="V1111" s="102" t="s">
        <v>429</v>
      </c>
      <c r="W1111" s="79" t="s">
        <v>306</v>
      </c>
      <c r="X1111" s="79" t="s">
        <v>306</v>
      </c>
      <c r="Y1111" s="79" t="s">
        <v>309</v>
      </c>
      <c r="Z1111" s="79"/>
    </row>
    <row r="1112" ht="15.75" customHeight="1">
      <c r="A1112" s="76" t="s">
        <v>247</v>
      </c>
      <c r="B1112" s="79" t="s">
        <v>7158</v>
      </c>
      <c r="C1112" s="101">
        <v>3.0605224691E10</v>
      </c>
      <c r="D1112" s="79" t="s">
        <v>264</v>
      </c>
      <c r="E1112" s="79" t="s">
        <v>1785</v>
      </c>
      <c r="F1112" s="210">
        <v>4281.0</v>
      </c>
      <c r="G1112" s="79" t="s">
        <v>68</v>
      </c>
      <c r="H1112" s="80">
        <v>1702.0</v>
      </c>
      <c r="I1112" s="101">
        <v>201180.0</v>
      </c>
      <c r="J1112" s="74" t="s">
        <v>316</v>
      </c>
      <c r="K1112" s="129" t="s">
        <v>7625</v>
      </c>
      <c r="L1112" s="325"/>
      <c r="M1112" s="79"/>
      <c r="N1112" s="79"/>
      <c r="O1112" s="126" t="s">
        <v>7626</v>
      </c>
      <c r="P1112" s="78" t="s">
        <v>7627</v>
      </c>
      <c r="Q1112" s="79"/>
      <c r="R1112" s="80"/>
      <c r="S1112" s="101" t="s">
        <v>7628</v>
      </c>
      <c r="T1112" s="101"/>
      <c r="U1112" s="80"/>
      <c r="V1112" s="102" t="s">
        <v>7630</v>
      </c>
      <c r="W1112" s="79"/>
      <c r="X1112" s="79"/>
      <c r="Y1112" s="79"/>
      <c r="Z1112" s="79"/>
    </row>
    <row r="1113" ht="15.75" customHeight="1">
      <c r="A1113" s="103" t="s">
        <v>24</v>
      </c>
      <c r="B1113" s="77" t="s">
        <v>7632</v>
      </c>
      <c r="C1113" s="80">
        <v>3.3569825879E10</v>
      </c>
      <c r="D1113" s="119" t="s">
        <v>264</v>
      </c>
      <c r="E1113" s="77" t="s">
        <v>7633</v>
      </c>
      <c r="F1113" s="44">
        <v>10363.0</v>
      </c>
      <c r="G1113" s="79" t="s">
        <v>119</v>
      </c>
      <c r="H1113" s="80">
        <v>1657.0</v>
      </c>
      <c r="I1113" s="79">
        <v>243200.0</v>
      </c>
      <c r="J1113" s="74" t="s">
        <v>347</v>
      </c>
      <c r="K1113" s="79" t="s">
        <v>1277</v>
      </c>
      <c r="L1113" s="79" t="s">
        <v>453</v>
      </c>
      <c r="M1113" s="79"/>
      <c r="N1113" s="79">
        <v>1.0</v>
      </c>
      <c r="O1113" s="74"/>
      <c r="P1113" s="80"/>
      <c r="Q1113" s="79"/>
      <c r="R1113" s="80"/>
      <c r="S1113" s="80" t="s">
        <v>7635</v>
      </c>
      <c r="T1113" s="101" t="s">
        <v>332</v>
      </c>
      <c r="U1113" s="80" t="s">
        <v>332</v>
      </c>
      <c r="V1113" s="102" t="s">
        <v>429</v>
      </c>
      <c r="W1113" s="79" t="s">
        <v>309</v>
      </c>
      <c r="X1113" s="79" t="s">
        <v>309</v>
      </c>
      <c r="Y1113" s="79" t="s">
        <v>309</v>
      </c>
      <c r="Z1113" s="79"/>
    </row>
    <row r="1114" ht="15.0" customHeight="1">
      <c r="A1114" s="76" t="s">
        <v>247</v>
      </c>
      <c r="B1114" s="77" t="s">
        <v>7637</v>
      </c>
      <c r="C1114" s="80">
        <v>3.0580861268E10</v>
      </c>
      <c r="D1114" s="119" t="s">
        <v>264</v>
      </c>
      <c r="E1114" s="77" t="s">
        <v>4233</v>
      </c>
      <c r="F1114" s="44">
        <v>5066.0</v>
      </c>
      <c r="G1114" s="79" t="s">
        <v>15</v>
      </c>
      <c r="H1114" s="80">
        <v>1678.0</v>
      </c>
      <c r="I1114" s="77">
        <v>960102.0</v>
      </c>
      <c r="J1114" s="74" t="s">
        <v>433</v>
      </c>
      <c r="K1114" s="77" t="s">
        <v>7639</v>
      </c>
      <c r="L1114" s="79"/>
      <c r="M1114" s="79"/>
      <c r="N1114" s="79">
        <v>11.0</v>
      </c>
      <c r="O1114" s="74"/>
      <c r="P1114" s="80"/>
      <c r="Q1114" s="79"/>
      <c r="R1114" s="80"/>
      <c r="S1114" s="78" t="s">
        <v>7640</v>
      </c>
      <c r="T1114" s="101" t="s">
        <v>332</v>
      </c>
      <c r="U1114" s="80" t="s">
        <v>332</v>
      </c>
      <c r="V1114" s="102" t="s">
        <v>429</v>
      </c>
      <c r="W1114" s="79" t="s">
        <v>306</v>
      </c>
      <c r="X1114" s="79" t="s">
        <v>306</v>
      </c>
      <c r="Y1114" s="79"/>
      <c r="Z1114" s="79"/>
    </row>
    <row r="1115" ht="15.75" customHeight="1">
      <c r="A1115" s="76" t="s">
        <v>247</v>
      </c>
      <c r="B1115" s="77" t="s">
        <v>7164</v>
      </c>
      <c r="C1115" s="80">
        <v>3.0693463927E10</v>
      </c>
      <c r="D1115" s="79" t="s">
        <v>264</v>
      </c>
      <c r="E1115" s="79" t="s">
        <v>2312</v>
      </c>
      <c r="F1115" s="44">
        <v>6048.0</v>
      </c>
      <c r="G1115" s="79" t="s">
        <v>119</v>
      </c>
      <c r="H1115" s="80">
        <v>1657.0</v>
      </c>
      <c r="I1115" s="79">
        <v>259993.0</v>
      </c>
      <c r="J1115" s="74" t="s">
        <v>347</v>
      </c>
      <c r="K1115" s="129" t="s">
        <v>638</v>
      </c>
      <c r="L1115" s="79" t="s">
        <v>453</v>
      </c>
      <c r="M1115" s="79"/>
      <c r="N1115" s="79">
        <v>14.0</v>
      </c>
      <c r="O1115" s="74"/>
      <c r="P1115" s="80"/>
      <c r="Q1115" s="79"/>
      <c r="R1115" s="80"/>
      <c r="S1115" s="80" t="s">
        <v>7645</v>
      </c>
      <c r="T1115" s="101" t="s">
        <v>332</v>
      </c>
      <c r="U1115" s="80"/>
      <c r="V1115" s="102" t="s">
        <v>429</v>
      </c>
      <c r="W1115" s="79" t="s">
        <v>309</v>
      </c>
      <c r="X1115" s="79" t="s">
        <v>309</v>
      </c>
      <c r="Y1115" s="79" t="s">
        <v>309</v>
      </c>
      <c r="Z1115" s="79"/>
    </row>
    <row r="1116" ht="15.75" customHeight="1">
      <c r="A1116" s="103" t="s">
        <v>24</v>
      </c>
      <c r="B1116" s="79" t="s">
        <v>7171</v>
      </c>
      <c r="C1116" s="80">
        <v>2.0133941631E10</v>
      </c>
      <c r="D1116" s="77" t="s">
        <v>631</v>
      </c>
      <c r="E1116" s="79" t="s">
        <v>2143</v>
      </c>
      <c r="F1116" s="128" t="s">
        <v>7646</v>
      </c>
      <c r="G1116" s="79" t="s">
        <v>97</v>
      </c>
      <c r="H1116" s="80">
        <v>1702.0</v>
      </c>
      <c r="I1116" s="79">
        <v>329090.0</v>
      </c>
      <c r="J1116" s="74" t="s">
        <v>261</v>
      </c>
      <c r="K1116" s="77" t="s">
        <v>1307</v>
      </c>
      <c r="L1116" s="79"/>
      <c r="M1116" s="79"/>
      <c r="N1116" s="79"/>
      <c r="O1116" s="74"/>
      <c r="P1116" s="80"/>
      <c r="Q1116" s="79"/>
      <c r="R1116" s="80"/>
      <c r="S1116" s="80"/>
      <c r="T1116" s="101"/>
      <c r="U1116" s="80"/>
      <c r="V1116" s="102" t="s">
        <v>429</v>
      </c>
      <c r="W1116" s="79"/>
      <c r="X1116" s="79"/>
      <c r="Y1116" s="79"/>
      <c r="Z1116" s="79"/>
    </row>
    <row r="1117" ht="15.75" customHeight="1">
      <c r="A1117" s="76" t="s">
        <v>247</v>
      </c>
      <c r="B1117" s="77" t="s">
        <v>7177</v>
      </c>
      <c r="C1117" s="80">
        <v>3.0709652261E10</v>
      </c>
      <c r="D1117" s="119" t="s">
        <v>264</v>
      </c>
      <c r="E1117" s="77" t="s">
        <v>1540</v>
      </c>
      <c r="F1117" s="44">
        <v>4471.0</v>
      </c>
      <c r="G1117" s="79" t="s">
        <v>249</v>
      </c>
      <c r="H1117" s="80">
        <v>1676.0</v>
      </c>
      <c r="I1117" s="79">
        <v>241009.0</v>
      </c>
      <c r="J1117" s="74" t="s">
        <v>347</v>
      </c>
      <c r="K1117" s="77" t="s">
        <v>5011</v>
      </c>
      <c r="L1117" s="79"/>
      <c r="M1117" s="79" t="s">
        <v>7649</v>
      </c>
      <c r="N1117" s="79">
        <v>1.0</v>
      </c>
      <c r="O1117" s="74"/>
      <c r="P1117" s="80"/>
      <c r="Q1117" s="79"/>
      <c r="R1117" s="80"/>
      <c r="S1117" s="80" t="s">
        <v>7650</v>
      </c>
      <c r="T1117" s="101" t="s">
        <v>332</v>
      </c>
      <c r="U1117" s="80" t="s">
        <v>332</v>
      </c>
      <c r="V1117" s="102" t="s">
        <v>429</v>
      </c>
      <c r="W1117" s="79" t="s">
        <v>306</v>
      </c>
      <c r="X1117" s="79" t="s">
        <v>306</v>
      </c>
      <c r="Y1117" s="79"/>
      <c r="Z1117" s="79"/>
    </row>
    <row r="1118" ht="15.0" customHeight="1">
      <c r="A1118" s="76" t="s">
        <v>247</v>
      </c>
      <c r="B1118" s="77" t="s">
        <v>7180</v>
      </c>
      <c r="C1118" s="80">
        <v>3.0707846239E10</v>
      </c>
      <c r="D1118" s="79" t="s">
        <v>264</v>
      </c>
      <c r="E1118" s="77" t="s">
        <v>1596</v>
      </c>
      <c r="F1118" s="44">
        <v>4119.0</v>
      </c>
      <c r="G1118" s="79" t="s">
        <v>249</v>
      </c>
      <c r="H1118" s="80">
        <v>1676.0</v>
      </c>
      <c r="I1118" s="79">
        <v>259301.0</v>
      </c>
      <c r="J1118" s="83" t="s">
        <v>347</v>
      </c>
      <c r="K1118" s="79" t="s">
        <v>1334</v>
      </c>
      <c r="L1118" s="79"/>
      <c r="M1118" s="79"/>
      <c r="N1118" s="79">
        <v>14.0</v>
      </c>
      <c r="O1118" s="74"/>
      <c r="P1118" s="80"/>
      <c r="Q1118" s="79"/>
      <c r="R1118" s="80"/>
      <c r="S1118" s="80" t="s">
        <v>7653</v>
      </c>
      <c r="T1118" s="85" t="s">
        <v>7654</v>
      </c>
      <c r="U1118" s="80" t="s">
        <v>7655</v>
      </c>
      <c r="V1118" s="102" t="s">
        <v>7656</v>
      </c>
      <c r="W1118" s="79" t="s">
        <v>309</v>
      </c>
      <c r="X1118" s="79" t="s">
        <v>309</v>
      </c>
      <c r="Y1118" s="79" t="s">
        <v>309</v>
      </c>
      <c r="Z1118" s="79"/>
    </row>
    <row r="1119" ht="15.75" customHeight="1">
      <c r="A1119" s="76" t="s">
        <v>247</v>
      </c>
      <c r="B1119" s="77" t="s">
        <v>7185</v>
      </c>
      <c r="C1119" s="80">
        <v>3.0701148106E10</v>
      </c>
      <c r="D1119" s="119" t="s">
        <v>264</v>
      </c>
      <c r="E1119" s="79" t="s">
        <v>3052</v>
      </c>
      <c r="F1119" s="44">
        <v>173.0</v>
      </c>
      <c r="G1119" s="79" t="s">
        <v>68</v>
      </c>
      <c r="H1119" s="80">
        <v>1702.0</v>
      </c>
      <c r="I1119" s="77">
        <v>282901.0</v>
      </c>
      <c r="J1119" s="74" t="s">
        <v>347</v>
      </c>
      <c r="K1119" s="77" t="s">
        <v>1046</v>
      </c>
      <c r="L1119" s="79" t="s">
        <v>453</v>
      </c>
      <c r="M1119" s="126" t="s">
        <v>7658</v>
      </c>
      <c r="N1119" s="79">
        <v>3.0</v>
      </c>
      <c r="O1119" s="129" t="s">
        <v>7659</v>
      </c>
      <c r="P1119" s="80"/>
      <c r="Q1119" s="79"/>
      <c r="R1119" s="114"/>
      <c r="S1119" s="80" t="s">
        <v>7660</v>
      </c>
      <c r="T1119" s="101" t="s">
        <v>7661</v>
      </c>
      <c r="U1119" s="80" t="s">
        <v>332</v>
      </c>
      <c r="V1119" s="102" t="s">
        <v>7663</v>
      </c>
      <c r="W1119" s="79" t="s">
        <v>309</v>
      </c>
      <c r="X1119" s="79" t="s">
        <v>309</v>
      </c>
      <c r="Y1119" s="79" t="s">
        <v>309</v>
      </c>
      <c r="Z1119" s="79"/>
    </row>
    <row r="1120" ht="15.75" customHeight="1">
      <c r="A1120" s="76" t="s">
        <v>247</v>
      </c>
      <c r="B1120" s="77" t="s">
        <v>7190</v>
      </c>
      <c r="C1120" s="80">
        <v>3.3711252539E10</v>
      </c>
      <c r="D1120" s="119" t="s">
        <v>264</v>
      </c>
      <c r="E1120" s="77" t="s">
        <v>1196</v>
      </c>
      <c r="F1120" s="128">
        <v>3723.0</v>
      </c>
      <c r="G1120" s="79" t="s">
        <v>15</v>
      </c>
      <c r="H1120" s="80">
        <v>1678.0</v>
      </c>
      <c r="I1120" s="79">
        <v>107999.0</v>
      </c>
      <c r="J1120" s="74" t="s">
        <v>22</v>
      </c>
      <c r="K1120" s="77" t="s">
        <v>1384</v>
      </c>
      <c r="L1120" s="79"/>
      <c r="M1120" s="79"/>
      <c r="N1120" s="79">
        <v>13.0</v>
      </c>
      <c r="O1120" s="74" t="s">
        <v>332</v>
      </c>
      <c r="P1120" s="78" t="s">
        <v>7665</v>
      </c>
      <c r="Q1120" s="79"/>
      <c r="R1120" s="80"/>
      <c r="S1120" s="80" t="s">
        <v>7666</v>
      </c>
      <c r="T1120" s="101" t="s">
        <v>7667</v>
      </c>
      <c r="U1120" s="80" t="s">
        <v>332</v>
      </c>
      <c r="V1120" s="102" t="s">
        <v>7668</v>
      </c>
      <c r="W1120" s="79" t="s">
        <v>306</v>
      </c>
      <c r="X1120" s="79" t="s">
        <v>306</v>
      </c>
      <c r="Y1120" s="79" t="s">
        <v>309</v>
      </c>
      <c r="Z1120" s="79"/>
    </row>
    <row r="1121" ht="15.75" customHeight="1">
      <c r="A1121" s="76" t="s">
        <v>247</v>
      </c>
      <c r="B1121" s="77" t="s">
        <v>7196</v>
      </c>
      <c r="C1121" s="80">
        <v>3.0708439203E10</v>
      </c>
      <c r="D1121" s="79" t="s">
        <v>264</v>
      </c>
      <c r="E1121" s="79" t="s">
        <v>3287</v>
      </c>
      <c r="F1121" s="44">
        <v>1136.0</v>
      </c>
      <c r="G1121" s="79" t="s">
        <v>249</v>
      </c>
      <c r="H1121" s="80">
        <v>1676.0</v>
      </c>
      <c r="I1121" s="79">
        <v>273190.0</v>
      </c>
      <c r="J1121" s="74" t="s">
        <v>347</v>
      </c>
      <c r="K1121" s="77" t="s">
        <v>3591</v>
      </c>
      <c r="L1121" s="79"/>
      <c r="M1121" s="79"/>
      <c r="N1121" s="79">
        <v>3.0</v>
      </c>
      <c r="O1121" s="74"/>
      <c r="P1121" s="80"/>
      <c r="Q1121" s="79"/>
      <c r="R1121" s="80"/>
      <c r="S1121" s="80" t="s">
        <v>7670</v>
      </c>
      <c r="T1121" s="80" t="s">
        <v>332</v>
      </c>
      <c r="U1121" s="80" t="s">
        <v>332</v>
      </c>
      <c r="V1121" s="102" t="s">
        <v>7671</v>
      </c>
      <c r="W1121" s="79" t="s">
        <v>309</v>
      </c>
      <c r="X1121" s="79" t="s">
        <v>309</v>
      </c>
      <c r="Y1121" s="79" t="s">
        <v>309</v>
      </c>
      <c r="Z1121" s="79"/>
    </row>
    <row r="1122" ht="15.75" customHeight="1">
      <c r="A1122" s="103" t="s">
        <v>24</v>
      </c>
      <c r="B1122" s="77" t="s">
        <v>7672</v>
      </c>
      <c r="C1122" s="80">
        <v>3.066373528E10</v>
      </c>
      <c r="D1122" s="119" t="s">
        <v>264</v>
      </c>
      <c r="E1122" s="79" t="s">
        <v>2410</v>
      </c>
      <c r="F1122" s="44">
        <v>251.0</v>
      </c>
      <c r="G1122" s="79" t="s">
        <v>68</v>
      </c>
      <c r="H1122" s="80">
        <v>1702.0</v>
      </c>
      <c r="I1122" s="79">
        <v>342025.0</v>
      </c>
      <c r="J1122" s="74" t="s">
        <v>433</v>
      </c>
      <c r="K1122" s="79" t="s">
        <v>7675</v>
      </c>
      <c r="L1122" s="79"/>
      <c r="M1122" s="79"/>
      <c r="N1122" s="79">
        <v>0.0</v>
      </c>
      <c r="O1122" s="74"/>
      <c r="P1122" s="80"/>
      <c r="Q1122" s="79"/>
      <c r="R1122" s="80"/>
      <c r="S1122" s="80" t="s">
        <v>7676</v>
      </c>
      <c r="T1122" s="101" t="s">
        <v>7677</v>
      </c>
      <c r="U1122" s="80" t="s">
        <v>332</v>
      </c>
      <c r="V1122" s="102" t="s">
        <v>429</v>
      </c>
      <c r="W1122" s="79" t="s">
        <v>306</v>
      </c>
      <c r="X1122" s="79" t="s">
        <v>306</v>
      </c>
      <c r="Y1122" s="79"/>
      <c r="Z1122" s="79"/>
    </row>
    <row r="1123" ht="15.75" customHeight="1">
      <c r="A1123" s="103" t="s">
        <v>24</v>
      </c>
      <c r="B1123" s="77" t="s">
        <v>7679</v>
      </c>
      <c r="C1123" s="80">
        <v>3.3707634079E10</v>
      </c>
      <c r="D1123" s="144" t="s">
        <v>631</v>
      </c>
      <c r="E1123" s="79" t="s">
        <v>2029</v>
      </c>
      <c r="F1123" s="44">
        <v>721.0</v>
      </c>
      <c r="G1123" s="79" t="s">
        <v>119</v>
      </c>
      <c r="H1123" s="80">
        <v>1657.0</v>
      </c>
      <c r="I1123" s="79">
        <v>741102.0</v>
      </c>
      <c r="J1123" s="74" t="s">
        <v>433</v>
      </c>
      <c r="K1123" s="79" t="s">
        <v>7681</v>
      </c>
      <c r="L1123" s="79"/>
      <c r="M1123" s="79"/>
      <c r="N1123" s="79">
        <v>0.0</v>
      </c>
      <c r="O1123" s="74"/>
      <c r="P1123" s="80"/>
      <c r="Q1123" s="79"/>
      <c r="R1123" s="80"/>
      <c r="S1123" s="80" t="s">
        <v>6789</v>
      </c>
      <c r="T1123" s="200" t="s">
        <v>332</v>
      </c>
      <c r="U1123" s="80" t="s">
        <v>332</v>
      </c>
      <c r="V1123" s="102" t="s">
        <v>429</v>
      </c>
      <c r="W1123" s="79" t="s">
        <v>309</v>
      </c>
      <c r="X1123" s="79" t="s">
        <v>309</v>
      </c>
      <c r="Y1123" s="79"/>
      <c r="Z1123" s="79"/>
    </row>
    <row r="1124" ht="15.75" customHeight="1">
      <c r="A1124" s="103" t="s">
        <v>24</v>
      </c>
      <c r="B1124" s="79" t="s">
        <v>7682</v>
      </c>
      <c r="C1124" s="80">
        <v>2.0221002327E10</v>
      </c>
      <c r="D1124" s="77" t="s">
        <v>631</v>
      </c>
      <c r="E1124" s="79" t="s">
        <v>1955</v>
      </c>
      <c r="F1124" s="44">
        <v>2968.0</v>
      </c>
      <c r="G1124" s="79" t="s">
        <v>68</v>
      </c>
      <c r="H1124" s="80">
        <v>1702.0</v>
      </c>
      <c r="I1124" s="77">
        <v>702091.0</v>
      </c>
      <c r="J1124" s="74" t="s">
        <v>433</v>
      </c>
      <c r="K1124" s="77" t="s">
        <v>7685</v>
      </c>
      <c r="L1124" s="79"/>
      <c r="M1124" s="79"/>
      <c r="N1124" s="79"/>
      <c r="O1124" s="74"/>
      <c r="P1124" s="80"/>
      <c r="Q1124" s="79"/>
      <c r="R1124" s="80"/>
      <c r="S1124" s="78" t="s">
        <v>7686</v>
      </c>
      <c r="T1124" s="101"/>
      <c r="U1124" s="80"/>
      <c r="V1124" s="102" t="s">
        <v>429</v>
      </c>
      <c r="W1124" s="79"/>
      <c r="X1124" s="79"/>
      <c r="Y1124" s="79"/>
      <c r="Z1124" s="79"/>
    </row>
    <row r="1125" ht="15.75" customHeight="1">
      <c r="A1125" s="76" t="s">
        <v>247</v>
      </c>
      <c r="B1125" s="79" t="s">
        <v>7199</v>
      </c>
      <c r="C1125" s="80">
        <v>2.0221260792E10</v>
      </c>
      <c r="D1125" s="144" t="s">
        <v>631</v>
      </c>
      <c r="E1125" s="77" t="s">
        <v>7687</v>
      </c>
      <c r="F1125" s="44">
        <v>1444.0</v>
      </c>
      <c r="G1125" s="79" t="s">
        <v>249</v>
      </c>
      <c r="H1125" s="80">
        <v>1676.0</v>
      </c>
      <c r="I1125" s="79">
        <v>181109.0</v>
      </c>
      <c r="J1125" s="74" t="s">
        <v>238</v>
      </c>
      <c r="K1125" s="77" t="s">
        <v>1545</v>
      </c>
      <c r="L1125" s="79" t="s">
        <v>453</v>
      </c>
      <c r="M1125" s="119" t="s">
        <v>7690</v>
      </c>
      <c r="N1125" s="79"/>
      <c r="O1125" s="83" t="s">
        <v>7691</v>
      </c>
      <c r="P1125" s="78" t="s">
        <v>7692</v>
      </c>
      <c r="Q1125" s="79"/>
      <c r="R1125" s="80"/>
      <c r="S1125" s="240" t="s">
        <v>7693</v>
      </c>
      <c r="T1125" s="80"/>
      <c r="U1125" s="80"/>
      <c r="V1125" s="102" t="s">
        <v>429</v>
      </c>
      <c r="W1125" s="79"/>
      <c r="X1125" s="79"/>
      <c r="Y1125" s="79"/>
      <c r="Z1125" s="79"/>
    </row>
    <row r="1126" ht="15.75" customHeight="1">
      <c r="A1126" s="103" t="s">
        <v>24</v>
      </c>
      <c r="B1126" s="79" t="s">
        <v>7695</v>
      </c>
      <c r="C1126" s="80">
        <v>3.0519789163E10</v>
      </c>
      <c r="D1126" s="79" t="s">
        <v>264</v>
      </c>
      <c r="E1126" s="126" t="s">
        <v>985</v>
      </c>
      <c r="F1126" s="44">
        <v>4035.0</v>
      </c>
      <c r="G1126" s="79" t="s">
        <v>15</v>
      </c>
      <c r="H1126" s="80">
        <v>1678.0</v>
      </c>
      <c r="I1126" s="79">
        <v>361010.0</v>
      </c>
      <c r="J1126" s="74" t="s">
        <v>313</v>
      </c>
      <c r="K1126" s="79" t="s">
        <v>2534</v>
      </c>
      <c r="L1126" s="79" t="s">
        <v>1122</v>
      </c>
      <c r="M1126" s="79"/>
      <c r="N1126" s="79">
        <v>2.0</v>
      </c>
      <c r="O1126" s="74"/>
      <c r="P1126" s="80"/>
      <c r="Q1126" s="79"/>
      <c r="R1126" s="80"/>
      <c r="S1126" s="80" t="s">
        <v>7697</v>
      </c>
      <c r="T1126" s="101" t="s">
        <v>332</v>
      </c>
      <c r="U1126" s="80" t="s">
        <v>332</v>
      </c>
      <c r="V1126" s="102" t="s">
        <v>429</v>
      </c>
      <c r="W1126" s="79" t="s">
        <v>309</v>
      </c>
      <c r="X1126" s="79" t="s">
        <v>309</v>
      </c>
      <c r="Y1126" s="79"/>
      <c r="Z1126" s="79"/>
    </row>
    <row r="1127" ht="15.75" customHeight="1">
      <c r="A1127" s="76" t="s">
        <v>247</v>
      </c>
      <c r="B1127" s="77" t="s">
        <v>7202</v>
      </c>
      <c r="C1127" s="80">
        <v>3.0710654456E10</v>
      </c>
      <c r="D1127" s="79" t="s">
        <v>264</v>
      </c>
      <c r="E1127" s="79" t="s">
        <v>1357</v>
      </c>
      <c r="F1127" s="44">
        <v>5016.0</v>
      </c>
      <c r="G1127" s="79" t="s">
        <v>15</v>
      </c>
      <c r="H1127" s="80">
        <v>1678.0</v>
      </c>
      <c r="I1127" s="79">
        <v>259999.0</v>
      </c>
      <c r="J1127" s="74" t="s">
        <v>347</v>
      </c>
      <c r="K1127" s="77" t="s">
        <v>839</v>
      </c>
      <c r="L1127" s="79" t="s">
        <v>453</v>
      </c>
      <c r="M1127" s="79"/>
      <c r="N1127" s="79">
        <v>0.0</v>
      </c>
      <c r="O1127" s="74"/>
      <c r="P1127" s="80"/>
      <c r="Q1127" s="79"/>
      <c r="R1127" s="80"/>
      <c r="S1127" s="80" t="s">
        <v>7701</v>
      </c>
      <c r="T1127" s="101" t="s">
        <v>332</v>
      </c>
      <c r="U1127" s="80" t="s">
        <v>332</v>
      </c>
      <c r="V1127" s="102" t="s">
        <v>429</v>
      </c>
      <c r="W1127" s="79" t="s">
        <v>306</v>
      </c>
      <c r="X1127" s="79" t="s">
        <v>306</v>
      </c>
      <c r="Y1127" s="79" t="s">
        <v>309</v>
      </c>
      <c r="Z1127" s="79"/>
    </row>
    <row r="1128" ht="15.0" customHeight="1">
      <c r="A1128" s="76" t="s">
        <v>247</v>
      </c>
      <c r="B1128" s="79" t="s">
        <v>7206</v>
      </c>
      <c r="C1128" s="80">
        <v>2.0242729545E10</v>
      </c>
      <c r="D1128" s="144" t="s">
        <v>2519</v>
      </c>
      <c r="E1128" s="79" t="s">
        <v>7702</v>
      </c>
      <c r="F1128" s="44">
        <v>3235.0</v>
      </c>
      <c r="G1128" s="79" t="s">
        <v>15</v>
      </c>
      <c r="H1128" s="80">
        <v>1678.0</v>
      </c>
      <c r="I1128" s="79">
        <v>310010.0</v>
      </c>
      <c r="J1128" s="74" t="s">
        <v>313</v>
      </c>
      <c r="K1128" s="77" t="s">
        <v>1438</v>
      </c>
      <c r="L1128" s="79" t="s">
        <v>1122</v>
      </c>
      <c r="M1128" s="79"/>
      <c r="N1128" s="79"/>
      <c r="O1128" s="74"/>
      <c r="P1128" s="80"/>
      <c r="Q1128" s="79"/>
      <c r="R1128" s="80"/>
      <c r="S1128" s="80" t="s">
        <v>7705</v>
      </c>
      <c r="T1128" s="85" t="s">
        <v>7706</v>
      </c>
      <c r="U1128" s="80"/>
      <c r="V1128" s="102" t="s">
        <v>7707</v>
      </c>
      <c r="W1128" s="79"/>
      <c r="X1128" s="79"/>
      <c r="Y1128" s="79"/>
      <c r="Z1128" s="79"/>
    </row>
    <row r="1129" ht="15.0" customHeight="1">
      <c r="A1129" s="103" t="s">
        <v>24</v>
      </c>
      <c r="B1129" s="79" t="s">
        <v>7708</v>
      </c>
      <c r="C1129" s="80">
        <v>2.0270110704E10</v>
      </c>
      <c r="D1129" s="144" t="s">
        <v>631</v>
      </c>
      <c r="E1129" s="77" t="s">
        <v>1458</v>
      </c>
      <c r="F1129" s="44">
        <v>5437.0</v>
      </c>
      <c r="G1129" s="79" t="s">
        <v>15</v>
      </c>
      <c r="H1129" s="80">
        <v>1678.0</v>
      </c>
      <c r="I1129" s="79">
        <v>162909.0</v>
      </c>
      <c r="J1129" s="74" t="s">
        <v>261</v>
      </c>
      <c r="K1129" s="77" t="s">
        <v>7711</v>
      </c>
      <c r="L1129" s="79" t="s">
        <v>1122</v>
      </c>
      <c r="M1129" s="79"/>
      <c r="N1129" s="79"/>
      <c r="O1129" s="74"/>
      <c r="P1129" s="80"/>
      <c r="Q1129" s="79"/>
      <c r="R1129" s="80"/>
      <c r="S1129" s="78" t="s">
        <v>7712</v>
      </c>
      <c r="T1129" s="101"/>
      <c r="U1129" s="80"/>
      <c r="V1129" s="102" t="s">
        <v>429</v>
      </c>
      <c r="W1129" s="79"/>
      <c r="X1129" s="79"/>
      <c r="Y1129" s="79"/>
      <c r="Z1129" s="79"/>
    </row>
    <row r="1130" ht="15.0" customHeight="1">
      <c r="A1130" s="103" t="s">
        <v>24</v>
      </c>
      <c r="B1130" s="77" t="s">
        <v>7714</v>
      </c>
      <c r="C1130" s="80">
        <v>3.070768954E10</v>
      </c>
      <c r="D1130" s="119" t="s">
        <v>264</v>
      </c>
      <c r="E1130" s="79" t="s">
        <v>1569</v>
      </c>
      <c r="F1130" s="44">
        <v>4470.0</v>
      </c>
      <c r="G1130" s="79" t="s">
        <v>68</v>
      </c>
      <c r="H1130" s="80">
        <v>1702.0</v>
      </c>
      <c r="I1130" s="79">
        <v>252010.0</v>
      </c>
      <c r="J1130" s="83" t="s">
        <v>568</v>
      </c>
      <c r="K1130" s="79" t="s">
        <v>2874</v>
      </c>
      <c r="L1130" s="79" t="s">
        <v>453</v>
      </c>
      <c r="M1130" s="79"/>
      <c r="N1130" s="79">
        <v>1.0</v>
      </c>
      <c r="O1130" s="74"/>
      <c r="P1130" s="80"/>
      <c r="Q1130" s="79"/>
      <c r="R1130" s="80"/>
      <c r="S1130" s="78" t="s">
        <v>7716</v>
      </c>
      <c r="T1130" s="101" t="s">
        <v>332</v>
      </c>
      <c r="U1130" s="80" t="s">
        <v>332</v>
      </c>
      <c r="V1130" s="102" t="s">
        <v>429</v>
      </c>
      <c r="W1130" s="79" t="s">
        <v>306</v>
      </c>
      <c r="X1130" s="79" t="s">
        <v>306</v>
      </c>
      <c r="Y1130" s="79"/>
      <c r="Z1130" s="79"/>
    </row>
    <row r="1131" ht="15.0" customHeight="1">
      <c r="A1131" s="103" t="s">
        <v>24</v>
      </c>
      <c r="B1131" s="79" t="s">
        <v>7719</v>
      </c>
      <c r="C1131" s="80">
        <v>3.071489938E10</v>
      </c>
      <c r="D1131" s="119" t="s">
        <v>264</v>
      </c>
      <c r="E1131" s="79" t="s">
        <v>1079</v>
      </c>
      <c r="F1131" s="44">
        <v>5475.0</v>
      </c>
      <c r="G1131" s="79" t="s">
        <v>15</v>
      </c>
      <c r="H1131" s="80">
        <v>1678.0</v>
      </c>
      <c r="I1131" s="79">
        <v>141199.0</v>
      </c>
      <c r="J1131" s="74" t="s">
        <v>448</v>
      </c>
      <c r="K1131" s="77" t="s">
        <v>2765</v>
      </c>
      <c r="L1131" s="79" t="s">
        <v>1122</v>
      </c>
      <c r="M1131" s="79"/>
      <c r="N1131" s="79">
        <v>4.0</v>
      </c>
      <c r="O1131" s="74"/>
      <c r="P1131" s="80"/>
      <c r="Q1131" s="79"/>
      <c r="R1131" s="80"/>
      <c r="S1131" s="101" t="s">
        <v>7720</v>
      </c>
      <c r="T1131" s="101" t="s">
        <v>332</v>
      </c>
      <c r="U1131" s="80" t="s">
        <v>332</v>
      </c>
      <c r="V1131" s="102" t="s">
        <v>429</v>
      </c>
      <c r="W1131" s="79" t="s">
        <v>309</v>
      </c>
      <c r="X1131" s="79" t="s">
        <v>309</v>
      </c>
      <c r="Y1131" s="79"/>
      <c r="Z1131" s="79"/>
    </row>
    <row r="1132" ht="15.75" customHeight="1">
      <c r="A1132" s="103" t="s">
        <v>24</v>
      </c>
      <c r="B1132" s="77" t="s">
        <v>7723</v>
      </c>
      <c r="C1132" s="80">
        <v>3.0707633847E10</v>
      </c>
      <c r="D1132" s="119" t="s">
        <v>264</v>
      </c>
      <c r="E1132" s="79" t="s">
        <v>7250</v>
      </c>
      <c r="F1132" s="44">
        <v>2468.0</v>
      </c>
      <c r="G1132" s="79" t="s">
        <v>285</v>
      </c>
      <c r="H1132" s="80">
        <v>1674.0</v>
      </c>
      <c r="I1132" s="79">
        <v>432190.0</v>
      </c>
      <c r="J1132" s="74" t="s">
        <v>433</v>
      </c>
      <c r="K1132" s="77" t="s">
        <v>7724</v>
      </c>
      <c r="L1132" s="79" t="s">
        <v>4703</v>
      </c>
      <c r="M1132" s="79"/>
      <c r="N1132" s="79">
        <v>103.0</v>
      </c>
      <c r="O1132" s="74"/>
      <c r="P1132" s="80"/>
      <c r="Q1132" s="79"/>
      <c r="R1132" s="80"/>
      <c r="S1132" s="80" t="s">
        <v>7726</v>
      </c>
      <c r="T1132" s="101" t="s">
        <v>7727</v>
      </c>
      <c r="U1132" s="80" t="s">
        <v>332</v>
      </c>
      <c r="V1132" s="102" t="s">
        <v>429</v>
      </c>
      <c r="W1132" s="79" t="s">
        <v>306</v>
      </c>
      <c r="X1132" s="79" t="s">
        <v>306</v>
      </c>
      <c r="Y1132" s="79"/>
      <c r="Z1132" s="79"/>
    </row>
    <row r="1133" ht="15.0" customHeight="1">
      <c r="A1133" s="76" t="s">
        <v>247</v>
      </c>
      <c r="B1133" s="326" t="s">
        <v>2001</v>
      </c>
      <c r="C1133" s="80">
        <v>2.3143791319E10</v>
      </c>
      <c r="D1133" s="77" t="s">
        <v>631</v>
      </c>
      <c r="E1133" s="79" t="s">
        <v>3614</v>
      </c>
      <c r="F1133" s="44">
        <v>1643.0</v>
      </c>
      <c r="G1133" s="119" t="s">
        <v>119</v>
      </c>
      <c r="H1133" s="80">
        <v>1657.0</v>
      </c>
      <c r="I1133" s="79">
        <v>293090.0</v>
      </c>
      <c r="J1133" s="74" t="s">
        <v>337</v>
      </c>
      <c r="K1133" s="77" t="s">
        <v>407</v>
      </c>
      <c r="L1133" s="79" t="s">
        <v>453</v>
      </c>
      <c r="M1133" s="79"/>
      <c r="N1133" s="79"/>
      <c r="O1133" s="74" t="s">
        <v>7731</v>
      </c>
      <c r="P1133" s="78" t="s">
        <v>7732</v>
      </c>
      <c r="Q1133" s="79"/>
      <c r="R1133" s="80"/>
      <c r="S1133" s="80"/>
      <c r="T1133" s="101"/>
      <c r="U1133" s="80"/>
      <c r="V1133" s="102" t="s">
        <v>429</v>
      </c>
      <c r="W1133" s="79"/>
      <c r="X1133" s="79"/>
      <c r="Y1133" s="79"/>
      <c r="Z1133" s="79"/>
    </row>
    <row r="1134" ht="15.75" customHeight="1">
      <c r="A1134" s="76" t="s">
        <v>247</v>
      </c>
      <c r="B1134" s="77" t="s">
        <v>4163</v>
      </c>
      <c r="C1134" s="80">
        <v>3.0711624372E10</v>
      </c>
      <c r="D1134" s="119" t="s">
        <v>264</v>
      </c>
      <c r="E1134" s="79" t="s">
        <v>7734</v>
      </c>
      <c r="F1134" s="44">
        <v>4145.0</v>
      </c>
      <c r="G1134" s="79" t="s">
        <v>249</v>
      </c>
      <c r="H1134" s="80">
        <v>1676.0</v>
      </c>
      <c r="I1134" s="79">
        <v>259999.0</v>
      </c>
      <c r="J1134" s="74" t="s">
        <v>347</v>
      </c>
      <c r="K1134" s="77" t="s">
        <v>839</v>
      </c>
      <c r="L1134" s="79" t="s">
        <v>453</v>
      </c>
      <c r="M1134" s="79"/>
      <c r="N1134" s="79">
        <v>5.0</v>
      </c>
      <c r="O1134" s="74"/>
      <c r="P1134" s="80"/>
      <c r="Q1134" s="79"/>
      <c r="R1134" s="80"/>
      <c r="S1134" s="78" t="s">
        <v>7736</v>
      </c>
      <c r="T1134" s="101"/>
      <c r="U1134" s="80" t="s">
        <v>332</v>
      </c>
      <c r="V1134" s="102" t="s">
        <v>7738</v>
      </c>
      <c r="W1134" s="79" t="s">
        <v>306</v>
      </c>
      <c r="X1134" s="79" t="s">
        <v>306</v>
      </c>
      <c r="Y1134" s="79" t="s">
        <v>309</v>
      </c>
      <c r="Z1134" s="79"/>
    </row>
    <row r="1135" ht="15.75" customHeight="1">
      <c r="A1135" s="103" t="s">
        <v>24</v>
      </c>
      <c r="B1135" s="79" t="s">
        <v>7739</v>
      </c>
      <c r="C1135" s="239">
        <v>2.0188759964E10</v>
      </c>
      <c r="D1135" s="77" t="s">
        <v>631</v>
      </c>
      <c r="E1135" s="79" t="s">
        <v>1095</v>
      </c>
      <c r="F1135" s="44">
        <v>3232.0</v>
      </c>
      <c r="G1135" s="79" t="s">
        <v>15</v>
      </c>
      <c r="H1135" s="80">
        <v>1678.0</v>
      </c>
      <c r="I1135" s="77">
        <v>107420.0</v>
      </c>
      <c r="J1135" s="74" t="s">
        <v>22</v>
      </c>
      <c r="K1135" s="126" t="s">
        <v>7742</v>
      </c>
      <c r="L1135" s="79" t="s">
        <v>286</v>
      </c>
      <c r="M1135" s="79" t="s">
        <v>7743</v>
      </c>
      <c r="N1135" s="79"/>
      <c r="O1135" s="79"/>
      <c r="P1135" s="80"/>
      <c r="Q1135" s="79"/>
      <c r="R1135" s="80"/>
      <c r="S1135" s="78" t="s">
        <v>7744</v>
      </c>
      <c r="T1135" s="85">
        <v>1.1645161E9</v>
      </c>
      <c r="U1135" s="80"/>
      <c r="V1135" s="102" t="s">
        <v>7745</v>
      </c>
      <c r="W1135" s="79"/>
      <c r="X1135" s="79"/>
      <c r="Y1135" s="79"/>
      <c r="Z1135" s="79"/>
    </row>
    <row r="1136" ht="15.75" customHeight="1">
      <c r="A1136" s="103" t="s">
        <v>24</v>
      </c>
      <c r="B1136" s="77" t="s">
        <v>7746</v>
      </c>
      <c r="C1136" s="80">
        <v>3.0707614273E10</v>
      </c>
      <c r="D1136" s="119" t="s">
        <v>264</v>
      </c>
      <c r="E1136" s="77" t="s">
        <v>7748</v>
      </c>
      <c r="F1136" s="44">
        <v>8950.0</v>
      </c>
      <c r="G1136" s="79" t="s">
        <v>119</v>
      </c>
      <c r="H1136" s="80">
        <v>1657.0</v>
      </c>
      <c r="I1136" s="79">
        <v>154200.0</v>
      </c>
      <c r="J1136" s="74" t="s">
        <v>22</v>
      </c>
      <c r="K1136" s="79" t="s">
        <v>7749</v>
      </c>
      <c r="L1136" s="79"/>
      <c r="M1136" s="79"/>
      <c r="N1136" s="79">
        <v>0.0</v>
      </c>
      <c r="O1136" s="74"/>
      <c r="P1136" s="80"/>
      <c r="Q1136" s="79"/>
      <c r="R1136" s="80"/>
      <c r="S1136" s="80" t="s">
        <v>7750</v>
      </c>
      <c r="T1136" s="101" t="s">
        <v>7751</v>
      </c>
      <c r="U1136" s="80" t="s">
        <v>332</v>
      </c>
      <c r="V1136" s="102" t="s">
        <v>429</v>
      </c>
      <c r="W1136" s="79" t="s">
        <v>306</v>
      </c>
      <c r="X1136" s="79" t="s">
        <v>306</v>
      </c>
      <c r="Y1136" s="79"/>
      <c r="Z1136" s="79"/>
    </row>
    <row r="1137" ht="15.75" customHeight="1">
      <c r="A1137" s="103" t="s">
        <v>24</v>
      </c>
      <c r="B1137" s="77" t="s">
        <v>7753</v>
      </c>
      <c r="C1137" s="80">
        <v>3.0612154895E10</v>
      </c>
      <c r="D1137" s="119" t="s">
        <v>264</v>
      </c>
      <c r="E1137" s="79" t="s">
        <v>826</v>
      </c>
      <c r="F1137" s="44">
        <v>5540.0</v>
      </c>
      <c r="G1137" s="79" t="s">
        <v>15</v>
      </c>
      <c r="H1137" s="80">
        <v>1678.0</v>
      </c>
      <c r="I1137" s="79">
        <v>222090.0</v>
      </c>
      <c r="J1137" s="83" t="s">
        <v>568</v>
      </c>
      <c r="K1137" s="77" t="s">
        <v>569</v>
      </c>
      <c r="L1137" s="79" t="s">
        <v>453</v>
      </c>
      <c r="M1137" s="79"/>
      <c r="N1137" s="79">
        <v>0.0</v>
      </c>
      <c r="O1137" s="74"/>
      <c r="P1137" s="80"/>
      <c r="Q1137" s="79"/>
      <c r="R1137" s="80"/>
      <c r="S1137" s="78" t="s">
        <v>7755</v>
      </c>
      <c r="T1137" s="101" t="s">
        <v>332</v>
      </c>
      <c r="U1137" s="80" t="s">
        <v>332</v>
      </c>
      <c r="V1137" s="102" t="s">
        <v>429</v>
      </c>
      <c r="W1137" s="79" t="s">
        <v>306</v>
      </c>
      <c r="X1137" s="79" t="s">
        <v>306</v>
      </c>
      <c r="Y1137" s="79"/>
      <c r="Z1137" s="79"/>
    </row>
    <row r="1138" ht="15.75" customHeight="1">
      <c r="A1138" s="76" t="s">
        <v>247</v>
      </c>
      <c r="B1138" s="77" t="s">
        <v>2008</v>
      </c>
      <c r="C1138" s="79">
        <v>3.0637443832E10</v>
      </c>
      <c r="D1138" s="77" t="s">
        <v>264</v>
      </c>
      <c r="E1138" s="79" t="s">
        <v>1711</v>
      </c>
      <c r="F1138" s="44">
        <v>4305.0</v>
      </c>
      <c r="G1138" s="79" t="s">
        <v>15</v>
      </c>
      <c r="H1138" s="80">
        <v>1678.0</v>
      </c>
      <c r="I1138" s="79">
        <v>239600.0</v>
      </c>
      <c r="J1138" s="74" t="s">
        <v>396</v>
      </c>
      <c r="K1138" s="79" t="s">
        <v>2013</v>
      </c>
      <c r="L1138" s="79" t="s">
        <v>453</v>
      </c>
      <c r="M1138" s="79"/>
      <c r="N1138" s="79">
        <v>6.0</v>
      </c>
      <c r="O1138" s="74" t="s">
        <v>7758</v>
      </c>
      <c r="P1138" s="78" t="s">
        <v>7759</v>
      </c>
      <c r="Q1138" s="79" t="s">
        <v>7760</v>
      </c>
      <c r="R1138" s="78" t="s">
        <v>7762</v>
      </c>
      <c r="S1138" s="80" t="s">
        <v>7763</v>
      </c>
      <c r="T1138" s="101" t="s">
        <v>332</v>
      </c>
      <c r="U1138" s="80" t="s">
        <v>332</v>
      </c>
      <c r="V1138" s="102" t="s">
        <v>7765</v>
      </c>
      <c r="W1138" s="79" t="s">
        <v>306</v>
      </c>
      <c r="X1138" s="79" t="s">
        <v>306</v>
      </c>
      <c r="Y1138" s="79" t="s">
        <v>309</v>
      </c>
      <c r="Z1138" s="79"/>
    </row>
    <row r="1139" ht="15.75" customHeight="1">
      <c r="A1139" s="76" t="s">
        <v>247</v>
      </c>
      <c r="B1139" s="77" t="s">
        <v>7216</v>
      </c>
      <c r="C1139" s="80">
        <v>3.0714084654E10</v>
      </c>
      <c r="D1139" s="119" t="s">
        <v>264</v>
      </c>
      <c r="E1139" s="79" t="s">
        <v>2267</v>
      </c>
      <c r="F1139" s="44">
        <v>1070.0</v>
      </c>
      <c r="G1139" s="79" t="s">
        <v>68</v>
      </c>
      <c r="H1139" s="80">
        <v>1702.0</v>
      </c>
      <c r="I1139" s="79">
        <v>110300.0</v>
      </c>
      <c r="J1139" s="74" t="s">
        <v>57</v>
      </c>
      <c r="K1139" s="79" t="s">
        <v>7768</v>
      </c>
      <c r="L1139" s="79"/>
      <c r="M1139" s="79"/>
      <c r="N1139" s="79">
        <v>1.0</v>
      </c>
      <c r="O1139" s="74"/>
      <c r="P1139" s="80"/>
      <c r="Q1139" s="79"/>
      <c r="R1139" s="80"/>
      <c r="S1139" s="240" t="s">
        <v>7769</v>
      </c>
      <c r="T1139" s="101" t="s">
        <v>332</v>
      </c>
      <c r="U1139" s="80"/>
      <c r="V1139" s="102" t="s">
        <v>429</v>
      </c>
      <c r="W1139" s="79" t="s">
        <v>309</v>
      </c>
      <c r="X1139" s="79" t="s">
        <v>309</v>
      </c>
      <c r="Y1139" s="79"/>
      <c r="Z1139" s="79"/>
    </row>
    <row r="1140" ht="15.0" customHeight="1">
      <c r="A1140" s="76" t="s">
        <v>247</v>
      </c>
      <c r="B1140" s="77" t="s">
        <v>7219</v>
      </c>
      <c r="C1140" s="80">
        <v>3.0707510826E10</v>
      </c>
      <c r="D1140" s="119" t="s">
        <v>264</v>
      </c>
      <c r="E1140" s="79" t="s">
        <v>1088</v>
      </c>
      <c r="F1140" s="44">
        <v>5624.0</v>
      </c>
      <c r="G1140" s="79" t="s">
        <v>15</v>
      </c>
      <c r="H1140" s="80">
        <v>1678.0</v>
      </c>
      <c r="I1140" s="79">
        <v>281900.0</v>
      </c>
      <c r="J1140" s="74" t="s">
        <v>347</v>
      </c>
      <c r="K1140" s="77" t="s">
        <v>2217</v>
      </c>
      <c r="L1140" s="79" t="s">
        <v>662</v>
      </c>
      <c r="M1140" s="79"/>
      <c r="N1140" s="79">
        <v>22.0</v>
      </c>
      <c r="O1140" s="74" t="s">
        <v>7772</v>
      </c>
      <c r="P1140" s="78" t="s">
        <v>7773</v>
      </c>
      <c r="Q1140" s="79"/>
      <c r="R1140" s="80"/>
      <c r="S1140" s="80" t="s">
        <v>7774</v>
      </c>
      <c r="T1140" s="101" t="s">
        <v>7776</v>
      </c>
      <c r="U1140" s="80" t="s">
        <v>7777</v>
      </c>
      <c r="V1140" s="102" t="s">
        <v>7778</v>
      </c>
      <c r="W1140" s="79" t="s">
        <v>309</v>
      </c>
      <c r="X1140" s="79" t="s">
        <v>309</v>
      </c>
      <c r="Y1140" s="79" t="s">
        <v>309</v>
      </c>
      <c r="Z1140" s="79"/>
    </row>
    <row r="1141" ht="15.0" customHeight="1">
      <c r="A1141" s="76" t="s">
        <v>247</v>
      </c>
      <c r="B1141" s="77" t="s">
        <v>7222</v>
      </c>
      <c r="C1141" s="80">
        <v>3.0712316574E10</v>
      </c>
      <c r="D1141" s="119" t="s">
        <v>264</v>
      </c>
      <c r="E1141" s="79" t="s">
        <v>3198</v>
      </c>
      <c r="F1141" s="44">
        <v>6085.0</v>
      </c>
      <c r="G1141" s="79" t="s">
        <v>269</v>
      </c>
      <c r="H1141" s="80">
        <v>1682.0</v>
      </c>
      <c r="I1141" s="79">
        <v>492210.0</v>
      </c>
      <c r="J1141" s="74" t="s">
        <v>433</v>
      </c>
      <c r="K1141" s="79" t="s">
        <v>7781</v>
      </c>
      <c r="L1141" s="79"/>
      <c r="M1141" s="79"/>
      <c r="N1141" s="79">
        <v>5.0</v>
      </c>
      <c r="O1141" s="74"/>
      <c r="P1141" s="80"/>
      <c r="Q1141" s="79"/>
      <c r="R1141" s="80"/>
      <c r="S1141" s="78" t="s">
        <v>7782</v>
      </c>
      <c r="T1141" s="85" t="s">
        <v>7783</v>
      </c>
      <c r="U1141" s="80" t="s">
        <v>332</v>
      </c>
      <c r="V1141" s="102" t="s">
        <v>7784</v>
      </c>
      <c r="W1141" s="79" t="s">
        <v>306</v>
      </c>
      <c r="X1141" s="79" t="s">
        <v>306</v>
      </c>
      <c r="Y1141" s="79"/>
      <c r="Z1141" s="79"/>
    </row>
    <row r="1142" ht="15.75" customHeight="1">
      <c r="A1142" s="76" t="s">
        <v>247</v>
      </c>
      <c r="B1142" s="77" t="s">
        <v>7226</v>
      </c>
      <c r="C1142" s="80">
        <v>3.3711503159E10</v>
      </c>
      <c r="D1142" s="79" t="s">
        <v>264</v>
      </c>
      <c r="E1142" s="79" t="s">
        <v>3091</v>
      </c>
      <c r="F1142" s="44">
        <v>6440.0</v>
      </c>
      <c r="G1142" s="79" t="s">
        <v>119</v>
      </c>
      <c r="H1142" s="80">
        <v>1657.0</v>
      </c>
      <c r="I1142" s="79">
        <v>293090.0</v>
      </c>
      <c r="J1142" s="74" t="s">
        <v>337</v>
      </c>
      <c r="K1142" s="77" t="s">
        <v>407</v>
      </c>
      <c r="L1142" s="79"/>
      <c r="M1142" s="79"/>
      <c r="N1142" s="79">
        <v>16.0</v>
      </c>
      <c r="O1142" s="74"/>
      <c r="P1142" s="80"/>
      <c r="Q1142" s="79"/>
      <c r="R1142" s="80"/>
      <c r="S1142" s="80" t="s">
        <v>7789</v>
      </c>
      <c r="T1142" s="101" t="s">
        <v>332</v>
      </c>
      <c r="U1142" s="80" t="s">
        <v>332</v>
      </c>
      <c r="V1142" s="102" t="s">
        <v>7790</v>
      </c>
      <c r="W1142" s="79" t="s">
        <v>309</v>
      </c>
      <c r="X1142" s="79" t="s">
        <v>309</v>
      </c>
      <c r="Y1142" s="79" t="s">
        <v>309</v>
      </c>
      <c r="Z1142" s="79"/>
    </row>
    <row r="1143" ht="15.75" customHeight="1">
      <c r="A1143" s="103" t="s">
        <v>24</v>
      </c>
      <c r="B1143" s="79" t="s">
        <v>7791</v>
      </c>
      <c r="C1143" s="80">
        <v>3.0630081609E10</v>
      </c>
      <c r="D1143" s="77" t="s">
        <v>631</v>
      </c>
      <c r="E1143" s="79" t="s">
        <v>359</v>
      </c>
      <c r="F1143" s="44">
        <v>5134.0</v>
      </c>
      <c r="G1143" s="79" t="s">
        <v>15</v>
      </c>
      <c r="H1143" s="80">
        <v>1678.0</v>
      </c>
      <c r="I1143" s="79">
        <v>289993.0</v>
      </c>
      <c r="J1143" s="74" t="s">
        <v>347</v>
      </c>
      <c r="K1143" s="129" t="s">
        <v>638</v>
      </c>
      <c r="L1143" s="79" t="s">
        <v>453</v>
      </c>
      <c r="M1143" s="79"/>
      <c r="N1143" s="79">
        <v>0.0</v>
      </c>
      <c r="O1143" s="42"/>
      <c r="P1143" s="80"/>
      <c r="Q1143" s="79"/>
      <c r="R1143" s="80"/>
      <c r="S1143" s="80" t="s">
        <v>7794</v>
      </c>
      <c r="T1143" s="101" t="s">
        <v>332</v>
      </c>
      <c r="U1143" s="80" t="s">
        <v>332</v>
      </c>
      <c r="V1143" s="102" t="s">
        <v>429</v>
      </c>
      <c r="W1143" s="79" t="s">
        <v>306</v>
      </c>
      <c r="X1143" s="79" t="s">
        <v>306</v>
      </c>
      <c r="Y1143" s="79"/>
      <c r="Z1143" s="79"/>
    </row>
    <row r="1144" ht="15.75" customHeight="1">
      <c r="A1144" s="103" t="s">
        <v>24</v>
      </c>
      <c r="B1144" s="77" t="s">
        <v>7230</v>
      </c>
      <c r="C1144" s="79">
        <v>2.3146187579E10</v>
      </c>
      <c r="D1144" s="144" t="s">
        <v>631</v>
      </c>
      <c r="E1144" s="79" t="s">
        <v>1045</v>
      </c>
      <c r="F1144" s="44">
        <v>5331.0</v>
      </c>
      <c r="G1144" s="79" t="s">
        <v>15</v>
      </c>
      <c r="H1144" s="80">
        <v>1678.0</v>
      </c>
      <c r="I1144" s="79">
        <v>222010.0</v>
      </c>
      <c r="J1144" s="83" t="s">
        <v>568</v>
      </c>
      <c r="K1144" s="77" t="s">
        <v>1170</v>
      </c>
      <c r="L1144" s="79"/>
      <c r="M1144" s="79"/>
      <c r="N1144" s="79"/>
      <c r="O1144" s="74"/>
      <c r="P1144" s="80"/>
      <c r="Q1144" s="79"/>
      <c r="R1144" s="80"/>
      <c r="S1144" s="80"/>
      <c r="T1144" s="101"/>
      <c r="U1144" s="80"/>
      <c r="V1144" s="102" t="s">
        <v>7797</v>
      </c>
      <c r="W1144" s="79"/>
      <c r="X1144" s="79"/>
      <c r="Y1144" s="79"/>
      <c r="Z1144" s="79"/>
    </row>
    <row r="1145" ht="15.75" customHeight="1">
      <c r="A1145" s="76" t="s">
        <v>247</v>
      </c>
      <c r="B1145" s="77" t="s">
        <v>7799</v>
      </c>
      <c r="C1145" s="80">
        <v>3.0711209928E10</v>
      </c>
      <c r="D1145" s="119" t="s">
        <v>264</v>
      </c>
      <c r="E1145" s="79" t="s">
        <v>1607</v>
      </c>
      <c r="F1145" s="44">
        <v>5530.0</v>
      </c>
      <c r="G1145" s="79" t="s">
        <v>15</v>
      </c>
      <c r="H1145" s="80">
        <v>1678.0</v>
      </c>
      <c r="I1145" s="79">
        <v>107999.0</v>
      </c>
      <c r="J1145" s="74" t="s">
        <v>22</v>
      </c>
      <c r="K1145" s="77" t="s">
        <v>1384</v>
      </c>
      <c r="L1145" s="79"/>
      <c r="M1145" s="79"/>
      <c r="N1145" s="79">
        <v>4.0</v>
      </c>
      <c r="O1145" s="74" t="s">
        <v>332</v>
      </c>
      <c r="P1145" s="80"/>
      <c r="Q1145" s="79"/>
      <c r="R1145" s="80"/>
      <c r="S1145" s="80">
        <v>4.5875419E7</v>
      </c>
      <c r="T1145" s="101" t="s">
        <v>332</v>
      </c>
      <c r="U1145" s="101"/>
      <c r="V1145" s="102" t="s">
        <v>429</v>
      </c>
      <c r="W1145" s="79" t="s">
        <v>306</v>
      </c>
      <c r="X1145" s="79" t="s">
        <v>306</v>
      </c>
      <c r="Y1145" s="79" t="s">
        <v>309</v>
      </c>
      <c r="Z1145" s="79"/>
    </row>
    <row r="1146" ht="15.75" customHeight="1">
      <c r="A1146" s="103" t="s">
        <v>24</v>
      </c>
      <c r="B1146" s="77" t="s">
        <v>7802</v>
      </c>
      <c r="C1146" s="79">
        <v>3.0707092412E10</v>
      </c>
      <c r="D1146" s="77" t="s">
        <v>264</v>
      </c>
      <c r="E1146" s="79" t="s">
        <v>7803</v>
      </c>
      <c r="F1146" s="44">
        <v>7360.0</v>
      </c>
      <c r="G1146" s="79" t="s">
        <v>134</v>
      </c>
      <c r="H1146" s="80">
        <v>1682.0</v>
      </c>
      <c r="I1146" s="79">
        <v>591200.0</v>
      </c>
      <c r="J1146" s="74" t="s">
        <v>433</v>
      </c>
      <c r="K1146" s="79" t="s">
        <v>7804</v>
      </c>
      <c r="L1146" s="79"/>
      <c r="M1146" s="79"/>
      <c r="N1146" s="79">
        <v>0.0</v>
      </c>
      <c r="O1146" s="74"/>
      <c r="P1146" s="80"/>
      <c r="Q1146" s="79"/>
      <c r="R1146" s="80"/>
      <c r="S1146" s="80" t="s">
        <v>7806</v>
      </c>
      <c r="T1146" s="101" t="s">
        <v>7807</v>
      </c>
      <c r="U1146" s="80" t="s">
        <v>332</v>
      </c>
      <c r="V1146" s="102" t="s">
        <v>429</v>
      </c>
      <c r="W1146" s="79" t="s">
        <v>309</v>
      </c>
      <c r="X1146" s="79" t="s">
        <v>309</v>
      </c>
      <c r="Y1146" s="79"/>
      <c r="Z1146" s="79"/>
    </row>
    <row r="1147" ht="15.75" customHeight="1">
      <c r="A1147" s="76" t="s">
        <v>247</v>
      </c>
      <c r="B1147" s="77" t="s">
        <v>7808</v>
      </c>
      <c r="C1147" s="80">
        <v>3.0715224905E10</v>
      </c>
      <c r="D1147" s="119" t="s">
        <v>264</v>
      </c>
      <c r="E1147" s="79" t="s">
        <v>3987</v>
      </c>
      <c r="F1147" s="44">
        <v>8466.0</v>
      </c>
      <c r="G1147" s="79" t="s">
        <v>119</v>
      </c>
      <c r="H1147" s="80">
        <v>1657.0</v>
      </c>
      <c r="I1147" s="79">
        <v>452401.0</v>
      </c>
      <c r="J1147" s="74" t="s">
        <v>433</v>
      </c>
      <c r="K1147" s="79" t="s">
        <v>4710</v>
      </c>
      <c r="L1147" s="79"/>
      <c r="M1147" s="77" t="s">
        <v>7809</v>
      </c>
      <c r="N1147" s="79">
        <v>0.0</v>
      </c>
      <c r="O1147" s="74"/>
      <c r="P1147" s="80"/>
      <c r="Q1147" s="79"/>
      <c r="R1147" s="80"/>
      <c r="S1147" s="78" t="s">
        <v>7812</v>
      </c>
      <c r="T1147" s="101" t="s">
        <v>332</v>
      </c>
      <c r="U1147" s="80" t="s">
        <v>332</v>
      </c>
      <c r="V1147" s="230" t="s">
        <v>7813</v>
      </c>
      <c r="W1147" s="79" t="s">
        <v>306</v>
      </c>
      <c r="X1147" s="79" t="s">
        <v>306</v>
      </c>
      <c r="Y1147" s="79"/>
      <c r="Z1147" s="79"/>
    </row>
    <row r="1148" ht="15.75" customHeight="1">
      <c r="A1148" s="76" t="s">
        <v>247</v>
      </c>
      <c r="B1148" s="77" t="s">
        <v>2014</v>
      </c>
      <c r="C1148" s="85">
        <v>3.0710911602E10</v>
      </c>
      <c r="D1148" s="77" t="s">
        <v>264</v>
      </c>
      <c r="E1148" s="79" t="s">
        <v>2333</v>
      </c>
      <c r="F1148" s="44">
        <v>4638.0</v>
      </c>
      <c r="G1148" s="79" t="s">
        <v>68</v>
      </c>
      <c r="H1148" s="80">
        <v>1702.0</v>
      </c>
      <c r="I1148" s="192">
        <v>465930.0</v>
      </c>
      <c r="J1148" s="194" t="s">
        <v>433</v>
      </c>
      <c r="K1148" s="191" t="s">
        <v>7816</v>
      </c>
      <c r="L1148" s="77" t="s">
        <v>453</v>
      </c>
      <c r="M1148" s="77" t="s">
        <v>7817</v>
      </c>
      <c r="N1148" s="77">
        <v>17.0</v>
      </c>
      <c r="O1148" s="77" t="s">
        <v>7818</v>
      </c>
      <c r="P1148" s="78" t="s">
        <v>7819</v>
      </c>
      <c r="Q1148" s="77" t="s">
        <v>7820</v>
      </c>
      <c r="R1148" s="78" t="s">
        <v>7821</v>
      </c>
      <c r="S1148" s="192" t="s">
        <v>7822</v>
      </c>
      <c r="T1148" s="197" t="s">
        <v>7823</v>
      </c>
      <c r="U1148" s="192" t="s">
        <v>7824</v>
      </c>
      <c r="V1148" s="102" t="s">
        <v>7825</v>
      </c>
      <c r="W1148" s="79"/>
      <c r="X1148" s="79"/>
      <c r="Y1148" s="79"/>
      <c r="Z1148" s="79"/>
    </row>
    <row r="1149" ht="15.75" customHeight="1">
      <c r="A1149" s="76" t="s">
        <v>247</v>
      </c>
      <c r="B1149" s="77" t="s">
        <v>2021</v>
      </c>
      <c r="C1149" s="80">
        <v>3.0519196928E10</v>
      </c>
      <c r="D1149" s="119" t="s">
        <v>264</v>
      </c>
      <c r="E1149" s="77" t="s">
        <v>503</v>
      </c>
      <c r="F1149" s="44">
        <v>2944.0</v>
      </c>
      <c r="G1149" s="79" t="s">
        <v>68</v>
      </c>
      <c r="H1149" s="80">
        <v>1702.0</v>
      </c>
      <c r="I1149" s="79">
        <v>281900.0</v>
      </c>
      <c r="J1149" s="74" t="s">
        <v>337</v>
      </c>
      <c r="K1149" s="77" t="s">
        <v>2217</v>
      </c>
      <c r="L1149" s="79" t="s">
        <v>662</v>
      </c>
      <c r="M1149" s="79" t="s">
        <v>7828</v>
      </c>
      <c r="N1149" s="79">
        <v>22.0</v>
      </c>
      <c r="O1149" s="74" t="s">
        <v>7829</v>
      </c>
      <c r="P1149" s="78" t="s">
        <v>7830</v>
      </c>
      <c r="Q1149" s="79" t="s">
        <v>7831</v>
      </c>
      <c r="R1149" s="78" t="s">
        <v>7832</v>
      </c>
      <c r="S1149" s="80" t="s">
        <v>7833</v>
      </c>
      <c r="T1149" s="101" t="s">
        <v>7834</v>
      </c>
      <c r="U1149" s="78" t="s">
        <v>7835</v>
      </c>
      <c r="V1149" s="102" t="s">
        <v>7836</v>
      </c>
      <c r="W1149" s="79" t="s">
        <v>309</v>
      </c>
      <c r="X1149" s="79" t="s">
        <v>309</v>
      </c>
      <c r="Y1149" s="79" t="s">
        <v>309</v>
      </c>
      <c r="Z1149" s="79"/>
    </row>
    <row r="1150">
      <c r="A1150" s="76" t="s">
        <v>247</v>
      </c>
      <c r="B1150" s="77" t="s">
        <v>7247</v>
      </c>
      <c r="C1150" s="80">
        <v>3.0710792492E10</v>
      </c>
      <c r="D1150" s="79" t="s">
        <v>264</v>
      </c>
      <c r="E1150" s="79" t="s">
        <v>1246</v>
      </c>
      <c r="F1150" s="44">
        <v>258.0</v>
      </c>
      <c r="G1150" s="79" t="s">
        <v>68</v>
      </c>
      <c r="H1150" s="80">
        <v>1702.0</v>
      </c>
      <c r="I1150" s="79">
        <v>192000.0</v>
      </c>
      <c r="J1150" s="74" t="s">
        <v>316</v>
      </c>
      <c r="K1150" s="79" t="s">
        <v>6977</v>
      </c>
      <c r="L1150" s="79"/>
      <c r="M1150" s="79"/>
      <c r="N1150" s="79">
        <v>3.0</v>
      </c>
      <c r="O1150" s="83" t="s">
        <v>7839</v>
      </c>
      <c r="P1150" s="80"/>
      <c r="Q1150" s="79" t="s">
        <v>7840</v>
      </c>
      <c r="R1150" s="80"/>
      <c r="S1150" s="80" t="s">
        <v>7841</v>
      </c>
      <c r="T1150" s="101" t="s">
        <v>332</v>
      </c>
      <c r="U1150" s="80" t="s">
        <v>332</v>
      </c>
      <c r="V1150" s="102" t="s">
        <v>7842</v>
      </c>
      <c r="W1150" s="79" t="s">
        <v>309</v>
      </c>
      <c r="X1150" s="79" t="s">
        <v>309</v>
      </c>
      <c r="Y1150" s="79" t="s">
        <v>309</v>
      </c>
      <c r="Z1150" s="79"/>
    </row>
    <row r="1151" ht="15.0" customHeight="1">
      <c r="A1151" s="103" t="s">
        <v>24</v>
      </c>
      <c r="B1151" s="79" t="s">
        <v>7844</v>
      </c>
      <c r="C1151" s="80">
        <v>2.0284407505E10</v>
      </c>
      <c r="D1151" s="144" t="s">
        <v>631</v>
      </c>
      <c r="E1151" s="79" t="s">
        <v>1896</v>
      </c>
      <c r="F1151" s="44">
        <v>2520.0</v>
      </c>
      <c r="G1151" s="79" t="s">
        <v>175</v>
      </c>
      <c r="H1151" s="80">
        <v>1657.0</v>
      </c>
      <c r="I1151" s="79">
        <v>141199.0</v>
      </c>
      <c r="J1151" s="74" t="s">
        <v>448</v>
      </c>
      <c r="K1151" s="77" t="s">
        <v>2765</v>
      </c>
      <c r="L1151" s="79" t="s">
        <v>369</v>
      </c>
      <c r="M1151" s="79"/>
      <c r="N1151" s="79"/>
      <c r="O1151" s="74"/>
      <c r="P1151" s="80"/>
      <c r="Q1151" s="79"/>
      <c r="R1151" s="80"/>
      <c r="S1151" s="80" t="s">
        <v>7845</v>
      </c>
      <c r="T1151" s="101"/>
      <c r="U1151" s="80"/>
      <c r="V1151" s="102" t="s">
        <v>429</v>
      </c>
      <c r="W1151" s="79"/>
      <c r="X1151" s="79"/>
      <c r="Y1151" s="79"/>
      <c r="Z1151" s="79"/>
    </row>
    <row r="1152" ht="15.0" customHeight="1">
      <c r="A1152" s="76" t="s">
        <v>247</v>
      </c>
      <c r="B1152" s="77" t="s">
        <v>7848</v>
      </c>
      <c r="C1152" s="80">
        <v>2.0230231142E10</v>
      </c>
      <c r="D1152" s="144" t="s">
        <v>2519</v>
      </c>
      <c r="E1152" s="77" t="s">
        <v>2383</v>
      </c>
      <c r="F1152" s="44">
        <v>9272.0</v>
      </c>
      <c r="G1152" s="79" t="s">
        <v>175</v>
      </c>
      <c r="H1152" s="80">
        <v>1657.0</v>
      </c>
      <c r="I1152" s="79">
        <v>251101.0</v>
      </c>
      <c r="J1152" s="74" t="s">
        <v>347</v>
      </c>
      <c r="K1152" s="77" t="s">
        <v>1486</v>
      </c>
      <c r="L1152" s="79" t="s">
        <v>7849</v>
      </c>
      <c r="M1152" s="79" t="s">
        <v>7850</v>
      </c>
      <c r="N1152" s="79"/>
      <c r="O1152" s="74"/>
      <c r="P1152" s="80"/>
      <c r="Q1152" s="79"/>
      <c r="R1152" s="80"/>
      <c r="S1152" s="78" t="s">
        <v>7852</v>
      </c>
      <c r="T1152" s="85" t="s">
        <v>7853</v>
      </c>
      <c r="U1152" s="80"/>
      <c r="V1152" s="102" t="s">
        <v>7854</v>
      </c>
      <c r="W1152" s="79"/>
      <c r="X1152" s="79"/>
      <c r="Y1152" s="79"/>
      <c r="Z1152" s="79"/>
    </row>
    <row r="1153" ht="15.75" customHeight="1">
      <c r="A1153" s="76" t="s">
        <v>247</v>
      </c>
      <c r="B1153" s="79" t="s">
        <v>7252</v>
      </c>
      <c r="C1153" s="80">
        <v>2.3382022629E10</v>
      </c>
      <c r="D1153" s="77" t="s">
        <v>631</v>
      </c>
      <c r="E1153" s="77" t="s">
        <v>7633</v>
      </c>
      <c r="F1153" s="210">
        <v>9551.0</v>
      </c>
      <c r="G1153" s="79" t="s">
        <v>119</v>
      </c>
      <c r="H1153" s="80">
        <v>1657.0</v>
      </c>
      <c r="I1153" s="101">
        <v>259999.0</v>
      </c>
      <c r="J1153" s="74" t="s">
        <v>347</v>
      </c>
      <c r="K1153" s="129" t="s">
        <v>839</v>
      </c>
      <c r="L1153" s="325"/>
      <c r="M1153" s="79" t="s">
        <v>7856</v>
      </c>
      <c r="N1153" s="79"/>
      <c r="O1153" s="77" t="s">
        <v>7858</v>
      </c>
      <c r="P1153" s="80"/>
      <c r="Q1153" s="79"/>
      <c r="R1153" s="80"/>
      <c r="S1153" s="101" t="s">
        <v>7859</v>
      </c>
      <c r="T1153" s="101"/>
      <c r="U1153" s="80"/>
      <c r="V1153" s="102" t="s">
        <v>429</v>
      </c>
      <c r="W1153" s="79"/>
      <c r="X1153" s="79"/>
      <c r="Y1153" s="79"/>
      <c r="Z1153" s="79"/>
    </row>
    <row r="1154" ht="15.0" customHeight="1">
      <c r="A1154" s="76" t="s">
        <v>247</v>
      </c>
      <c r="B1154" s="77" t="s">
        <v>7257</v>
      </c>
      <c r="C1154" s="80">
        <v>3.0662501863E10</v>
      </c>
      <c r="D1154" s="119" t="s">
        <v>264</v>
      </c>
      <c r="E1154" s="77" t="s">
        <v>7860</v>
      </c>
      <c r="F1154" s="44">
        <v>6245.0</v>
      </c>
      <c r="G1154" s="79" t="s">
        <v>119</v>
      </c>
      <c r="H1154" s="80">
        <v>1657.0</v>
      </c>
      <c r="I1154" s="79">
        <v>292000.0</v>
      </c>
      <c r="J1154" s="74" t="s">
        <v>347</v>
      </c>
      <c r="K1154" s="77" t="s">
        <v>3827</v>
      </c>
      <c r="L1154" s="79"/>
      <c r="M1154" s="79"/>
      <c r="N1154" s="79">
        <v>18.0</v>
      </c>
      <c r="O1154" s="74"/>
      <c r="P1154" s="80"/>
      <c r="Q1154" s="79"/>
      <c r="R1154" s="80"/>
      <c r="S1154" s="80" t="s">
        <v>7863</v>
      </c>
      <c r="T1154" s="101" t="s">
        <v>7864</v>
      </c>
      <c r="U1154" s="80" t="s">
        <v>7865</v>
      </c>
      <c r="V1154" s="102" t="s">
        <v>7866</v>
      </c>
      <c r="W1154" s="79" t="s">
        <v>309</v>
      </c>
      <c r="X1154" s="79" t="s">
        <v>309</v>
      </c>
      <c r="Y1154" s="79" t="s">
        <v>309</v>
      </c>
      <c r="Z1154" s="79"/>
    </row>
    <row r="1155" ht="15.75" customHeight="1">
      <c r="A1155" s="76" t="s">
        <v>247</v>
      </c>
      <c r="B1155" s="77" t="s">
        <v>2028</v>
      </c>
      <c r="C1155" s="80">
        <v>3.0663753025E10</v>
      </c>
      <c r="D1155" s="119" t="s">
        <v>264</v>
      </c>
      <c r="E1155" s="126" t="s">
        <v>696</v>
      </c>
      <c r="F1155" s="44">
        <v>5770.0</v>
      </c>
      <c r="G1155" s="79" t="s">
        <v>15</v>
      </c>
      <c r="H1155" s="80">
        <v>1678.0</v>
      </c>
      <c r="I1155" s="79">
        <v>170990.0</v>
      </c>
      <c r="J1155" s="83" t="s">
        <v>568</v>
      </c>
      <c r="K1155" s="77" t="s">
        <v>2385</v>
      </c>
      <c r="L1155" s="79"/>
      <c r="M1155" s="77" t="s">
        <v>7869</v>
      </c>
      <c r="N1155" s="79">
        <v>110.0</v>
      </c>
      <c r="O1155" s="74" t="s">
        <v>7870</v>
      </c>
      <c r="P1155" s="85" t="s">
        <v>7871</v>
      </c>
      <c r="Q1155" s="304" t="s">
        <v>7872</v>
      </c>
      <c r="R1155" s="207" t="s">
        <v>7873</v>
      </c>
      <c r="S1155" s="80" t="s">
        <v>7874</v>
      </c>
      <c r="T1155" s="85" t="s">
        <v>7875</v>
      </c>
      <c r="U1155" s="85" t="s">
        <v>7877</v>
      </c>
      <c r="V1155" s="102" t="s">
        <v>7878</v>
      </c>
      <c r="W1155" s="79" t="s">
        <v>309</v>
      </c>
      <c r="X1155" s="79" t="s">
        <v>309</v>
      </c>
      <c r="Y1155" s="79" t="s">
        <v>309</v>
      </c>
      <c r="Z1155" s="79"/>
    </row>
    <row r="1156" ht="15.75" customHeight="1">
      <c r="A1156" s="103" t="s">
        <v>24</v>
      </c>
      <c r="B1156" s="77" t="s">
        <v>7880</v>
      </c>
      <c r="C1156" s="80">
        <v>3.0691598E10</v>
      </c>
      <c r="D1156" s="119" t="s">
        <v>264</v>
      </c>
      <c r="E1156" s="77" t="s">
        <v>266</v>
      </c>
      <c r="F1156" s="44">
        <v>3015.0</v>
      </c>
      <c r="G1156" s="79" t="s">
        <v>15</v>
      </c>
      <c r="H1156" s="80">
        <v>1678.0</v>
      </c>
      <c r="I1156" s="77">
        <v>960990.0</v>
      </c>
      <c r="J1156" s="74" t="s">
        <v>433</v>
      </c>
      <c r="K1156" s="77" t="s">
        <v>3982</v>
      </c>
      <c r="L1156" s="79"/>
      <c r="M1156" s="79"/>
      <c r="N1156" s="79">
        <v>1.0</v>
      </c>
      <c r="O1156" s="74"/>
      <c r="P1156" s="80"/>
      <c r="Q1156" s="79"/>
      <c r="R1156" s="80"/>
      <c r="S1156" s="80" t="s">
        <v>7883</v>
      </c>
      <c r="T1156" s="101" t="s">
        <v>7883</v>
      </c>
      <c r="U1156" s="80" t="s">
        <v>7884</v>
      </c>
      <c r="V1156" s="102" t="s">
        <v>429</v>
      </c>
      <c r="W1156" s="79" t="s">
        <v>309</v>
      </c>
      <c r="X1156" s="79" t="s">
        <v>309</v>
      </c>
      <c r="Y1156" s="79"/>
      <c r="Z1156" s="79"/>
    </row>
    <row r="1157" ht="15.0" customHeight="1">
      <c r="A1157" s="76" t="s">
        <v>247</v>
      </c>
      <c r="B1157" s="77" t="s">
        <v>7264</v>
      </c>
      <c r="C1157" s="80">
        <v>3.0555263887E10</v>
      </c>
      <c r="D1157" s="119" t="s">
        <v>264</v>
      </c>
      <c r="E1157" s="77" t="s">
        <v>1427</v>
      </c>
      <c r="F1157" s="44">
        <v>5936.0</v>
      </c>
      <c r="G1157" s="79" t="s">
        <v>119</v>
      </c>
      <c r="H1157" s="80">
        <v>1657.0</v>
      </c>
      <c r="I1157" s="79">
        <v>251200.0</v>
      </c>
      <c r="J1157" s="74" t="s">
        <v>347</v>
      </c>
      <c r="K1157" s="79" t="s">
        <v>6151</v>
      </c>
      <c r="L1157" s="79" t="s">
        <v>453</v>
      </c>
      <c r="M1157" s="79"/>
      <c r="N1157" s="79">
        <v>40.0</v>
      </c>
      <c r="O1157" s="74"/>
      <c r="P1157" s="80"/>
      <c r="Q1157" s="79"/>
      <c r="R1157" s="80"/>
      <c r="S1157" s="80" t="s">
        <v>7886</v>
      </c>
      <c r="T1157" s="101" t="s">
        <v>332</v>
      </c>
      <c r="U1157" s="80" t="s">
        <v>332</v>
      </c>
      <c r="V1157" s="102" t="s">
        <v>7887</v>
      </c>
      <c r="W1157" s="79" t="s">
        <v>309</v>
      </c>
      <c r="X1157" s="79" t="s">
        <v>309</v>
      </c>
      <c r="Y1157" s="79" t="s">
        <v>309</v>
      </c>
      <c r="Z1157" s="79"/>
    </row>
    <row r="1158" ht="15.75" customHeight="1">
      <c r="A1158" s="103" t="s">
        <v>24</v>
      </c>
      <c r="B1158" s="77" t="s">
        <v>7888</v>
      </c>
      <c r="C1158" s="80">
        <v>3.0708805447E10</v>
      </c>
      <c r="D1158" s="119" t="s">
        <v>264</v>
      </c>
      <c r="E1158" s="79" t="s">
        <v>723</v>
      </c>
      <c r="F1158" s="44">
        <v>5259.0</v>
      </c>
      <c r="G1158" s="79" t="s">
        <v>15</v>
      </c>
      <c r="H1158" s="80">
        <v>1678.0</v>
      </c>
      <c r="I1158" s="77">
        <v>242090.0</v>
      </c>
      <c r="J1158" s="83" t="s">
        <v>347</v>
      </c>
      <c r="K1158" s="77" t="s">
        <v>2714</v>
      </c>
      <c r="L1158" s="79"/>
      <c r="M1158" s="79"/>
      <c r="N1158" s="79">
        <v>9.0</v>
      </c>
      <c r="O1158" s="74"/>
      <c r="P1158" s="80"/>
      <c r="Q1158" s="79"/>
      <c r="R1158" s="80"/>
      <c r="S1158" s="78" t="s">
        <v>7891</v>
      </c>
      <c r="T1158" s="85"/>
      <c r="U1158" s="80" t="s">
        <v>332</v>
      </c>
      <c r="V1158" s="102" t="s">
        <v>429</v>
      </c>
      <c r="W1158" s="79" t="s">
        <v>306</v>
      </c>
      <c r="X1158" s="79" t="s">
        <v>306</v>
      </c>
      <c r="Y1158" s="79"/>
      <c r="Z1158" s="79"/>
    </row>
    <row r="1159" ht="15.75" customHeight="1">
      <c r="A1159" s="76" t="s">
        <v>247</v>
      </c>
      <c r="B1159" s="77" t="s">
        <v>7271</v>
      </c>
      <c r="C1159" s="80">
        <v>3.0504364174E10</v>
      </c>
      <c r="D1159" s="79" t="s">
        <v>264</v>
      </c>
      <c r="E1159" s="79" t="s">
        <v>2400</v>
      </c>
      <c r="F1159" s="44">
        <v>8180.0</v>
      </c>
      <c r="G1159" s="79" t="s">
        <v>175</v>
      </c>
      <c r="H1159" s="80">
        <v>1657.0</v>
      </c>
      <c r="I1159" s="79">
        <v>293090.0</v>
      </c>
      <c r="J1159" s="74" t="s">
        <v>337</v>
      </c>
      <c r="K1159" s="77" t="s">
        <v>407</v>
      </c>
      <c r="L1159" s="79" t="s">
        <v>453</v>
      </c>
      <c r="M1159" s="79" t="s">
        <v>4430</v>
      </c>
      <c r="N1159" s="79">
        <v>32.0</v>
      </c>
      <c r="O1159" s="83" t="s">
        <v>7894</v>
      </c>
      <c r="P1159" s="80"/>
      <c r="Q1159" s="79"/>
      <c r="R1159" s="80"/>
      <c r="S1159" s="78" t="s">
        <v>7896</v>
      </c>
      <c r="T1159" s="85" t="s">
        <v>7897</v>
      </c>
      <c r="U1159" s="80" t="s">
        <v>332</v>
      </c>
      <c r="V1159" s="102" t="s">
        <v>7898</v>
      </c>
      <c r="W1159" s="79" t="s">
        <v>309</v>
      </c>
      <c r="X1159" s="79" t="s">
        <v>309</v>
      </c>
      <c r="Y1159" s="79"/>
      <c r="Z1159" s="79"/>
    </row>
    <row r="1160" ht="15.75" customHeight="1">
      <c r="A1160" s="76" t="s">
        <v>247</v>
      </c>
      <c r="B1160" s="77" t="s">
        <v>7278</v>
      </c>
      <c r="C1160" s="80">
        <v>3.0703943175E10</v>
      </c>
      <c r="D1160" s="119" t="s">
        <v>264</v>
      </c>
      <c r="E1160" s="77" t="s">
        <v>2868</v>
      </c>
      <c r="F1160" s="44">
        <v>2968.0</v>
      </c>
      <c r="G1160" s="79" t="s">
        <v>15</v>
      </c>
      <c r="H1160" s="80">
        <v>1678.0</v>
      </c>
      <c r="I1160" s="79">
        <v>222090.0</v>
      </c>
      <c r="J1160" s="83" t="s">
        <v>568</v>
      </c>
      <c r="K1160" s="77" t="s">
        <v>569</v>
      </c>
      <c r="L1160" s="79" t="s">
        <v>453</v>
      </c>
      <c r="M1160" s="79"/>
      <c r="N1160" s="79">
        <v>7.0</v>
      </c>
      <c r="O1160" s="74"/>
      <c r="P1160" s="80"/>
      <c r="Q1160" s="79" t="s">
        <v>7900</v>
      </c>
      <c r="R1160" s="80"/>
      <c r="S1160" s="80" t="s">
        <v>7901</v>
      </c>
      <c r="T1160" s="85" t="s">
        <v>7902</v>
      </c>
      <c r="U1160" s="80" t="s">
        <v>332</v>
      </c>
      <c r="V1160" s="102" t="s">
        <v>7903</v>
      </c>
      <c r="W1160" s="79" t="s">
        <v>309</v>
      </c>
      <c r="X1160" s="79" t="s">
        <v>309</v>
      </c>
      <c r="Y1160" s="79" t="s">
        <v>309</v>
      </c>
      <c r="Z1160" s="79"/>
    </row>
    <row r="1161" ht="15.75" customHeight="1">
      <c r="A1161" s="76" t="s">
        <v>247</v>
      </c>
      <c r="B1161" s="77" t="s">
        <v>7905</v>
      </c>
      <c r="C1161" s="80">
        <v>3.0647034396E10</v>
      </c>
      <c r="D1161" s="119" t="s">
        <v>264</v>
      </c>
      <c r="E1161" s="79" t="s">
        <v>2912</v>
      </c>
      <c r="F1161" s="44">
        <v>6730.0</v>
      </c>
      <c r="G1161" s="77" t="s">
        <v>119</v>
      </c>
      <c r="H1161" s="78">
        <v>1657.0</v>
      </c>
      <c r="I1161" s="79">
        <v>202200.0</v>
      </c>
      <c r="J1161" s="74" t="s">
        <v>316</v>
      </c>
      <c r="K1161" s="79" t="s">
        <v>2635</v>
      </c>
      <c r="L1161" s="79"/>
      <c r="M1161" s="79"/>
      <c r="N1161" s="79">
        <v>36.0</v>
      </c>
      <c r="O1161" s="74"/>
      <c r="P1161" s="78" t="s">
        <v>7908</v>
      </c>
      <c r="Q1161" s="79"/>
      <c r="R1161" s="80"/>
      <c r="S1161" s="80" t="s">
        <v>7909</v>
      </c>
      <c r="T1161" s="101" t="s">
        <v>332</v>
      </c>
      <c r="U1161" s="80" t="s">
        <v>332</v>
      </c>
      <c r="V1161" s="102" t="s">
        <v>7910</v>
      </c>
      <c r="W1161" s="79" t="s">
        <v>309</v>
      </c>
      <c r="X1161" s="79" t="s">
        <v>309</v>
      </c>
      <c r="Y1161" s="79" t="s">
        <v>309</v>
      </c>
      <c r="Z1161" s="79"/>
    </row>
    <row r="1162">
      <c r="A1162" s="76" t="s">
        <v>247</v>
      </c>
      <c r="B1162" s="77" t="s">
        <v>7280</v>
      </c>
      <c r="C1162" s="80">
        <v>3.0711924945E10</v>
      </c>
      <c r="D1162" s="79" t="s">
        <v>264</v>
      </c>
      <c r="E1162" s="79" t="s">
        <v>1143</v>
      </c>
      <c r="F1162" s="44">
        <v>1761.0</v>
      </c>
      <c r="G1162" s="79" t="s">
        <v>15</v>
      </c>
      <c r="H1162" s="80">
        <v>1678.0</v>
      </c>
      <c r="I1162" s="79">
        <v>143020.0</v>
      </c>
      <c r="J1162" s="74" t="s">
        <v>448</v>
      </c>
      <c r="K1162" s="79" t="s">
        <v>7912</v>
      </c>
      <c r="L1162" s="79"/>
      <c r="M1162" s="79"/>
      <c r="N1162" s="79">
        <v>1.0</v>
      </c>
      <c r="O1162" s="74"/>
      <c r="P1162" s="80"/>
      <c r="Q1162" s="79"/>
      <c r="R1162" s="80"/>
      <c r="S1162" s="80" t="s">
        <v>7913</v>
      </c>
      <c r="T1162" s="101" t="s">
        <v>332</v>
      </c>
      <c r="U1162" s="80"/>
      <c r="V1162" s="102"/>
      <c r="W1162" s="79" t="s">
        <v>306</v>
      </c>
      <c r="X1162" s="79" t="s">
        <v>306</v>
      </c>
      <c r="Y1162" s="79" t="s">
        <v>309</v>
      </c>
      <c r="Z1162" s="79"/>
    </row>
    <row r="1163" ht="15.75" customHeight="1">
      <c r="A1163" s="76" t="s">
        <v>247</v>
      </c>
      <c r="B1163" s="79" t="s">
        <v>2032</v>
      </c>
      <c r="C1163" s="80">
        <v>3.0715409166E10</v>
      </c>
      <c r="D1163" s="119" t="s">
        <v>264</v>
      </c>
      <c r="E1163" s="79" t="s">
        <v>1810</v>
      </c>
      <c r="F1163" s="44">
        <v>3038.0</v>
      </c>
      <c r="G1163" s="79" t="s">
        <v>15</v>
      </c>
      <c r="H1163" s="80">
        <v>1678.0</v>
      </c>
      <c r="I1163" s="79">
        <v>110300.0</v>
      </c>
      <c r="J1163" s="74" t="s">
        <v>57</v>
      </c>
      <c r="K1163" s="129" t="s">
        <v>7768</v>
      </c>
      <c r="L1163" s="126"/>
      <c r="M1163" s="126"/>
      <c r="N1163" s="79"/>
      <c r="O1163" s="126" t="s">
        <v>7916</v>
      </c>
      <c r="P1163" s="80" t="s">
        <v>7917</v>
      </c>
      <c r="Q1163" s="79"/>
      <c r="R1163" s="80"/>
      <c r="S1163" s="78" t="s">
        <v>7918</v>
      </c>
      <c r="T1163" s="101"/>
      <c r="U1163" s="80"/>
      <c r="V1163" s="102" t="s">
        <v>7919</v>
      </c>
      <c r="W1163" s="79"/>
      <c r="X1163" s="79"/>
      <c r="Y1163" s="126" t="s">
        <v>309</v>
      </c>
      <c r="Z1163" s="79"/>
    </row>
    <row r="1164" ht="15.0" customHeight="1">
      <c r="A1164" s="76" t="s">
        <v>247</v>
      </c>
      <c r="B1164" s="77" t="s">
        <v>2036</v>
      </c>
      <c r="C1164" s="80">
        <v>3.0708614692E10</v>
      </c>
      <c r="D1164" s="79" t="s">
        <v>264</v>
      </c>
      <c r="E1164" s="79" t="s">
        <v>4233</v>
      </c>
      <c r="F1164" s="44">
        <v>4778.0</v>
      </c>
      <c r="G1164" s="79" t="s">
        <v>15</v>
      </c>
      <c r="H1164" s="80">
        <v>1678.0</v>
      </c>
      <c r="I1164" s="79">
        <v>259993.0</v>
      </c>
      <c r="J1164" s="74" t="s">
        <v>347</v>
      </c>
      <c r="K1164" s="129" t="s">
        <v>638</v>
      </c>
      <c r="L1164" s="79" t="s">
        <v>453</v>
      </c>
      <c r="M1164" s="79"/>
      <c r="N1164" s="79">
        <v>6.0</v>
      </c>
      <c r="O1164" s="74" t="s">
        <v>7924</v>
      </c>
      <c r="P1164" s="78" t="s">
        <v>7925</v>
      </c>
      <c r="Q1164" s="79"/>
      <c r="R1164" s="80"/>
      <c r="S1164" s="80"/>
      <c r="T1164" s="101" t="s">
        <v>332</v>
      </c>
      <c r="U1164" s="80" t="s">
        <v>332</v>
      </c>
      <c r="V1164" s="102" t="s">
        <v>429</v>
      </c>
      <c r="W1164" s="79" t="s">
        <v>306</v>
      </c>
      <c r="X1164" s="79" t="s">
        <v>306</v>
      </c>
      <c r="Y1164" s="79"/>
      <c r="Z1164" s="79"/>
    </row>
    <row r="1165" ht="15.75" customHeight="1">
      <c r="A1165" s="103" t="s">
        <v>24</v>
      </c>
      <c r="B1165" s="77" t="s">
        <v>7926</v>
      </c>
      <c r="C1165" s="80">
        <v>3.0707909273E10</v>
      </c>
      <c r="D1165" s="79" t="s">
        <v>264</v>
      </c>
      <c r="E1165" s="77" t="s">
        <v>7928</v>
      </c>
      <c r="F1165" s="44">
        <v>1482.0</v>
      </c>
      <c r="G1165" s="79" t="s">
        <v>249</v>
      </c>
      <c r="H1165" s="80">
        <v>1676.0</v>
      </c>
      <c r="I1165" s="79">
        <v>239900.0</v>
      </c>
      <c r="J1165" s="74" t="s">
        <v>347</v>
      </c>
      <c r="K1165" s="77" t="s">
        <v>3517</v>
      </c>
      <c r="L1165" s="79" t="s">
        <v>453</v>
      </c>
      <c r="M1165" s="79"/>
      <c r="N1165" s="79">
        <v>18.0</v>
      </c>
      <c r="O1165" s="74"/>
      <c r="P1165" s="80"/>
      <c r="Q1165" s="79"/>
      <c r="R1165" s="80"/>
      <c r="S1165" s="80" t="s">
        <v>7930</v>
      </c>
      <c r="T1165" s="101" t="s">
        <v>332</v>
      </c>
      <c r="U1165" s="80" t="s">
        <v>332</v>
      </c>
      <c r="V1165" s="102" t="s">
        <v>429</v>
      </c>
      <c r="W1165" s="79" t="s">
        <v>309</v>
      </c>
      <c r="X1165" s="79" t="s">
        <v>309</v>
      </c>
      <c r="Y1165" s="79"/>
      <c r="Z1165" s="79"/>
    </row>
    <row r="1166" ht="15.75" customHeight="1">
      <c r="A1166" s="76" t="s">
        <v>247</v>
      </c>
      <c r="B1166" s="79" t="s">
        <v>7284</v>
      </c>
      <c r="C1166" s="80">
        <v>2.0080609265E10</v>
      </c>
      <c r="D1166" s="77" t="s">
        <v>631</v>
      </c>
      <c r="E1166" s="79" t="s">
        <v>1911</v>
      </c>
      <c r="F1166" s="44">
        <v>4242.0</v>
      </c>
      <c r="G1166" s="79" t="s">
        <v>68</v>
      </c>
      <c r="H1166" s="80">
        <v>1702.0</v>
      </c>
      <c r="I1166" s="79">
        <v>259309.0</v>
      </c>
      <c r="J1166" s="74" t="s">
        <v>347</v>
      </c>
      <c r="K1166" s="79" t="s">
        <v>7933</v>
      </c>
      <c r="L1166" s="79" t="s">
        <v>453</v>
      </c>
      <c r="M1166" s="79" t="s">
        <v>7429</v>
      </c>
      <c r="N1166" s="79">
        <v>32.0</v>
      </c>
      <c r="O1166" s="74" t="s">
        <v>5211</v>
      </c>
      <c r="P1166" s="78" t="s">
        <v>7934</v>
      </c>
      <c r="Q1166" s="79"/>
      <c r="R1166" s="80"/>
      <c r="S1166" s="80" t="s">
        <v>7935</v>
      </c>
      <c r="T1166" s="101" t="s">
        <v>7174</v>
      </c>
      <c r="U1166" s="80"/>
      <c r="V1166" s="102" t="s">
        <v>7937</v>
      </c>
      <c r="W1166" s="79"/>
      <c r="X1166" s="79"/>
      <c r="Y1166" s="79" t="s">
        <v>309</v>
      </c>
      <c r="Z1166" s="79"/>
    </row>
    <row r="1167" ht="15.75" customHeight="1">
      <c r="A1167" s="76" t="s">
        <v>247</v>
      </c>
      <c r="B1167" s="77" t="s">
        <v>7939</v>
      </c>
      <c r="C1167" s="80">
        <v>3.0707507825E10</v>
      </c>
      <c r="D1167" s="79" t="s">
        <v>264</v>
      </c>
      <c r="E1167" s="79" t="s">
        <v>5499</v>
      </c>
      <c r="F1167" s="44">
        <v>4679.0</v>
      </c>
      <c r="G1167" s="79" t="s">
        <v>68</v>
      </c>
      <c r="H1167" s="80">
        <v>1702.0</v>
      </c>
      <c r="I1167" s="79">
        <v>181192.0</v>
      </c>
      <c r="J1167" s="74" t="s">
        <v>448</v>
      </c>
      <c r="K1167" s="79" t="s">
        <v>7940</v>
      </c>
      <c r="L1167" s="79"/>
      <c r="M1167" s="79"/>
      <c r="N1167" s="79">
        <v>2.0</v>
      </c>
      <c r="O1167" s="74"/>
      <c r="P1167" s="80"/>
      <c r="Q1167" s="79"/>
      <c r="R1167" s="80"/>
      <c r="S1167" s="80" t="s">
        <v>7942</v>
      </c>
      <c r="T1167" s="101" t="s">
        <v>7116</v>
      </c>
      <c r="U1167" s="80"/>
      <c r="V1167" s="102" t="s">
        <v>429</v>
      </c>
      <c r="W1167" s="79" t="s">
        <v>309</v>
      </c>
      <c r="X1167" s="79" t="s">
        <v>309</v>
      </c>
      <c r="Y1167" s="79" t="s">
        <v>309</v>
      </c>
      <c r="Z1167" s="79"/>
    </row>
    <row r="1168" ht="15.0" customHeight="1">
      <c r="A1168" s="76" t="s">
        <v>247</v>
      </c>
      <c r="B1168" s="77" t="s">
        <v>7288</v>
      </c>
      <c r="C1168" s="80">
        <v>3.0710884656E10</v>
      </c>
      <c r="D1168" s="119" t="s">
        <v>264</v>
      </c>
      <c r="E1168" s="79" t="s">
        <v>2246</v>
      </c>
      <c r="F1168" s="44">
        <v>4442.0</v>
      </c>
      <c r="G1168" s="79" t="s">
        <v>15</v>
      </c>
      <c r="H1168" s="80">
        <v>1678.0</v>
      </c>
      <c r="I1168" s="79">
        <v>139900.0</v>
      </c>
      <c r="J1168" s="74" t="s">
        <v>448</v>
      </c>
      <c r="K1168" s="77" t="s">
        <v>1760</v>
      </c>
      <c r="L1168" s="79"/>
      <c r="M1168" s="79"/>
      <c r="N1168" s="79">
        <v>6.0</v>
      </c>
      <c r="O1168" s="74"/>
      <c r="P1168" s="80"/>
      <c r="Q1168" s="79"/>
      <c r="R1168" s="80"/>
      <c r="S1168" s="80" t="s">
        <v>7946</v>
      </c>
      <c r="T1168" s="101" t="s">
        <v>7947</v>
      </c>
      <c r="U1168" s="80" t="s">
        <v>332</v>
      </c>
      <c r="V1168" s="102" t="s">
        <v>429</v>
      </c>
      <c r="W1168" s="79" t="s">
        <v>306</v>
      </c>
      <c r="X1168" s="79" t="s">
        <v>306</v>
      </c>
      <c r="Y1168" s="79" t="s">
        <v>309</v>
      </c>
      <c r="Z1168" s="79"/>
    </row>
    <row r="1169" ht="15.75" customHeight="1">
      <c r="A1169" s="76" t="s">
        <v>247</v>
      </c>
      <c r="B1169" s="77" t="s">
        <v>7295</v>
      </c>
      <c r="C1169" s="80">
        <v>3.0559184809E10</v>
      </c>
      <c r="D1169" s="79" t="s">
        <v>264</v>
      </c>
      <c r="E1169" s="79" t="s">
        <v>7948</v>
      </c>
      <c r="F1169" s="44">
        <v>477.0</v>
      </c>
      <c r="G1169" s="79" t="s">
        <v>68</v>
      </c>
      <c r="H1169" s="80">
        <v>1702.0</v>
      </c>
      <c r="I1169" s="79">
        <v>251101.0</v>
      </c>
      <c r="J1169" s="74" t="s">
        <v>347</v>
      </c>
      <c r="K1169" s="79" t="s">
        <v>1486</v>
      </c>
      <c r="L1169" s="79" t="s">
        <v>286</v>
      </c>
      <c r="M1169" s="79" t="s">
        <v>7951</v>
      </c>
      <c r="N1169" s="79">
        <v>15.0</v>
      </c>
      <c r="O1169" s="74"/>
      <c r="P1169" s="80"/>
      <c r="Q1169" s="79"/>
      <c r="R1169" s="80"/>
      <c r="S1169" s="80" t="s">
        <v>7952</v>
      </c>
      <c r="T1169" s="101" t="s">
        <v>7953</v>
      </c>
      <c r="U1169" s="80" t="s">
        <v>7952</v>
      </c>
      <c r="V1169" s="102" t="s">
        <v>7954</v>
      </c>
      <c r="W1169" s="79" t="s">
        <v>306</v>
      </c>
      <c r="X1169" s="79" t="s">
        <v>306</v>
      </c>
      <c r="Y1169" s="79" t="s">
        <v>309</v>
      </c>
      <c r="Z1169" s="79"/>
    </row>
    <row r="1170" ht="15.0" customHeight="1">
      <c r="A1170" s="76" t="s">
        <v>247</v>
      </c>
      <c r="B1170" s="77" t="s">
        <v>4182</v>
      </c>
      <c r="C1170" s="78">
        <v>3.0715385453E10</v>
      </c>
      <c r="D1170" s="77" t="s">
        <v>264</v>
      </c>
      <c r="E1170" s="79" t="s">
        <v>7957</v>
      </c>
      <c r="F1170" s="44">
        <v>5590.0</v>
      </c>
      <c r="G1170" s="79" t="s">
        <v>269</v>
      </c>
      <c r="H1170" s="80">
        <v>1682.0</v>
      </c>
      <c r="I1170" s="79">
        <v>681098.0</v>
      </c>
      <c r="J1170" s="74" t="s">
        <v>261</v>
      </c>
      <c r="K1170" s="77" t="s">
        <v>7958</v>
      </c>
      <c r="L1170" s="79"/>
      <c r="M1170" s="79" t="s">
        <v>7959</v>
      </c>
      <c r="N1170" s="79"/>
      <c r="O1170" s="74" t="s">
        <v>7960</v>
      </c>
      <c r="P1170" s="78" t="s">
        <v>7961</v>
      </c>
      <c r="Q1170" s="77" t="s">
        <v>7962</v>
      </c>
      <c r="R1170" s="78">
        <v>1.144353597E9</v>
      </c>
      <c r="S1170" s="80">
        <v>4.7518427E7</v>
      </c>
      <c r="T1170" s="85" t="s">
        <v>7963</v>
      </c>
      <c r="U1170" s="80"/>
      <c r="V1170" s="102" t="s">
        <v>7964</v>
      </c>
      <c r="W1170" s="79"/>
      <c r="X1170" s="79"/>
      <c r="Y1170" s="79" t="s">
        <v>309</v>
      </c>
      <c r="Z1170" s="79"/>
    </row>
    <row r="1171" ht="15.0" customHeight="1">
      <c r="A1171" s="103" t="s">
        <v>24</v>
      </c>
      <c r="B1171" s="77" t="s">
        <v>7967</v>
      </c>
      <c r="C1171" s="80">
        <v>3.0501217243E10</v>
      </c>
      <c r="D1171" s="79" t="s">
        <v>264</v>
      </c>
      <c r="E1171" s="79" t="s">
        <v>5790</v>
      </c>
      <c r="F1171" s="44">
        <v>3720.0</v>
      </c>
      <c r="G1171" s="79" t="s">
        <v>15</v>
      </c>
      <c r="H1171" s="80">
        <v>1678.0</v>
      </c>
      <c r="I1171" s="79">
        <v>281101.0</v>
      </c>
      <c r="J1171" s="74" t="s">
        <v>347</v>
      </c>
      <c r="K1171" s="79" t="s">
        <v>4263</v>
      </c>
      <c r="L1171" s="79" t="s">
        <v>453</v>
      </c>
      <c r="M1171" s="79"/>
      <c r="N1171" s="79">
        <v>7.0</v>
      </c>
      <c r="O1171" s="74"/>
      <c r="P1171" s="80"/>
      <c r="Q1171" s="79"/>
      <c r="R1171" s="80"/>
      <c r="S1171" s="80" t="s">
        <v>7970</v>
      </c>
      <c r="T1171" s="85" t="s">
        <v>7971</v>
      </c>
      <c r="U1171" s="228" t="s">
        <v>7972</v>
      </c>
      <c r="V1171" s="102" t="s">
        <v>429</v>
      </c>
      <c r="W1171" s="79" t="s">
        <v>306</v>
      </c>
      <c r="X1171" s="79" t="s">
        <v>306</v>
      </c>
      <c r="Y1171" s="79" t="s">
        <v>309</v>
      </c>
      <c r="Z1171" s="79"/>
    </row>
    <row r="1172" ht="15.75" customHeight="1">
      <c r="A1172" s="76" t="s">
        <v>247</v>
      </c>
      <c r="B1172" s="77" t="s">
        <v>2038</v>
      </c>
      <c r="C1172" s="80">
        <v>3.0708089083E10</v>
      </c>
      <c r="D1172" s="79" t="s">
        <v>264</v>
      </c>
      <c r="E1172" s="79" t="s">
        <v>359</v>
      </c>
      <c r="F1172" s="44">
        <v>4843.0</v>
      </c>
      <c r="G1172" s="79" t="s">
        <v>15</v>
      </c>
      <c r="H1172" s="80">
        <v>1678.0</v>
      </c>
      <c r="I1172" s="79">
        <v>221909.0</v>
      </c>
      <c r="J1172" s="74" t="s">
        <v>88</v>
      </c>
      <c r="K1172" s="82" t="s">
        <v>2473</v>
      </c>
      <c r="L1172" s="79" t="s">
        <v>453</v>
      </c>
      <c r="M1172" s="77" t="s">
        <v>7975</v>
      </c>
      <c r="N1172" s="79">
        <v>22.0</v>
      </c>
      <c r="O1172" s="74" t="s">
        <v>7976</v>
      </c>
      <c r="P1172" s="80"/>
      <c r="Q1172" s="77" t="s">
        <v>7977</v>
      </c>
      <c r="R1172" s="80"/>
      <c r="S1172" s="80" t="s">
        <v>7978</v>
      </c>
      <c r="T1172" s="101" t="s">
        <v>332</v>
      </c>
      <c r="U1172" s="80" t="s">
        <v>332</v>
      </c>
      <c r="V1172" s="102" t="s">
        <v>7979</v>
      </c>
      <c r="W1172" s="79" t="s">
        <v>309</v>
      </c>
      <c r="X1172" s="79" t="s">
        <v>309</v>
      </c>
      <c r="Y1172" s="79" t="s">
        <v>309</v>
      </c>
      <c r="Z1172" s="79"/>
    </row>
    <row r="1173" ht="15.75" customHeight="1">
      <c r="A1173" s="103" t="s">
        <v>24</v>
      </c>
      <c r="B1173" s="77" t="s">
        <v>7980</v>
      </c>
      <c r="C1173" s="80">
        <v>3.3710126009E10</v>
      </c>
      <c r="D1173" s="79" t="s">
        <v>264</v>
      </c>
      <c r="E1173" s="79" t="s">
        <v>1045</v>
      </c>
      <c r="F1173" s="44">
        <v>3532.0</v>
      </c>
      <c r="G1173" s="79" t="s">
        <v>15</v>
      </c>
      <c r="H1173" s="80">
        <v>1678.0</v>
      </c>
      <c r="I1173" s="79">
        <v>143020.0</v>
      </c>
      <c r="J1173" s="74" t="s">
        <v>448</v>
      </c>
      <c r="K1173" s="79" t="s">
        <v>7912</v>
      </c>
      <c r="L1173" s="79"/>
      <c r="M1173" s="79"/>
      <c r="N1173" s="79">
        <v>10.0</v>
      </c>
      <c r="O1173" s="74"/>
      <c r="P1173" s="80"/>
      <c r="Q1173" s="79"/>
      <c r="R1173" s="80"/>
      <c r="S1173" s="78" t="s">
        <v>7983</v>
      </c>
      <c r="T1173" s="327" t="s">
        <v>7984</v>
      </c>
      <c r="U1173" s="80" t="s">
        <v>332</v>
      </c>
      <c r="V1173" s="102" t="s">
        <v>429</v>
      </c>
      <c r="W1173" s="79" t="s">
        <v>309</v>
      </c>
      <c r="X1173" s="79" t="s">
        <v>309</v>
      </c>
      <c r="Y1173" s="79"/>
      <c r="Z1173" s="79"/>
    </row>
    <row r="1174" ht="15.0" customHeight="1">
      <c r="A1174" s="103" t="s">
        <v>24</v>
      </c>
      <c r="B1174" s="77" t="s">
        <v>7986</v>
      </c>
      <c r="C1174" s="80">
        <v>3.0710137893E10</v>
      </c>
      <c r="D1174" s="119" t="s">
        <v>264</v>
      </c>
      <c r="E1174" s="79" t="s">
        <v>7987</v>
      </c>
      <c r="F1174" s="44">
        <v>1690.0</v>
      </c>
      <c r="G1174" s="79" t="s">
        <v>175</v>
      </c>
      <c r="H1174" s="80">
        <v>1657.0</v>
      </c>
      <c r="I1174" s="77">
        <v>492290.0</v>
      </c>
      <c r="J1174" s="74" t="s">
        <v>433</v>
      </c>
      <c r="K1174" s="77" t="s">
        <v>7988</v>
      </c>
      <c r="L1174" s="79"/>
      <c r="M1174" s="79"/>
      <c r="N1174" s="79">
        <v>1.0</v>
      </c>
      <c r="O1174" s="74"/>
      <c r="P1174" s="80"/>
      <c r="Q1174" s="79"/>
      <c r="R1174" s="80"/>
      <c r="S1174" s="80" t="s">
        <v>7990</v>
      </c>
      <c r="T1174" s="101" t="s">
        <v>332</v>
      </c>
      <c r="U1174" s="80" t="s">
        <v>332</v>
      </c>
      <c r="V1174" s="102" t="s">
        <v>429</v>
      </c>
      <c r="W1174" s="79" t="s">
        <v>306</v>
      </c>
      <c r="X1174" s="79" t="s">
        <v>306</v>
      </c>
      <c r="Y1174" s="79"/>
      <c r="Z1174" s="79"/>
    </row>
    <row r="1175" ht="15.0" customHeight="1">
      <c r="A1175" s="76" t="s">
        <v>247</v>
      </c>
      <c r="B1175" s="77" t="s">
        <v>7303</v>
      </c>
      <c r="C1175" s="80">
        <v>3.0709045098E10</v>
      </c>
      <c r="D1175" s="79" t="s">
        <v>264</v>
      </c>
      <c r="E1175" s="79" t="s">
        <v>1965</v>
      </c>
      <c r="F1175" s="44">
        <v>5591.0</v>
      </c>
      <c r="G1175" s="79" t="s">
        <v>15</v>
      </c>
      <c r="H1175" s="80">
        <v>1678.0</v>
      </c>
      <c r="I1175" s="77">
        <v>266090.0</v>
      </c>
      <c r="J1175" s="83" t="s">
        <v>207</v>
      </c>
      <c r="K1175" s="77" t="s">
        <v>1257</v>
      </c>
      <c r="L1175" s="79"/>
      <c r="M1175" s="77" t="s">
        <v>7991</v>
      </c>
      <c r="N1175" s="79">
        <v>0.0</v>
      </c>
      <c r="O1175" s="74"/>
      <c r="P1175" s="80"/>
      <c r="Q1175" s="79"/>
      <c r="R1175" s="80"/>
      <c r="S1175" s="78" t="s">
        <v>7993</v>
      </c>
      <c r="T1175" s="85" t="s">
        <v>7994</v>
      </c>
      <c r="U1175" s="78" t="s">
        <v>7995</v>
      </c>
      <c r="V1175" s="102" t="s">
        <v>7996</v>
      </c>
      <c r="W1175" s="79" t="s">
        <v>309</v>
      </c>
      <c r="X1175" s="79" t="s">
        <v>309</v>
      </c>
      <c r="Y1175" s="79" t="s">
        <v>309</v>
      </c>
      <c r="Z1175" s="79"/>
    </row>
    <row r="1176" ht="15.0" customHeight="1">
      <c r="A1176" s="76" t="s">
        <v>247</v>
      </c>
      <c r="B1176" s="77" t="s">
        <v>2044</v>
      </c>
      <c r="C1176" s="80">
        <v>3.3708799209E10</v>
      </c>
      <c r="D1176" s="119" t="s">
        <v>264</v>
      </c>
      <c r="E1176" s="77" t="s">
        <v>7999</v>
      </c>
      <c r="F1176" s="44">
        <v>991.0</v>
      </c>
      <c r="G1176" s="79" t="s">
        <v>269</v>
      </c>
      <c r="H1176" s="80">
        <v>1682.0</v>
      </c>
      <c r="I1176" s="79">
        <v>281900.0</v>
      </c>
      <c r="J1176" s="74" t="s">
        <v>347</v>
      </c>
      <c r="K1176" s="77" t="s">
        <v>2217</v>
      </c>
      <c r="L1176" s="79" t="s">
        <v>453</v>
      </c>
      <c r="M1176" s="144" t="s">
        <v>8000</v>
      </c>
      <c r="N1176" s="79">
        <v>19.0</v>
      </c>
      <c r="O1176" s="129" t="s">
        <v>8001</v>
      </c>
      <c r="P1176" s="85" t="s">
        <v>8002</v>
      </c>
      <c r="Q1176" s="77" t="s">
        <v>8004</v>
      </c>
      <c r="R1176" s="78" t="s">
        <v>8005</v>
      </c>
      <c r="S1176" s="85" t="s">
        <v>8006</v>
      </c>
      <c r="T1176" s="101" t="s">
        <v>8008</v>
      </c>
      <c r="U1176" s="80" t="s">
        <v>188</v>
      </c>
      <c r="V1176" s="102" t="s">
        <v>8009</v>
      </c>
      <c r="W1176" s="79" t="s">
        <v>309</v>
      </c>
      <c r="X1176" s="79" t="s">
        <v>309</v>
      </c>
      <c r="Y1176" s="79" t="s">
        <v>309</v>
      </c>
      <c r="Z1176" s="79"/>
    </row>
    <row r="1177" ht="15.75" customHeight="1">
      <c r="A1177" s="103" t="s">
        <v>24</v>
      </c>
      <c r="B1177" s="77" t="s">
        <v>8010</v>
      </c>
      <c r="C1177" s="80">
        <v>3.0701147428E10</v>
      </c>
      <c r="D1177" s="119" t="s">
        <v>264</v>
      </c>
      <c r="E1177" s="79" t="s">
        <v>3833</v>
      </c>
      <c r="F1177" s="44">
        <v>4867.0</v>
      </c>
      <c r="G1177" s="79" t="s">
        <v>15</v>
      </c>
      <c r="H1177" s="80">
        <v>1678.0</v>
      </c>
      <c r="I1177" s="79">
        <v>711001.0</v>
      </c>
      <c r="J1177" s="74" t="s">
        <v>433</v>
      </c>
      <c r="K1177" s="79" t="s">
        <v>5914</v>
      </c>
      <c r="L1177" s="79"/>
      <c r="M1177" s="79"/>
      <c r="N1177" s="79">
        <v>1.0</v>
      </c>
      <c r="O1177" s="74"/>
      <c r="P1177" s="80"/>
      <c r="Q1177" s="79"/>
      <c r="R1177" s="80"/>
      <c r="S1177" s="80" t="s">
        <v>8013</v>
      </c>
      <c r="T1177" s="101" t="s">
        <v>8014</v>
      </c>
      <c r="U1177" s="80" t="s">
        <v>332</v>
      </c>
      <c r="V1177" s="102" t="s">
        <v>429</v>
      </c>
      <c r="W1177" s="79" t="s">
        <v>306</v>
      </c>
      <c r="X1177" s="79" t="s">
        <v>306</v>
      </c>
      <c r="Y1177" s="79" t="s">
        <v>309</v>
      </c>
      <c r="Z1177" s="79"/>
    </row>
    <row r="1178" ht="15.0" customHeight="1">
      <c r="A1178" s="76" t="s">
        <v>247</v>
      </c>
      <c r="B1178" s="77" t="s">
        <v>7307</v>
      </c>
      <c r="C1178" s="79">
        <v>3.0708998229E10</v>
      </c>
      <c r="D1178" s="77" t="s">
        <v>264</v>
      </c>
      <c r="E1178" s="77" t="s">
        <v>1936</v>
      </c>
      <c r="F1178" s="44">
        <v>4267.0</v>
      </c>
      <c r="G1178" s="79" t="s">
        <v>68</v>
      </c>
      <c r="H1178" s="80">
        <v>1702.0</v>
      </c>
      <c r="I1178" s="79">
        <v>432190.0</v>
      </c>
      <c r="J1178" s="74" t="s">
        <v>433</v>
      </c>
      <c r="K1178" s="77" t="s">
        <v>2541</v>
      </c>
      <c r="L1178" s="79"/>
      <c r="M1178" s="77" t="s">
        <v>8016</v>
      </c>
      <c r="N1178" s="79">
        <v>35.0</v>
      </c>
      <c r="O1178" s="74"/>
      <c r="P1178" s="80"/>
      <c r="Q1178" s="79"/>
      <c r="R1178" s="80"/>
      <c r="S1178" s="78" t="s">
        <v>8018</v>
      </c>
      <c r="T1178" s="85" t="s">
        <v>8019</v>
      </c>
      <c r="U1178" s="80" t="s">
        <v>332</v>
      </c>
      <c r="V1178" s="98" t="s">
        <v>8020</v>
      </c>
      <c r="W1178" s="79" t="s">
        <v>306</v>
      </c>
      <c r="X1178" s="79" t="s">
        <v>306</v>
      </c>
      <c r="Y1178" s="79" t="s">
        <v>309</v>
      </c>
      <c r="Z1178" s="79"/>
    </row>
    <row r="1179" ht="15.0" customHeight="1">
      <c r="A1179" s="76" t="s">
        <v>247</v>
      </c>
      <c r="B1179" s="77" t="s">
        <v>7311</v>
      </c>
      <c r="C1179" s="80">
        <v>3.0505485587E10</v>
      </c>
      <c r="D1179" s="79" t="s">
        <v>264</v>
      </c>
      <c r="E1179" s="79" t="s">
        <v>1427</v>
      </c>
      <c r="F1179" s="44">
        <v>3442.0</v>
      </c>
      <c r="G1179" s="79" t="s">
        <v>15</v>
      </c>
      <c r="H1179" s="80">
        <v>1678.0</v>
      </c>
      <c r="I1179" s="79">
        <v>251101.0</v>
      </c>
      <c r="J1179" s="74" t="s">
        <v>347</v>
      </c>
      <c r="K1179" s="79" t="s">
        <v>1486</v>
      </c>
      <c r="L1179" s="79" t="s">
        <v>453</v>
      </c>
      <c r="M1179" s="79" t="s">
        <v>8022</v>
      </c>
      <c r="N1179" s="79">
        <v>55.0</v>
      </c>
      <c r="O1179" s="74"/>
      <c r="P1179" s="80"/>
      <c r="Q1179" s="79" t="s">
        <v>8023</v>
      </c>
      <c r="R1179" s="80"/>
      <c r="S1179" s="80" t="s">
        <v>8025</v>
      </c>
      <c r="T1179" s="101" t="s">
        <v>8026</v>
      </c>
      <c r="U1179" s="80" t="s">
        <v>8028</v>
      </c>
      <c r="V1179" s="102" t="s">
        <v>8029</v>
      </c>
      <c r="W1179" s="79" t="s">
        <v>309</v>
      </c>
      <c r="X1179" s="79" t="s">
        <v>309</v>
      </c>
      <c r="Y1179" s="79" t="s">
        <v>309</v>
      </c>
      <c r="Z1179" s="79"/>
    </row>
    <row r="1180" ht="15.0" customHeight="1">
      <c r="A1180" s="76" t="s">
        <v>247</v>
      </c>
      <c r="B1180" s="77" t="s">
        <v>4191</v>
      </c>
      <c r="C1180" s="80">
        <v>2.7246236009E10</v>
      </c>
      <c r="D1180" s="77" t="s">
        <v>631</v>
      </c>
      <c r="E1180" s="79" t="s">
        <v>1666</v>
      </c>
      <c r="F1180" s="44">
        <v>3071.0</v>
      </c>
      <c r="G1180" s="79" t="s">
        <v>15</v>
      </c>
      <c r="H1180" s="80">
        <v>1678.0</v>
      </c>
      <c r="I1180" s="79">
        <v>139201.0</v>
      </c>
      <c r="J1180" s="74" t="s">
        <v>448</v>
      </c>
      <c r="K1180" s="79" t="s">
        <v>2293</v>
      </c>
      <c r="L1180" s="79"/>
      <c r="M1180" s="79"/>
      <c r="N1180" s="79"/>
      <c r="O1180" s="74" t="s">
        <v>8031</v>
      </c>
      <c r="P1180" s="78" t="s">
        <v>8033</v>
      </c>
      <c r="Q1180" s="79" t="s">
        <v>8034</v>
      </c>
      <c r="R1180" s="80"/>
      <c r="S1180" s="80" t="s">
        <v>8035</v>
      </c>
      <c r="T1180" s="85" t="s">
        <v>8036</v>
      </c>
      <c r="U1180" s="78" t="s">
        <v>8037</v>
      </c>
      <c r="V1180" s="102" t="s">
        <v>8038</v>
      </c>
      <c r="W1180" s="79"/>
      <c r="X1180" s="79"/>
      <c r="Y1180" s="79" t="s">
        <v>309</v>
      </c>
      <c r="Z1180" s="79"/>
    </row>
    <row r="1181" ht="15.75" customHeight="1">
      <c r="A1181" s="103" t="s">
        <v>24</v>
      </c>
      <c r="B1181" s="79" t="s">
        <v>8039</v>
      </c>
      <c r="C1181" s="80">
        <v>3.0601296604E10</v>
      </c>
      <c r="D1181" s="144" t="s">
        <v>631</v>
      </c>
      <c r="E1181" s="79" t="s">
        <v>2312</v>
      </c>
      <c r="F1181" s="44">
        <v>5857.0</v>
      </c>
      <c r="G1181" s="79" t="s">
        <v>119</v>
      </c>
      <c r="H1181" s="80">
        <v>1657.0</v>
      </c>
      <c r="I1181" s="79">
        <v>526909.0</v>
      </c>
      <c r="J1181" s="74" t="s">
        <v>433</v>
      </c>
      <c r="K1181" s="77" t="s">
        <v>2096</v>
      </c>
      <c r="L1181" s="79"/>
      <c r="M1181" s="79"/>
      <c r="N1181" s="79">
        <v>1.0</v>
      </c>
      <c r="O1181" s="74"/>
      <c r="P1181" s="80"/>
      <c r="Q1181" s="79"/>
      <c r="R1181" s="80"/>
      <c r="S1181" s="80" t="s">
        <v>8042</v>
      </c>
      <c r="T1181" s="101" t="s">
        <v>332</v>
      </c>
      <c r="U1181" s="80" t="s">
        <v>332</v>
      </c>
      <c r="V1181" s="102" t="s">
        <v>429</v>
      </c>
      <c r="W1181" s="79" t="s">
        <v>306</v>
      </c>
      <c r="X1181" s="79" t="s">
        <v>306</v>
      </c>
      <c r="Y1181" s="79"/>
      <c r="Z1181" s="79"/>
    </row>
    <row r="1182" ht="15.0" customHeight="1">
      <c r="A1182" s="103" t="s">
        <v>24</v>
      </c>
      <c r="B1182" s="79" t="s">
        <v>8045</v>
      </c>
      <c r="C1182" s="80">
        <v>3.0557596123E10</v>
      </c>
      <c r="D1182" s="144" t="s">
        <v>631</v>
      </c>
      <c r="E1182" s="79" t="s">
        <v>2348</v>
      </c>
      <c r="F1182" s="44">
        <v>1133.0</v>
      </c>
      <c r="G1182" s="79" t="s">
        <v>68</v>
      </c>
      <c r="H1182" s="80">
        <v>1702.0</v>
      </c>
      <c r="I1182" s="79">
        <v>281200.0</v>
      </c>
      <c r="J1182" s="74" t="s">
        <v>347</v>
      </c>
      <c r="K1182" s="79" t="s">
        <v>8046</v>
      </c>
      <c r="L1182" s="79" t="s">
        <v>453</v>
      </c>
      <c r="M1182" s="79"/>
      <c r="N1182" s="79">
        <v>0.0</v>
      </c>
      <c r="O1182" s="74"/>
      <c r="P1182" s="80"/>
      <c r="Q1182" s="79"/>
      <c r="R1182" s="80"/>
      <c r="S1182" s="78" t="s">
        <v>8048</v>
      </c>
      <c r="T1182" s="101" t="s">
        <v>332</v>
      </c>
      <c r="U1182" s="80" t="s">
        <v>332</v>
      </c>
      <c r="V1182" s="102" t="s">
        <v>429</v>
      </c>
      <c r="W1182" s="79" t="s">
        <v>306</v>
      </c>
      <c r="X1182" s="79" t="s">
        <v>306</v>
      </c>
      <c r="Y1182" s="79"/>
      <c r="Z1182" s="79"/>
    </row>
    <row r="1183" ht="15.75" customHeight="1">
      <c r="A1183" s="103" t="s">
        <v>24</v>
      </c>
      <c r="B1183" s="77" t="s">
        <v>8050</v>
      </c>
      <c r="C1183" s="114">
        <v>3.0592469037E10</v>
      </c>
      <c r="D1183" s="79" t="s">
        <v>264</v>
      </c>
      <c r="E1183" s="79" t="s">
        <v>2400</v>
      </c>
      <c r="F1183" s="44">
        <v>9461.0</v>
      </c>
      <c r="G1183" s="77" t="s">
        <v>33</v>
      </c>
      <c r="H1183" s="80">
        <v>1657.0</v>
      </c>
      <c r="I1183" s="79">
        <v>271010.0</v>
      </c>
      <c r="J1183" s="83" t="s">
        <v>207</v>
      </c>
      <c r="K1183" s="79" t="s">
        <v>661</v>
      </c>
      <c r="L1183" s="79"/>
      <c r="M1183" s="79"/>
      <c r="N1183" s="79">
        <v>28.0</v>
      </c>
      <c r="O1183" s="74"/>
      <c r="P1183" s="80"/>
      <c r="Q1183" s="79"/>
      <c r="R1183" s="80"/>
      <c r="S1183" s="80" t="s">
        <v>8052</v>
      </c>
      <c r="T1183" s="101" t="s">
        <v>8053</v>
      </c>
      <c r="U1183" s="80" t="s">
        <v>332</v>
      </c>
      <c r="V1183" s="102" t="s">
        <v>8054</v>
      </c>
      <c r="W1183" s="79" t="s">
        <v>309</v>
      </c>
      <c r="X1183" s="79" t="s">
        <v>309</v>
      </c>
      <c r="Y1183" s="79" t="s">
        <v>309</v>
      </c>
      <c r="Z1183" s="79"/>
    </row>
    <row r="1184" ht="15.0" customHeight="1">
      <c r="A1184" s="103" t="s">
        <v>24</v>
      </c>
      <c r="B1184" s="79" t="s">
        <v>8055</v>
      </c>
      <c r="C1184" s="80">
        <v>3.0555974562E10</v>
      </c>
      <c r="D1184" s="119" t="s">
        <v>264</v>
      </c>
      <c r="E1184" s="79" t="s">
        <v>2533</v>
      </c>
      <c r="F1184" s="44">
        <v>5.0</v>
      </c>
      <c r="G1184" s="79" t="s">
        <v>68</v>
      </c>
      <c r="H1184" s="80">
        <v>1702.0</v>
      </c>
      <c r="I1184" s="79">
        <v>924910.0</v>
      </c>
      <c r="J1184" s="74" t="s">
        <v>433</v>
      </c>
      <c r="K1184" s="79" t="s">
        <v>8056</v>
      </c>
      <c r="L1184" s="79"/>
      <c r="M1184" s="79"/>
      <c r="N1184" s="79">
        <v>0.0</v>
      </c>
      <c r="O1184" s="74"/>
      <c r="P1184" s="80"/>
      <c r="Q1184" s="79"/>
      <c r="R1184" s="80"/>
      <c r="S1184" s="80" t="s">
        <v>8059</v>
      </c>
      <c r="T1184" s="101" t="s">
        <v>332</v>
      </c>
      <c r="U1184" s="80" t="s">
        <v>332</v>
      </c>
      <c r="V1184" s="102" t="s">
        <v>429</v>
      </c>
      <c r="W1184" s="79" t="s">
        <v>306</v>
      </c>
      <c r="X1184" s="79" t="s">
        <v>306</v>
      </c>
      <c r="Y1184" s="79"/>
      <c r="Z1184" s="79"/>
    </row>
    <row r="1185" ht="15.75" customHeight="1">
      <c r="A1185" s="103" t="s">
        <v>24</v>
      </c>
      <c r="B1185" s="77" t="s">
        <v>8060</v>
      </c>
      <c r="C1185" s="80">
        <v>3.0516789537E10</v>
      </c>
      <c r="D1185" s="79" t="s">
        <v>264</v>
      </c>
      <c r="E1185" s="79" t="s">
        <v>1136</v>
      </c>
      <c r="F1185" s="44">
        <v>3644.0</v>
      </c>
      <c r="G1185" s="79" t="s">
        <v>68</v>
      </c>
      <c r="H1185" s="80">
        <v>1702.0</v>
      </c>
      <c r="I1185" s="79">
        <v>343000.0</v>
      </c>
      <c r="J1185" s="74" t="s">
        <v>337</v>
      </c>
      <c r="K1185" s="79" t="s">
        <v>2104</v>
      </c>
      <c r="L1185" s="79"/>
      <c r="M1185" s="79"/>
      <c r="N1185" s="79">
        <v>0.0</v>
      </c>
      <c r="O1185" s="74"/>
      <c r="P1185" s="80"/>
      <c r="Q1185" s="79"/>
      <c r="R1185" s="80"/>
      <c r="S1185" s="80" t="s">
        <v>8063</v>
      </c>
      <c r="T1185" s="328" t="s">
        <v>8064</v>
      </c>
      <c r="U1185" s="80" t="s">
        <v>332</v>
      </c>
      <c r="V1185" s="102" t="s">
        <v>429</v>
      </c>
      <c r="W1185" s="79" t="s">
        <v>309</v>
      </c>
      <c r="X1185" s="79" t="s">
        <v>309</v>
      </c>
      <c r="Y1185" s="79"/>
      <c r="Z1185" s="79"/>
    </row>
    <row r="1186" ht="15.75" customHeight="1">
      <c r="A1186" s="76" t="s">
        <v>247</v>
      </c>
      <c r="B1186" s="79" t="s">
        <v>2050</v>
      </c>
      <c r="C1186" s="80">
        <v>2.0229901673E10</v>
      </c>
      <c r="D1186" s="77" t="s">
        <v>631</v>
      </c>
      <c r="E1186" s="77" t="s">
        <v>8067</v>
      </c>
      <c r="F1186" s="128">
        <v>1574.0</v>
      </c>
      <c r="G1186" s="77" t="s">
        <v>15</v>
      </c>
      <c r="H1186" s="78">
        <v>1678.0</v>
      </c>
      <c r="I1186" s="77">
        <v>702092.0</v>
      </c>
      <c r="J1186" s="83" t="s">
        <v>433</v>
      </c>
      <c r="K1186" s="77" t="s">
        <v>1177</v>
      </c>
      <c r="L1186" s="79"/>
      <c r="M1186" s="79"/>
      <c r="N1186" s="79">
        <v>6.0</v>
      </c>
      <c r="O1186" s="74" t="s">
        <v>8070</v>
      </c>
      <c r="P1186" s="78" t="s">
        <v>8071</v>
      </c>
      <c r="Q1186" s="79" t="s">
        <v>8072</v>
      </c>
      <c r="R1186" s="85" t="s">
        <v>8073</v>
      </c>
      <c r="S1186" s="80" t="s">
        <v>8074</v>
      </c>
      <c r="T1186" s="101"/>
      <c r="U1186" s="80"/>
      <c r="V1186" s="102" t="s">
        <v>8075</v>
      </c>
      <c r="W1186" s="79"/>
      <c r="X1186" s="79"/>
      <c r="Y1186" s="79" t="s">
        <v>309</v>
      </c>
      <c r="Z1186" s="79"/>
    </row>
    <row r="1187" ht="15.75" customHeight="1">
      <c r="A1187" s="76" t="s">
        <v>247</v>
      </c>
      <c r="B1187" s="79" t="s">
        <v>7316</v>
      </c>
      <c r="C1187" s="79">
        <v>2.3048645054E10</v>
      </c>
      <c r="D1187" s="144" t="s">
        <v>631</v>
      </c>
      <c r="E1187" s="79" t="s">
        <v>1965</v>
      </c>
      <c r="F1187" s="44">
        <v>5055.0</v>
      </c>
      <c r="G1187" s="79" t="s">
        <v>15</v>
      </c>
      <c r="H1187" s="80">
        <v>1678.0</v>
      </c>
      <c r="I1187" s="79">
        <v>170990.0</v>
      </c>
      <c r="J1187" s="83" t="s">
        <v>283</v>
      </c>
      <c r="K1187" s="77" t="s">
        <v>284</v>
      </c>
      <c r="L1187" s="79"/>
      <c r="M1187" s="79"/>
      <c r="N1187" s="79"/>
      <c r="O1187" s="74"/>
      <c r="P1187" s="80"/>
      <c r="Q1187" s="79"/>
      <c r="R1187" s="80"/>
      <c r="S1187" s="78" t="s">
        <v>8078</v>
      </c>
      <c r="T1187" s="101"/>
      <c r="U1187" s="80"/>
      <c r="V1187" s="102" t="s">
        <v>429</v>
      </c>
      <c r="W1187" s="79"/>
      <c r="X1187" s="79"/>
      <c r="Y1187" s="79"/>
      <c r="Z1187" s="79"/>
    </row>
    <row r="1188" ht="15.75" customHeight="1">
      <c r="A1188" s="76" t="s">
        <v>247</v>
      </c>
      <c r="B1188" s="77" t="s">
        <v>7319</v>
      </c>
      <c r="C1188" s="80">
        <v>3.0710889437E10</v>
      </c>
      <c r="D1188" s="79" t="s">
        <v>264</v>
      </c>
      <c r="E1188" s="77" t="s">
        <v>3833</v>
      </c>
      <c r="F1188" s="128">
        <v>4454.0</v>
      </c>
      <c r="G1188" s="79" t="s">
        <v>15</v>
      </c>
      <c r="H1188" s="80">
        <v>1678.0</v>
      </c>
      <c r="I1188" s="79">
        <v>261000.0</v>
      </c>
      <c r="J1188" s="83" t="s">
        <v>207</v>
      </c>
      <c r="K1188" s="79" t="s">
        <v>8081</v>
      </c>
      <c r="L1188" s="79"/>
      <c r="M1188" s="79"/>
      <c r="N1188" s="79">
        <v>1.0</v>
      </c>
      <c r="O1188" s="74"/>
      <c r="P1188" s="80"/>
      <c r="Q1188" s="79"/>
      <c r="R1188" s="80"/>
      <c r="S1188" s="228" t="s">
        <v>8082</v>
      </c>
      <c r="T1188" s="85" t="s">
        <v>8083</v>
      </c>
      <c r="U1188" s="80" t="s">
        <v>332</v>
      </c>
      <c r="V1188" s="102" t="s">
        <v>8085</v>
      </c>
      <c r="W1188" s="79" t="s">
        <v>306</v>
      </c>
      <c r="X1188" s="79" t="s">
        <v>306</v>
      </c>
      <c r="Y1188" s="79"/>
      <c r="Z1188" s="79"/>
    </row>
    <row r="1189" ht="15.0" customHeight="1">
      <c r="A1189" s="76" t="s">
        <v>247</v>
      </c>
      <c r="B1189" s="77" t="s">
        <v>7321</v>
      </c>
      <c r="C1189" s="80">
        <v>3.3712032249E10</v>
      </c>
      <c r="D1189" s="119" t="s">
        <v>264</v>
      </c>
      <c r="E1189" s="77" t="s">
        <v>2748</v>
      </c>
      <c r="F1189" s="44">
        <v>5321.0</v>
      </c>
      <c r="G1189" s="79" t="s">
        <v>15</v>
      </c>
      <c r="H1189" s="80">
        <v>1678.0</v>
      </c>
      <c r="I1189" s="79">
        <v>243200.0</v>
      </c>
      <c r="J1189" s="74" t="s">
        <v>347</v>
      </c>
      <c r="K1189" s="79" t="s">
        <v>1277</v>
      </c>
      <c r="L1189" s="79" t="s">
        <v>453</v>
      </c>
      <c r="M1189" s="79"/>
      <c r="N1189" s="79">
        <v>3.0</v>
      </c>
      <c r="O1189" s="74"/>
      <c r="P1189" s="80"/>
      <c r="Q1189" s="79"/>
      <c r="R1189" s="80"/>
      <c r="S1189" s="78" t="s">
        <v>8089</v>
      </c>
      <c r="T1189" s="101" t="s">
        <v>8090</v>
      </c>
      <c r="U1189" s="80" t="s">
        <v>332</v>
      </c>
      <c r="V1189" s="102" t="s">
        <v>429</v>
      </c>
      <c r="W1189" s="79" t="s">
        <v>306</v>
      </c>
      <c r="X1189" s="79" t="s">
        <v>306</v>
      </c>
      <c r="Y1189" s="79"/>
      <c r="Z1189" s="79"/>
    </row>
    <row r="1190" ht="15.75" customHeight="1">
      <c r="A1190" s="76" t="s">
        <v>247</v>
      </c>
      <c r="B1190" s="79" t="s">
        <v>7327</v>
      </c>
      <c r="C1190" s="80">
        <v>2.0251319481E10</v>
      </c>
      <c r="D1190" s="77" t="s">
        <v>631</v>
      </c>
      <c r="E1190" s="79" t="s">
        <v>3987</v>
      </c>
      <c r="F1190" s="44">
        <v>9710.0</v>
      </c>
      <c r="G1190" s="77" t="s">
        <v>119</v>
      </c>
      <c r="H1190" s="78">
        <v>1657.0</v>
      </c>
      <c r="I1190" s="77">
        <v>162909.0</v>
      </c>
      <c r="J1190" s="83" t="s">
        <v>313</v>
      </c>
      <c r="K1190" s="77" t="s">
        <v>5865</v>
      </c>
      <c r="L1190" s="79"/>
      <c r="M1190" s="79"/>
      <c r="N1190" s="79"/>
      <c r="O1190" s="74"/>
      <c r="P1190" s="80"/>
      <c r="Q1190" s="79"/>
      <c r="R1190" s="80"/>
      <c r="S1190" s="101" t="s">
        <v>8093</v>
      </c>
      <c r="T1190" s="101"/>
      <c r="U1190" s="101"/>
      <c r="V1190" s="102" t="s">
        <v>429</v>
      </c>
      <c r="W1190" s="79"/>
      <c r="X1190" s="79"/>
      <c r="Y1190" s="79"/>
      <c r="Z1190" s="79"/>
    </row>
    <row r="1191" ht="15.75" customHeight="1">
      <c r="A1191" s="76" t="s">
        <v>247</v>
      </c>
      <c r="B1191" s="77" t="s">
        <v>7332</v>
      </c>
      <c r="C1191" s="80">
        <v>3.0712802908E10</v>
      </c>
      <c r="D1191" s="119" t="s">
        <v>264</v>
      </c>
      <c r="E1191" s="79" t="s">
        <v>826</v>
      </c>
      <c r="F1191" s="44">
        <v>9261.0</v>
      </c>
      <c r="G1191" s="79" t="s">
        <v>175</v>
      </c>
      <c r="H1191" s="80">
        <v>1657.0</v>
      </c>
      <c r="I1191" s="79">
        <v>222090.0</v>
      </c>
      <c r="J1191" s="83" t="s">
        <v>568</v>
      </c>
      <c r="K1191" s="77" t="s">
        <v>569</v>
      </c>
      <c r="L1191" s="79" t="s">
        <v>453</v>
      </c>
      <c r="M1191" s="79" t="s">
        <v>8095</v>
      </c>
      <c r="N1191" s="79">
        <v>10.0</v>
      </c>
      <c r="O1191" s="74"/>
      <c r="P1191" s="80" t="s">
        <v>8096</v>
      </c>
      <c r="Q1191" s="79"/>
      <c r="R1191" s="78" t="s">
        <v>8097</v>
      </c>
      <c r="S1191" s="80" t="s">
        <v>8098</v>
      </c>
      <c r="T1191" s="85" t="s">
        <v>8099</v>
      </c>
      <c r="U1191" s="85" t="s">
        <v>8100</v>
      </c>
      <c r="V1191" s="102" t="s">
        <v>8101</v>
      </c>
      <c r="W1191" s="79" t="s">
        <v>306</v>
      </c>
      <c r="X1191" s="79" t="s">
        <v>306</v>
      </c>
      <c r="Y1191" s="79" t="s">
        <v>309</v>
      </c>
      <c r="Z1191" s="79"/>
    </row>
    <row r="1192" ht="15.75" customHeight="1">
      <c r="A1192" s="76" t="s">
        <v>247</v>
      </c>
      <c r="B1192" s="77" t="s">
        <v>8104</v>
      </c>
      <c r="C1192" s="80">
        <v>3.0709948586E10</v>
      </c>
      <c r="D1192" s="79" t="s">
        <v>264</v>
      </c>
      <c r="E1192" s="77" t="s">
        <v>5795</v>
      </c>
      <c r="F1192" s="44">
        <v>4950.0</v>
      </c>
      <c r="G1192" s="79" t="s">
        <v>15</v>
      </c>
      <c r="H1192" s="80">
        <v>1678.0</v>
      </c>
      <c r="I1192" s="79">
        <v>259999.0</v>
      </c>
      <c r="J1192" s="74" t="s">
        <v>347</v>
      </c>
      <c r="K1192" s="77" t="s">
        <v>839</v>
      </c>
      <c r="L1192" s="79" t="s">
        <v>453</v>
      </c>
      <c r="M1192" s="79"/>
      <c r="N1192" s="79">
        <v>8.0</v>
      </c>
      <c r="O1192" s="74"/>
      <c r="P1192" s="80"/>
      <c r="Q1192" s="79"/>
      <c r="R1192" s="80"/>
      <c r="S1192" s="78" t="s">
        <v>8105</v>
      </c>
      <c r="T1192" s="101" t="s">
        <v>1892</v>
      </c>
      <c r="U1192" s="78" t="s">
        <v>8107</v>
      </c>
      <c r="V1192" s="102" t="s">
        <v>8108</v>
      </c>
      <c r="W1192" s="79" t="s">
        <v>309</v>
      </c>
      <c r="X1192" s="79" t="s">
        <v>309</v>
      </c>
      <c r="Y1192" s="79" t="s">
        <v>309</v>
      </c>
      <c r="Z1192" s="79"/>
    </row>
    <row r="1193" ht="15.0" customHeight="1">
      <c r="A1193" s="103" t="s">
        <v>24</v>
      </c>
      <c r="B1193" s="77" t="s">
        <v>8110</v>
      </c>
      <c r="C1193" s="80">
        <v>3.0711567905E10</v>
      </c>
      <c r="D1193" s="119" t="s">
        <v>264</v>
      </c>
      <c r="E1193" s="79" t="s">
        <v>2312</v>
      </c>
      <c r="F1193" s="44">
        <v>5156.0</v>
      </c>
      <c r="G1193" s="79" t="s">
        <v>15</v>
      </c>
      <c r="H1193" s="80">
        <v>1678.0</v>
      </c>
      <c r="I1193" s="79">
        <v>863200.0</v>
      </c>
      <c r="J1193" s="74" t="s">
        <v>433</v>
      </c>
      <c r="K1193" s="79" t="s">
        <v>8111</v>
      </c>
      <c r="L1193" s="79"/>
      <c r="M1193" s="79"/>
      <c r="N1193" s="79">
        <v>4.0</v>
      </c>
      <c r="O1193" s="74"/>
      <c r="P1193" s="80"/>
      <c r="Q1193" s="79"/>
      <c r="R1193" s="80"/>
      <c r="S1193" s="78" t="s">
        <v>8114</v>
      </c>
      <c r="T1193" s="101" t="s">
        <v>332</v>
      </c>
      <c r="U1193" s="80" t="s">
        <v>332</v>
      </c>
      <c r="V1193" s="102" t="s">
        <v>429</v>
      </c>
      <c r="W1193" s="79" t="s">
        <v>306</v>
      </c>
      <c r="X1193" s="79" t="s">
        <v>306</v>
      </c>
      <c r="Y1193" s="79"/>
      <c r="Z1193" s="79"/>
    </row>
    <row r="1194" ht="15.0" customHeight="1">
      <c r="A1194" s="76" t="s">
        <v>247</v>
      </c>
      <c r="B1194" s="79" t="s">
        <v>7340</v>
      </c>
      <c r="C1194" s="80">
        <v>3.0520770328E10</v>
      </c>
      <c r="D1194" s="79" t="s">
        <v>264</v>
      </c>
      <c r="E1194" s="79" t="s">
        <v>1357</v>
      </c>
      <c r="F1194" s="44">
        <v>5550.0</v>
      </c>
      <c r="G1194" s="79" t="s">
        <v>15</v>
      </c>
      <c r="H1194" s="80">
        <v>1678.0</v>
      </c>
      <c r="I1194" s="79">
        <v>259993.0</v>
      </c>
      <c r="J1194" s="74" t="s">
        <v>347</v>
      </c>
      <c r="K1194" s="129" t="s">
        <v>638</v>
      </c>
      <c r="L1194" s="79" t="s">
        <v>453</v>
      </c>
      <c r="M1194" s="79"/>
      <c r="N1194" s="79">
        <v>5.0</v>
      </c>
      <c r="O1194" s="74"/>
      <c r="P1194" s="80"/>
      <c r="Q1194" s="79"/>
      <c r="R1194" s="80" t="s">
        <v>188</v>
      </c>
      <c r="S1194" s="80" t="s">
        <v>8117</v>
      </c>
      <c r="T1194" s="101" t="s">
        <v>332</v>
      </c>
      <c r="U1194" s="80" t="s">
        <v>332</v>
      </c>
      <c r="V1194" s="102" t="s">
        <v>429</v>
      </c>
      <c r="W1194" s="79" t="s">
        <v>306</v>
      </c>
      <c r="X1194" s="79" t="s">
        <v>306</v>
      </c>
      <c r="Y1194" s="79" t="s">
        <v>309</v>
      </c>
      <c r="Z1194" s="79"/>
    </row>
    <row r="1195" ht="15.0" customHeight="1">
      <c r="A1195" s="76" t="s">
        <v>247</v>
      </c>
      <c r="B1195" s="77" t="s">
        <v>7345</v>
      </c>
      <c r="C1195" s="80">
        <v>3.0714909998E10</v>
      </c>
      <c r="D1195" s="79" t="s">
        <v>264</v>
      </c>
      <c r="E1195" s="77" t="s">
        <v>1070</v>
      </c>
      <c r="F1195" s="44">
        <v>312.0</v>
      </c>
      <c r="G1195" s="79" t="s">
        <v>68</v>
      </c>
      <c r="H1195" s="80">
        <v>1702.0</v>
      </c>
      <c r="I1195" s="79">
        <v>281600.0</v>
      </c>
      <c r="J1195" s="74" t="s">
        <v>347</v>
      </c>
      <c r="K1195" s="77" t="s">
        <v>4714</v>
      </c>
      <c r="L1195" s="79" t="s">
        <v>453</v>
      </c>
      <c r="M1195" s="79" t="s">
        <v>8119</v>
      </c>
      <c r="N1195" s="79">
        <v>7.0</v>
      </c>
      <c r="O1195" s="74" t="s">
        <v>8120</v>
      </c>
      <c r="P1195" s="80"/>
      <c r="Q1195" s="79"/>
      <c r="R1195" s="80"/>
      <c r="S1195" s="80" t="s">
        <v>8122</v>
      </c>
      <c r="T1195" s="101"/>
      <c r="U1195" s="80"/>
      <c r="V1195" s="102" t="s">
        <v>8123</v>
      </c>
      <c r="W1195" s="79"/>
      <c r="X1195" s="79"/>
      <c r="Y1195" s="79" t="s">
        <v>309</v>
      </c>
      <c r="Z1195" s="79"/>
    </row>
    <row r="1196" ht="15.75" customHeight="1">
      <c r="A1196" s="76" t="s">
        <v>247</v>
      </c>
      <c r="B1196" s="77" t="s">
        <v>7349</v>
      </c>
      <c r="C1196" s="80">
        <v>3.0712132589E10</v>
      </c>
      <c r="D1196" s="79" t="s">
        <v>264</v>
      </c>
      <c r="E1196" s="79" t="s">
        <v>8124</v>
      </c>
      <c r="F1196" s="44">
        <v>5228.0</v>
      </c>
      <c r="G1196" s="79" t="s">
        <v>15</v>
      </c>
      <c r="H1196" s="80">
        <v>1678.0</v>
      </c>
      <c r="I1196" s="79">
        <v>293090.0</v>
      </c>
      <c r="J1196" s="74" t="s">
        <v>337</v>
      </c>
      <c r="K1196" s="77" t="s">
        <v>407</v>
      </c>
      <c r="L1196" s="79"/>
      <c r="M1196" s="79" t="s">
        <v>8125</v>
      </c>
      <c r="N1196" s="79">
        <v>11.0</v>
      </c>
      <c r="O1196" s="74" t="s">
        <v>8127</v>
      </c>
      <c r="P1196" s="80"/>
      <c r="Q1196" s="79" t="s">
        <v>8129</v>
      </c>
      <c r="R1196" s="80"/>
      <c r="S1196" s="80" t="s">
        <v>8130</v>
      </c>
      <c r="T1196" s="101" t="s">
        <v>8131</v>
      </c>
      <c r="U1196" s="80" t="s">
        <v>332</v>
      </c>
      <c r="V1196" s="102" t="s">
        <v>8132</v>
      </c>
      <c r="W1196" s="79" t="s">
        <v>309</v>
      </c>
      <c r="X1196" s="79" t="s">
        <v>309</v>
      </c>
      <c r="Y1196" s="79"/>
      <c r="Z1196" s="79"/>
    </row>
    <row r="1197" ht="15.75" customHeight="1">
      <c r="A1197" s="103" t="s">
        <v>24</v>
      </c>
      <c r="B1197" s="77" t="s">
        <v>8133</v>
      </c>
      <c r="C1197" s="80">
        <v>3.0709337501E10</v>
      </c>
      <c r="D1197" s="79" t="s">
        <v>264</v>
      </c>
      <c r="E1197" s="126" t="s">
        <v>696</v>
      </c>
      <c r="F1197" s="44">
        <v>5864.0</v>
      </c>
      <c r="G1197" s="79" t="s">
        <v>15</v>
      </c>
      <c r="H1197" s="80">
        <v>1678.0</v>
      </c>
      <c r="I1197" s="77">
        <v>259993.0</v>
      </c>
      <c r="J1197" s="74" t="s">
        <v>347</v>
      </c>
      <c r="K1197" s="129" t="s">
        <v>638</v>
      </c>
      <c r="L1197" s="79" t="s">
        <v>453</v>
      </c>
      <c r="M1197" s="79"/>
      <c r="N1197" s="79">
        <v>0.0</v>
      </c>
      <c r="O1197" s="74"/>
      <c r="P1197" s="80"/>
      <c r="Q1197" s="79"/>
      <c r="R1197" s="80"/>
      <c r="S1197" s="80" t="s">
        <v>8136</v>
      </c>
      <c r="T1197" s="101" t="s">
        <v>332</v>
      </c>
      <c r="U1197" s="80" t="s">
        <v>332</v>
      </c>
      <c r="V1197" s="102" t="s">
        <v>429</v>
      </c>
      <c r="W1197" s="79" t="s">
        <v>309</v>
      </c>
      <c r="X1197" s="79" t="s">
        <v>309</v>
      </c>
      <c r="Y1197" s="79"/>
      <c r="Z1197" s="79"/>
    </row>
    <row r="1198" ht="15.75" customHeight="1">
      <c r="A1198" s="76" t="s">
        <v>247</v>
      </c>
      <c r="B1198" s="79" t="s">
        <v>8137</v>
      </c>
      <c r="C1198" s="80">
        <v>3.0715678116E10</v>
      </c>
      <c r="D1198" s="79" t="s">
        <v>264</v>
      </c>
      <c r="E1198" s="126" t="s">
        <v>985</v>
      </c>
      <c r="F1198" s="44">
        <v>5177.0</v>
      </c>
      <c r="G1198" s="79" t="s">
        <v>15</v>
      </c>
      <c r="H1198" s="80">
        <v>1678.0</v>
      </c>
      <c r="I1198" s="79">
        <v>259309.0</v>
      </c>
      <c r="J1198" s="74" t="s">
        <v>337</v>
      </c>
      <c r="K1198" s="77" t="s">
        <v>1121</v>
      </c>
      <c r="L1198" s="79" t="s">
        <v>369</v>
      </c>
      <c r="M1198" s="79"/>
      <c r="N1198" s="79"/>
      <c r="O1198" s="74" t="s">
        <v>8140</v>
      </c>
      <c r="P1198" s="80"/>
      <c r="Q1198" s="79"/>
      <c r="R1198" s="80"/>
      <c r="S1198" s="78" t="s">
        <v>6291</v>
      </c>
      <c r="T1198" s="85" t="s">
        <v>8141</v>
      </c>
      <c r="U1198" s="78" t="s">
        <v>8142</v>
      </c>
      <c r="V1198" s="102" t="s">
        <v>8144</v>
      </c>
      <c r="W1198" s="79"/>
      <c r="X1198" s="79"/>
      <c r="Y1198" s="79"/>
      <c r="Z1198" s="79"/>
    </row>
    <row r="1199" ht="15.75" customHeight="1">
      <c r="A1199" s="103" t="s">
        <v>24</v>
      </c>
      <c r="B1199" s="77" t="s">
        <v>8145</v>
      </c>
      <c r="C1199" s="79">
        <v>3.0709417084E10</v>
      </c>
      <c r="D1199" s="77" t="s">
        <v>264</v>
      </c>
      <c r="E1199" s="79" t="s">
        <v>8146</v>
      </c>
      <c r="F1199" s="44">
        <v>1755.0</v>
      </c>
      <c r="G1199" s="79" t="s">
        <v>175</v>
      </c>
      <c r="H1199" s="80">
        <v>1657.0</v>
      </c>
      <c r="I1199" s="79">
        <v>742200.0</v>
      </c>
      <c r="J1199" s="74" t="s">
        <v>433</v>
      </c>
      <c r="K1199" s="77" t="s">
        <v>2740</v>
      </c>
      <c r="L1199" s="79" t="s">
        <v>453</v>
      </c>
      <c r="M1199" s="77" t="s">
        <v>8147</v>
      </c>
      <c r="N1199" s="79">
        <v>1.0</v>
      </c>
      <c r="O1199" s="74"/>
      <c r="P1199" s="80"/>
      <c r="Q1199" s="79"/>
      <c r="R1199" s="80"/>
      <c r="S1199" s="80" t="s">
        <v>8149</v>
      </c>
      <c r="T1199" s="101" t="s">
        <v>8150</v>
      </c>
      <c r="U1199" s="80"/>
      <c r="V1199" s="102" t="s">
        <v>429</v>
      </c>
      <c r="W1199" s="79" t="s">
        <v>306</v>
      </c>
      <c r="X1199" s="79" t="s">
        <v>306</v>
      </c>
      <c r="Y1199" s="79" t="s">
        <v>309</v>
      </c>
      <c r="Z1199" s="79"/>
    </row>
    <row r="1200" ht="15.0" customHeight="1">
      <c r="A1200" s="103" t="s">
        <v>24</v>
      </c>
      <c r="B1200" s="77" t="s">
        <v>8151</v>
      </c>
      <c r="C1200" s="80">
        <v>3.0620205962E10</v>
      </c>
      <c r="D1200" s="79" t="s">
        <v>264</v>
      </c>
      <c r="E1200" s="126" t="s">
        <v>985</v>
      </c>
      <c r="F1200" s="44">
        <v>4536.0</v>
      </c>
      <c r="G1200" s="79" t="s">
        <v>15</v>
      </c>
      <c r="H1200" s="80">
        <v>1678.0</v>
      </c>
      <c r="I1200" s="79">
        <v>242490.0</v>
      </c>
      <c r="J1200" s="74" t="s">
        <v>316</v>
      </c>
      <c r="K1200" s="79" t="s">
        <v>3932</v>
      </c>
      <c r="L1200" s="79"/>
      <c r="M1200" s="79"/>
      <c r="N1200" s="79">
        <v>0.0</v>
      </c>
      <c r="O1200" s="74"/>
      <c r="P1200" s="80"/>
      <c r="Q1200" s="79"/>
      <c r="R1200" s="80"/>
      <c r="S1200" s="80" t="s">
        <v>8154</v>
      </c>
      <c r="T1200" s="101" t="s">
        <v>332</v>
      </c>
      <c r="U1200" s="80" t="s">
        <v>332</v>
      </c>
      <c r="V1200" s="102" t="s">
        <v>429</v>
      </c>
      <c r="W1200" s="79" t="s">
        <v>309</v>
      </c>
      <c r="X1200" s="79" t="s">
        <v>309</v>
      </c>
      <c r="Y1200" s="79"/>
      <c r="Z1200" s="79"/>
    </row>
    <row r="1201" ht="15.75" customHeight="1">
      <c r="A1201" s="76" t="s">
        <v>247</v>
      </c>
      <c r="B1201" s="77" t="s">
        <v>7358</v>
      </c>
      <c r="C1201" s="80">
        <v>3.0708992581E10</v>
      </c>
      <c r="D1201" s="119" t="s">
        <v>264</v>
      </c>
      <c r="E1201" s="79" t="s">
        <v>1079</v>
      </c>
      <c r="F1201" s="44">
        <v>5418.0</v>
      </c>
      <c r="G1201" s="79" t="s">
        <v>15</v>
      </c>
      <c r="H1201" s="80">
        <v>1678.0</v>
      </c>
      <c r="I1201" s="79">
        <v>139900.0</v>
      </c>
      <c r="J1201" s="74" t="s">
        <v>448</v>
      </c>
      <c r="K1201" s="77" t="s">
        <v>1760</v>
      </c>
      <c r="L1201" s="79" t="s">
        <v>453</v>
      </c>
      <c r="M1201" s="79"/>
      <c r="N1201" s="79">
        <v>24.0</v>
      </c>
      <c r="O1201" s="74" t="s">
        <v>8157</v>
      </c>
      <c r="P1201" s="78" t="s">
        <v>8158</v>
      </c>
      <c r="Q1201" s="79"/>
      <c r="R1201" s="80"/>
      <c r="S1201" s="80" t="s">
        <v>8159</v>
      </c>
      <c r="T1201" s="85" t="s">
        <v>8160</v>
      </c>
      <c r="U1201" s="80" t="s">
        <v>332</v>
      </c>
      <c r="V1201" s="102" t="s">
        <v>8162</v>
      </c>
      <c r="W1201" s="79" t="s">
        <v>309</v>
      </c>
      <c r="X1201" s="79" t="s">
        <v>309</v>
      </c>
      <c r="Y1201" s="79" t="s">
        <v>309</v>
      </c>
      <c r="Z1201" s="79"/>
    </row>
    <row r="1202" ht="15.75" customHeight="1">
      <c r="A1202" s="76" t="s">
        <v>247</v>
      </c>
      <c r="B1202" s="77" t="s">
        <v>2056</v>
      </c>
      <c r="C1202" s="78">
        <v>2.0172328939E10</v>
      </c>
      <c r="D1202" s="77" t="s">
        <v>631</v>
      </c>
      <c r="E1202" s="77" t="s">
        <v>1765</v>
      </c>
      <c r="F1202" s="44">
        <v>3356.0</v>
      </c>
      <c r="G1202" s="79" t="s">
        <v>15</v>
      </c>
      <c r="H1202" s="80">
        <v>1678.0</v>
      </c>
      <c r="I1202" s="79">
        <v>711009.0</v>
      </c>
      <c r="J1202" s="74" t="s">
        <v>125</v>
      </c>
      <c r="K1202" s="77" t="s">
        <v>8163</v>
      </c>
      <c r="L1202" s="79" t="s">
        <v>453</v>
      </c>
      <c r="M1202" s="79"/>
      <c r="N1202" s="79"/>
      <c r="O1202" s="83" t="s">
        <v>8164</v>
      </c>
      <c r="P1202" s="78" t="s">
        <v>8166</v>
      </c>
      <c r="Q1202" s="79"/>
      <c r="R1202" s="80"/>
      <c r="S1202" s="78" t="s">
        <v>8168</v>
      </c>
      <c r="T1202" s="101"/>
      <c r="U1202" s="80"/>
      <c r="V1202" s="102" t="s">
        <v>8169</v>
      </c>
      <c r="W1202" s="79"/>
      <c r="X1202" s="79"/>
      <c r="Y1202" s="79"/>
      <c r="Z1202" s="79"/>
    </row>
    <row r="1203" ht="15.75" customHeight="1">
      <c r="A1203" s="76" t="s">
        <v>247</v>
      </c>
      <c r="B1203" s="77" t="s">
        <v>7366</v>
      </c>
      <c r="C1203" s="80">
        <v>3.3708871589E10</v>
      </c>
      <c r="D1203" s="79" t="s">
        <v>264</v>
      </c>
      <c r="E1203" s="79" t="s">
        <v>2333</v>
      </c>
      <c r="F1203" s="44">
        <v>4646.0</v>
      </c>
      <c r="G1203" s="79" t="s">
        <v>68</v>
      </c>
      <c r="H1203" s="80">
        <v>1702.0</v>
      </c>
      <c r="I1203" s="79">
        <v>107110.0</v>
      </c>
      <c r="J1203" s="74" t="s">
        <v>22</v>
      </c>
      <c r="K1203" s="79" t="s">
        <v>1316</v>
      </c>
      <c r="L1203" s="79"/>
      <c r="M1203" s="79" t="s">
        <v>8171</v>
      </c>
      <c r="N1203" s="79">
        <v>1.0</v>
      </c>
      <c r="O1203" s="74"/>
      <c r="P1203" s="80"/>
      <c r="Q1203" s="79"/>
      <c r="R1203" s="80"/>
      <c r="S1203" s="235" t="s">
        <v>8172</v>
      </c>
      <c r="T1203" s="80" t="s">
        <v>332</v>
      </c>
      <c r="U1203" s="80" t="s">
        <v>332</v>
      </c>
      <c r="V1203" s="102" t="s">
        <v>8175</v>
      </c>
      <c r="W1203" s="79" t="s">
        <v>306</v>
      </c>
      <c r="X1203" s="79" t="s">
        <v>306</v>
      </c>
      <c r="Y1203" s="79"/>
      <c r="Z1203" s="79"/>
    </row>
    <row r="1204" ht="15.75" customHeight="1">
      <c r="A1204" s="76" t="s">
        <v>247</v>
      </c>
      <c r="B1204" s="77" t="s">
        <v>7372</v>
      </c>
      <c r="C1204" s="80">
        <v>3.0715671642E10</v>
      </c>
      <c r="D1204" s="79" t="s">
        <v>264</v>
      </c>
      <c r="E1204" s="79" t="s">
        <v>1369</v>
      </c>
      <c r="F1204" s="128">
        <v>880.0</v>
      </c>
      <c r="G1204" s="79" t="s">
        <v>68</v>
      </c>
      <c r="H1204" s="80">
        <v>1702.0</v>
      </c>
      <c r="I1204" s="79">
        <v>222090.0</v>
      </c>
      <c r="J1204" s="83" t="s">
        <v>568</v>
      </c>
      <c r="K1204" s="77" t="s">
        <v>569</v>
      </c>
      <c r="L1204" s="79"/>
      <c r="M1204" s="79"/>
      <c r="N1204" s="79"/>
      <c r="O1204" s="74"/>
      <c r="P1204" s="80"/>
      <c r="Q1204" s="79"/>
      <c r="R1204" s="80"/>
      <c r="S1204" s="78" t="s">
        <v>8178</v>
      </c>
      <c r="T1204" s="101"/>
      <c r="U1204" s="80"/>
      <c r="V1204" s="98" t="s">
        <v>8179</v>
      </c>
      <c r="W1204" s="79"/>
      <c r="X1204" s="79"/>
      <c r="Y1204" s="79"/>
      <c r="Z1204" s="79"/>
    </row>
    <row r="1205" ht="15.75" customHeight="1">
      <c r="A1205" s="76" t="s">
        <v>247</v>
      </c>
      <c r="B1205" s="77" t="s">
        <v>7375</v>
      </c>
      <c r="C1205" s="80">
        <v>3.0708642424E10</v>
      </c>
      <c r="D1205" s="119" t="s">
        <v>264</v>
      </c>
      <c r="E1205" s="77" t="s">
        <v>943</v>
      </c>
      <c r="F1205" s="44">
        <v>4346.0</v>
      </c>
      <c r="G1205" s="79" t="s">
        <v>68</v>
      </c>
      <c r="H1205" s="80">
        <v>1702.0</v>
      </c>
      <c r="I1205" s="79">
        <v>292901.0</v>
      </c>
      <c r="J1205" s="74" t="s">
        <v>347</v>
      </c>
      <c r="K1205" s="79" t="s">
        <v>8181</v>
      </c>
      <c r="L1205" s="79" t="s">
        <v>662</v>
      </c>
      <c r="M1205" s="79"/>
      <c r="N1205" s="79">
        <v>0.0</v>
      </c>
      <c r="O1205" s="74"/>
      <c r="P1205" s="80"/>
      <c r="Q1205" s="79"/>
      <c r="R1205" s="80"/>
      <c r="S1205" s="80" t="s">
        <v>8182</v>
      </c>
      <c r="T1205" s="101" t="s">
        <v>8184</v>
      </c>
      <c r="U1205" s="80" t="s">
        <v>332</v>
      </c>
      <c r="V1205" s="102" t="s">
        <v>8185</v>
      </c>
      <c r="W1205" s="79" t="s">
        <v>309</v>
      </c>
      <c r="X1205" s="79" t="s">
        <v>309</v>
      </c>
      <c r="Y1205" s="79" t="s">
        <v>309</v>
      </c>
      <c r="Z1205" s="79"/>
    </row>
    <row r="1206" ht="15.75" customHeight="1">
      <c r="A1206" s="76" t="s">
        <v>247</v>
      </c>
      <c r="B1206" s="79" t="s">
        <v>8187</v>
      </c>
      <c r="C1206" s="85">
        <v>2.0172328939E10</v>
      </c>
      <c r="D1206" s="77" t="s">
        <v>631</v>
      </c>
      <c r="E1206" s="303" t="s">
        <v>4565</v>
      </c>
      <c r="F1206" s="44">
        <v>3883.0</v>
      </c>
      <c r="G1206" s="79" t="s">
        <v>15</v>
      </c>
      <c r="H1206" s="80">
        <v>1678.0</v>
      </c>
      <c r="I1206" s="78" t="s">
        <v>2519</v>
      </c>
      <c r="J1206" s="83" t="s">
        <v>2519</v>
      </c>
      <c r="K1206" s="77" t="s">
        <v>2519</v>
      </c>
      <c r="L1206" s="79"/>
      <c r="M1206" s="79"/>
      <c r="N1206" s="79"/>
      <c r="O1206" s="83" t="s">
        <v>8188</v>
      </c>
      <c r="P1206" s="80"/>
      <c r="Q1206" s="79"/>
      <c r="R1206" s="80"/>
      <c r="S1206" s="80" t="s">
        <v>8190</v>
      </c>
      <c r="T1206" s="101"/>
      <c r="U1206" s="80"/>
      <c r="V1206" s="102" t="s">
        <v>429</v>
      </c>
      <c r="W1206" s="79"/>
      <c r="X1206" s="79"/>
      <c r="Y1206" s="79"/>
      <c r="Z1206" s="79"/>
    </row>
    <row r="1207" ht="15.75" customHeight="1">
      <c r="A1207" s="76" t="s">
        <v>247</v>
      </c>
      <c r="B1207" s="77" t="s">
        <v>7379</v>
      </c>
      <c r="C1207" s="80">
        <v>3.066382892E10</v>
      </c>
      <c r="D1207" s="119" t="s">
        <v>264</v>
      </c>
      <c r="E1207" s="77" t="s">
        <v>1458</v>
      </c>
      <c r="F1207" s="44">
        <v>4736.0</v>
      </c>
      <c r="G1207" s="79" t="s">
        <v>15</v>
      </c>
      <c r="H1207" s="80">
        <v>1678.0</v>
      </c>
      <c r="I1207" s="79">
        <v>282400.0</v>
      </c>
      <c r="J1207" s="74" t="s">
        <v>347</v>
      </c>
      <c r="K1207" s="79" t="s">
        <v>8192</v>
      </c>
      <c r="L1207" s="79" t="s">
        <v>662</v>
      </c>
      <c r="M1207" s="79" t="s">
        <v>8193</v>
      </c>
      <c r="N1207" s="79">
        <v>24.0</v>
      </c>
      <c r="O1207" s="74"/>
      <c r="P1207" s="80"/>
      <c r="Q1207" s="79"/>
      <c r="R1207" s="80"/>
      <c r="S1207" s="80" t="s">
        <v>8196</v>
      </c>
      <c r="T1207" s="85" t="s">
        <v>8197</v>
      </c>
      <c r="U1207" s="78" t="s">
        <v>8198</v>
      </c>
      <c r="V1207" s="102" t="s">
        <v>8199</v>
      </c>
      <c r="W1207" s="79" t="s">
        <v>309</v>
      </c>
      <c r="X1207" s="79" t="s">
        <v>309</v>
      </c>
      <c r="Y1207" s="79" t="s">
        <v>309</v>
      </c>
      <c r="Z1207" s="79"/>
    </row>
    <row r="1208" ht="15.0" customHeight="1">
      <c r="A1208" s="76" t="s">
        <v>247</v>
      </c>
      <c r="B1208" s="77" t="s">
        <v>7383</v>
      </c>
      <c r="C1208" s="80">
        <v>3.0708399309E10</v>
      </c>
      <c r="D1208" s="79" t="s">
        <v>264</v>
      </c>
      <c r="E1208" s="77" t="s">
        <v>1596</v>
      </c>
      <c r="F1208" s="44">
        <v>4682.0</v>
      </c>
      <c r="G1208" s="79" t="s">
        <v>15</v>
      </c>
      <c r="H1208" s="80">
        <v>1678.0</v>
      </c>
      <c r="I1208" s="79">
        <v>181109.0</v>
      </c>
      <c r="J1208" s="74" t="s">
        <v>238</v>
      </c>
      <c r="K1208" s="77" t="s">
        <v>1545</v>
      </c>
      <c r="L1208" s="79"/>
      <c r="M1208" s="79"/>
      <c r="N1208" s="79">
        <v>0.0</v>
      </c>
      <c r="O1208" s="74"/>
      <c r="P1208" s="80"/>
      <c r="Q1208" s="79"/>
      <c r="R1208" s="80"/>
      <c r="S1208" s="80" t="s">
        <v>8201</v>
      </c>
      <c r="T1208" s="101" t="s">
        <v>332</v>
      </c>
      <c r="U1208" s="80" t="s">
        <v>332</v>
      </c>
      <c r="V1208" s="102" t="s">
        <v>8202</v>
      </c>
      <c r="W1208" s="79" t="s">
        <v>306</v>
      </c>
      <c r="X1208" s="79" t="s">
        <v>306</v>
      </c>
      <c r="Y1208" s="79" t="s">
        <v>309</v>
      </c>
      <c r="Z1208" s="79"/>
    </row>
    <row r="1209" ht="15.75" customHeight="1">
      <c r="A1209" s="76" t="s">
        <v>247</v>
      </c>
      <c r="B1209" s="79" t="s">
        <v>2064</v>
      </c>
      <c r="C1209" s="80">
        <v>2.0266706678E10</v>
      </c>
      <c r="D1209" s="144" t="s">
        <v>631</v>
      </c>
      <c r="E1209" s="77" t="s">
        <v>7633</v>
      </c>
      <c r="F1209" s="128">
        <v>9470.0</v>
      </c>
      <c r="G1209" s="79" t="s">
        <v>119</v>
      </c>
      <c r="H1209" s="80">
        <v>1657.0</v>
      </c>
      <c r="I1209" s="79">
        <v>702091.0</v>
      </c>
      <c r="J1209" s="74" t="s">
        <v>57</v>
      </c>
      <c r="K1209" s="77" t="s">
        <v>7685</v>
      </c>
      <c r="L1209" s="79" t="s">
        <v>286</v>
      </c>
      <c r="M1209" s="79" t="s">
        <v>8205</v>
      </c>
      <c r="N1209" s="79"/>
      <c r="O1209" s="74"/>
      <c r="P1209" s="78" t="s">
        <v>8206</v>
      </c>
      <c r="Q1209" s="79" t="s">
        <v>8207</v>
      </c>
      <c r="R1209" s="80"/>
      <c r="S1209" s="78" t="s">
        <v>8208</v>
      </c>
      <c r="T1209" s="101"/>
      <c r="U1209" s="80"/>
      <c r="V1209" s="102" t="s">
        <v>8209</v>
      </c>
      <c r="W1209" s="79"/>
      <c r="X1209" s="79"/>
      <c r="Y1209" s="79" t="s">
        <v>309</v>
      </c>
      <c r="Z1209" s="79"/>
    </row>
    <row r="1210" ht="15.75" customHeight="1">
      <c r="A1210" s="76" t="s">
        <v>247</v>
      </c>
      <c r="B1210" s="77" t="s">
        <v>2066</v>
      </c>
      <c r="C1210" s="80">
        <v>3.0710919425E10</v>
      </c>
      <c r="D1210" s="79" t="s">
        <v>264</v>
      </c>
      <c r="E1210" s="77" t="s">
        <v>2997</v>
      </c>
      <c r="F1210" s="128">
        <v>4727.0</v>
      </c>
      <c r="G1210" s="79" t="s">
        <v>15</v>
      </c>
      <c r="H1210" s="80">
        <v>1678.0</v>
      </c>
      <c r="I1210" s="79">
        <v>259993.0</v>
      </c>
      <c r="J1210" s="74" t="s">
        <v>347</v>
      </c>
      <c r="K1210" s="129" t="s">
        <v>638</v>
      </c>
      <c r="L1210" s="79" t="s">
        <v>453</v>
      </c>
      <c r="M1210" s="79"/>
      <c r="N1210" s="79">
        <v>3.0</v>
      </c>
      <c r="O1210" s="74" t="s">
        <v>8211</v>
      </c>
      <c r="P1210" s="80"/>
      <c r="Q1210" s="79"/>
      <c r="R1210" s="80"/>
      <c r="S1210" s="78" t="s">
        <v>8212</v>
      </c>
      <c r="T1210" s="101" t="s">
        <v>332</v>
      </c>
      <c r="U1210" s="80" t="s">
        <v>332</v>
      </c>
      <c r="V1210" s="98" t="s">
        <v>8213</v>
      </c>
      <c r="W1210" s="79" t="s">
        <v>306</v>
      </c>
      <c r="X1210" s="79" t="s">
        <v>306</v>
      </c>
      <c r="Y1210" s="79"/>
      <c r="Z1210" s="79"/>
    </row>
    <row r="1211">
      <c r="A1211" s="76" t="s">
        <v>247</v>
      </c>
      <c r="B1211" s="77" t="s">
        <v>7395</v>
      </c>
      <c r="C1211" s="78">
        <v>3.0715845985E10</v>
      </c>
      <c r="D1211" s="144" t="s">
        <v>264</v>
      </c>
      <c r="E1211" s="77" t="s">
        <v>4682</v>
      </c>
      <c r="F1211" s="128">
        <v>6374.0</v>
      </c>
      <c r="G1211" s="77" t="s">
        <v>119</v>
      </c>
      <c r="H1211" s="78">
        <v>1657.0</v>
      </c>
      <c r="I1211" s="77">
        <v>103012.0</v>
      </c>
      <c r="J1211" s="83" t="s">
        <v>22</v>
      </c>
      <c r="K1211" s="77" t="s">
        <v>7525</v>
      </c>
      <c r="L1211" s="79"/>
      <c r="M1211" s="79"/>
      <c r="N1211" s="79"/>
      <c r="O1211" s="74"/>
      <c r="P1211" s="80"/>
      <c r="Q1211" s="79"/>
      <c r="R1211" s="80"/>
      <c r="S1211" s="78" t="s">
        <v>8216</v>
      </c>
      <c r="T1211" s="101"/>
      <c r="U1211" s="80"/>
      <c r="V1211" s="102" t="s">
        <v>8217</v>
      </c>
      <c r="W1211" s="79"/>
      <c r="X1211" s="79"/>
      <c r="Y1211" s="79"/>
      <c r="Z1211" s="79"/>
    </row>
    <row r="1212" ht="15.75" customHeight="1">
      <c r="A1212" s="76" t="s">
        <v>247</v>
      </c>
      <c r="B1212" s="77" t="s">
        <v>2072</v>
      </c>
      <c r="C1212" s="80">
        <v>3.3708547749E10</v>
      </c>
      <c r="D1212" s="79" t="s">
        <v>264</v>
      </c>
      <c r="E1212" s="77" t="s">
        <v>1294</v>
      </c>
      <c r="F1212" s="44">
        <v>2267.0</v>
      </c>
      <c r="G1212" s="79" t="s">
        <v>175</v>
      </c>
      <c r="H1212" s="80">
        <v>1657.0</v>
      </c>
      <c r="I1212" s="79">
        <v>259999.0</v>
      </c>
      <c r="J1212" s="74" t="s">
        <v>347</v>
      </c>
      <c r="K1212" s="77" t="s">
        <v>839</v>
      </c>
      <c r="L1212" s="79" t="s">
        <v>453</v>
      </c>
      <c r="M1212" s="79"/>
      <c r="N1212" s="79">
        <v>26.0</v>
      </c>
      <c r="O1212" s="329" t="s">
        <v>8220</v>
      </c>
      <c r="P1212" s="240" t="s">
        <v>8221</v>
      </c>
      <c r="Q1212" s="79"/>
      <c r="R1212" s="80"/>
      <c r="S1212" s="80" t="s">
        <v>8222</v>
      </c>
      <c r="T1212" s="101" t="s">
        <v>8223</v>
      </c>
      <c r="U1212" s="80" t="s">
        <v>332</v>
      </c>
      <c r="V1212" s="102" t="s">
        <v>8225</v>
      </c>
      <c r="W1212" s="79" t="s">
        <v>306</v>
      </c>
      <c r="X1212" s="79" t="s">
        <v>306</v>
      </c>
      <c r="Y1212" s="79" t="s">
        <v>309</v>
      </c>
      <c r="Z1212" s="79"/>
    </row>
    <row r="1213" ht="15.75" customHeight="1">
      <c r="A1213" s="76" t="s">
        <v>247</v>
      </c>
      <c r="B1213" s="79" t="s">
        <v>7403</v>
      </c>
      <c r="C1213" s="80">
        <v>2.0220984762E10</v>
      </c>
      <c r="D1213" s="77" t="s">
        <v>631</v>
      </c>
      <c r="E1213" s="79" t="s">
        <v>4571</v>
      </c>
      <c r="F1213" s="44">
        <v>365.0</v>
      </c>
      <c r="G1213" s="79" t="s">
        <v>68</v>
      </c>
      <c r="H1213" s="80">
        <v>1702.0</v>
      </c>
      <c r="I1213" s="101">
        <v>259993.0</v>
      </c>
      <c r="J1213" s="74" t="s">
        <v>337</v>
      </c>
      <c r="K1213" s="129" t="s">
        <v>638</v>
      </c>
      <c r="L1213" s="79"/>
      <c r="M1213" s="79" t="s">
        <v>8227</v>
      </c>
      <c r="N1213" s="79"/>
      <c r="O1213" s="77" t="s">
        <v>8228</v>
      </c>
      <c r="P1213" s="80"/>
      <c r="Q1213" s="79"/>
      <c r="R1213" s="114"/>
      <c r="S1213" s="80" t="s">
        <v>8230</v>
      </c>
      <c r="T1213" s="101" t="s">
        <v>8232</v>
      </c>
      <c r="U1213" s="80"/>
      <c r="V1213" s="102" t="s">
        <v>429</v>
      </c>
      <c r="W1213" s="79"/>
      <c r="X1213" s="79"/>
      <c r="Y1213" s="79"/>
      <c r="Z1213" s="79"/>
    </row>
    <row r="1214" ht="15.75" customHeight="1">
      <c r="A1214" s="103" t="s">
        <v>24</v>
      </c>
      <c r="B1214" s="77" t="s">
        <v>8233</v>
      </c>
      <c r="C1214" s="80">
        <v>3.0712018085E10</v>
      </c>
      <c r="D1214" s="119" t="s">
        <v>264</v>
      </c>
      <c r="E1214" s="79" t="s">
        <v>1810</v>
      </c>
      <c r="F1214" s="44">
        <v>2550.0</v>
      </c>
      <c r="G1214" s="79" t="s">
        <v>15</v>
      </c>
      <c r="H1214" s="80">
        <v>1678.0</v>
      </c>
      <c r="I1214" s="79">
        <v>410011.0</v>
      </c>
      <c r="J1214" s="74" t="s">
        <v>125</v>
      </c>
      <c r="K1214" s="77" t="s">
        <v>6387</v>
      </c>
      <c r="L1214" s="79" t="s">
        <v>453</v>
      </c>
      <c r="M1214" s="79"/>
      <c r="N1214" s="79">
        <v>0.0</v>
      </c>
      <c r="O1214" s="74"/>
      <c r="P1214" s="80"/>
      <c r="Q1214" s="79"/>
      <c r="R1214" s="80"/>
      <c r="S1214" s="80"/>
      <c r="T1214" s="101" t="s">
        <v>332</v>
      </c>
      <c r="U1214" s="80" t="s">
        <v>332</v>
      </c>
      <c r="V1214" s="102" t="s">
        <v>429</v>
      </c>
      <c r="W1214" s="79" t="s">
        <v>306</v>
      </c>
      <c r="X1214" s="79" t="s">
        <v>306</v>
      </c>
      <c r="Y1214" s="79"/>
      <c r="Z1214" s="79"/>
    </row>
    <row r="1215" ht="15.75" customHeight="1">
      <c r="A1215" s="76" t="s">
        <v>247</v>
      </c>
      <c r="B1215" s="77" t="s">
        <v>7408</v>
      </c>
      <c r="C1215" s="80">
        <v>3.0708525002E10</v>
      </c>
      <c r="D1215" s="119" t="s">
        <v>264</v>
      </c>
      <c r="E1215" s="77" t="s">
        <v>7611</v>
      </c>
      <c r="F1215" s="44">
        <v>1886.0</v>
      </c>
      <c r="G1215" s="79" t="s">
        <v>97</v>
      </c>
      <c r="H1215" s="80">
        <v>1702.0</v>
      </c>
      <c r="I1215" s="79">
        <v>222090.0</v>
      </c>
      <c r="J1215" s="83" t="s">
        <v>568</v>
      </c>
      <c r="K1215" s="77" t="s">
        <v>569</v>
      </c>
      <c r="L1215" s="79" t="s">
        <v>453</v>
      </c>
      <c r="M1215" s="79" t="s">
        <v>8237</v>
      </c>
      <c r="N1215" s="79">
        <v>10.0</v>
      </c>
      <c r="O1215" s="74" t="s">
        <v>8238</v>
      </c>
      <c r="P1215" s="80"/>
      <c r="Q1215" s="79"/>
      <c r="R1215" s="80"/>
      <c r="S1215" s="80" t="s">
        <v>8239</v>
      </c>
      <c r="T1215" s="85" t="s">
        <v>8240</v>
      </c>
      <c r="U1215" s="80" t="s">
        <v>332</v>
      </c>
      <c r="V1215" s="102" t="s">
        <v>8241</v>
      </c>
      <c r="W1215" s="79" t="s">
        <v>309</v>
      </c>
      <c r="X1215" s="79" t="s">
        <v>309</v>
      </c>
      <c r="Y1215" s="79" t="s">
        <v>309</v>
      </c>
      <c r="Z1215" s="79"/>
    </row>
    <row r="1216" ht="15.0" customHeight="1">
      <c r="A1216" s="76" t="s">
        <v>247</v>
      </c>
      <c r="B1216" s="77" t="s">
        <v>7412</v>
      </c>
      <c r="C1216" s="80">
        <v>3.0656003576E10</v>
      </c>
      <c r="D1216" s="119" t="s">
        <v>264</v>
      </c>
      <c r="E1216" s="79" t="s">
        <v>1143</v>
      </c>
      <c r="F1216" s="44">
        <v>1343.0</v>
      </c>
      <c r="G1216" s="79" t="s">
        <v>15</v>
      </c>
      <c r="H1216" s="80">
        <v>1678.0</v>
      </c>
      <c r="I1216" s="79">
        <v>222090.0</v>
      </c>
      <c r="J1216" s="83" t="s">
        <v>568</v>
      </c>
      <c r="K1216" s="77" t="s">
        <v>569</v>
      </c>
      <c r="L1216" s="79" t="s">
        <v>453</v>
      </c>
      <c r="M1216" s="79"/>
      <c r="N1216" s="79">
        <v>61.0</v>
      </c>
      <c r="O1216" s="74"/>
      <c r="P1216" s="80"/>
      <c r="Q1216" s="79"/>
      <c r="R1216" s="80"/>
      <c r="S1216" s="80" t="s">
        <v>8243</v>
      </c>
      <c r="T1216" s="101" t="s">
        <v>8244</v>
      </c>
      <c r="U1216" s="80" t="s">
        <v>8245</v>
      </c>
      <c r="V1216" s="102" t="s">
        <v>8246</v>
      </c>
      <c r="W1216" s="79" t="s">
        <v>309</v>
      </c>
      <c r="X1216" s="79" t="s">
        <v>309</v>
      </c>
      <c r="Y1216" s="79" t="s">
        <v>309</v>
      </c>
      <c r="Z1216" s="79"/>
    </row>
    <row r="1217" ht="15.0" customHeight="1">
      <c r="A1217" s="103" t="s">
        <v>24</v>
      </c>
      <c r="B1217" s="77" t="s">
        <v>8247</v>
      </c>
      <c r="C1217" s="80">
        <v>3.0701134288E10</v>
      </c>
      <c r="D1217" s="119" t="s">
        <v>264</v>
      </c>
      <c r="E1217" s="79" t="s">
        <v>478</v>
      </c>
      <c r="F1217" s="44">
        <v>12942.0</v>
      </c>
      <c r="G1217" s="79" t="s">
        <v>68</v>
      </c>
      <c r="H1217" s="80">
        <v>1702.0</v>
      </c>
      <c r="I1217" s="79">
        <v>526909.0</v>
      </c>
      <c r="J1217" s="74" t="s">
        <v>433</v>
      </c>
      <c r="K1217" s="77" t="s">
        <v>2096</v>
      </c>
      <c r="L1217" s="79"/>
      <c r="M1217" s="79"/>
      <c r="N1217" s="79">
        <v>0.0</v>
      </c>
      <c r="O1217" s="74"/>
      <c r="P1217" s="80"/>
      <c r="Q1217" s="79"/>
      <c r="R1217" s="80"/>
      <c r="S1217" s="80" t="s">
        <v>8249</v>
      </c>
      <c r="T1217" s="101" t="s">
        <v>332</v>
      </c>
      <c r="U1217" s="80" t="s">
        <v>332</v>
      </c>
      <c r="V1217" s="102" t="s">
        <v>429</v>
      </c>
      <c r="W1217" s="79" t="s">
        <v>309</v>
      </c>
      <c r="X1217" s="79" t="s">
        <v>309</v>
      </c>
      <c r="Y1217" s="79"/>
      <c r="Z1217" s="79"/>
    </row>
    <row r="1218" ht="15.0" customHeight="1">
      <c r="A1218" s="76" t="s">
        <v>247</v>
      </c>
      <c r="B1218" s="77" t="s">
        <v>7417</v>
      </c>
      <c r="C1218" s="80">
        <v>3.0661251294E10</v>
      </c>
      <c r="D1218" s="119" t="s">
        <v>264</v>
      </c>
      <c r="E1218" s="79" t="s">
        <v>8250</v>
      </c>
      <c r="F1218" s="44">
        <v>7946.0</v>
      </c>
      <c r="G1218" s="79" t="s">
        <v>269</v>
      </c>
      <c r="H1218" s="80">
        <v>1682.0</v>
      </c>
      <c r="I1218" s="79">
        <v>292500.0</v>
      </c>
      <c r="J1218" s="74" t="s">
        <v>347</v>
      </c>
      <c r="K1218" s="79" t="s">
        <v>4093</v>
      </c>
      <c r="L1218" s="79" t="s">
        <v>662</v>
      </c>
      <c r="M1218" s="79" t="s">
        <v>8253</v>
      </c>
      <c r="N1218" s="79">
        <v>0.0</v>
      </c>
      <c r="O1218" s="74" t="s">
        <v>332</v>
      </c>
      <c r="P1218" s="80"/>
      <c r="Q1218" s="79"/>
      <c r="R1218" s="80"/>
      <c r="S1218" s="78" t="s">
        <v>8254</v>
      </c>
      <c r="T1218" s="101" t="s">
        <v>8255</v>
      </c>
      <c r="U1218" s="80" t="s">
        <v>8256</v>
      </c>
      <c r="V1218" s="102" t="s">
        <v>8257</v>
      </c>
      <c r="W1218" s="79" t="s">
        <v>309</v>
      </c>
      <c r="X1218" s="79" t="s">
        <v>309</v>
      </c>
      <c r="Y1218" s="79" t="s">
        <v>309</v>
      </c>
      <c r="Z1218" s="79"/>
    </row>
    <row r="1219" ht="15.0" customHeight="1">
      <c r="A1219" s="76" t="s">
        <v>247</v>
      </c>
      <c r="B1219" s="77" t="s">
        <v>7419</v>
      </c>
      <c r="C1219" s="80">
        <v>3.0653293174E10</v>
      </c>
      <c r="D1219" s="79" t="s">
        <v>264</v>
      </c>
      <c r="E1219" s="79" t="s">
        <v>1569</v>
      </c>
      <c r="F1219" s="44">
        <v>4478.0</v>
      </c>
      <c r="G1219" s="79" t="s">
        <v>68</v>
      </c>
      <c r="H1219" s="80">
        <v>1702.0</v>
      </c>
      <c r="I1219" s="79">
        <v>343000.0</v>
      </c>
      <c r="J1219" s="74" t="s">
        <v>337</v>
      </c>
      <c r="K1219" s="79" t="s">
        <v>2104</v>
      </c>
      <c r="L1219" s="79"/>
      <c r="M1219" s="79"/>
      <c r="N1219" s="79">
        <v>7.0</v>
      </c>
      <c r="O1219" s="74"/>
      <c r="P1219" s="80"/>
      <c r="Q1219" s="79"/>
      <c r="R1219" s="80"/>
      <c r="S1219" s="80" t="s">
        <v>8259</v>
      </c>
      <c r="T1219" s="101" t="s">
        <v>8260</v>
      </c>
      <c r="U1219" s="80" t="s">
        <v>8262</v>
      </c>
      <c r="V1219" s="102" t="s">
        <v>8263</v>
      </c>
      <c r="W1219" s="79" t="s">
        <v>309</v>
      </c>
      <c r="X1219" s="79" t="s">
        <v>309</v>
      </c>
      <c r="Y1219" s="79" t="s">
        <v>309</v>
      </c>
      <c r="Z1219" s="79"/>
    </row>
    <row r="1220" ht="15.0" customHeight="1">
      <c r="A1220" s="76" t="s">
        <v>247</v>
      </c>
      <c r="B1220" s="77" t="s">
        <v>2074</v>
      </c>
      <c r="C1220" s="88">
        <v>3.0594578194E10</v>
      </c>
      <c r="D1220" s="77" t="s">
        <v>264</v>
      </c>
      <c r="E1220" s="77" t="s">
        <v>2748</v>
      </c>
      <c r="F1220" s="128">
        <v>260.0</v>
      </c>
      <c r="G1220" s="79" t="s">
        <v>68</v>
      </c>
      <c r="H1220" s="80">
        <v>1702.0</v>
      </c>
      <c r="I1220" s="77">
        <v>202908.0</v>
      </c>
      <c r="J1220" s="74" t="s">
        <v>316</v>
      </c>
      <c r="K1220" s="77" t="s">
        <v>1766</v>
      </c>
      <c r="L1220" s="79"/>
      <c r="M1220" s="79"/>
      <c r="N1220" s="79"/>
      <c r="O1220" s="74"/>
      <c r="P1220" s="80"/>
      <c r="Q1220" s="79"/>
      <c r="R1220" s="80"/>
      <c r="S1220" s="80"/>
      <c r="T1220" s="101"/>
      <c r="U1220" s="80"/>
      <c r="V1220" s="102" t="s">
        <v>429</v>
      </c>
      <c r="W1220" s="79"/>
      <c r="X1220" s="79"/>
      <c r="Y1220" s="79" t="s">
        <v>309</v>
      </c>
      <c r="Z1220" s="79"/>
    </row>
    <row r="1221" ht="15.0" customHeight="1">
      <c r="A1221" s="76" t="s">
        <v>247</v>
      </c>
      <c r="B1221" s="77" t="s">
        <v>7426</v>
      </c>
      <c r="C1221" s="80">
        <v>3.070813472E10</v>
      </c>
      <c r="D1221" s="119" t="s">
        <v>264</v>
      </c>
      <c r="E1221" s="79" t="s">
        <v>4361</v>
      </c>
      <c r="F1221" s="44">
        <v>4621.0</v>
      </c>
      <c r="G1221" s="79" t="s">
        <v>15</v>
      </c>
      <c r="H1221" s="80">
        <v>1678.0</v>
      </c>
      <c r="I1221" s="77">
        <v>465930.0</v>
      </c>
      <c r="J1221" s="83" t="s">
        <v>207</v>
      </c>
      <c r="K1221" s="77" t="s">
        <v>8269</v>
      </c>
      <c r="L1221" s="79"/>
      <c r="M1221" s="79"/>
      <c r="N1221" s="79">
        <v>4.0</v>
      </c>
      <c r="O1221" s="74"/>
      <c r="P1221" s="80"/>
      <c r="Q1221" s="79"/>
      <c r="R1221" s="80"/>
      <c r="S1221" s="80" t="s">
        <v>8270</v>
      </c>
      <c r="T1221" s="101" t="s">
        <v>8271</v>
      </c>
      <c r="U1221" s="80"/>
      <c r="V1221" s="102" t="s">
        <v>8272</v>
      </c>
      <c r="W1221" s="79" t="s">
        <v>309</v>
      </c>
      <c r="X1221" s="79" t="s">
        <v>309</v>
      </c>
      <c r="Y1221" s="79" t="s">
        <v>309</v>
      </c>
      <c r="Z1221" s="79"/>
    </row>
    <row r="1222" ht="15.0" customHeight="1">
      <c r="A1222" s="76" t="s">
        <v>247</v>
      </c>
      <c r="B1222" s="77" t="s">
        <v>2077</v>
      </c>
      <c r="C1222" s="80">
        <v>3.0715662651E10</v>
      </c>
      <c r="D1222" s="79" t="s">
        <v>264</v>
      </c>
      <c r="E1222" s="79" t="s">
        <v>2312</v>
      </c>
      <c r="F1222" s="44">
        <v>5246.0</v>
      </c>
      <c r="G1222" s="79" t="s">
        <v>15</v>
      </c>
      <c r="H1222" s="80">
        <v>1648.0</v>
      </c>
      <c r="I1222" s="77">
        <v>463219.0</v>
      </c>
      <c r="J1222" s="74" t="s">
        <v>57</v>
      </c>
      <c r="K1222" s="77" t="s">
        <v>8276</v>
      </c>
      <c r="L1222" s="79" t="s">
        <v>453</v>
      </c>
      <c r="M1222" s="79" t="s">
        <v>8278</v>
      </c>
      <c r="N1222" s="79">
        <v>6.0</v>
      </c>
      <c r="O1222" s="74" t="s">
        <v>8279</v>
      </c>
      <c r="P1222" s="78" t="s">
        <v>8280</v>
      </c>
      <c r="Q1222" s="79"/>
      <c r="R1222" s="80"/>
      <c r="S1222" s="78" t="s">
        <v>8281</v>
      </c>
      <c r="T1222" s="101"/>
      <c r="U1222" s="80"/>
      <c r="V1222" s="102" t="s">
        <v>8282</v>
      </c>
      <c r="W1222" s="79" t="s">
        <v>306</v>
      </c>
      <c r="X1222" s="79" t="s">
        <v>306</v>
      </c>
      <c r="Y1222" s="79" t="s">
        <v>309</v>
      </c>
      <c r="Z1222" s="79"/>
    </row>
    <row r="1223" ht="15.0" customHeight="1">
      <c r="A1223" s="76" t="s">
        <v>247</v>
      </c>
      <c r="B1223" s="77" t="s">
        <v>7434</v>
      </c>
      <c r="C1223" s="80">
        <v>3.0710873093E10</v>
      </c>
      <c r="D1223" s="79" t="s">
        <v>264</v>
      </c>
      <c r="E1223" s="77" t="s">
        <v>943</v>
      </c>
      <c r="F1223" s="44">
        <v>4321.0</v>
      </c>
      <c r="G1223" s="79" t="s">
        <v>15</v>
      </c>
      <c r="H1223" s="80">
        <v>1678.0</v>
      </c>
      <c r="I1223" s="77">
        <v>310020.0</v>
      </c>
      <c r="J1223" s="74" t="s">
        <v>313</v>
      </c>
      <c r="K1223" s="77" t="s">
        <v>3277</v>
      </c>
      <c r="L1223" s="79" t="s">
        <v>1122</v>
      </c>
      <c r="M1223" s="79"/>
      <c r="N1223" s="79">
        <v>7.0</v>
      </c>
      <c r="O1223" s="74"/>
      <c r="P1223" s="80"/>
      <c r="Q1223" s="79"/>
      <c r="R1223" s="80"/>
      <c r="S1223" s="78" t="s">
        <v>6662</v>
      </c>
      <c r="T1223" s="85"/>
      <c r="U1223" s="80" t="s">
        <v>332</v>
      </c>
      <c r="V1223" s="102" t="s">
        <v>8286</v>
      </c>
      <c r="W1223" s="79" t="s">
        <v>309</v>
      </c>
      <c r="X1223" s="79" t="s">
        <v>309</v>
      </c>
      <c r="Y1223" s="79" t="s">
        <v>309</v>
      </c>
      <c r="Z1223" s="79"/>
    </row>
    <row r="1224" ht="15.0" customHeight="1">
      <c r="A1224" s="103" t="s">
        <v>24</v>
      </c>
      <c r="B1224" s="77" t="s">
        <v>8287</v>
      </c>
      <c r="C1224" s="80">
        <v>3.0709572578E10</v>
      </c>
      <c r="D1224" s="79" t="s">
        <v>264</v>
      </c>
      <c r="E1224" s="79" t="s">
        <v>723</v>
      </c>
      <c r="F1224" s="44">
        <v>4670.0</v>
      </c>
      <c r="G1224" s="79" t="s">
        <v>15</v>
      </c>
      <c r="H1224" s="80">
        <v>1678.0</v>
      </c>
      <c r="I1224" s="79">
        <v>251101.0</v>
      </c>
      <c r="J1224" s="74" t="s">
        <v>347</v>
      </c>
      <c r="K1224" s="79" t="s">
        <v>1486</v>
      </c>
      <c r="L1224" s="79" t="s">
        <v>453</v>
      </c>
      <c r="M1224" s="79"/>
      <c r="N1224" s="79">
        <v>7.0</v>
      </c>
      <c r="O1224" s="74"/>
      <c r="P1224" s="80"/>
      <c r="Q1224" s="79"/>
      <c r="R1224" s="80"/>
      <c r="S1224" s="101" t="s">
        <v>8290</v>
      </c>
      <c r="T1224" s="101" t="s">
        <v>332</v>
      </c>
      <c r="U1224" s="80" t="s">
        <v>332</v>
      </c>
      <c r="V1224" s="102" t="s">
        <v>429</v>
      </c>
      <c r="W1224" s="79" t="s">
        <v>306</v>
      </c>
      <c r="X1224" s="79" t="s">
        <v>306</v>
      </c>
      <c r="Y1224" s="79"/>
      <c r="Z1224" s="79"/>
    </row>
    <row r="1225" ht="15.75" customHeight="1">
      <c r="A1225" s="76" t="s">
        <v>247</v>
      </c>
      <c r="B1225" s="77" t="s">
        <v>7438</v>
      </c>
      <c r="C1225" s="80">
        <v>3.0576314198E10</v>
      </c>
      <c r="D1225" s="119" t="s">
        <v>264</v>
      </c>
      <c r="E1225" s="79" t="s">
        <v>742</v>
      </c>
      <c r="F1225" s="44">
        <v>4286.0</v>
      </c>
      <c r="G1225" s="79" t="s">
        <v>15</v>
      </c>
      <c r="H1225" s="80">
        <v>1678.0</v>
      </c>
      <c r="I1225" s="79">
        <v>202908.0</v>
      </c>
      <c r="J1225" s="74" t="s">
        <v>316</v>
      </c>
      <c r="K1225" s="77" t="s">
        <v>1153</v>
      </c>
      <c r="L1225" s="79"/>
      <c r="M1225" s="79"/>
      <c r="N1225" s="79">
        <v>32.0</v>
      </c>
      <c r="O1225" s="74" t="s">
        <v>8293</v>
      </c>
      <c r="P1225" s="80"/>
      <c r="Q1225" s="79"/>
      <c r="R1225" s="80"/>
      <c r="S1225" s="80" t="s">
        <v>8294</v>
      </c>
      <c r="T1225" s="101" t="s">
        <v>8295</v>
      </c>
      <c r="U1225" s="80"/>
      <c r="V1225" s="102" t="s">
        <v>8296</v>
      </c>
      <c r="W1225" s="79" t="s">
        <v>309</v>
      </c>
      <c r="X1225" s="79" t="s">
        <v>309</v>
      </c>
      <c r="Y1225" s="79" t="s">
        <v>309</v>
      </c>
      <c r="Z1225" s="79"/>
    </row>
    <row r="1226" ht="15.75" customHeight="1">
      <c r="A1226" s="76" t="s">
        <v>247</v>
      </c>
      <c r="B1226" s="77" t="s">
        <v>2080</v>
      </c>
      <c r="C1226" s="101">
        <v>3.0505232476E10</v>
      </c>
      <c r="D1226" s="79" t="s">
        <v>264</v>
      </c>
      <c r="E1226" s="77" t="s">
        <v>1458</v>
      </c>
      <c r="F1226" s="44">
        <v>4870.0</v>
      </c>
      <c r="G1226" s="77" t="s">
        <v>15</v>
      </c>
      <c r="H1226" s="80">
        <v>1678.0</v>
      </c>
      <c r="I1226" s="79">
        <v>293090.0</v>
      </c>
      <c r="J1226" s="74" t="s">
        <v>347</v>
      </c>
      <c r="K1226" s="77" t="s">
        <v>407</v>
      </c>
      <c r="L1226" s="79"/>
      <c r="M1226" s="77" t="s">
        <v>8299</v>
      </c>
      <c r="N1226" s="79">
        <v>31.0</v>
      </c>
      <c r="O1226" s="79" t="s">
        <v>8301</v>
      </c>
      <c r="P1226" s="78" t="s">
        <v>8302</v>
      </c>
      <c r="Q1226" s="79"/>
      <c r="R1226" s="80"/>
      <c r="S1226" s="78" t="s">
        <v>8304</v>
      </c>
      <c r="T1226" s="101"/>
      <c r="U1226" s="80"/>
      <c r="V1226" s="98" t="s">
        <v>8305</v>
      </c>
      <c r="W1226" s="79"/>
      <c r="X1226" s="79"/>
      <c r="Y1226" s="79"/>
      <c r="Z1226" s="79"/>
    </row>
    <row r="1227" ht="15.75" customHeight="1">
      <c r="A1227" s="76" t="s">
        <v>247</v>
      </c>
      <c r="B1227" s="77" t="s">
        <v>7444</v>
      </c>
      <c r="C1227" s="80">
        <v>3.0505232476E10</v>
      </c>
      <c r="D1227" s="79" t="s">
        <v>264</v>
      </c>
      <c r="E1227" s="77" t="s">
        <v>1458</v>
      </c>
      <c r="F1227" s="44">
        <v>4870.0</v>
      </c>
      <c r="G1227" s="79" t="s">
        <v>15</v>
      </c>
      <c r="H1227" s="80">
        <v>1678.0</v>
      </c>
      <c r="I1227" s="79">
        <v>293090.0</v>
      </c>
      <c r="J1227" s="74" t="s">
        <v>337</v>
      </c>
      <c r="K1227" s="77" t="s">
        <v>407</v>
      </c>
      <c r="L1227" s="79"/>
      <c r="M1227" s="79"/>
      <c r="N1227" s="79">
        <v>47.0</v>
      </c>
      <c r="O1227" s="83" t="s">
        <v>8308</v>
      </c>
      <c r="P1227" s="80"/>
      <c r="Q1227" s="79"/>
      <c r="R1227" s="80"/>
      <c r="S1227" s="80" t="s">
        <v>8310</v>
      </c>
      <c r="T1227" s="101" t="s">
        <v>8311</v>
      </c>
      <c r="U1227" s="80" t="s">
        <v>8312</v>
      </c>
      <c r="V1227" s="102" t="s">
        <v>8314</v>
      </c>
      <c r="W1227" s="79" t="s">
        <v>309</v>
      </c>
      <c r="X1227" s="79" t="s">
        <v>309</v>
      </c>
      <c r="Y1227" s="79" t="s">
        <v>309</v>
      </c>
      <c r="Z1227" s="79"/>
    </row>
    <row r="1228">
      <c r="A1228" s="103" t="s">
        <v>24</v>
      </c>
      <c r="B1228" s="77" t="s">
        <v>8315</v>
      </c>
      <c r="C1228" s="114">
        <v>3.061316236E10</v>
      </c>
      <c r="D1228" s="79" t="s">
        <v>264</v>
      </c>
      <c r="E1228" s="79" t="s">
        <v>2143</v>
      </c>
      <c r="F1228" s="44">
        <v>1853.0</v>
      </c>
      <c r="G1228" s="79" t="s">
        <v>97</v>
      </c>
      <c r="H1228" s="80">
        <v>1702.0</v>
      </c>
      <c r="I1228" s="79">
        <v>152040.0</v>
      </c>
      <c r="J1228" s="74" t="s">
        <v>73</v>
      </c>
      <c r="K1228" s="79" t="s">
        <v>2709</v>
      </c>
      <c r="L1228" s="79"/>
      <c r="M1228" s="79"/>
      <c r="N1228" s="79">
        <v>23.0</v>
      </c>
      <c r="O1228" s="74"/>
      <c r="P1228" s="80"/>
      <c r="Q1228" s="79"/>
      <c r="R1228" s="80"/>
      <c r="S1228" s="78" t="s">
        <v>8318</v>
      </c>
      <c r="T1228" s="101" t="s">
        <v>332</v>
      </c>
      <c r="U1228" s="80" t="s">
        <v>332</v>
      </c>
      <c r="V1228" s="102" t="s">
        <v>8319</v>
      </c>
      <c r="W1228" s="79" t="s">
        <v>309</v>
      </c>
      <c r="X1228" s="79" t="s">
        <v>309</v>
      </c>
      <c r="Y1228" s="79"/>
      <c r="Z1228" s="79"/>
    </row>
    <row r="1229" ht="15.0" customHeight="1">
      <c r="A1229" s="103" t="s">
        <v>24</v>
      </c>
      <c r="B1229" s="77" t="s">
        <v>8320</v>
      </c>
      <c r="C1229" s="80">
        <v>3.0714855995E10</v>
      </c>
      <c r="D1229" s="79" t="s">
        <v>264</v>
      </c>
      <c r="E1229" s="79" t="s">
        <v>4233</v>
      </c>
      <c r="F1229" s="44">
        <v>5381.0</v>
      </c>
      <c r="G1229" s="79" t="s">
        <v>15</v>
      </c>
      <c r="H1229" s="80">
        <v>1678.0</v>
      </c>
      <c r="I1229" s="79">
        <v>259999.0</v>
      </c>
      <c r="J1229" s="74" t="s">
        <v>347</v>
      </c>
      <c r="K1229" s="77" t="s">
        <v>839</v>
      </c>
      <c r="L1229" s="79" t="s">
        <v>453</v>
      </c>
      <c r="M1229" s="79"/>
      <c r="N1229" s="79">
        <v>4.0</v>
      </c>
      <c r="O1229" s="74"/>
      <c r="P1229" s="80"/>
      <c r="Q1229" s="79"/>
      <c r="R1229" s="80"/>
      <c r="S1229" s="78" t="s">
        <v>8323</v>
      </c>
      <c r="T1229" s="78" t="s">
        <v>5372</v>
      </c>
      <c r="U1229" s="80" t="s">
        <v>332</v>
      </c>
      <c r="V1229" s="102" t="s">
        <v>429</v>
      </c>
      <c r="W1229" s="79" t="s">
        <v>306</v>
      </c>
      <c r="X1229" s="79" t="s">
        <v>306</v>
      </c>
      <c r="Y1229" s="79"/>
      <c r="Z1229" s="79"/>
    </row>
    <row r="1230" ht="15.0" customHeight="1">
      <c r="A1230" s="103" t="s">
        <v>24</v>
      </c>
      <c r="B1230" s="77" t="s">
        <v>8326</v>
      </c>
      <c r="C1230" s="80">
        <v>3.0582816685E10</v>
      </c>
      <c r="D1230" s="79" t="s">
        <v>264</v>
      </c>
      <c r="E1230" s="79" t="s">
        <v>2312</v>
      </c>
      <c r="F1230" s="44">
        <v>4166.0</v>
      </c>
      <c r="G1230" s="79" t="s">
        <v>15</v>
      </c>
      <c r="H1230" s="80">
        <v>1678.0</v>
      </c>
      <c r="I1230" s="79">
        <v>259999.0</v>
      </c>
      <c r="J1230" s="74" t="s">
        <v>347</v>
      </c>
      <c r="K1230" s="77" t="s">
        <v>839</v>
      </c>
      <c r="L1230" s="79" t="s">
        <v>453</v>
      </c>
      <c r="M1230" s="79"/>
      <c r="N1230" s="79">
        <v>4.0</v>
      </c>
      <c r="O1230" s="74"/>
      <c r="P1230" s="80"/>
      <c r="Q1230" s="79"/>
      <c r="R1230" s="80"/>
      <c r="S1230" s="78" t="s">
        <v>8328</v>
      </c>
      <c r="T1230" s="101" t="s">
        <v>332</v>
      </c>
      <c r="U1230" s="80" t="s">
        <v>332</v>
      </c>
      <c r="V1230" s="102" t="s">
        <v>429</v>
      </c>
      <c r="W1230" s="79" t="s">
        <v>309</v>
      </c>
      <c r="X1230" s="79" t="s">
        <v>309</v>
      </c>
      <c r="Y1230" s="79"/>
      <c r="Z1230" s="79"/>
    </row>
    <row r="1231" ht="15.75" customHeight="1">
      <c r="A1231" s="103" t="s">
        <v>24</v>
      </c>
      <c r="B1231" s="77" t="s">
        <v>8330</v>
      </c>
      <c r="C1231" s="80">
        <v>3.3629661889E10</v>
      </c>
      <c r="D1231" s="119" t="s">
        <v>264</v>
      </c>
      <c r="E1231" s="79" t="s">
        <v>2312</v>
      </c>
      <c r="F1231" s="44">
        <v>5476.0</v>
      </c>
      <c r="G1231" s="79" t="s">
        <v>119</v>
      </c>
      <c r="H1231" s="80">
        <v>1657.0</v>
      </c>
      <c r="I1231" s="79">
        <v>381993.0</v>
      </c>
      <c r="J1231" s="74" t="s">
        <v>347</v>
      </c>
      <c r="K1231" s="79" t="s">
        <v>2090</v>
      </c>
      <c r="L1231" s="79" t="s">
        <v>453</v>
      </c>
      <c r="M1231" s="79"/>
      <c r="N1231" s="79">
        <v>0.0</v>
      </c>
      <c r="O1231" s="74"/>
      <c r="P1231" s="80"/>
      <c r="Q1231" s="79"/>
      <c r="R1231" s="80"/>
      <c r="S1231" s="78" t="s">
        <v>8332</v>
      </c>
      <c r="T1231" s="101" t="s">
        <v>332</v>
      </c>
      <c r="U1231" s="80" t="s">
        <v>332</v>
      </c>
      <c r="V1231" s="102" t="s">
        <v>429</v>
      </c>
      <c r="W1231" s="79" t="s">
        <v>306</v>
      </c>
      <c r="X1231" s="79" t="s">
        <v>306</v>
      </c>
      <c r="Y1231" s="79"/>
      <c r="Z1231" s="79"/>
    </row>
    <row r="1232" ht="15.0" customHeight="1">
      <c r="A1232" s="76" t="s">
        <v>247</v>
      </c>
      <c r="B1232" s="77" t="s">
        <v>2087</v>
      </c>
      <c r="C1232" s="101">
        <v>3.0709729302E10</v>
      </c>
      <c r="D1232" s="79" t="s">
        <v>264</v>
      </c>
      <c r="E1232" s="77" t="s">
        <v>1469</v>
      </c>
      <c r="F1232" s="44">
        <v>957.0</v>
      </c>
      <c r="G1232" s="79" t="s">
        <v>119</v>
      </c>
      <c r="H1232" s="80">
        <v>1657.0</v>
      </c>
      <c r="I1232" s="77">
        <v>466940.0</v>
      </c>
      <c r="J1232" s="83" t="s">
        <v>347</v>
      </c>
      <c r="K1232" s="77" t="s">
        <v>8334</v>
      </c>
      <c r="L1232" s="79"/>
      <c r="M1232" s="79"/>
      <c r="N1232" s="79"/>
      <c r="O1232" s="77" t="s">
        <v>8337</v>
      </c>
      <c r="P1232" s="78" t="s">
        <v>8338</v>
      </c>
      <c r="Q1232" s="79"/>
      <c r="R1232" s="78" t="s">
        <v>8339</v>
      </c>
      <c r="S1232" s="78" t="s">
        <v>8339</v>
      </c>
      <c r="T1232" s="101"/>
      <c r="U1232" s="80"/>
      <c r="V1232" s="102" t="s">
        <v>429</v>
      </c>
      <c r="W1232" s="79"/>
      <c r="X1232" s="79"/>
      <c r="Y1232" s="79"/>
      <c r="Z1232" s="79"/>
    </row>
    <row r="1233" ht="15.0" customHeight="1">
      <c r="A1233" s="103" t="s">
        <v>24</v>
      </c>
      <c r="B1233" s="77" t="s">
        <v>8340</v>
      </c>
      <c r="C1233" s="80">
        <v>3.0709040738E10</v>
      </c>
      <c r="D1233" s="79" t="s">
        <v>264</v>
      </c>
      <c r="E1233" s="79" t="s">
        <v>2912</v>
      </c>
      <c r="F1233" s="44">
        <v>6516.0</v>
      </c>
      <c r="G1233" s="79" t="s">
        <v>119</v>
      </c>
      <c r="H1233" s="80">
        <v>1657.0</v>
      </c>
      <c r="I1233" s="79">
        <v>259999.0</v>
      </c>
      <c r="J1233" s="74" t="s">
        <v>347</v>
      </c>
      <c r="K1233" s="77" t="s">
        <v>839</v>
      </c>
      <c r="L1233" s="79" t="s">
        <v>453</v>
      </c>
      <c r="M1233" s="79"/>
      <c r="N1233" s="79">
        <v>8.0</v>
      </c>
      <c r="O1233" s="74"/>
      <c r="P1233" s="80"/>
      <c r="Q1233" s="79"/>
      <c r="R1233" s="80"/>
      <c r="S1233" s="78" t="s">
        <v>8343</v>
      </c>
      <c r="T1233" s="101" t="s">
        <v>332</v>
      </c>
      <c r="U1233" s="80" t="s">
        <v>332</v>
      </c>
      <c r="V1233" s="102" t="s">
        <v>429</v>
      </c>
      <c r="W1233" s="79" t="s">
        <v>306</v>
      </c>
      <c r="X1233" s="79" t="s">
        <v>306</v>
      </c>
      <c r="Y1233" s="79"/>
      <c r="Z1233" s="79"/>
    </row>
    <row r="1234" ht="15.75" customHeight="1">
      <c r="A1234" s="103" t="s">
        <v>24</v>
      </c>
      <c r="B1234" s="77" t="s">
        <v>8344</v>
      </c>
      <c r="C1234" s="80">
        <v>3.0557349436E10</v>
      </c>
      <c r="D1234" s="79" t="s">
        <v>264</v>
      </c>
      <c r="E1234" s="79" t="s">
        <v>8346</v>
      </c>
      <c r="F1234" s="44">
        <v>7041.0</v>
      </c>
      <c r="G1234" s="79" t="s">
        <v>269</v>
      </c>
      <c r="H1234" s="80">
        <v>1682.0</v>
      </c>
      <c r="I1234" s="79">
        <v>359200.0</v>
      </c>
      <c r="J1234" s="74" t="s">
        <v>347</v>
      </c>
      <c r="K1234" s="79" t="s">
        <v>8348</v>
      </c>
      <c r="L1234" s="79"/>
      <c r="M1234" s="79"/>
      <c r="N1234" s="79">
        <v>1.0</v>
      </c>
      <c r="O1234" s="74"/>
      <c r="P1234" s="80"/>
      <c r="Q1234" s="79"/>
      <c r="R1234" s="80"/>
      <c r="S1234" s="80" t="s">
        <v>8349</v>
      </c>
      <c r="T1234" s="101" t="s">
        <v>8350</v>
      </c>
      <c r="U1234" s="80" t="s">
        <v>8350</v>
      </c>
      <c r="V1234" s="102" t="s">
        <v>429</v>
      </c>
      <c r="W1234" s="79" t="s">
        <v>309</v>
      </c>
      <c r="X1234" s="79" t="s">
        <v>309</v>
      </c>
      <c r="Y1234" s="79"/>
      <c r="Z1234" s="79"/>
    </row>
    <row r="1235" ht="15.75" customHeight="1">
      <c r="A1235" s="76" t="s">
        <v>247</v>
      </c>
      <c r="B1235" s="77" t="s">
        <v>8353</v>
      </c>
      <c r="C1235" s="80">
        <v>3.0608027102E10</v>
      </c>
      <c r="D1235" s="119" t="s">
        <v>264</v>
      </c>
      <c r="E1235" s="77" t="s">
        <v>7135</v>
      </c>
      <c r="F1235" s="44">
        <v>9548.0</v>
      </c>
      <c r="G1235" s="79" t="s">
        <v>119</v>
      </c>
      <c r="H1235" s="80">
        <v>1657.0</v>
      </c>
      <c r="I1235" s="79">
        <v>292000.0</v>
      </c>
      <c r="J1235" s="74" t="s">
        <v>347</v>
      </c>
      <c r="K1235" s="79" t="s">
        <v>3271</v>
      </c>
      <c r="L1235" s="79"/>
      <c r="M1235" s="79"/>
      <c r="N1235" s="79">
        <v>630.0</v>
      </c>
      <c r="O1235" s="74"/>
      <c r="P1235" s="80"/>
      <c r="Q1235" s="79"/>
      <c r="R1235" s="80"/>
      <c r="S1235" s="80" t="s">
        <v>8355</v>
      </c>
      <c r="T1235" s="101" t="s">
        <v>332</v>
      </c>
      <c r="U1235" s="80"/>
      <c r="V1235" s="102" t="s">
        <v>8357</v>
      </c>
      <c r="W1235" s="79" t="s">
        <v>309</v>
      </c>
      <c r="X1235" s="79" t="s">
        <v>309</v>
      </c>
      <c r="Y1235" s="79" t="s">
        <v>309</v>
      </c>
      <c r="Z1235" s="79"/>
    </row>
    <row r="1236" ht="15.75" customHeight="1">
      <c r="A1236" s="103" t="s">
        <v>24</v>
      </c>
      <c r="B1236" s="77" t="s">
        <v>8358</v>
      </c>
      <c r="C1236" s="80">
        <v>3.0710765436E10</v>
      </c>
      <c r="D1236" s="119" t="s">
        <v>264</v>
      </c>
      <c r="E1236" s="79" t="s">
        <v>5304</v>
      </c>
      <c r="F1236" s="44">
        <v>1270.0</v>
      </c>
      <c r="G1236" s="79" t="s">
        <v>269</v>
      </c>
      <c r="H1236" s="80">
        <v>1682.0</v>
      </c>
      <c r="I1236" s="79">
        <v>251101.0</v>
      </c>
      <c r="J1236" s="74" t="s">
        <v>347</v>
      </c>
      <c r="K1236" s="79" t="s">
        <v>1486</v>
      </c>
      <c r="L1236" s="79" t="s">
        <v>453</v>
      </c>
      <c r="M1236" s="77" t="s">
        <v>8359</v>
      </c>
      <c r="N1236" s="79">
        <v>12.0</v>
      </c>
      <c r="O1236" s="74"/>
      <c r="P1236" s="80"/>
      <c r="Q1236" s="79"/>
      <c r="R1236" s="80"/>
      <c r="S1236" s="80" t="s">
        <v>8362</v>
      </c>
      <c r="T1236" s="101" t="s">
        <v>8363</v>
      </c>
      <c r="U1236" s="80" t="s">
        <v>332</v>
      </c>
      <c r="V1236" s="102" t="s">
        <v>429</v>
      </c>
      <c r="W1236" s="79" t="s">
        <v>306</v>
      </c>
      <c r="X1236" s="79" t="s">
        <v>306</v>
      </c>
      <c r="Y1236" s="79"/>
      <c r="Z1236" s="79"/>
    </row>
    <row r="1237" ht="15.75" customHeight="1">
      <c r="A1237" s="76" t="s">
        <v>247</v>
      </c>
      <c r="B1237" s="79" t="s">
        <v>7454</v>
      </c>
      <c r="C1237" s="80">
        <v>3.0716087316E10</v>
      </c>
      <c r="D1237" s="77" t="s">
        <v>264</v>
      </c>
      <c r="E1237" s="79" t="s">
        <v>3895</v>
      </c>
      <c r="F1237" s="44">
        <v>2780.0</v>
      </c>
      <c r="G1237" s="79" t="s">
        <v>15</v>
      </c>
      <c r="H1237" s="80">
        <v>1678.0</v>
      </c>
      <c r="I1237" s="79">
        <v>259999.0</v>
      </c>
      <c r="J1237" s="74" t="s">
        <v>347</v>
      </c>
      <c r="K1237" s="144" t="s">
        <v>839</v>
      </c>
      <c r="L1237" s="79"/>
      <c r="M1237" s="79"/>
      <c r="N1237" s="79"/>
      <c r="O1237" s="79"/>
      <c r="P1237" s="80"/>
      <c r="Q1237" s="79"/>
      <c r="R1237" s="80"/>
      <c r="S1237" s="78" t="s">
        <v>8366</v>
      </c>
      <c r="T1237" s="85" t="s">
        <v>8367</v>
      </c>
      <c r="U1237" s="78" t="s">
        <v>8368</v>
      </c>
      <c r="V1237" s="102" t="s">
        <v>8369</v>
      </c>
      <c r="W1237" s="79"/>
      <c r="X1237" s="79"/>
      <c r="Y1237" s="79"/>
      <c r="Z1237" s="79"/>
    </row>
    <row r="1238" ht="15.0" customHeight="1">
      <c r="A1238" s="76" t="s">
        <v>247</v>
      </c>
      <c r="B1238" s="77" t="s">
        <v>7456</v>
      </c>
      <c r="C1238" s="80">
        <v>3.3709533229E10</v>
      </c>
      <c r="D1238" s="119" t="s">
        <v>264</v>
      </c>
      <c r="E1238" s="77" t="s">
        <v>1936</v>
      </c>
      <c r="F1238" s="128" t="s">
        <v>8372</v>
      </c>
      <c r="G1238" s="79" t="s">
        <v>68</v>
      </c>
      <c r="H1238" s="80">
        <v>1702.0</v>
      </c>
      <c r="I1238" s="79">
        <v>279000.0</v>
      </c>
      <c r="J1238" s="74" t="s">
        <v>347</v>
      </c>
      <c r="K1238" s="77" t="s">
        <v>2081</v>
      </c>
      <c r="L1238" s="79"/>
      <c r="M1238" s="77" t="s">
        <v>8374</v>
      </c>
      <c r="N1238" s="79">
        <v>7.0</v>
      </c>
      <c r="O1238" s="74"/>
      <c r="P1238" s="80"/>
      <c r="Q1238" s="79"/>
      <c r="R1238" s="80"/>
      <c r="S1238" s="78" t="s">
        <v>8375</v>
      </c>
      <c r="T1238" s="101"/>
      <c r="U1238" s="80" t="s">
        <v>332</v>
      </c>
      <c r="V1238" s="98" t="s">
        <v>8376</v>
      </c>
      <c r="W1238" s="79" t="s">
        <v>309</v>
      </c>
      <c r="X1238" s="79" t="s">
        <v>309</v>
      </c>
      <c r="Y1238" s="79"/>
      <c r="Z1238" s="79"/>
    </row>
    <row r="1239" ht="15.0" customHeight="1">
      <c r="A1239" s="103" t="s">
        <v>24</v>
      </c>
      <c r="B1239" s="77" t="s">
        <v>8379</v>
      </c>
      <c r="C1239" s="80">
        <v>3.3505115169E10</v>
      </c>
      <c r="D1239" s="119" t="s">
        <v>264</v>
      </c>
      <c r="E1239" s="77" t="s">
        <v>1458</v>
      </c>
      <c r="F1239" s="44">
        <v>4067.0</v>
      </c>
      <c r="G1239" s="79" t="s">
        <v>15</v>
      </c>
      <c r="H1239" s="80">
        <v>1678.0</v>
      </c>
      <c r="I1239" s="79">
        <v>271009.0</v>
      </c>
      <c r="J1239" s="74" t="s">
        <v>347</v>
      </c>
      <c r="K1239" s="77" t="s">
        <v>1082</v>
      </c>
      <c r="L1239" s="79"/>
      <c r="M1239" s="79"/>
      <c r="N1239" s="79">
        <v>0.0</v>
      </c>
      <c r="O1239" s="74"/>
      <c r="P1239" s="80"/>
      <c r="Q1239" s="79"/>
      <c r="R1239" s="80"/>
      <c r="S1239" s="80" t="s">
        <v>8381</v>
      </c>
      <c r="T1239" s="101" t="s">
        <v>332</v>
      </c>
      <c r="U1239" s="80" t="s">
        <v>332</v>
      </c>
      <c r="V1239" s="102" t="s">
        <v>429</v>
      </c>
      <c r="W1239" s="79" t="s">
        <v>306</v>
      </c>
      <c r="X1239" s="79" t="s">
        <v>306</v>
      </c>
      <c r="Y1239" s="79"/>
      <c r="Z1239" s="79"/>
    </row>
    <row r="1240" ht="15.0" customHeight="1">
      <c r="A1240" s="103" t="s">
        <v>24</v>
      </c>
      <c r="B1240" s="77" t="s">
        <v>8383</v>
      </c>
      <c r="C1240" s="80">
        <v>3.0714898821E10</v>
      </c>
      <c r="D1240" s="119" t="s">
        <v>264</v>
      </c>
      <c r="E1240" s="79" t="s">
        <v>8384</v>
      </c>
      <c r="F1240" s="44">
        <v>5137.0</v>
      </c>
      <c r="G1240" s="79" t="s">
        <v>119</v>
      </c>
      <c r="H1240" s="80">
        <v>1657.0</v>
      </c>
      <c r="I1240" s="79">
        <v>259999.0</v>
      </c>
      <c r="J1240" s="74" t="s">
        <v>347</v>
      </c>
      <c r="K1240" s="77" t="s">
        <v>839</v>
      </c>
      <c r="L1240" s="79" t="s">
        <v>453</v>
      </c>
      <c r="M1240" s="79"/>
      <c r="N1240" s="79">
        <v>0.0</v>
      </c>
      <c r="O1240" s="74"/>
      <c r="P1240" s="80"/>
      <c r="Q1240" s="79"/>
      <c r="R1240" s="80"/>
      <c r="S1240" s="80"/>
      <c r="T1240" s="101" t="s">
        <v>332</v>
      </c>
      <c r="U1240" s="80" t="s">
        <v>332</v>
      </c>
      <c r="V1240" s="102" t="s">
        <v>8386</v>
      </c>
      <c r="W1240" s="79" t="s">
        <v>306</v>
      </c>
      <c r="X1240" s="79" t="s">
        <v>306</v>
      </c>
      <c r="Y1240" s="79"/>
      <c r="Z1240" s="79"/>
    </row>
    <row r="1241" ht="15.0" customHeight="1">
      <c r="A1241" s="103" t="s">
        <v>24</v>
      </c>
      <c r="B1241" s="77" t="s">
        <v>8388</v>
      </c>
      <c r="C1241" s="80">
        <v>3.0709367893E10</v>
      </c>
      <c r="D1241" s="119" t="s">
        <v>264</v>
      </c>
      <c r="E1241" s="79" t="s">
        <v>2333</v>
      </c>
      <c r="F1241" s="44">
        <v>2736.0</v>
      </c>
      <c r="G1241" s="79" t="s">
        <v>97</v>
      </c>
      <c r="H1241" s="80">
        <v>1702.0</v>
      </c>
      <c r="I1241" s="79">
        <v>259999.0</v>
      </c>
      <c r="J1241" s="74" t="s">
        <v>347</v>
      </c>
      <c r="K1241" s="77" t="s">
        <v>839</v>
      </c>
      <c r="L1241" s="79" t="s">
        <v>453</v>
      </c>
      <c r="M1241" s="79"/>
      <c r="N1241" s="79">
        <v>23.0</v>
      </c>
      <c r="O1241" s="74"/>
      <c r="P1241" s="80"/>
      <c r="Q1241" s="79"/>
      <c r="R1241" s="80"/>
      <c r="S1241" s="78" t="s">
        <v>8390</v>
      </c>
      <c r="T1241" s="101" t="s">
        <v>332</v>
      </c>
      <c r="U1241" s="80" t="s">
        <v>332</v>
      </c>
      <c r="V1241" s="102" t="s">
        <v>429</v>
      </c>
      <c r="W1241" s="79" t="s">
        <v>306</v>
      </c>
      <c r="X1241" s="79" t="s">
        <v>306</v>
      </c>
      <c r="Y1241" s="79"/>
      <c r="Z1241" s="79"/>
    </row>
    <row r="1242" ht="15.0" customHeight="1">
      <c r="A1242" s="103" t="s">
        <v>24</v>
      </c>
      <c r="B1242" s="77" t="s">
        <v>8392</v>
      </c>
      <c r="C1242" s="80">
        <v>3.0715195069E10</v>
      </c>
      <c r="D1242" s="119" t="s">
        <v>264</v>
      </c>
      <c r="E1242" s="79" t="s">
        <v>359</v>
      </c>
      <c r="F1242" s="44">
        <v>4660.0</v>
      </c>
      <c r="G1242" s="79" t="s">
        <v>15</v>
      </c>
      <c r="H1242" s="80">
        <v>1678.0</v>
      </c>
      <c r="I1242" s="79">
        <v>310020.0</v>
      </c>
      <c r="J1242" s="74" t="s">
        <v>347</v>
      </c>
      <c r="K1242" s="79" t="s">
        <v>3277</v>
      </c>
      <c r="L1242" s="79" t="s">
        <v>1122</v>
      </c>
      <c r="M1242" s="79" t="s">
        <v>8394</v>
      </c>
      <c r="N1242" s="79">
        <v>0.0</v>
      </c>
      <c r="O1242" s="74" t="s">
        <v>8395</v>
      </c>
      <c r="P1242" s="78" t="s">
        <v>8397</v>
      </c>
      <c r="Q1242" s="79"/>
      <c r="R1242" s="80"/>
      <c r="S1242" s="80"/>
      <c r="T1242" s="101" t="s">
        <v>332</v>
      </c>
      <c r="U1242" s="80" t="s">
        <v>332</v>
      </c>
      <c r="V1242" s="102" t="s">
        <v>429</v>
      </c>
      <c r="W1242" s="79" t="s">
        <v>306</v>
      </c>
      <c r="X1242" s="79" t="s">
        <v>306</v>
      </c>
      <c r="Y1242" s="79"/>
      <c r="Z1242" s="79"/>
    </row>
    <row r="1243" ht="15.75" customHeight="1">
      <c r="A1243" s="76" t="s">
        <v>247</v>
      </c>
      <c r="B1243" s="77" t="s">
        <v>7459</v>
      </c>
      <c r="C1243" s="80">
        <v>3.0553574346E10</v>
      </c>
      <c r="D1243" s="119" t="s">
        <v>264</v>
      </c>
      <c r="E1243" s="79" t="s">
        <v>1755</v>
      </c>
      <c r="F1243" s="44">
        <v>3031.0</v>
      </c>
      <c r="G1243" s="79" t="s">
        <v>15</v>
      </c>
      <c r="H1243" s="80">
        <v>1678.0</v>
      </c>
      <c r="I1243" s="79">
        <v>259999.0</v>
      </c>
      <c r="J1243" s="74" t="s">
        <v>347</v>
      </c>
      <c r="K1243" s="77" t="s">
        <v>839</v>
      </c>
      <c r="L1243" s="79" t="s">
        <v>453</v>
      </c>
      <c r="M1243" s="79"/>
      <c r="N1243" s="79">
        <v>11.0</v>
      </c>
      <c r="O1243" s="74"/>
      <c r="P1243" s="80"/>
      <c r="Q1243" s="79"/>
      <c r="R1243" s="80"/>
      <c r="S1243" s="78" t="s">
        <v>8399</v>
      </c>
      <c r="T1243" s="101" t="s">
        <v>8400</v>
      </c>
      <c r="U1243" s="80" t="s">
        <v>8401</v>
      </c>
      <c r="V1243" s="102" t="s">
        <v>8402</v>
      </c>
      <c r="W1243" s="79" t="s">
        <v>309</v>
      </c>
      <c r="X1243" s="79" t="s">
        <v>309</v>
      </c>
      <c r="Y1243" s="79" t="s">
        <v>309</v>
      </c>
      <c r="Z1243" s="79"/>
    </row>
    <row r="1244" ht="15.0" customHeight="1">
      <c r="A1244" s="103" t="s">
        <v>24</v>
      </c>
      <c r="B1244" s="77" t="s">
        <v>8403</v>
      </c>
      <c r="C1244" s="80">
        <v>3.0709773484E10</v>
      </c>
      <c r="D1244" s="119" t="s">
        <v>264</v>
      </c>
      <c r="E1244" s="79" t="s">
        <v>826</v>
      </c>
      <c r="F1244" s="128">
        <v>10128.0</v>
      </c>
      <c r="G1244" s="79" t="s">
        <v>175</v>
      </c>
      <c r="H1244" s="80">
        <v>1657.0</v>
      </c>
      <c r="I1244" s="79">
        <v>259993.0</v>
      </c>
      <c r="J1244" s="74" t="s">
        <v>347</v>
      </c>
      <c r="K1244" s="129" t="s">
        <v>638</v>
      </c>
      <c r="L1244" s="79" t="s">
        <v>453</v>
      </c>
      <c r="M1244" s="79"/>
      <c r="N1244" s="79">
        <v>0.0</v>
      </c>
      <c r="O1244" s="74"/>
      <c r="P1244" s="80"/>
      <c r="Q1244" s="79"/>
      <c r="R1244" s="80"/>
      <c r="S1244" s="78" t="s">
        <v>8405</v>
      </c>
      <c r="T1244" s="101" t="s">
        <v>332</v>
      </c>
      <c r="U1244" s="80" t="s">
        <v>332</v>
      </c>
      <c r="V1244" s="102" t="s">
        <v>429</v>
      </c>
      <c r="W1244" s="79" t="s">
        <v>306</v>
      </c>
      <c r="X1244" s="79" t="s">
        <v>306</v>
      </c>
      <c r="Y1244" s="79"/>
      <c r="Z1244" s="79"/>
    </row>
    <row r="1245" ht="15.75" customHeight="1">
      <c r="A1245" s="103" t="s">
        <v>24</v>
      </c>
      <c r="B1245" s="77" t="s">
        <v>8406</v>
      </c>
      <c r="C1245" s="80">
        <v>3.0641646896E10</v>
      </c>
      <c r="D1245" s="119" t="s">
        <v>264</v>
      </c>
      <c r="E1245" s="79" t="s">
        <v>1323</v>
      </c>
      <c r="F1245" s="44">
        <v>2969.0</v>
      </c>
      <c r="G1245" s="79" t="s">
        <v>15</v>
      </c>
      <c r="H1245" s="80">
        <v>1678.0</v>
      </c>
      <c r="I1245" s="79">
        <v>242090.0</v>
      </c>
      <c r="J1245" s="74" t="s">
        <v>347</v>
      </c>
      <c r="K1245" s="77" t="s">
        <v>2714</v>
      </c>
      <c r="L1245" s="79" t="s">
        <v>453</v>
      </c>
      <c r="M1245" s="79"/>
      <c r="N1245" s="79">
        <v>2.0</v>
      </c>
      <c r="O1245" s="74"/>
      <c r="P1245" s="80"/>
      <c r="Q1245" s="79"/>
      <c r="R1245" s="80"/>
      <c r="S1245" s="78" t="s">
        <v>8409</v>
      </c>
      <c r="T1245" s="101" t="s">
        <v>332</v>
      </c>
      <c r="U1245" s="80" t="s">
        <v>332</v>
      </c>
      <c r="V1245" s="102" t="s">
        <v>429</v>
      </c>
      <c r="W1245" s="79" t="s">
        <v>306</v>
      </c>
      <c r="X1245" s="79" t="s">
        <v>306</v>
      </c>
      <c r="Y1245" s="79"/>
      <c r="Z1245" s="79"/>
    </row>
    <row r="1246" ht="15.75" customHeight="1">
      <c r="A1246" s="103" t="s">
        <v>24</v>
      </c>
      <c r="B1246" s="77" t="s">
        <v>8410</v>
      </c>
      <c r="C1246" s="80">
        <v>3.0707491236E10</v>
      </c>
      <c r="D1246" s="119" t="s">
        <v>264</v>
      </c>
      <c r="E1246" s="79" t="s">
        <v>3987</v>
      </c>
      <c r="F1246" s="44">
        <v>9761.0</v>
      </c>
      <c r="G1246" s="79" t="s">
        <v>119</v>
      </c>
      <c r="H1246" s="80">
        <v>1657.0</v>
      </c>
      <c r="I1246" s="79">
        <v>241009.0</v>
      </c>
      <c r="J1246" s="74" t="s">
        <v>347</v>
      </c>
      <c r="K1246" s="77" t="s">
        <v>5011</v>
      </c>
      <c r="L1246" s="79"/>
      <c r="M1246" s="79"/>
      <c r="N1246" s="79">
        <v>5.0</v>
      </c>
      <c r="O1246" s="74"/>
      <c r="P1246" s="80"/>
      <c r="Q1246" s="79"/>
      <c r="R1246" s="80"/>
      <c r="S1246" s="78" t="s">
        <v>8413</v>
      </c>
      <c r="T1246" s="101" t="s">
        <v>332</v>
      </c>
      <c r="U1246" s="80" t="s">
        <v>332</v>
      </c>
      <c r="V1246" s="102" t="s">
        <v>429</v>
      </c>
      <c r="W1246" s="79" t="s">
        <v>306</v>
      </c>
      <c r="X1246" s="79" t="s">
        <v>306</v>
      </c>
      <c r="Y1246" s="79"/>
      <c r="Z1246" s="79"/>
    </row>
    <row r="1247" ht="15.0" customHeight="1">
      <c r="A1247" s="103" t="s">
        <v>24</v>
      </c>
      <c r="B1247" s="79" t="s">
        <v>8414</v>
      </c>
      <c r="C1247" s="80">
        <v>3.0595158784E10</v>
      </c>
      <c r="D1247" s="119" t="s">
        <v>264</v>
      </c>
      <c r="E1247" s="79" t="s">
        <v>898</v>
      </c>
      <c r="F1247" s="44">
        <v>3875.0</v>
      </c>
      <c r="G1247" s="79" t="s">
        <v>68</v>
      </c>
      <c r="H1247" s="80">
        <v>1702.0</v>
      </c>
      <c r="I1247" s="79">
        <v>343000.0</v>
      </c>
      <c r="J1247" s="74" t="s">
        <v>347</v>
      </c>
      <c r="K1247" s="79" t="s">
        <v>2104</v>
      </c>
      <c r="L1247" s="79" t="s">
        <v>453</v>
      </c>
      <c r="M1247" s="79" t="s">
        <v>8416</v>
      </c>
      <c r="N1247" s="79">
        <v>7.0</v>
      </c>
      <c r="O1247" s="74" t="s">
        <v>8417</v>
      </c>
      <c r="P1247" s="80"/>
      <c r="Q1247" s="79" t="s">
        <v>7377</v>
      </c>
      <c r="R1247" s="80"/>
      <c r="S1247" s="78" t="s">
        <v>8418</v>
      </c>
      <c r="T1247" s="101" t="s">
        <v>8419</v>
      </c>
      <c r="U1247" s="80" t="s">
        <v>8420</v>
      </c>
      <c r="V1247" s="102" t="s">
        <v>429</v>
      </c>
      <c r="W1247" s="79" t="s">
        <v>306</v>
      </c>
      <c r="X1247" s="79" t="s">
        <v>306</v>
      </c>
      <c r="Y1247" s="79"/>
      <c r="Z1247" s="79"/>
    </row>
    <row r="1248" ht="15.75" customHeight="1">
      <c r="A1248" s="103" t="s">
        <v>24</v>
      </c>
      <c r="B1248" s="77" t="s">
        <v>8421</v>
      </c>
      <c r="C1248" s="80">
        <v>3.0712150846E10</v>
      </c>
      <c r="D1248" s="119" t="s">
        <v>264</v>
      </c>
      <c r="E1248" s="77" t="s">
        <v>7748</v>
      </c>
      <c r="F1248" s="44">
        <v>9012.0</v>
      </c>
      <c r="G1248" s="79" t="s">
        <v>119</v>
      </c>
      <c r="H1248" s="80">
        <v>1657.0</v>
      </c>
      <c r="I1248" s="79">
        <v>259993.0</v>
      </c>
      <c r="J1248" s="74" t="s">
        <v>347</v>
      </c>
      <c r="K1248" s="129" t="s">
        <v>638</v>
      </c>
      <c r="L1248" s="79" t="s">
        <v>453</v>
      </c>
      <c r="M1248" s="79"/>
      <c r="N1248" s="79">
        <v>4.0</v>
      </c>
      <c r="O1248" s="74"/>
      <c r="P1248" s="80"/>
      <c r="Q1248" s="79"/>
      <c r="R1248" s="80"/>
      <c r="S1248" s="78" t="s">
        <v>8423</v>
      </c>
      <c r="T1248" s="101" t="s">
        <v>332</v>
      </c>
      <c r="U1248" s="80" t="s">
        <v>332</v>
      </c>
      <c r="V1248" s="102" t="s">
        <v>429</v>
      </c>
      <c r="W1248" s="79" t="s">
        <v>306</v>
      </c>
      <c r="X1248" s="79" t="s">
        <v>306</v>
      </c>
      <c r="Y1248" s="79"/>
      <c r="Z1248" s="79"/>
    </row>
    <row r="1249" ht="15.0" customHeight="1">
      <c r="A1249" s="76" t="s">
        <v>247</v>
      </c>
      <c r="B1249" s="77" t="s">
        <v>2091</v>
      </c>
      <c r="C1249" s="80">
        <v>3.0559945168E10</v>
      </c>
      <c r="D1249" s="119" t="s">
        <v>264</v>
      </c>
      <c r="E1249" s="79" t="s">
        <v>5195</v>
      </c>
      <c r="F1249" s="44">
        <v>3332.0</v>
      </c>
      <c r="G1249" s="77" t="s">
        <v>226</v>
      </c>
      <c r="H1249" s="80">
        <v>1674.0</v>
      </c>
      <c r="I1249" s="79">
        <v>251200.0</v>
      </c>
      <c r="J1249" s="74" t="s">
        <v>347</v>
      </c>
      <c r="K1249" s="79" t="s">
        <v>6151</v>
      </c>
      <c r="L1249" s="79" t="s">
        <v>453</v>
      </c>
      <c r="M1249" s="79" t="s">
        <v>8426</v>
      </c>
      <c r="N1249" s="79">
        <v>25.0</v>
      </c>
      <c r="O1249" s="74" t="s">
        <v>8427</v>
      </c>
      <c r="P1249" s="80"/>
      <c r="Q1249" s="79" t="s">
        <v>8428</v>
      </c>
      <c r="R1249" s="80"/>
      <c r="S1249" s="80" t="s">
        <v>8429</v>
      </c>
      <c r="T1249" s="85" t="s">
        <v>8430</v>
      </c>
      <c r="U1249" s="80" t="s">
        <v>332</v>
      </c>
      <c r="V1249" s="102" t="s">
        <v>8431</v>
      </c>
      <c r="W1249" s="79" t="s">
        <v>309</v>
      </c>
      <c r="X1249" s="79" t="s">
        <v>309</v>
      </c>
      <c r="Y1249" s="79" t="s">
        <v>309</v>
      </c>
      <c r="Z1249" s="79"/>
    </row>
    <row r="1250" ht="15.75" customHeight="1">
      <c r="A1250" s="76" t="s">
        <v>247</v>
      </c>
      <c r="B1250" s="77" t="s">
        <v>8433</v>
      </c>
      <c r="C1250" s="80">
        <v>3.0709127124E10</v>
      </c>
      <c r="D1250" s="119" t="s">
        <v>264</v>
      </c>
      <c r="E1250" s="79" t="s">
        <v>3895</v>
      </c>
      <c r="F1250" s="44">
        <v>2790.0</v>
      </c>
      <c r="G1250" s="79" t="s">
        <v>15</v>
      </c>
      <c r="H1250" s="80">
        <v>1678.0</v>
      </c>
      <c r="I1250" s="79">
        <v>293090.0</v>
      </c>
      <c r="J1250" s="74" t="s">
        <v>347</v>
      </c>
      <c r="K1250" s="77" t="s">
        <v>407</v>
      </c>
      <c r="L1250" s="79"/>
      <c r="M1250" s="79"/>
      <c r="N1250" s="79">
        <v>3.0</v>
      </c>
      <c r="O1250" s="74"/>
      <c r="P1250" s="80"/>
      <c r="Q1250" s="79"/>
      <c r="R1250" s="80"/>
      <c r="S1250" s="80" t="s">
        <v>3897</v>
      </c>
      <c r="T1250" s="101" t="s">
        <v>332</v>
      </c>
      <c r="U1250" s="80"/>
      <c r="V1250" s="102" t="s">
        <v>429</v>
      </c>
      <c r="W1250" s="79" t="s">
        <v>309</v>
      </c>
      <c r="X1250" s="79" t="s">
        <v>309</v>
      </c>
      <c r="Y1250" s="79" t="s">
        <v>309</v>
      </c>
      <c r="Z1250" s="79"/>
    </row>
    <row r="1251" ht="15.75" customHeight="1">
      <c r="A1251" s="76" t="s">
        <v>247</v>
      </c>
      <c r="B1251" s="77" t="s">
        <v>2094</v>
      </c>
      <c r="C1251" s="80">
        <v>3.0571855964E10</v>
      </c>
      <c r="D1251" s="119" t="s">
        <v>264</v>
      </c>
      <c r="E1251" s="77" t="s">
        <v>7633</v>
      </c>
      <c r="F1251" s="44">
        <v>8891.0</v>
      </c>
      <c r="G1251" s="79" t="s">
        <v>119</v>
      </c>
      <c r="H1251" s="80">
        <v>1657.0</v>
      </c>
      <c r="I1251" s="79">
        <v>310020.0</v>
      </c>
      <c r="J1251" s="74" t="s">
        <v>347</v>
      </c>
      <c r="K1251" s="79" t="s">
        <v>3277</v>
      </c>
      <c r="L1251" s="79" t="s">
        <v>1122</v>
      </c>
      <c r="M1251" s="79"/>
      <c r="N1251" s="79">
        <v>122.0</v>
      </c>
      <c r="O1251" s="74" t="s">
        <v>8437</v>
      </c>
      <c r="P1251" s="78" t="s">
        <v>8438</v>
      </c>
      <c r="Q1251" s="79" t="s">
        <v>8439</v>
      </c>
      <c r="R1251" s="78" t="s">
        <v>8440</v>
      </c>
      <c r="S1251" s="80" t="s">
        <v>5360</v>
      </c>
      <c r="T1251" s="85" t="s">
        <v>8441</v>
      </c>
      <c r="U1251" s="80" t="s">
        <v>332</v>
      </c>
      <c r="V1251" s="102" t="s">
        <v>8442</v>
      </c>
      <c r="W1251" s="79" t="s">
        <v>309</v>
      </c>
      <c r="X1251" s="79" t="s">
        <v>309</v>
      </c>
      <c r="Y1251" s="79" t="s">
        <v>309</v>
      </c>
      <c r="Z1251" s="79"/>
    </row>
    <row r="1252" ht="15.75" customHeight="1">
      <c r="A1252" s="76" t="s">
        <v>247</v>
      </c>
      <c r="B1252" s="164" t="s">
        <v>4203</v>
      </c>
      <c r="C1252" s="80">
        <v>3.0709854298E10</v>
      </c>
      <c r="D1252" s="119" t="s">
        <v>264</v>
      </c>
      <c r="E1252" s="79" t="s">
        <v>2400</v>
      </c>
      <c r="F1252" s="44">
        <v>8797.0</v>
      </c>
      <c r="G1252" s="79" t="s">
        <v>175</v>
      </c>
      <c r="H1252" s="80">
        <v>1657.0</v>
      </c>
      <c r="I1252" s="79">
        <v>259993.0</v>
      </c>
      <c r="J1252" s="74" t="s">
        <v>347</v>
      </c>
      <c r="K1252" s="129" t="s">
        <v>638</v>
      </c>
      <c r="L1252" s="79" t="s">
        <v>453</v>
      </c>
      <c r="M1252" s="79" t="s">
        <v>8445</v>
      </c>
      <c r="N1252" s="79">
        <v>0.0</v>
      </c>
      <c r="O1252" s="74" t="s">
        <v>8446</v>
      </c>
      <c r="P1252" s="80"/>
      <c r="Q1252" s="79"/>
      <c r="R1252" s="80"/>
      <c r="S1252" s="80" t="s">
        <v>8447</v>
      </c>
      <c r="T1252" s="101" t="s">
        <v>332</v>
      </c>
      <c r="U1252" s="80" t="s">
        <v>332</v>
      </c>
      <c r="V1252" s="102" t="s">
        <v>8448</v>
      </c>
      <c r="W1252" s="79" t="s">
        <v>306</v>
      </c>
      <c r="X1252" s="79" t="s">
        <v>306</v>
      </c>
      <c r="Y1252" s="79"/>
      <c r="Z1252" s="79"/>
    </row>
    <row r="1253" ht="15.75" customHeight="1">
      <c r="A1253" s="103" t="s">
        <v>24</v>
      </c>
      <c r="B1253" s="77" t="s">
        <v>2097</v>
      </c>
      <c r="C1253" s="80">
        <v>3.0711931038E10</v>
      </c>
      <c r="D1253" s="119" t="s">
        <v>264</v>
      </c>
      <c r="E1253" s="79" t="s">
        <v>8124</v>
      </c>
      <c r="F1253" s="44">
        <v>5046.0</v>
      </c>
      <c r="G1253" s="79" t="s">
        <v>15</v>
      </c>
      <c r="H1253" s="80">
        <v>1678.0</v>
      </c>
      <c r="I1253" s="79">
        <v>259993.0</v>
      </c>
      <c r="J1253" s="74" t="s">
        <v>347</v>
      </c>
      <c r="K1253" s="129" t="s">
        <v>638</v>
      </c>
      <c r="L1253" s="79" t="s">
        <v>453</v>
      </c>
      <c r="M1253" s="79"/>
      <c r="N1253" s="79">
        <v>8.0</v>
      </c>
      <c r="O1253" s="74"/>
      <c r="P1253" s="78" t="s">
        <v>8451</v>
      </c>
      <c r="Q1253" s="79"/>
      <c r="R1253" s="80"/>
      <c r="S1253" s="78" t="s">
        <v>8452</v>
      </c>
      <c r="T1253" s="85" t="s">
        <v>8453</v>
      </c>
      <c r="U1253" s="80" t="s">
        <v>332</v>
      </c>
      <c r="V1253" s="102" t="s">
        <v>429</v>
      </c>
      <c r="W1253" s="79" t="s">
        <v>306</v>
      </c>
      <c r="X1253" s="79" t="s">
        <v>306</v>
      </c>
      <c r="Y1253" s="79"/>
      <c r="Z1253" s="79"/>
    </row>
    <row r="1254">
      <c r="A1254" s="103" t="s">
        <v>24</v>
      </c>
      <c r="B1254" s="77" t="s">
        <v>8456</v>
      </c>
      <c r="C1254" s="80">
        <v>3.0577047029E10</v>
      </c>
      <c r="D1254" s="119" t="s">
        <v>264</v>
      </c>
      <c r="E1254" s="77" t="s">
        <v>2254</v>
      </c>
      <c r="F1254" s="44">
        <v>1154.0</v>
      </c>
      <c r="G1254" s="79" t="s">
        <v>119</v>
      </c>
      <c r="H1254" s="80">
        <v>1657.0</v>
      </c>
      <c r="I1254" s="79">
        <v>281101.0</v>
      </c>
      <c r="J1254" s="74" t="s">
        <v>347</v>
      </c>
      <c r="K1254" s="79" t="s">
        <v>4263</v>
      </c>
      <c r="L1254" s="79" t="s">
        <v>453</v>
      </c>
      <c r="M1254" s="79"/>
      <c r="N1254" s="79">
        <v>3.0</v>
      </c>
      <c r="O1254" s="74"/>
      <c r="P1254" s="80"/>
      <c r="Q1254" s="79"/>
      <c r="R1254" s="80"/>
      <c r="S1254" s="80" t="s">
        <v>8459</v>
      </c>
      <c r="T1254" s="101"/>
      <c r="U1254" s="80" t="s">
        <v>332</v>
      </c>
      <c r="V1254" s="102" t="s">
        <v>429</v>
      </c>
      <c r="W1254" s="79" t="s">
        <v>309</v>
      </c>
      <c r="X1254" s="79" t="s">
        <v>309</v>
      </c>
      <c r="Y1254" s="79"/>
      <c r="Z1254" s="79"/>
    </row>
    <row r="1255">
      <c r="A1255" s="76" t="s">
        <v>247</v>
      </c>
      <c r="B1255" s="77" t="s">
        <v>7472</v>
      </c>
      <c r="C1255" s="80">
        <v>3.3620768109E10</v>
      </c>
      <c r="D1255" s="119" t="s">
        <v>264</v>
      </c>
      <c r="E1255" s="77" t="s">
        <v>8460</v>
      </c>
      <c r="F1255" s="44">
        <v>3481.0</v>
      </c>
      <c r="G1255" s="79" t="s">
        <v>15</v>
      </c>
      <c r="H1255" s="80">
        <v>1678.0</v>
      </c>
      <c r="I1255" s="79">
        <v>271009.0</v>
      </c>
      <c r="J1255" s="74" t="s">
        <v>347</v>
      </c>
      <c r="K1255" s="77" t="s">
        <v>1082</v>
      </c>
      <c r="L1255" s="79"/>
      <c r="M1255" s="79"/>
      <c r="N1255" s="79">
        <v>0.0</v>
      </c>
      <c r="O1255" s="74"/>
      <c r="P1255" s="80"/>
      <c r="Q1255" s="79"/>
      <c r="R1255" s="80"/>
      <c r="S1255" s="331" t="s">
        <v>8462</v>
      </c>
      <c r="T1255" s="101" t="s">
        <v>332</v>
      </c>
      <c r="U1255" s="80" t="s">
        <v>332</v>
      </c>
      <c r="V1255" s="102" t="s">
        <v>8463</v>
      </c>
      <c r="W1255" s="79" t="s">
        <v>306</v>
      </c>
      <c r="X1255" s="79" t="s">
        <v>306</v>
      </c>
      <c r="Y1255" s="79"/>
      <c r="Z1255" s="79"/>
    </row>
    <row r="1256" ht="14.25" customHeight="1">
      <c r="A1256" s="103" t="s">
        <v>24</v>
      </c>
      <c r="B1256" s="77" t="s">
        <v>8466</v>
      </c>
      <c r="C1256" s="80">
        <v>3.0521175148E10</v>
      </c>
      <c r="D1256" s="119" t="s">
        <v>264</v>
      </c>
      <c r="E1256" s="79" t="s">
        <v>1904</v>
      </c>
      <c r="F1256" s="44">
        <v>3256.0</v>
      </c>
      <c r="G1256" s="79" t="s">
        <v>15</v>
      </c>
      <c r="H1256" s="80">
        <v>1678.0</v>
      </c>
      <c r="I1256" s="79">
        <v>241009.0</v>
      </c>
      <c r="J1256" s="74" t="s">
        <v>347</v>
      </c>
      <c r="K1256" s="77" t="s">
        <v>5011</v>
      </c>
      <c r="L1256" s="79"/>
      <c r="M1256" s="79"/>
      <c r="N1256" s="79">
        <v>8.0</v>
      </c>
      <c r="O1256" s="74"/>
      <c r="P1256" s="80"/>
      <c r="Q1256" s="79"/>
      <c r="R1256" s="80"/>
      <c r="S1256" s="78" t="s">
        <v>8469</v>
      </c>
      <c r="T1256" s="101" t="s">
        <v>332</v>
      </c>
      <c r="U1256" s="80" t="s">
        <v>332</v>
      </c>
      <c r="V1256" s="102" t="s">
        <v>8470</v>
      </c>
      <c r="W1256" s="79" t="s">
        <v>306</v>
      </c>
      <c r="X1256" s="79" t="s">
        <v>306</v>
      </c>
      <c r="Y1256" s="79"/>
      <c r="Z1256" s="79"/>
    </row>
    <row r="1257" ht="15.0" customHeight="1">
      <c r="A1257" s="103" t="s">
        <v>24</v>
      </c>
      <c r="B1257" s="77" t="s">
        <v>8473</v>
      </c>
      <c r="C1257" s="80">
        <v>3.0710830092E10</v>
      </c>
      <c r="D1257" s="119" t="s">
        <v>264</v>
      </c>
      <c r="E1257" s="77" t="s">
        <v>7633</v>
      </c>
      <c r="F1257" s="44">
        <v>9240.0</v>
      </c>
      <c r="G1257" s="79" t="s">
        <v>119</v>
      </c>
      <c r="H1257" s="80">
        <v>1657.0</v>
      </c>
      <c r="I1257" s="79">
        <v>293090.0</v>
      </c>
      <c r="J1257" s="74" t="s">
        <v>347</v>
      </c>
      <c r="K1257" s="77" t="s">
        <v>407</v>
      </c>
      <c r="L1257" s="79"/>
      <c r="M1257" s="79"/>
      <c r="N1257" s="79">
        <v>1.0</v>
      </c>
      <c r="O1257" s="74"/>
      <c r="P1257" s="80"/>
      <c r="Q1257" s="79"/>
      <c r="R1257" s="80"/>
      <c r="S1257" s="101" t="s">
        <v>8475</v>
      </c>
      <c r="T1257" s="101" t="s">
        <v>332</v>
      </c>
      <c r="U1257" s="80" t="s">
        <v>332</v>
      </c>
      <c r="V1257" s="102" t="s">
        <v>429</v>
      </c>
      <c r="W1257" s="79" t="s">
        <v>309</v>
      </c>
      <c r="X1257" s="79" t="s">
        <v>309</v>
      </c>
      <c r="Y1257" s="79"/>
      <c r="Z1257" s="79"/>
    </row>
    <row r="1258" ht="15.75" customHeight="1">
      <c r="A1258" s="76" t="s">
        <v>247</v>
      </c>
      <c r="B1258" s="77" t="s">
        <v>7476</v>
      </c>
      <c r="C1258" s="80">
        <v>3.07106929E10</v>
      </c>
      <c r="D1258" s="119" t="s">
        <v>264</v>
      </c>
      <c r="E1258" s="79" t="s">
        <v>4696</v>
      </c>
      <c r="F1258" s="44">
        <v>6626.0</v>
      </c>
      <c r="G1258" s="79" t="s">
        <v>119</v>
      </c>
      <c r="H1258" s="80">
        <v>1657.0</v>
      </c>
      <c r="I1258" s="79">
        <v>259999.0</v>
      </c>
      <c r="J1258" s="74" t="s">
        <v>347</v>
      </c>
      <c r="K1258" s="77" t="s">
        <v>839</v>
      </c>
      <c r="L1258" s="79" t="s">
        <v>453</v>
      </c>
      <c r="M1258" s="79"/>
      <c r="N1258" s="79">
        <v>10.0</v>
      </c>
      <c r="O1258" s="74"/>
      <c r="P1258" s="80"/>
      <c r="Q1258" s="79"/>
      <c r="R1258" s="80"/>
      <c r="S1258" s="80" t="s">
        <v>8479</v>
      </c>
      <c r="T1258" s="101" t="s">
        <v>8480</v>
      </c>
      <c r="U1258" s="80" t="s">
        <v>332</v>
      </c>
      <c r="V1258" s="102" t="s">
        <v>8481</v>
      </c>
      <c r="W1258" s="79" t="s">
        <v>309</v>
      </c>
      <c r="X1258" s="79" t="s">
        <v>309</v>
      </c>
      <c r="Y1258" s="79" t="s">
        <v>309</v>
      </c>
      <c r="Z1258" s="79"/>
    </row>
    <row r="1259" ht="15.0" customHeight="1">
      <c r="A1259" s="103" t="s">
        <v>24</v>
      </c>
      <c r="B1259" s="79" t="s">
        <v>8482</v>
      </c>
      <c r="C1259" s="80">
        <v>3.0602054035E10</v>
      </c>
      <c r="D1259" s="119" t="s">
        <v>264</v>
      </c>
      <c r="E1259" s="77" t="s">
        <v>8483</v>
      </c>
      <c r="F1259" s="128">
        <v>5425.0</v>
      </c>
      <c r="G1259" s="79" t="s">
        <v>15</v>
      </c>
      <c r="H1259" s="80">
        <v>1678.0</v>
      </c>
      <c r="I1259" s="79">
        <v>289993.0</v>
      </c>
      <c r="J1259" s="74" t="s">
        <v>347</v>
      </c>
      <c r="K1259" s="129" t="s">
        <v>638</v>
      </c>
      <c r="L1259" s="79" t="s">
        <v>453</v>
      </c>
      <c r="M1259" s="79"/>
      <c r="N1259" s="79">
        <v>1.0</v>
      </c>
      <c r="O1259" s="74"/>
      <c r="P1259" s="80"/>
      <c r="Q1259" s="79"/>
      <c r="R1259" s="80"/>
      <c r="S1259" s="78" t="s">
        <v>8485</v>
      </c>
      <c r="T1259" s="101" t="s">
        <v>332</v>
      </c>
      <c r="U1259" s="80" t="s">
        <v>332</v>
      </c>
      <c r="V1259" s="102" t="s">
        <v>429</v>
      </c>
      <c r="W1259" s="79" t="s">
        <v>306</v>
      </c>
      <c r="X1259" s="79" t="s">
        <v>306</v>
      </c>
      <c r="Y1259" s="79"/>
      <c r="Z1259" s="79"/>
    </row>
    <row r="1260" ht="15.75" customHeight="1">
      <c r="A1260" s="103" t="s">
        <v>24</v>
      </c>
      <c r="B1260" s="77" t="s">
        <v>8486</v>
      </c>
      <c r="C1260" s="80">
        <v>2.0256752698E10</v>
      </c>
      <c r="D1260" s="77" t="s">
        <v>631</v>
      </c>
      <c r="E1260" s="77" t="s">
        <v>8488</v>
      </c>
      <c r="F1260" s="128">
        <v>4886.0</v>
      </c>
      <c r="G1260" s="79" t="s">
        <v>15</v>
      </c>
      <c r="H1260" s="80">
        <v>1678.0</v>
      </c>
      <c r="I1260" s="77">
        <v>289993.0</v>
      </c>
      <c r="J1260" s="83" t="s">
        <v>347</v>
      </c>
      <c r="K1260" s="77" t="s">
        <v>8489</v>
      </c>
      <c r="L1260" s="79"/>
      <c r="M1260" s="79"/>
      <c r="N1260" s="79"/>
      <c r="O1260" s="74"/>
      <c r="P1260" s="80"/>
      <c r="Q1260" s="79"/>
      <c r="R1260" s="80"/>
      <c r="S1260" s="78" t="s">
        <v>8490</v>
      </c>
      <c r="T1260" s="85" t="s">
        <v>8491</v>
      </c>
      <c r="U1260" s="80"/>
      <c r="V1260" s="102" t="s">
        <v>429</v>
      </c>
      <c r="W1260" s="79"/>
      <c r="X1260" s="79"/>
      <c r="Y1260" s="79"/>
      <c r="Z1260" s="79"/>
    </row>
    <row r="1261" ht="15.75" customHeight="1">
      <c r="A1261" s="76" t="s">
        <v>247</v>
      </c>
      <c r="B1261" s="77" t="s">
        <v>7479</v>
      </c>
      <c r="C1261" s="80">
        <v>3.0709343404E10</v>
      </c>
      <c r="D1261" s="119" t="s">
        <v>264</v>
      </c>
      <c r="E1261" s="77" t="s">
        <v>8494</v>
      </c>
      <c r="F1261" s="44">
        <v>4886.0</v>
      </c>
      <c r="G1261" s="79" t="s">
        <v>15</v>
      </c>
      <c r="H1261" s="80">
        <v>1678.0</v>
      </c>
      <c r="I1261" s="79">
        <v>343000.0</v>
      </c>
      <c r="J1261" s="74" t="s">
        <v>347</v>
      </c>
      <c r="K1261" s="79" t="s">
        <v>2104</v>
      </c>
      <c r="L1261" s="79"/>
      <c r="M1261" s="79"/>
      <c r="N1261" s="79">
        <v>0.0</v>
      </c>
      <c r="O1261" s="74"/>
      <c r="P1261" s="80"/>
      <c r="Q1261" s="79" t="s">
        <v>8495</v>
      </c>
      <c r="R1261" s="80"/>
      <c r="S1261" s="80" t="s">
        <v>8496</v>
      </c>
      <c r="T1261" s="101" t="s">
        <v>332</v>
      </c>
      <c r="U1261" s="80" t="s">
        <v>332</v>
      </c>
      <c r="V1261" s="102" t="s">
        <v>429</v>
      </c>
      <c r="W1261" s="79" t="s">
        <v>306</v>
      </c>
      <c r="X1261" s="79" t="s">
        <v>306</v>
      </c>
      <c r="Y1261" s="79" t="s">
        <v>309</v>
      </c>
      <c r="Z1261" s="79"/>
    </row>
    <row r="1262" ht="15.75" customHeight="1">
      <c r="A1262" s="76" t="s">
        <v>247</v>
      </c>
      <c r="B1262" s="79" t="s">
        <v>2103</v>
      </c>
      <c r="C1262" s="101">
        <v>2.0105373059E10</v>
      </c>
      <c r="D1262" s="77" t="s">
        <v>631</v>
      </c>
      <c r="E1262" s="79" t="s">
        <v>4781</v>
      </c>
      <c r="F1262" s="44">
        <v>3717.0</v>
      </c>
      <c r="G1262" s="77" t="s">
        <v>8499</v>
      </c>
      <c r="H1262" s="80">
        <v>1752.0</v>
      </c>
      <c r="I1262" s="79">
        <v>259301.0</v>
      </c>
      <c r="J1262" s="74" t="s">
        <v>347</v>
      </c>
      <c r="K1262" s="77" t="s">
        <v>8500</v>
      </c>
      <c r="L1262" s="79"/>
      <c r="M1262" s="79" t="s">
        <v>8501</v>
      </c>
      <c r="N1262" s="79"/>
      <c r="O1262" s="79" t="s">
        <v>8503</v>
      </c>
      <c r="P1262" s="78" t="s">
        <v>8504</v>
      </c>
      <c r="Q1262" s="79"/>
      <c r="R1262" s="80"/>
      <c r="S1262" s="78" t="s">
        <v>8506</v>
      </c>
      <c r="T1262" s="101"/>
      <c r="U1262" s="80"/>
      <c r="V1262" s="102" t="s">
        <v>429</v>
      </c>
      <c r="W1262" s="79"/>
      <c r="X1262" s="79"/>
      <c r="Y1262" s="79"/>
      <c r="Z1262" s="79"/>
    </row>
    <row r="1263" ht="15.75" customHeight="1">
      <c r="A1263" s="76" t="s">
        <v>247</v>
      </c>
      <c r="B1263" s="79" t="s">
        <v>8507</v>
      </c>
      <c r="C1263" s="80">
        <v>3.0695109829E10</v>
      </c>
      <c r="D1263" s="77" t="s">
        <v>264</v>
      </c>
      <c r="E1263" s="79" t="s">
        <v>1088</v>
      </c>
      <c r="F1263" s="44">
        <v>5253.0</v>
      </c>
      <c r="G1263" s="79" t="s">
        <v>15</v>
      </c>
      <c r="H1263" s="80">
        <v>1678.0</v>
      </c>
      <c r="I1263" s="79">
        <v>293090.0</v>
      </c>
      <c r="J1263" s="74" t="s">
        <v>337</v>
      </c>
      <c r="K1263" s="144" t="s">
        <v>407</v>
      </c>
      <c r="L1263" s="79"/>
      <c r="M1263" s="79"/>
      <c r="N1263" s="79"/>
      <c r="O1263" s="79"/>
      <c r="P1263" s="80"/>
      <c r="Q1263" s="79"/>
      <c r="R1263" s="80"/>
      <c r="S1263" s="78" t="s">
        <v>8510</v>
      </c>
      <c r="T1263" s="332"/>
      <c r="U1263" s="80"/>
      <c r="V1263" s="102" t="s">
        <v>8511</v>
      </c>
      <c r="W1263" s="79"/>
      <c r="X1263" s="79"/>
      <c r="Y1263" s="79"/>
      <c r="Z1263" s="79"/>
    </row>
    <row r="1264" ht="15.75" customHeight="1">
      <c r="A1264" s="76" t="s">
        <v>247</v>
      </c>
      <c r="B1264" s="77" t="s">
        <v>7486</v>
      </c>
      <c r="C1264" s="80">
        <v>3.0714137383E10</v>
      </c>
      <c r="D1264" s="119" t="s">
        <v>264</v>
      </c>
      <c r="E1264" s="79" t="s">
        <v>1088</v>
      </c>
      <c r="F1264" s="44">
        <v>5118.0</v>
      </c>
      <c r="G1264" s="79" t="s">
        <v>15</v>
      </c>
      <c r="H1264" s="80">
        <v>1678.0</v>
      </c>
      <c r="I1264" s="79">
        <v>259999.0</v>
      </c>
      <c r="J1264" s="74" t="s">
        <v>347</v>
      </c>
      <c r="K1264" s="77" t="s">
        <v>839</v>
      </c>
      <c r="L1264" s="79" t="s">
        <v>453</v>
      </c>
      <c r="M1264" s="79"/>
      <c r="N1264" s="79">
        <v>3.0</v>
      </c>
      <c r="O1264" s="83" t="s">
        <v>8513</v>
      </c>
      <c r="P1264" s="80"/>
      <c r="Q1264" s="79"/>
      <c r="R1264" s="80"/>
      <c r="S1264" s="78" t="s">
        <v>8514</v>
      </c>
      <c r="T1264" s="101" t="s">
        <v>332</v>
      </c>
      <c r="U1264" s="80"/>
      <c r="V1264" s="102" t="s">
        <v>429</v>
      </c>
      <c r="W1264" s="79" t="s">
        <v>306</v>
      </c>
      <c r="X1264" s="79" t="s">
        <v>306</v>
      </c>
      <c r="Y1264" s="79"/>
      <c r="Z1264" s="79"/>
    </row>
    <row r="1265" ht="15.75" customHeight="1">
      <c r="A1265" s="103" t="s">
        <v>24</v>
      </c>
      <c r="B1265" s="77" t="s">
        <v>8517</v>
      </c>
      <c r="C1265" s="80">
        <v>3.071073095E10</v>
      </c>
      <c r="D1265" s="119" t="s">
        <v>264</v>
      </c>
      <c r="E1265" s="77" t="s">
        <v>1927</v>
      </c>
      <c r="F1265" s="44">
        <v>1664.0</v>
      </c>
      <c r="G1265" s="79" t="s">
        <v>97</v>
      </c>
      <c r="H1265" s="80">
        <v>1702.0</v>
      </c>
      <c r="I1265" s="79">
        <v>259999.0</v>
      </c>
      <c r="J1265" s="74" t="s">
        <v>347</v>
      </c>
      <c r="K1265" s="77" t="s">
        <v>839</v>
      </c>
      <c r="L1265" s="79" t="s">
        <v>453</v>
      </c>
      <c r="M1265" s="79"/>
      <c r="N1265" s="79">
        <v>7.0</v>
      </c>
      <c r="O1265" s="74"/>
      <c r="P1265" s="80"/>
      <c r="Q1265" s="79"/>
      <c r="R1265" s="80"/>
      <c r="S1265" s="78" t="s">
        <v>8518</v>
      </c>
      <c r="T1265" s="101" t="s">
        <v>332</v>
      </c>
      <c r="U1265" s="80" t="s">
        <v>332</v>
      </c>
      <c r="V1265" s="102" t="s">
        <v>429</v>
      </c>
      <c r="W1265" s="79" t="s">
        <v>306</v>
      </c>
      <c r="X1265" s="79" t="s">
        <v>306</v>
      </c>
      <c r="Y1265" s="79"/>
      <c r="Z1265" s="79"/>
    </row>
    <row r="1266" ht="15.0" customHeight="1">
      <c r="A1266" s="103" t="s">
        <v>24</v>
      </c>
      <c r="B1266" s="79" t="s">
        <v>8521</v>
      </c>
      <c r="C1266" s="80">
        <v>3.0621297674E10</v>
      </c>
      <c r="D1266" s="119" t="s">
        <v>264</v>
      </c>
      <c r="E1266" s="79" t="s">
        <v>8522</v>
      </c>
      <c r="F1266" s="44">
        <v>1844.0</v>
      </c>
      <c r="G1266" s="79" t="s">
        <v>68</v>
      </c>
      <c r="H1266" s="80">
        <v>1702.0</v>
      </c>
      <c r="I1266" s="79">
        <v>259993.0</v>
      </c>
      <c r="J1266" s="74" t="s">
        <v>347</v>
      </c>
      <c r="K1266" s="129" t="s">
        <v>638</v>
      </c>
      <c r="L1266" s="79" t="s">
        <v>453</v>
      </c>
      <c r="M1266" s="79"/>
      <c r="N1266" s="79">
        <v>1.0</v>
      </c>
      <c r="O1266" s="74"/>
      <c r="P1266" s="80"/>
      <c r="Q1266" s="79"/>
      <c r="R1266" s="80"/>
      <c r="S1266" s="78" t="s">
        <v>8525</v>
      </c>
      <c r="T1266" s="101" t="s">
        <v>332</v>
      </c>
      <c r="U1266" s="80" t="s">
        <v>332</v>
      </c>
      <c r="V1266" s="102" t="s">
        <v>429</v>
      </c>
      <c r="W1266" s="79" t="s">
        <v>306</v>
      </c>
      <c r="X1266" s="79" t="s">
        <v>306</v>
      </c>
      <c r="Y1266" s="79"/>
      <c r="Z1266" s="79"/>
    </row>
    <row r="1267" ht="15.75" customHeight="1">
      <c r="A1267" s="76" t="s">
        <v>247</v>
      </c>
      <c r="B1267" s="77" t="s">
        <v>7492</v>
      </c>
      <c r="C1267" s="80">
        <v>3.0711579636E10</v>
      </c>
      <c r="D1267" s="119" t="s">
        <v>264</v>
      </c>
      <c r="E1267" s="77" t="s">
        <v>1458</v>
      </c>
      <c r="F1267" s="128">
        <v>4769.0</v>
      </c>
      <c r="G1267" s="79" t="s">
        <v>15</v>
      </c>
      <c r="H1267" s="80">
        <v>1678.0</v>
      </c>
      <c r="I1267" s="79">
        <v>293090.0</v>
      </c>
      <c r="J1267" s="74" t="s">
        <v>347</v>
      </c>
      <c r="K1267" s="77" t="s">
        <v>407</v>
      </c>
      <c r="L1267" s="79"/>
      <c r="M1267" s="77" t="s">
        <v>8527</v>
      </c>
      <c r="N1267" s="79">
        <v>3.0</v>
      </c>
      <c r="O1267" s="74"/>
      <c r="P1267" s="80"/>
      <c r="Q1267" s="79"/>
      <c r="R1267" s="80"/>
      <c r="S1267" s="78" t="s">
        <v>8529</v>
      </c>
      <c r="T1267" s="85" t="s">
        <v>8530</v>
      </c>
      <c r="U1267" s="78" t="s">
        <v>8531</v>
      </c>
      <c r="V1267" s="98" t="s">
        <v>8532</v>
      </c>
      <c r="W1267" s="79" t="s">
        <v>306</v>
      </c>
      <c r="X1267" s="79" t="s">
        <v>306</v>
      </c>
      <c r="Y1267" s="79"/>
      <c r="Z1267" s="79"/>
    </row>
    <row r="1268" ht="15.75" customHeight="1">
      <c r="A1268" s="103" t="s">
        <v>24</v>
      </c>
      <c r="B1268" s="79" t="s">
        <v>8533</v>
      </c>
      <c r="C1268" s="80">
        <v>3.0661201009E10</v>
      </c>
      <c r="D1268" s="119" t="s">
        <v>264</v>
      </c>
      <c r="E1268" s="79" t="s">
        <v>8535</v>
      </c>
      <c r="F1268" s="44">
        <v>1751.0</v>
      </c>
      <c r="G1268" s="79" t="s">
        <v>249</v>
      </c>
      <c r="H1268" s="80">
        <v>1676.0</v>
      </c>
      <c r="I1268" s="79">
        <v>289993.0</v>
      </c>
      <c r="J1268" s="74" t="s">
        <v>347</v>
      </c>
      <c r="K1268" s="129" t="s">
        <v>638</v>
      </c>
      <c r="L1268" s="79" t="s">
        <v>453</v>
      </c>
      <c r="M1268" s="79"/>
      <c r="N1268" s="79">
        <v>0.0</v>
      </c>
      <c r="O1268" s="74"/>
      <c r="P1268" s="80"/>
      <c r="Q1268" s="79"/>
      <c r="R1268" s="80"/>
      <c r="S1268" s="80" t="s">
        <v>8536</v>
      </c>
      <c r="T1268" s="101" t="s">
        <v>332</v>
      </c>
      <c r="U1268" s="80" t="s">
        <v>332</v>
      </c>
      <c r="V1268" s="102" t="s">
        <v>429</v>
      </c>
      <c r="W1268" s="79" t="s">
        <v>309</v>
      </c>
      <c r="X1268" s="79" t="s">
        <v>309</v>
      </c>
      <c r="Y1268" s="79"/>
      <c r="Z1268" s="79"/>
    </row>
    <row r="1269" ht="15.75" customHeight="1">
      <c r="A1269" s="76" t="s">
        <v>247</v>
      </c>
      <c r="B1269" s="77" t="s">
        <v>2108</v>
      </c>
      <c r="C1269" s="78">
        <v>3.0564118415E10</v>
      </c>
      <c r="D1269" s="119" t="s">
        <v>264</v>
      </c>
      <c r="E1269" s="79" t="s">
        <v>3987</v>
      </c>
      <c r="F1269" s="44">
        <v>9720.0</v>
      </c>
      <c r="G1269" s="79" t="s">
        <v>119</v>
      </c>
      <c r="H1269" s="78">
        <v>1657.0</v>
      </c>
      <c r="I1269" s="78">
        <v>259993.0</v>
      </c>
      <c r="J1269" s="74" t="s">
        <v>347</v>
      </c>
      <c r="K1269" s="77" t="s">
        <v>638</v>
      </c>
      <c r="L1269" s="79" t="s">
        <v>453</v>
      </c>
      <c r="M1269" s="79"/>
      <c r="N1269" s="79"/>
      <c r="O1269" s="74" t="s">
        <v>8539</v>
      </c>
      <c r="P1269" s="78" t="s">
        <v>8540</v>
      </c>
      <c r="Q1269" s="79"/>
      <c r="R1269" s="80"/>
      <c r="S1269" s="80" t="s">
        <v>8541</v>
      </c>
      <c r="T1269" s="101" t="s">
        <v>8542</v>
      </c>
      <c r="U1269" s="80"/>
      <c r="V1269" s="86" t="s">
        <v>8543</v>
      </c>
      <c r="W1269" s="79"/>
      <c r="X1269" s="79"/>
      <c r="Y1269" s="79"/>
      <c r="Z1269" s="79"/>
    </row>
    <row r="1270" ht="15.0" customHeight="1">
      <c r="A1270" s="76" t="s">
        <v>247</v>
      </c>
      <c r="B1270" s="77" t="s">
        <v>7499</v>
      </c>
      <c r="C1270" s="80">
        <v>3.0711756686E10</v>
      </c>
      <c r="D1270" s="119" t="s">
        <v>264</v>
      </c>
      <c r="E1270" s="288" t="s">
        <v>4565</v>
      </c>
      <c r="F1270" s="44">
        <v>4262.0</v>
      </c>
      <c r="G1270" s="79" t="s">
        <v>15</v>
      </c>
      <c r="H1270" s="80">
        <v>1678.0</v>
      </c>
      <c r="I1270" s="79">
        <v>259993.0</v>
      </c>
      <c r="J1270" s="74" t="s">
        <v>347</v>
      </c>
      <c r="K1270" s="129" t="s">
        <v>638</v>
      </c>
      <c r="L1270" s="79" t="s">
        <v>453</v>
      </c>
      <c r="M1270" s="79"/>
      <c r="N1270" s="79">
        <v>3.0</v>
      </c>
      <c r="O1270" s="74"/>
      <c r="P1270" s="80"/>
      <c r="Q1270" s="79"/>
      <c r="R1270" s="80"/>
      <c r="S1270" s="101" t="s">
        <v>8544</v>
      </c>
      <c r="T1270" s="101" t="s">
        <v>332</v>
      </c>
      <c r="U1270" s="80" t="s">
        <v>332</v>
      </c>
      <c r="V1270" s="102" t="s">
        <v>8546</v>
      </c>
      <c r="W1270" s="79" t="s">
        <v>306</v>
      </c>
      <c r="X1270" s="79" t="s">
        <v>306</v>
      </c>
      <c r="Y1270" s="79"/>
      <c r="Z1270" s="79"/>
    </row>
    <row r="1271" ht="15.75" customHeight="1">
      <c r="A1271" s="103" t="s">
        <v>24</v>
      </c>
      <c r="B1271" s="77" t="s">
        <v>8548</v>
      </c>
      <c r="C1271" s="80">
        <v>3.0656017011E10</v>
      </c>
      <c r="D1271" s="119" t="s">
        <v>264</v>
      </c>
      <c r="E1271" s="288" t="s">
        <v>4565</v>
      </c>
      <c r="F1271" s="44">
        <v>3776.0</v>
      </c>
      <c r="G1271" s="79" t="s">
        <v>15</v>
      </c>
      <c r="H1271" s="80">
        <v>1678.0</v>
      </c>
      <c r="I1271" s="79">
        <v>259993.0</v>
      </c>
      <c r="J1271" s="74" t="s">
        <v>347</v>
      </c>
      <c r="K1271" s="129" t="s">
        <v>638</v>
      </c>
      <c r="L1271" s="79" t="s">
        <v>453</v>
      </c>
      <c r="M1271" s="79"/>
      <c r="N1271" s="79">
        <v>11.0</v>
      </c>
      <c r="O1271" s="74"/>
      <c r="P1271" s="80"/>
      <c r="Q1271" s="79"/>
      <c r="R1271" s="80"/>
      <c r="S1271" s="328" t="s">
        <v>8550</v>
      </c>
      <c r="T1271" s="331" t="s">
        <v>8552</v>
      </c>
      <c r="U1271" s="80" t="s">
        <v>332</v>
      </c>
      <c r="V1271" s="102" t="s">
        <v>429</v>
      </c>
      <c r="W1271" s="79" t="s">
        <v>306</v>
      </c>
      <c r="X1271" s="79" t="s">
        <v>306</v>
      </c>
      <c r="Y1271" s="79"/>
      <c r="Z1271" s="79"/>
    </row>
    <row r="1272" ht="15.75" customHeight="1">
      <c r="A1272" s="76" t="s">
        <v>247</v>
      </c>
      <c r="B1272" s="77" t="s">
        <v>7506</v>
      </c>
      <c r="C1272" s="80">
        <v>3.0661187766E10</v>
      </c>
      <c r="D1272" s="119" t="s">
        <v>264</v>
      </c>
      <c r="E1272" s="79" t="s">
        <v>1357</v>
      </c>
      <c r="F1272" s="44">
        <v>5390.0</v>
      </c>
      <c r="G1272" s="79" t="s">
        <v>15</v>
      </c>
      <c r="H1272" s="80">
        <v>1678.0</v>
      </c>
      <c r="I1272" s="79">
        <v>241009.0</v>
      </c>
      <c r="J1272" s="74" t="s">
        <v>347</v>
      </c>
      <c r="K1272" s="77" t="s">
        <v>5011</v>
      </c>
      <c r="L1272" s="79"/>
      <c r="M1272" s="79"/>
      <c r="N1272" s="79">
        <v>2.0</v>
      </c>
      <c r="O1272" s="74" t="s">
        <v>8554</v>
      </c>
      <c r="P1272" s="80"/>
      <c r="Q1272" s="79"/>
      <c r="R1272" s="80"/>
      <c r="S1272" s="80" t="s">
        <v>8555</v>
      </c>
      <c r="T1272" s="101" t="s">
        <v>8557</v>
      </c>
      <c r="U1272" s="80" t="s">
        <v>332</v>
      </c>
      <c r="V1272" s="102" t="s">
        <v>8558</v>
      </c>
      <c r="W1272" s="79" t="s">
        <v>309</v>
      </c>
      <c r="X1272" s="79" t="s">
        <v>309</v>
      </c>
      <c r="Y1272" s="79" t="s">
        <v>309</v>
      </c>
      <c r="Z1272" s="79"/>
    </row>
    <row r="1273" ht="15.75" customHeight="1">
      <c r="A1273" s="103" t="s">
        <v>24</v>
      </c>
      <c r="B1273" s="79" t="s">
        <v>8560</v>
      </c>
      <c r="C1273" s="80">
        <v>3.0685247573E10</v>
      </c>
      <c r="D1273" s="144" t="s">
        <v>631</v>
      </c>
      <c r="E1273" s="77" t="s">
        <v>1333</v>
      </c>
      <c r="F1273" s="44">
        <v>4865.0</v>
      </c>
      <c r="G1273" s="79" t="s">
        <v>15</v>
      </c>
      <c r="H1273" s="80">
        <v>1678.0</v>
      </c>
      <c r="I1273" s="79">
        <v>289993.0</v>
      </c>
      <c r="J1273" s="74" t="s">
        <v>347</v>
      </c>
      <c r="K1273" s="129" t="s">
        <v>638</v>
      </c>
      <c r="L1273" s="79" t="s">
        <v>453</v>
      </c>
      <c r="M1273" s="79"/>
      <c r="N1273" s="79">
        <v>0.0</v>
      </c>
      <c r="O1273" s="74"/>
      <c r="P1273" s="80"/>
      <c r="Q1273" s="79"/>
      <c r="R1273" s="80"/>
      <c r="S1273" s="80" t="s">
        <v>8563</v>
      </c>
      <c r="T1273" s="101" t="s">
        <v>8564</v>
      </c>
      <c r="U1273" s="80" t="s">
        <v>8565</v>
      </c>
      <c r="V1273" s="102" t="s">
        <v>429</v>
      </c>
      <c r="W1273" s="79" t="s">
        <v>309</v>
      </c>
      <c r="X1273" s="79" t="s">
        <v>309</v>
      </c>
      <c r="Y1273" s="79"/>
      <c r="Z1273" s="79"/>
    </row>
    <row r="1274" ht="15.75" customHeight="1">
      <c r="A1274" s="76" t="s">
        <v>247</v>
      </c>
      <c r="B1274" s="77" t="s">
        <v>8566</v>
      </c>
      <c r="C1274" s="80">
        <v>3.0710822995E10</v>
      </c>
      <c r="D1274" s="119" t="s">
        <v>264</v>
      </c>
      <c r="E1274" s="119" t="s">
        <v>1770</v>
      </c>
      <c r="F1274" s="44">
        <v>8150.0</v>
      </c>
      <c r="G1274" s="79" t="s">
        <v>119</v>
      </c>
      <c r="H1274" s="80">
        <v>1657.0</v>
      </c>
      <c r="I1274" s="79">
        <v>259993.0</v>
      </c>
      <c r="J1274" s="74" t="s">
        <v>347</v>
      </c>
      <c r="K1274" s="129" t="s">
        <v>638</v>
      </c>
      <c r="L1274" s="79" t="s">
        <v>453</v>
      </c>
      <c r="M1274" s="79"/>
      <c r="N1274" s="79">
        <v>14.0</v>
      </c>
      <c r="O1274" s="74"/>
      <c r="P1274" s="80"/>
      <c r="Q1274" s="79"/>
      <c r="R1274" s="80"/>
      <c r="S1274" s="80" t="s">
        <v>8569</v>
      </c>
      <c r="T1274" s="101" t="s">
        <v>8570</v>
      </c>
      <c r="U1274" s="80"/>
      <c r="V1274" s="102" t="s">
        <v>429</v>
      </c>
      <c r="W1274" s="79" t="s">
        <v>309</v>
      </c>
      <c r="X1274" s="79" t="s">
        <v>309</v>
      </c>
      <c r="Y1274" s="79" t="s">
        <v>309</v>
      </c>
      <c r="Z1274" s="79"/>
    </row>
    <row r="1275" ht="15.75" customHeight="1">
      <c r="A1275" s="103" t="s">
        <v>24</v>
      </c>
      <c r="B1275" s="77" t="s">
        <v>8571</v>
      </c>
      <c r="C1275" s="80">
        <v>3.0551734788E10</v>
      </c>
      <c r="D1275" s="119" t="s">
        <v>264</v>
      </c>
      <c r="E1275" s="77" t="s">
        <v>1806</v>
      </c>
      <c r="F1275" s="44">
        <v>3863.0</v>
      </c>
      <c r="G1275" s="79" t="s">
        <v>15</v>
      </c>
      <c r="H1275" s="80">
        <v>1678.0</v>
      </c>
      <c r="I1275" s="79">
        <v>289992.0</v>
      </c>
      <c r="J1275" s="74" t="s">
        <v>347</v>
      </c>
      <c r="K1275" s="79" t="s">
        <v>2391</v>
      </c>
      <c r="L1275" s="79"/>
      <c r="M1275" s="79"/>
      <c r="N1275" s="79">
        <v>7.0</v>
      </c>
      <c r="O1275" s="74"/>
      <c r="P1275" s="80"/>
      <c r="Q1275" s="79"/>
      <c r="R1275" s="80"/>
      <c r="S1275" s="80" t="s">
        <v>8574</v>
      </c>
      <c r="T1275" s="101" t="s">
        <v>332</v>
      </c>
      <c r="U1275" s="80" t="s">
        <v>332</v>
      </c>
      <c r="V1275" s="102" t="s">
        <v>429</v>
      </c>
      <c r="W1275" s="79" t="s">
        <v>309</v>
      </c>
      <c r="X1275" s="79" t="s">
        <v>309</v>
      </c>
      <c r="Y1275" s="79"/>
      <c r="Z1275" s="79"/>
    </row>
    <row r="1276" ht="15.0" customHeight="1">
      <c r="A1276" s="76" t="s">
        <v>247</v>
      </c>
      <c r="B1276" s="77" t="s">
        <v>7510</v>
      </c>
      <c r="C1276" s="80">
        <v>3.0633349572E10</v>
      </c>
      <c r="D1276" s="119" t="s">
        <v>264</v>
      </c>
      <c r="E1276" s="79" t="s">
        <v>1369</v>
      </c>
      <c r="F1276" s="128">
        <v>848.0</v>
      </c>
      <c r="G1276" s="79" t="s">
        <v>68</v>
      </c>
      <c r="H1276" s="80">
        <v>1702.0</v>
      </c>
      <c r="I1276" s="79">
        <v>259999.0</v>
      </c>
      <c r="J1276" s="74" t="s">
        <v>347</v>
      </c>
      <c r="K1276" s="77" t="s">
        <v>839</v>
      </c>
      <c r="L1276" s="79" t="s">
        <v>453</v>
      </c>
      <c r="M1276" s="77" t="s">
        <v>8577</v>
      </c>
      <c r="N1276" s="79">
        <v>14.0</v>
      </c>
      <c r="O1276" s="74" t="s">
        <v>8129</v>
      </c>
      <c r="P1276" s="78" t="s">
        <v>8578</v>
      </c>
      <c r="Q1276" s="79"/>
      <c r="R1276" s="80"/>
      <c r="S1276" s="85" t="s">
        <v>8579</v>
      </c>
      <c r="T1276" s="85"/>
      <c r="U1276" s="80" t="s">
        <v>332</v>
      </c>
      <c r="V1276" s="98" t="s">
        <v>8580</v>
      </c>
      <c r="W1276" s="79" t="s">
        <v>309</v>
      </c>
      <c r="X1276" s="79" t="s">
        <v>309</v>
      </c>
      <c r="Y1276" s="79" t="s">
        <v>309</v>
      </c>
      <c r="Z1276" s="79"/>
    </row>
    <row r="1277" ht="15.0" customHeight="1">
      <c r="A1277" s="103" t="s">
        <v>24</v>
      </c>
      <c r="B1277" s="77" t="s">
        <v>7514</v>
      </c>
      <c r="C1277" s="80">
        <v>3.0516217738E10</v>
      </c>
      <c r="D1277" s="119" t="s">
        <v>264</v>
      </c>
      <c r="E1277" s="77" t="s">
        <v>7611</v>
      </c>
      <c r="F1277" s="44">
        <v>945.0</v>
      </c>
      <c r="G1277" s="79" t="s">
        <v>68</v>
      </c>
      <c r="H1277" s="80">
        <v>1702.0</v>
      </c>
      <c r="I1277" s="79">
        <v>259993.0</v>
      </c>
      <c r="J1277" s="74" t="s">
        <v>347</v>
      </c>
      <c r="K1277" s="79" t="s">
        <v>638</v>
      </c>
      <c r="L1277" s="79" t="s">
        <v>453</v>
      </c>
      <c r="M1277" s="79"/>
      <c r="N1277" s="79">
        <v>16.0</v>
      </c>
      <c r="O1277" s="74" t="s">
        <v>8583</v>
      </c>
      <c r="P1277" s="80"/>
      <c r="Q1277" s="79"/>
      <c r="R1277" s="80"/>
      <c r="S1277" s="80" t="s">
        <v>8584</v>
      </c>
      <c r="T1277" s="101" t="s">
        <v>332</v>
      </c>
      <c r="U1277" s="80"/>
      <c r="V1277" s="102" t="s">
        <v>8586</v>
      </c>
      <c r="W1277" s="79" t="s">
        <v>309</v>
      </c>
      <c r="X1277" s="79" t="s">
        <v>309</v>
      </c>
      <c r="Y1277" s="79" t="s">
        <v>309</v>
      </c>
      <c r="Z1277" s="79"/>
    </row>
    <row r="1278" ht="15.75" customHeight="1">
      <c r="A1278" s="76" t="s">
        <v>247</v>
      </c>
      <c r="B1278" s="79" t="s">
        <v>7514</v>
      </c>
      <c r="C1278" s="101">
        <v>3.0516217738E10</v>
      </c>
      <c r="D1278" s="79" t="s">
        <v>264</v>
      </c>
      <c r="E1278" s="79" t="s">
        <v>4611</v>
      </c>
      <c r="F1278" s="44">
        <v>945.0</v>
      </c>
      <c r="G1278" s="79" t="s">
        <v>68</v>
      </c>
      <c r="H1278" s="80">
        <v>1702.0</v>
      </c>
      <c r="I1278" s="79">
        <v>259993.0</v>
      </c>
      <c r="J1278" s="74" t="s">
        <v>347</v>
      </c>
      <c r="K1278" s="144" t="s">
        <v>638</v>
      </c>
      <c r="L1278" s="79"/>
      <c r="M1278" s="79"/>
      <c r="N1278" s="79"/>
      <c r="O1278" s="79"/>
      <c r="P1278" s="80"/>
      <c r="Q1278" s="176"/>
      <c r="R1278" s="80"/>
      <c r="S1278" s="78" t="s">
        <v>8589</v>
      </c>
      <c r="T1278" s="101"/>
      <c r="U1278" s="80"/>
      <c r="V1278" s="102" t="s">
        <v>8590</v>
      </c>
      <c r="W1278" s="79"/>
      <c r="X1278" s="79"/>
      <c r="Y1278" s="79"/>
      <c r="Z1278" s="79"/>
    </row>
    <row r="1279" ht="15.75" customHeight="1">
      <c r="A1279" s="76" t="s">
        <v>247</v>
      </c>
      <c r="B1279" s="77" t="s">
        <v>2110</v>
      </c>
      <c r="C1279" s="80">
        <v>3.0504755629E10</v>
      </c>
      <c r="D1279" s="119" t="s">
        <v>264</v>
      </c>
      <c r="E1279" s="79" t="s">
        <v>1376</v>
      </c>
      <c r="F1279" s="44">
        <v>2179.0</v>
      </c>
      <c r="G1279" s="79" t="s">
        <v>68</v>
      </c>
      <c r="H1279" s="80">
        <v>1702.0</v>
      </c>
      <c r="I1279" s="79">
        <v>251101.0</v>
      </c>
      <c r="J1279" s="74" t="s">
        <v>347</v>
      </c>
      <c r="K1279" s="79" t="s">
        <v>1486</v>
      </c>
      <c r="L1279" s="79" t="s">
        <v>453</v>
      </c>
      <c r="M1279" s="79" t="s">
        <v>8593</v>
      </c>
      <c r="N1279" s="79">
        <v>30.0</v>
      </c>
      <c r="O1279" s="42" t="s">
        <v>8594</v>
      </c>
      <c r="P1279" s="78" t="s">
        <v>8595</v>
      </c>
      <c r="Q1279" s="79"/>
      <c r="R1279" s="80"/>
      <c r="S1279" s="80" t="s">
        <v>8596</v>
      </c>
      <c r="T1279" s="101" t="s">
        <v>8597</v>
      </c>
      <c r="U1279" s="80" t="s">
        <v>8599</v>
      </c>
      <c r="V1279" s="102" t="s">
        <v>8600</v>
      </c>
      <c r="W1279" s="79" t="s">
        <v>309</v>
      </c>
      <c r="X1279" s="79" t="s">
        <v>309</v>
      </c>
      <c r="Y1279" s="79" t="s">
        <v>309</v>
      </c>
      <c r="Z1279" s="79"/>
    </row>
    <row r="1280" ht="15.0" customHeight="1">
      <c r="A1280" s="103" t="s">
        <v>24</v>
      </c>
      <c r="B1280" s="77" t="s">
        <v>8602</v>
      </c>
      <c r="C1280" s="101">
        <v>3.0710985592E10</v>
      </c>
      <c r="D1280" s="79" t="s">
        <v>264</v>
      </c>
      <c r="E1280" s="79" t="s">
        <v>1369</v>
      </c>
      <c r="F1280" s="44">
        <v>1033.0</v>
      </c>
      <c r="G1280" s="79" t="s">
        <v>68</v>
      </c>
      <c r="H1280" s="80">
        <v>1702.0</v>
      </c>
      <c r="I1280" s="79">
        <v>293090.0</v>
      </c>
      <c r="J1280" s="74" t="s">
        <v>337</v>
      </c>
      <c r="K1280" s="144" t="s">
        <v>407</v>
      </c>
      <c r="L1280" s="79"/>
      <c r="M1280" s="79"/>
      <c r="N1280" s="79"/>
      <c r="O1280" s="79"/>
      <c r="P1280" s="80"/>
      <c r="Q1280" s="79"/>
      <c r="R1280" s="80"/>
      <c r="S1280" s="80" t="s">
        <v>8603</v>
      </c>
      <c r="T1280" s="101"/>
      <c r="U1280" s="80"/>
      <c r="V1280" s="102" t="s">
        <v>429</v>
      </c>
      <c r="W1280" s="79"/>
      <c r="X1280" s="79"/>
      <c r="Y1280" s="79"/>
      <c r="Z1280" s="79"/>
    </row>
    <row r="1281" ht="15.75" customHeight="1">
      <c r="A1281" s="103" t="s">
        <v>24</v>
      </c>
      <c r="B1281" s="77" t="s">
        <v>8605</v>
      </c>
      <c r="C1281" s="80">
        <v>3.0645941612E10</v>
      </c>
      <c r="D1281" s="119" t="s">
        <v>264</v>
      </c>
      <c r="E1281" s="79" t="s">
        <v>678</v>
      </c>
      <c r="F1281" s="44">
        <v>4250.0</v>
      </c>
      <c r="G1281" s="79" t="s">
        <v>249</v>
      </c>
      <c r="H1281" s="80">
        <v>1676.0</v>
      </c>
      <c r="I1281" s="79">
        <v>343000.0</v>
      </c>
      <c r="J1281" s="74" t="s">
        <v>347</v>
      </c>
      <c r="K1281" s="79" t="s">
        <v>2104</v>
      </c>
      <c r="L1281" s="79"/>
      <c r="M1281" s="79"/>
      <c r="N1281" s="79">
        <v>0.0</v>
      </c>
      <c r="O1281" s="74"/>
      <c r="P1281" s="80"/>
      <c r="Q1281" s="79"/>
      <c r="R1281" s="80"/>
      <c r="S1281" s="78" t="s">
        <v>8606</v>
      </c>
      <c r="T1281" s="101" t="s">
        <v>332</v>
      </c>
      <c r="U1281" s="80" t="s">
        <v>332</v>
      </c>
      <c r="V1281" s="102" t="s">
        <v>429</v>
      </c>
      <c r="W1281" s="79" t="s">
        <v>306</v>
      </c>
      <c r="X1281" s="79" t="s">
        <v>306</v>
      </c>
      <c r="Y1281" s="79"/>
      <c r="Z1281" s="79"/>
    </row>
    <row r="1282" ht="15.75" customHeight="1">
      <c r="A1282" s="76" t="s">
        <v>247</v>
      </c>
      <c r="B1282" s="77" t="s">
        <v>7524</v>
      </c>
      <c r="C1282" s="88">
        <v>3.0701149951E10</v>
      </c>
      <c r="D1282" s="119" t="s">
        <v>264</v>
      </c>
      <c r="E1282" s="79" t="s">
        <v>1212</v>
      </c>
      <c r="F1282" s="44">
        <v>3534.0</v>
      </c>
      <c r="G1282" s="79" t="s">
        <v>68</v>
      </c>
      <c r="H1282" s="80">
        <v>1702.0</v>
      </c>
      <c r="I1282" s="77">
        <v>259999.0</v>
      </c>
      <c r="J1282" s="74" t="s">
        <v>347</v>
      </c>
      <c r="K1282" s="77" t="s">
        <v>8608</v>
      </c>
      <c r="L1282" s="79" t="s">
        <v>1122</v>
      </c>
      <c r="M1282" s="79"/>
      <c r="N1282" s="79"/>
      <c r="O1282" s="42"/>
      <c r="P1282" s="80"/>
      <c r="Q1282" s="79"/>
      <c r="R1282" s="80"/>
      <c r="S1282" s="85" t="s">
        <v>8609</v>
      </c>
      <c r="T1282" s="85"/>
      <c r="U1282" s="80"/>
      <c r="V1282" s="102" t="s">
        <v>429</v>
      </c>
      <c r="W1282" s="79"/>
      <c r="X1282" s="79"/>
      <c r="Y1282" s="79"/>
      <c r="Z1282" s="79"/>
    </row>
    <row r="1283" ht="15.75" customHeight="1">
      <c r="A1283" s="76" t="s">
        <v>247</v>
      </c>
      <c r="B1283" s="77" t="s">
        <v>7530</v>
      </c>
      <c r="C1283" s="80">
        <v>3.3715742549E10</v>
      </c>
      <c r="D1283" s="119" t="s">
        <v>264</v>
      </c>
      <c r="E1283" s="77" t="s">
        <v>8610</v>
      </c>
      <c r="F1283" s="128">
        <v>4531.0</v>
      </c>
      <c r="G1283" s="77" t="s">
        <v>68</v>
      </c>
      <c r="H1283" s="78">
        <v>1702.0</v>
      </c>
      <c r="I1283" s="77">
        <v>152040.0</v>
      </c>
      <c r="J1283" s="83" t="s">
        <v>448</v>
      </c>
      <c r="K1283" s="77" t="s">
        <v>2709</v>
      </c>
      <c r="L1283" s="79"/>
      <c r="M1283" s="79"/>
      <c r="N1283" s="79"/>
      <c r="O1283" s="74"/>
      <c r="P1283" s="80"/>
      <c r="Q1283" s="79"/>
      <c r="R1283" s="80"/>
      <c r="S1283" s="78" t="s">
        <v>8613</v>
      </c>
      <c r="T1283" s="101"/>
      <c r="U1283" s="80"/>
      <c r="V1283" s="102" t="s">
        <v>429</v>
      </c>
      <c r="W1283" s="79"/>
      <c r="X1283" s="79"/>
      <c r="Y1283" s="79" t="s">
        <v>309</v>
      </c>
      <c r="Z1283" s="79"/>
    </row>
    <row r="1284" ht="15.75" customHeight="1">
      <c r="A1284" s="76" t="s">
        <v>247</v>
      </c>
      <c r="B1284" s="77" t="s">
        <v>2113</v>
      </c>
      <c r="C1284" s="80">
        <v>3.0711914028E10</v>
      </c>
      <c r="D1284" s="119" t="s">
        <v>264</v>
      </c>
      <c r="E1284" s="79" t="s">
        <v>314</v>
      </c>
      <c r="F1284" s="44">
        <v>4730.0</v>
      </c>
      <c r="G1284" s="79" t="s">
        <v>15</v>
      </c>
      <c r="H1284" s="80">
        <v>1678.0</v>
      </c>
      <c r="I1284" s="79">
        <v>241009.0</v>
      </c>
      <c r="J1284" s="74" t="s">
        <v>347</v>
      </c>
      <c r="K1284" s="77" t="s">
        <v>5011</v>
      </c>
      <c r="L1284" s="79" t="s">
        <v>1122</v>
      </c>
      <c r="M1284" s="79" t="s">
        <v>8615</v>
      </c>
      <c r="N1284" s="79">
        <v>5.0</v>
      </c>
      <c r="O1284" s="74" t="s">
        <v>8616</v>
      </c>
      <c r="P1284" s="78" t="s">
        <v>8617</v>
      </c>
      <c r="Q1284" s="79"/>
      <c r="R1284" s="80"/>
      <c r="S1284" s="80"/>
      <c r="T1284" s="101" t="s">
        <v>332</v>
      </c>
      <c r="U1284" s="80" t="s">
        <v>332</v>
      </c>
      <c r="V1284" s="102" t="s">
        <v>429</v>
      </c>
      <c r="W1284" s="79" t="s">
        <v>306</v>
      </c>
      <c r="X1284" s="79" t="s">
        <v>306</v>
      </c>
      <c r="Y1284" s="79" t="s">
        <v>309</v>
      </c>
      <c r="Z1284" s="79"/>
    </row>
    <row r="1285" ht="15.0" customHeight="1">
      <c r="A1285" s="76" t="s">
        <v>247</v>
      </c>
      <c r="B1285" s="77" t="s">
        <v>2115</v>
      </c>
      <c r="C1285" s="80">
        <v>3.0624469077E10</v>
      </c>
      <c r="D1285" s="119" t="s">
        <v>264</v>
      </c>
      <c r="E1285" s="77" t="s">
        <v>2383</v>
      </c>
      <c r="F1285" s="44">
        <v>9345.0</v>
      </c>
      <c r="G1285" s="79" t="s">
        <v>119</v>
      </c>
      <c r="H1285" s="80">
        <v>1657.0</v>
      </c>
      <c r="I1285" s="79">
        <v>259309.0</v>
      </c>
      <c r="J1285" s="74" t="s">
        <v>347</v>
      </c>
      <c r="K1285" s="77" t="s">
        <v>1121</v>
      </c>
      <c r="L1285" s="79"/>
      <c r="M1285" s="79"/>
      <c r="N1285" s="79">
        <v>51.0</v>
      </c>
      <c r="O1285" s="83" t="s">
        <v>8618</v>
      </c>
      <c r="P1285" s="80"/>
      <c r="Q1285" s="79"/>
      <c r="R1285" s="80"/>
      <c r="S1285" s="78" t="s">
        <v>8620</v>
      </c>
      <c r="T1285" s="101" t="s">
        <v>8621</v>
      </c>
      <c r="U1285" s="80" t="s">
        <v>332</v>
      </c>
      <c r="V1285" s="102" t="s">
        <v>8622</v>
      </c>
      <c r="W1285" s="79" t="s">
        <v>309</v>
      </c>
      <c r="X1285" s="79" t="s">
        <v>309</v>
      </c>
      <c r="Y1285" s="79" t="s">
        <v>309</v>
      </c>
      <c r="Z1285" s="79"/>
    </row>
    <row r="1286" ht="15.0" customHeight="1">
      <c r="A1286" s="103" t="s">
        <v>24</v>
      </c>
      <c r="B1286" s="77" t="s">
        <v>8623</v>
      </c>
      <c r="C1286" s="80">
        <v>3.0708915811E10</v>
      </c>
      <c r="D1286" s="119" t="s">
        <v>264</v>
      </c>
      <c r="E1286" s="79" t="s">
        <v>2333</v>
      </c>
      <c r="F1286" s="44">
        <v>2937.0</v>
      </c>
      <c r="G1286" s="79" t="s">
        <v>68</v>
      </c>
      <c r="H1286" s="80">
        <v>1702.0</v>
      </c>
      <c r="I1286" s="79">
        <v>259302.0</v>
      </c>
      <c r="J1286" s="74" t="s">
        <v>347</v>
      </c>
      <c r="K1286" s="79" t="s">
        <v>8624</v>
      </c>
      <c r="L1286" s="79"/>
      <c r="M1286" s="79"/>
      <c r="N1286" s="79">
        <v>9.0</v>
      </c>
      <c r="O1286" s="74"/>
      <c r="P1286" s="80"/>
      <c r="Q1286" s="79"/>
      <c r="R1286" s="80"/>
      <c r="S1286" s="85" t="s">
        <v>8625</v>
      </c>
      <c r="T1286" s="85">
        <v>2.926403152E9</v>
      </c>
      <c r="U1286" s="80" t="s">
        <v>332</v>
      </c>
      <c r="V1286" s="102" t="s">
        <v>429</v>
      </c>
      <c r="W1286" s="79" t="s">
        <v>309</v>
      </c>
      <c r="X1286" s="79" t="s">
        <v>309</v>
      </c>
      <c r="Y1286" s="79"/>
      <c r="Z1286" s="79"/>
    </row>
    <row r="1287" ht="15.0" customHeight="1">
      <c r="A1287" s="103" t="s">
        <v>24</v>
      </c>
      <c r="B1287" s="77" t="s">
        <v>8627</v>
      </c>
      <c r="C1287" s="80">
        <v>3.3709664579E10</v>
      </c>
      <c r="D1287" s="119" t="s">
        <v>264</v>
      </c>
      <c r="E1287" s="79" t="s">
        <v>314</v>
      </c>
      <c r="F1287" s="44">
        <v>5764.0</v>
      </c>
      <c r="G1287" s="79" t="s">
        <v>15</v>
      </c>
      <c r="H1287" s="80">
        <v>1678.0</v>
      </c>
      <c r="I1287" s="79">
        <v>259309.0</v>
      </c>
      <c r="J1287" s="74" t="s">
        <v>347</v>
      </c>
      <c r="K1287" s="77" t="s">
        <v>1121</v>
      </c>
      <c r="L1287" s="79"/>
      <c r="M1287" s="79"/>
      <c r="N1287" s="79">
        <v>10.0</v>
      </c>
      <c r="O1287" s="74"/>
      <c r="P1287" s="80"/>
      <c r="Q1287" s="79"/>
      <c r="R1287" s="80"/>
      <c r="S1287" s="78" t="s">
        <v>8628</v>
      </c>
      <c r="T1287" s="101" t="s">
        <v>332</v>
      </c>
      <c r="U1287" s="80" t="s">
        <v>332</v>
      </c>
      <c r="V1287" s="102" t="s">
        <v>429</v>
      </c>
      <c r="W1287" s="79" t="s">
        <v>306</v>
      </c>
      <c r="X1287" s="79" t="s">
        <v>306</v>
      </c>
      <c r="Y1287" s="79"/>
      <c r="Z1287" s="79"/>
    </row>
    <row r="1288" ht="15.75" customHeight="1">
      <c r="A1288" s="76" t="s">
        <v>247</v>
      </c>
      <c r="B1288" s="77" t="s">
        <v>2119</v>
      </c>
      <c r="C1288" s="80">
        <v>3.0707612475E10</v>
      </c>
      <c r="D1288" s="119" t="s">
        <v>264</v>
      </c>
      <c r="E1288" s="79" t="s">
        <v>6437</v>
      </c>
      <c r="F1288" s="44">
        <v>853.0</v>
      </c>
      <c r="G1288" s="79" t="s">
        <v>119</v>
      </c>
      <c r="H1288" s="80">
        <v>1657.0</v>
      </c>
      <c r="I1288" s="79">
        <v>251101.0</v>
      </c>
      <c r="J1288" s="74" t="s">
        <v>347</v>
      </c>
      <c r="K1288" s="79" t="s">
        <v>1486</v>
      </c>
      <c r="L1288" s="79" t="s">
        <v>453</v>
      </c>
      <c r="M1288" s="79"/>
      <c r="N1288" s="79">
        <v>1.0</v>
      </c>
      <c r="O1288" s="74"/>
      <c r="P1288" s="80"/>
      <c r="Q1288" s="79"/>
      <c r="R1288" s="80"/>
      <c r="S1288" s="80" t="s">
        <v>8630</v>
      </c>
      <c r="T1288" s="101" t="s">
        <v>332</v>
      </c>
      <c r="U1288" s="80" t="s">
        <v>332</v>
      </c>
      <c r="V1288" s="102" t="s">
        <v>429</v>
      </c>
      <c r="W1288" s="79" t="s">
        <v>309</v>
      </c>
      <c r="X1288" s="79" t="s">
        <v>309</v>
      </c>
      <c r="Y1288" s="79"/>
      <c r="Z1288" s="79"/>
    </row>
    <row r="1289" ht="15.75" customHeight="1">
      <c r="A1289" s="103" t="s">
        <v>24</v>
      </c>
      <c r="B1289" s="77" t="s">
        <v>8631</v>
      </c>
      <c r="C1289" s="80">
        <v>3.0646048938E10</v>
      </c>
      <c r="D1289" s="119" t="s">
        <v>264</v>
      </c>
      <c r="E1289" s="79" t="s">
        <v>1212</v>
      </c>
      <c r="F1289" s="44">
        <v>2976.0</v>
      </c>
      <c r="G1289" s="79" t="s">
        <v>68</v>
      </c>
      <c r="H1289" s="80">
        <v>1702.0</v>
      </c>
      <c r="I1289" s="79">
        <v>361020.0</v>
      </c>
      <c r="J1289" s="74" t="s">
        <v>347</v>
      </c>
      <c r="K1289" s="79" t="s">
        <v>2569</v>
      </c>
      <c r="L1289" s="79"/>
      <c r="M1289" s="79"/>
      <c r="N1289" s="79">
        <v>0.0</v>
      </c>
      <c r="O1289" s="74"/>
      <c r="P1289" s="80"/>
      <c r="Q1289" s="79"/>
      <c r="R1289" s="80"/>
      <c r="S1289" s="80" t="s">
        <v>8633</v>
      </c>
      <c r="T1289" s="101" t="s">
        <v>332</v>
      </c>
      <c r="U1289" s="80" t="s">
        <v>332</v>
      </c>
      <c r="V1289" s="102" t="s">
        <v>429</v>
      </c>
      <c r="W1289" s="79" t="s">
        <v>309</v>
      </c>
      <c r="X1289" s="79" t="s">
        <v>309</v>
      </c>
      <c r="Y1289" s="79"/>
      <c r="Z1289" s="79"/>
    </row>
    <row r="1290" ht="15.75" customHeight="1">
      <c r="A1290" s="103" t="s">
        <v>24</v>
      </c>
      <c r="B1290" s="79" t="s">
        <v>8634</v>
      </c>
      <c r="C1290" s="80">
        <v>3.0569061098E10</v>
      </c>
      <c r="D1290" s="119" t="s">
        <v>264</v>
      </c>
      <c r="E1290" s="77" t="s">
        <v>943</v>
      </c>
      <c r="F1290" s="44">
        <v>3850.0</v>
      </c>
      <c r="G1290" s="79" t="s">
        <v>68</v>
      </c>
      <c r="H1290" s="80">
        <v>1702.0</v>
      </c>
      <c r="I1290" s="79">
        <v>361020.0</v>
      </c>
      <c r="J1290" s="74" t="s">
        <v>347</v>
      </c>
      <c r="K1290" s="79" t="s">
        <v>2569</v>
      </c>
      <c r="L1290" s="79"/>
      <c r="M1290" s="79"/>
      <c r="N1290" s="79">
        <v>4.0</v>
      </c>
      <c r="O1290" s="74"/>
      <c r="P1290" s="80"/>
      <c r="Q1290" s="79"/>
      <c r="R1290" s="80"/>
      <c r="S1290" s="80" t="s">
        <v>8636</v>
      </c>
      <c r="T1290" s="101" t="s">
        <v>8637</v>
      </c>
      <c r="U1290" s="80"/>
      <c r="V1290" s="102" t="s">
        <v>429</v>
      </c>
      <c r="W1290" s="79" t="s">
        <v>309</v>
      </c>
      <c r="X1290" s="79" t="s">
        <v>309</v>
      </c>
      <c r="Y1290" s="79" t="s">
        <v>309</v>
      </c>
      <c r="Z1290" s="79"/>
    </row>
    <row r="1291" ht="15.75" customHeight="1">
      <c r="A1291" s="76" t="s">
        <v>247</v>
      </c>
      <c r="B1291" s="77" t="s">
        <v>7538</v>
      </c>
      <c r="C1291" s="80">
        <v>3.0707258663E10</v>
      </c>
      <c r="D1291" s="119" t="s">
        <v>264</v>
      </c>
      <c r="E1291" s="79" t="s">
        <v>359</v>
      </c>
      <c r="F1291" s="44">
        <v>5331.0</v>
      </c>
      <c r="G1291" s="79" t="s">
        <v>15</v>
      </c>
      <c r="H1291" s="80">
        <v>1678.0</v>
      </c>
      <c r="I1291" s="77">
        <v>262000.0</v>
      </c>
      <c r="J1291" s="74" t="s">
        <v>347</v>
      </c>
      <c r="K1291" s="77" t="s">
        <v>8638</v>
      </c>
      <c r="L1291" s="79"/>
      <c r="M1291" s="79" t="s">
        <v>8639</v>
      </c>
      <c r="N1291" s="79">
        <v>32.0</v>
      </c>
      <c r="O1291" s="74"/>
      <c r="P1291" s="80"/>
      <c r="Q1291" s="79"/>
      <c r="R1291" s="80"/>
      <c r="S1291" s="80" t="s">
        <v>8640</v>
      </c>
      <c r="T1291" s="101" t="s">
        <v>332</v>
      </c>
      <c r="U1291" s="80" t="s">
        <v>332</v>
      </c>
      <c r="V1291" s="102" t="s">
        <v>8641</v>
      </c>
      <c r="W1291" s="79" t="s">
        <v>309</v>
      </c>
      <c r="X1291" s="79" t="s">
        <v>309</v>
      </c>
      <c r="Y1291" s="79" t="s">
        <v>309</v>
      </c>
      <c r="Z1291" s="79"/>
    </row>
    <row r="1292" ht="15.75" customHeight="1">
      <c r="A1292" s="76" t="s">
        <v>247</v>
      </c>
      <c r="B1292" s="77" t="s">
        <v>2121</v>
      </c>
      <c r="C1292" s="80">
        <v>3.0711524351E10</v>
      </c>
      <c r="D1292" s="119" t="s">
        <v>264</v>
      </c>
      <c r="E1292" s="79" t="s">
        <v>1711</v>
      </c>
      <c r="F1292" s="44">
        <v>5548.0</v>
      </c>
      <c r="G1292" s="79" t="s">
        <v>15</v>
      </c>
      <c r="H1292" s="80">
        <v>1678.0</v>
      </c>
      <c r="I1292" s="77">
        <v>329090.0</v>
      </c>
      <c r="J1292" s="74" t="s">
        <v>347</v>
      </c>
      <c r="K1292" s="77" t="s">
        <v>2448</v>
      </c>
      <c r="L1292" s="79" t="s">
        <v>453</v>
      </c>
      <c r="M1292" s="79" t="s">
        <v>8642</v>
      </c>
      <c r="N1292" s="79">
        <v>12.0</v>
      </c>
      <c r="O1292" s="74" t="s">
        <v>8643</v>
      </c>
      <c r="P1292" s="78" t="s">
        <v>8644</v>
      </c>
      <c r="Q1292" s="79" t="s">
        <v>8645</v>
      </c>
      <c r="R1292" s="78" t="s">
        <v>8646</v>
      </c>
      <c r="S1292" s="80" t="s">
        <v>8647</v>
      </c>
      <c r="T1292" s="101" t="s">
        <v>332</v>
      </c>
      <c r="U1292" s="80" t="s">
        <v>332</v>
      </c>
      <c r="V1292" s="102" t="s">
        <v>8648</v>
      </c>
      <c r="W1292" s="79" t="s">
        <v>306</v>
      </c>
      <c r="X1292" s="79" t="s">
        <v>306</v>
      </c>
      <c r="Y1292" s="79" t="s">
        <v>309</v>
      </c>
      <c r="Z1292" s="79"/>
    </row>
    <row r="1293" ht="15.75" customHeight="1">
      <c r="A1293" s="76" t="s">
        <v>247</v>
      </c>
      <c r="B1293" s="77" t="s">
        <v>7551</v>
      </c>
      <c r="C1293" s="80">
        <v>3.0503785192E10</v>
      </c>
      <c r="D1293" s="119" t="s">
        <v>264</v>
      </c>
      <c r="E1293" s="79" t="s">
        <v>3954</v>
      </c>
      <c r="F1293" s="44">
        <v>3550.0</v>
      </c>
      <c r="G1293" s="79" t="s">
        <v>68</v>
      </c>
      <c r="H1293" s="80">
        <v>1702.0</v>
      </c>
      <c r="I1293" s="79">
        <v>359200.0</v>
      </c>
      <c r="J1293" s="74" t="s">
        <v>347</v>
      </c>
      <c r="K1293" s="79" t="s">
        <v>8348</v>
      </c>
      <c r="L1293" s="79"/>
      <c r="M1293" s="79"/>
      <c r="N1293" s="79">
        <v>16.0</v>
      </c>
      <c r="O1293" s="74"/>
      <c r="P1293" s="80"/>
      <c r="Q1293" s="79"/>
      <c r="R1293" s="80"/>
      <c r="S1293" s="80" t="s">
        <v>8649</v>
      </c>
      <c r="T1293" s="101" t="s">
        <v>332</v>
      </c>
      <c r="U1293" s="80" t="s">
        <v>332</v>
      </c>
      <c r="V1293" s="102" t="s">
        <v>429</v>
      </c>
      <c r="W1293" s="79" t="s">
        <v>309</v>
      </c>
      <c r="X1293" s="79" t="s">
        <v>309</v>
      </c>
      <c r="Y1293" s="79" t="s">
        <v>309</v>
      </c>
      <c r="Z1293" s="79"/>
    </row>
    <row r="1294" ht="15.75" customHeight="1">
      <c r="A1294" s="103" t="s">
        <v>24</v>
      </c>
      <c r="B1294" s="79" t="s">
        <v>8650</v>
      </c>
      <c r="C1294" s="80">
        <v>3.0707033742E10</v>
      </c>
      <c r="D1294" s="79" t="s">
        <v>264</v>
      </c>
      <c r="E1294" s="79" t="s">
        <v>8652</v>
      </c>
      <c r="F1294" s="44">
        <v>1680.0</v>
      </c>
      <c r="G1294" s="79" t="s">
        <v>119</v>
      </c>
      <c r="H1294" s="80">
        <v>1657.0</v>
      </c>
      <c r="I1294" s="79">
        <v>282300.0</v>
      </c>
      <c r="J1294" s="74" t="s">
        <v>347</v>
      </c>
      <c r="K1294" s="79" t="s">
        <v>4736</v>
      </c>
      <c r="L1294" s="79" t="s">
        <v>662</v>
      </c>
      <c r="M1294" s="79"/>
      <c r="N1294" s="79">
        <v>3.0</v>
      </c>
      <c r="O1294" s="129" t="s">
        <v>8653</v>
      </c>
      <c r="P1294" s="80"/>
      <c r="Q1294" s="79"/>
      <c r="R1294" s="80"/>
      <c r="S1294" s="80" t="s">
        <v>8654</v>
      </c>
      <c r="T1294" s="101" t="s">
        <v>8655</v>
      </c>
      <c r="U1294" s="80"/>
      <c r="V1294" s="102" t="s">
        <v>8656</v>
      </c>
      <c r="W1294" s="79" t="s">
        <v>309</v>
      </c>
      <c r="X1294" s="79" t="s">
        <v>309</v>
      </c>
      <c r="Y1294" s="79"/>
      <c r="Z1294" s="79"/>
    </row>
    <row r="1295" ht="15.75" customHeight="1">
      <c r="A1295" s="103" t="s">
        <v>24</v>
      </c>
      <c r="B1295" s="77" t="s">
        <v>8659</v>
      </c>
      <c r="C1295" s="80">
        <v>3.0644052059E10</v>
      </c>
      <c r="D1295" s="119" t="s">
        <v>264</v>
      </c>
      <c r="E1295" s="79" t="s">
        <v>1246</v>
      </c>
      <c r="F1295" s="44">
        <v>104.0</v>
      </c>
      <c r="G1295" s="79" t="s">
        <v>68</v>
      </c>
      <c r="H1295" s="80">
        <v>1702.0</v>
      </c>
      <c r="I1295" s="79">
        <v>289993.0</v>
      </c>
      <c r="J1295" s="74" t="s">
        <v>347</v>
      </c>
      <c r="K1295" s="129" t="s">
        <v>638</v>
      </c>
      <c r="L1295" s="79" t="s">
        <v>453</v>
      </c>
      <c r="M1295" s="79"/>
      <c r="N1295" s="79">
        <v>10.0</v>
      </c>
      <c r="O1295" s="74"/>
      <c r="P1295" s="80"/>
      <c r="Q1295" s="79"/>
      <c r="R1295" s="80"/>
      <c r="S1295" s="78" t="s">
        <v>8660</v>
      </c>
      <c r="T1295" s="101" t="s">
        <v>332</v>
      </c>
      <c r="U1295" s="80" t="s">
        <v>332</v>
      </c>
      <c r="V1295" s="102" t="s">
        <v>429</v>
      </c>
      <c r="W1295" s="79" t="s">
        <v>306</v>
      </c>
      <c r="X1295" s="79" t="s">
        <v>306</v>
      </c>
      <c r="Y1295" s="79"/>
      <c r="Z1295" s="79"/>
    </row>
    <row r="1296" ht="15.75" customHeight="1">
      <c r="A1296" s="103" t="s">
        <v>24</v>
      </c>
      <c r="B1296" s="77" t="s">
        <v>8663</v>
      </c>
      <c r="C1296" s="80">
        <v>3.059914552E10</v>
      </c>
      <c r="D1296" s="119" t="s">
        <v>264</v>
      </c>
      <c r="E1296" s="79" t="s">
        <v>7250</v>
      </c>
      <c r="F1296" s="44">
        <v>2628.0</v>
      </c>
      <c r="G1296" s="79" t="s">
        <v>285</v>
      </c>
      <c r="H1296" s="80">
        <v>1674.0</v>
      </c>
      <c r="I1296" s="79">
        <v>181110.0</v>
      </c>
      <c r="J1296" s="74" t="s">
        <v>448</v>
      </c>
      <c r="K1296" s="79" t="s">
        <v>8664</v>
      </c>
      <c r="L1296" s="79" t="s">
        <v>1122</v>
      </c>
      <c r="M1296" s="79"/>
      <c r="N1296" s="79">
        <v>0.0</v>
      </c>
      <c r="O1296" s="74"/>
      <c r="P1296" s="80"/>
      <c r="Q1296" s="79"/>
      <c r="R1296" s="80"/>
      <c r="S1296" s="80" t="s">
        <v>8665</v>
      </c>
      <c r="T1296" s="101" t="s">
        <v>332</v>
      </c>
      <c r="U1296" s="80" t="s">
        <v>332</v>
      </c>
      <c r="V1296" s="102" t="s">
        <v>429</v>
      </c>
      <c r="W1296" s="79" t="s">
        <v>309</v>
      </c>
      <c r="X1296" s="79" t="s">
        <v>309</v>
      </c>
      <c r="Y1296" s="79"/>
      <c r="Z1296" s="79"/>
    </row>
    <row r="1297" ht="15.0" customHeight="1">
      <c r="A1297" s="76" t="s">
        <v>247</v>
      </c>
      <c r="B1297" s="77" t="s">
        <v>2125</v>
      </c>
      <c r="C1297" s="80">
        <v>3.0504115026E10</v>
      </c>
      <c r="D1297" s="119" t="s">
        <v>264</v>
      </c>
      <c r="E1297" s="79" t="s">
        <v>2400</v>
      </c>
      <c r="F1297" s="44">
        <v>8760.0</v>
      </c>
      <c r="G1297" s="79" t="s">
        <v>175</v>
      </c>
      <c r="H1297" s="80">
        <v>1657.0</v>
      </c>
      <c r="I1297" s="79">
        <v>222090.0</v>
      </c>
      <c r="J1297" s="83" t="s">
        <v>568</v>
      </c>
      <c r="K1297" s="77" t="s">
        <v>569</v>
      </c>
      <c r="L1297" s="79" t="s">
        <v>453</v>
      </c>
      <c r="M1297" s="79"/>
      <c r="N1297" s="79">
        <v>314.0</v>
      </c>
      <c r="O1297" s="74" t="s">
        <v>8667</v>
      </c>
      <c r="P1297" s="78" t="s">
        <v>8668</v>
      </c>
      <c r="Q1297" s="79" t="s">
        <v>8669</v>
      </c>
      <c r="R1297" s="78" t="s">
        <v>8670</v>
      </c>
      <c r="S1297" s="78" t="s">
        <v>8671</v>
      </c>
      <c r="T1297" s="101" t="s">
        <v>8672</v>
      </c>
      <c r="U1297" s="80" t="s">
        <v>8673</v>
      </c>
      <c r="V1297" s="102" t="s">
        <v>8674</v>
      </c>
      <c r="W1297" s="79" t="s">
        <v>309</v>
      </c>
      <c r="X1297" s="79" t="s">
        <v>309</v>
      </c>
      <c r="Y1297" s="79" t="s">
        <v>309</v>
      </c>
      <c r="Z1297" s="79"/>
    </row>
    <row r="1298" ht="15.75" customHeight="1">
      <c r="A1298" s="103" t="s">
        <v>24</v>
      </c>
      <c r="B1298" s="77" t="s">
        <v>8677</v>
      </c>
      <c r="C1298" s="80">
        <v>3.063992263E10</v>
      </c>
      <c r="D1298" s="79" t="s">
        <v>264</v>
      </c>
      <c r="E1298" s="79" t="s">
        <v>5076</v>
      </c>
      <c r="F1298" s="44">
        <v>6133.0</v>
      </c>
      <c r="G1298" s="79" t="s">
        <v>119</v>
      </c>
      <c r="H1298" s="80">
        <v>1657.0</v>
      </c>
      <c r="I1298" s="79">
        <v>293090.0</v>
      </c>
      <c r="J1298" s="74" t="s">
        <v>337</v>
      </c>
      <c r="K1298" s="77" t="s">
        <v>407</v>
      </c>
      <c r="L1298" s="79"/>
      <c r="M1298" s="79"/>
      <c r="N1298" s="79">
        <v>112.0</v>
      </c>
      <c r="O1298" s="74"/>
      <c r="P1298" s="80"/>
      <c r="Q1298" s="79"/>
      <c r="R1298" s="80"/>
      <c r="S1298" s="80" t="s">
        <v>8678</v>
      </c>
      <c r="T1298" s="101" t="s">
        <v>8679</v>
      </c>
      <c r="U1298" s="80" t="s">
        <v>8679</v>
      </c>
      <c r="V1298" s="102" t="s">
        <v>8681</v>
      </c>
      <c r="W1298" s="79" t="s">
        <v>309</v>
      </c>
      <c r="X1298" s="79" t="s">
        <v>309</v>
      </c>
      <c r="Y1298" s="79" t="s">
        <v>309</v>
      </c>
      <c r="Z1298" s="79"/>
    </row>
    <row r="1299" ht="15.75" customHeight="1">
      <c r="A1299" s="76" t="s">
        <v>247</v>
      </c>
      <c r="B1299" s="79" t="s">
        <v>2128</v>
      </c>
      <c r="C1299" s="80">
        <v>2.0164957471E10</v>
      </c>
      <c r="D1299" s="77" t="s">
        <v>631</v>
      </c>
      <c r="E1299" s="79" t="s">
        <v>1666</v>
      </c>
      <c r="F1299" s="128">
        <v>3525.0</v>
      </c>
      <c r="G1299" s="79" t="s">
        <v>15</v>
      </c>
      <c r="H1299" s="80">
        <v>1678.0</v>
      </c>
      <c r="I1299" s="79">
        <v>139900.0</v>
      </c>
      <c r="J1299" s="74" t="s">
        <v>448</v>
      </c>
      <c r="K1299" s="77" t="s">
        <v>1760</v>
      </c>
      <c r="L1299" s="79" t="s">
        <v>453</v>
      </c>
      <c r="M1299" s="79" t="s">
        <v>8683</v>
      </c>
      <c r="N1299" s="79"/>
      <c r="O1299" s="77" t="s">
        <v>8685</v>
      </c>
      <c r="P1299" s="78" t="s">
        <v>8686</v>
      </c>
      <c r="Q1299" s="79"/>
      <c r="R1299" s="80"/>
      <c r="S1299" s="80"/>
      <c r="T1299" s="101"/>
      <c r="U1299" s="80"/>
      <c r="V1299" s="102" t="s">
        <v>429</v>
      </c>
      <c r="W1299" s="79"/>
      <c r="X1299" s="79"/>
      <c r="Y1299" s="79"/>
      <c r="Z1299" s="79"/>
    </row>
    <row r="1300" ht="15.75" customHeight="1">
      <c r="A1300" s="103" t="s">
        <v>24</v>
      </c>
      <c r="B1300" s="77" t="s">
        <v>8687</v>
      </c>
      <c r="C1300" s="80">
        <v>3.0714319244E10</v>
      </c>
      <c r="D1300" s="119" t="s">
        <v>264</v>
      </c>
      <c r="E1300" s="79" t="s">
        <v>3845</v>
      </c>
      <c r="F1300" s="44">
        <v>1774.0</v>
      </c>
      <c r="G1300" s="79" t="s">
        <v>134</v>
      </c>
      <c r="H1300" s="80">
        <v>1682.0</v>
      </c>
      <c r="I1300" s="79">
        <v>711009.0</v>
      </c>
      <c r="J1300" s="74" t="s">
        <v>433</v>
      </c>
      <c r="K1300" s="77" t="s">
        <v>2325</v>
      </c>
      <c r="L1300" s="79"/>
      <c r="M1300" s="79"/>
      <c r="N1300" s="79">
        <v>0.0</v>
      </c>
      <c r="O1300" s="74"/>
      <c r="P1300" s="80"/>
      <c r="Q1300" s="79"/>
      <c r="R1300" s="80"/>
      <c r="S1300" s="78" t="s">
        <v>8690</v>
      </c>
      <c r="T1300" s="101" t="s">
        <v>332</v>
      </c>
      <c r="U1300" s="80" t="s">
        <v>332</v>
      </c>
      <c r="V1300" s="102" t="s">
        <v>429</v>
      </c>
      <c r="W1300" s="79" t="s">
        <v>306</v>
      </c>
      <c r="X1300" s="79" t="s">
        <v>306</v>
      </c>
      <c r="Y1300" s="79"/>
      <c r="Z1300" s="79"/>
    </row>
    <row r="1301" ht="15.0" customHeight="1">
      <c r="A1301" s="103" t="s">
        <v>24</v>
      </c>
      <c r="B1301" s="77" t="s">
        <v>7556</v>
      </c>
      <c r="C1301" s="80">
        <v>3.0584386068E10</v>
      </c>
      <c r="D1301" s="119" t="s">
        <v>264</v>
      </c>
      <c r="E1301" s="79" t="s">
        <v>1143</v>
      </c>
      <c r="F1301" s="44">
        <v>3136.0</v>
      </c>
      <c r="G1301" s="79" t="s">
        <v>15</v>
      </c>
      <c r="H1301" s="80">
        <v>1678.0</v>
      </c>
      <c r="I1301" s="79">
        <v>289999.0</v>
      </c>
      <c r="J1301" s="74" t="s">
        <v>347</v>
      </c>
      <c r="K1301" s="77" t="s">
        <v>1901</v>
      </c>
      <c r="L1301" s="79" t="s">
        <v>453</v>
      </c>
      <c r="M1301" s="79"/>
      <c r="N1301" s="79">
        <v>0.0</v>
      </c>
      <c r="O1301" s="74"/>
      <c r="P1301" s="80"/>
      <c r="Q1301" s="79"/>
      <c r="R1301" s="114"/>
      <c r="S1301" s="80"/>
      <c r="T1301" s="101" t="s">
        <v>332</v>
      </c>
      <c r="U1301" s="80" t="s">
        <v>332</v>
      </c>
      <c r="V1301" s="102" t="s">
        <v>429</v>
      </c>
      <c r="W1301" s="79" t="s">
        <v>306</v>
      </c>
      <c r="X1301" s="79" t="s">
        <v>306</v>
      </c>
      <c r="Y1301" s="79" t="s">
        <v>309</v>
      </c>
      <c r="Z1301" s="79"/>
    </row>
    <row r="1302" ht="15.75" customHeight="1">
      <c r="A1302" s="76" t="s">
        <v>247</v>
      </c>
      <c r="B1302" s="77" t="s">
        <v>7560</v>
      </c>
      <c r="C1302" s="80">
        <v>3.0711809313E10</v>
      </c>
      <c r="D1302" s="119" t="s">
        <v>264</v>
      </c>
      <c r="E1302" s="79" t="s">
        <v>4571</v>
      </c>
      <c r="F1302" s="128">
        <v>205.0</v>
      </c>
      <c r="G1302" s="79" t="s">
        <v>68</v>
      </c>
      <c r="H1302" s="80">
        <v>1702.0</v>
      </c>
      <c r="I1302" s="77">
        <v>472190.0</v>
      </c>
      <c r="J1302" s="74" t="s">
        <v>22</v>
      </c>
      <c r="K1302" s="77" t="s">
        <v>4639</v>
      </c>
      <c r="L1302" s="79"/>
      <c r="M1302" s="79"/>
      <c r="N1302" s="79">
        <v>13.0</v>
      </c>
      <c r="O1302" s="74" t="s">
        <v>332</v>
      </c>
      <c r="P1302" s="80"/>
      <c r="Q1302" s="79"/>
      <c r="R1302" s="80"/>
      <c r="S1302" s="80" t="s">
        <v>8695</v>
      </c>
      <c r="T1302" s="101" t="s">
        <v>332</v>
      </c>
      <c r="U1302" s="80" t="s">
        <v>332</v>
      </c>
      <c r="V1302" s="102" t="s">
        <v>8696</v>
      </c>
      <c r="W1302" s="79" t="s">
        <v>306</v>
      </c>
      <c r="X1302" s="79" t="s">
        <v>306</v>
      </c>
      <c r="Y1302" s="79" t="s">
        <v>309</v>
      </c>
      <c r="Z1302" s="79"/>
    </row>
    <row r="1303" ht="15.75" customHeight="1">
      <c r="A1303" s="76" t="s">
        <v>247</v>
      </c>
      <c r="B1303" s="77" t="s">
        <v>7565</v>
      </c>
      <c r="C1303" s="80">
        <v>3.0710153201E10</v>
      </c>
      <c r="D1303" s="119" t="s">
        <v>264</v>
      </c>
      <c r="E1303" s="79" t="s">
        <v>1705</v>
      </c>
      <c r="F1303" s="44">
        <v>597.0</v>
      </c>
      <c r="G1303" s="79" t="s">
        <v>68</v>
      </c>
      <c r="H1303" s="80">
        <v>1702.0</v>
      </c>
      <c r="I1303" s="79">
        <v>275010.0</v>
      </c>
      <c r="J1303" s="74" t="s">
        <v>347</v>
      </c>
      <c r="K1303" s="79" t="s">
        <v>4175</v>
      </c>
      <c r="L1303" s="79"/>
      <c r="M1303" s="79"/>
      <c r="N1303" s="79">
        <v>0.0</v>
      </c>
      <c r="O1303" s="74" t="s">
        <v>8699</v>
      </c>
      <c r="P1303" s="80"/>
      <c r="Q1303" s="79"/>
      <c r="R1303" s="80"/>
      <c r="S1303" s="78" t="s">
        <v>8700</v>
      </c>
      <c r="T1303" s="101" t="s">
        <v>332</v>
      </c>
      <c r="U1303" s="80" t="s">
        <v>332</v>
      </c>
      <c r="V1303" s="102" t="s">
        <v>8701</v>
      </c>
      <c r="W1303" s="79" t="s">
        <v>306</v>
      </c>
      <c r="X1303" s="79" t="s">
        <v>306</v>
      </c>
      <c r="Y1303" s="79" t="s">
        <v>309</v>
      </c>
      <c r="Z1303" s="79"/>
    </row>
    <row r="1304" ht="15.75" customHeight="1">
      <c r="A1304" s="103" t="s">
        <v>24</v>
      </c>
      <c r="B1304" s="77" t="s">
        <v>8702</v>
      </c>
      <c r="C1304" s="80">
        <v>3.0708470348E10</v>
      </c>
      <c r="D1304" s="119" t="s">
        <v>264</v>
      </c>
      <c r="E1304" s="79" t="s">
        <v>3466</v>
      </c>
      <c r="F1304" s="44">
        <v>3859.0</v>
      </c>
      <c r="G1304" s="79" t="s">
        <v>68</v>
      </c>
      <c r="H1304" s="80">
        <v>1702.0</v>
      </c>
      <c r="I1304" s="79">
        <v>171149.0</v>
      </c>
      <c r="J1304" s="74" t="s">
        <v>448</v>
      </c>
      <c r="K1304" s="77" t="s">
        <v>7401</v>
      </c>
      <c r="L1304" s="79"/>
      <c r="M1304" s="79"/>
      <c r="N1304" s="79">
        <v>1.0</v>
      </c>
      <c r="O1304" s="74"/>
      <c r="P1304" s="80"/>
      <c r="Q1304" s="79"/>
      <c r="R1304" s="80"/>
      <c r="S1304" s="80" t="s">
        <v>8705</v>
      </c>
      <c r="T1304" s="101" t="s">
        <v>332</v>
      </c>
      <c r="U1304" s="80" t="s">
        <v>332</v>
      </c>
      <c r="V1304" s="102" t="s">
        <v>429</v>
      </c>
      <c r="W1304" s="79" t="s">
        <v>309</v>
      </c>
      <c r="X1304" s="79" t="s">
        <v>309</v>
      </c>
      <c r="Y1304" s="79"/>
      <c r="Z1304" s="79"/>
    </row>
    <row r="1305" ht="15.0" customHeight="1">
      <c r="A1305" s="103" t="s">
        <v>24</v>
      </c>
      <c r="B1305" s="77" t="s">
        <v>8707</v>
      </c>
      <c r="C1305" s="80">
        <v>3.0710274041E10</v>
      </c>
      <c r="D1305" s="79" t="s">
        <v>264</v>
      </c>
      <c r="E1305" s="77" t="s">
        <v>7999</v>
      </c>
      <c r="F1305" s="44">
        <v>1253.0</v>
      </c>
      <c r="G1305" s="79" t="s">
        <v>269</v>
      </c>
      <c r="H1305" s="80">
        <v>1682.0</v>
      </c>
      <c r="I1305" s="79">
        <v>202909.0</v>
      </c>
      <c r="J1305" s="74" t="s">
        <v>313</v>
      </c>
      <c r="K1305" s="77" t="s">
        <v>8709</v>
      </c>
      <c r="L1305" s="79" t="s">
        <v>1122</v>
      </c>
      <c r="M1305" s="79"/>
      <c r="N1305" s="79">
        <v>0.0</v>
      </c>
      <c r="O1305" s="74"/>
      <c r="P1305" s="80"/>
      <c r="Q1305" s="79"/>
      <c r="R1305" s="80"/>
      <c r="S1305" s="80" t="s">
        <v>8710</v>
      </c>
      <c r="T1305" s="101" t="s">
        <v>332</v>
      </c>
      <c r="U1305" s="80" t="s">
        <v>332</v>
      </c>
      <c r="V1305" s="102" t="s">
        <v>429</v>
      </c>
      <c r="W1305" s="79" t="s">
        <v>306</v>
      </c>
      <c r="X1305" s="79" t="s">
        <v>306</v>
      </c>
      <c r="Y1305" s="79"/>
      <c r="Z1305" s="79"/>
    </row>
    <row r="1306" ht="15.75" customHeight="1">
      <c r="A1306" s="103" t="s">
        <v>24</v>
      </c>
      <c r="B1306" s="79" t="s">
        <v>8713</v>
      </c>
      <c r="C1306" s="80">
        <v>3.0663739936E10</v>
      </c>
      <c r="D1306" s="77" t="s">
        <v>631</v>
      </c>
      <c r="E1306" s="79" t="s">
        <v>2400</v>
      </c>
      <c r="F1306" s="44">
        <v>8721.0</v>
      </c>
      <c r="G1306" s="79" t="s">
        <v>175</v>
      </c>
      <c r="H1306" s="80">
        <v>1657.0</v>
      </c>
      <c r="I1306" s="79">
        <v>343000.0</v>
      </c>
      <c r="J1306" s="74" t="s">
        <v>337</v>
      </c>
      <c r="K1306" s="79" t="s">
        <v>2104</v>
      </c>
      <c r="L1306" s="79"/>
      <c r="M1306" s="79"/>
      <c r="N1306" s="79">
        <v>0.0</v>
      </c>
      <c r="O1306" s="74"/>
      <c r="P1306" s="80"/>
      <c r="Q1306" s="79"/>
      <c r="R1306" s="80"/>
      <c r="S1306" s="80" t="s">
        <v>8715</v>
      </c>
      <c r="T1306" s="101" t="s">
        <v>332</v>
      </c>
      <c r="U1306" s="80" t="s">
        <v>332</v>
      </c>
      <c r="V1306" s="102" t="s">
        <v>429</v>
      </c>
      <c r="W1306" s="79" t="s">
        <v>306</v>
      </c>
      <c r="X1306" s="79" t="s">
        <v>306</v>
      </c>
      <c r="Y1306" s="79"/>
      <c r="Z1306" s="79"/>
    </row>
    <row r="1307" ht="15.0" customHeight="1">
      <c r="A1307" s="76" t="s">
        <v>247</v>
      </c>
      <c r="B1307" s="77" t="s">
        <v>2134</v>
      </c>
      <c r="C1307" s="80">
        <v>3.0708938021E10</v>
      </c>
      <c r="D1307" s="119" t="s">
        <v>264</v>
      </c>
      <c r="E1307" s="79" t="s">
        <v>1114</v>
      </c>
      <c r="F1307" s="44">
        <v>3860.0</v>
      </c>
      <c r="G1307" s="79" t="s">
        <v>68</v>
      </c>
      <c r="H1307" s="80">
        <v>1702.0</v>
      </c>
      <c r="I1307" s="79">
        <v>105090.0</v>
      </c>
      <c r="J1307" s="74" t="s">
        <v>22</v>
      </c>
      <c r="K1307" s="77" t="s">
        <v>8717</v>
      </c>
      <c r="L1307" s="79"/>
      <c r="M1307" s="79" t="s">
        <v>8719</v>
      </c>
      <c r="N1307" s="79"/>
      <c r="O1307" s="74" t="s">
        <v>8720</v>
      </c>
      <c r="P1307" s="80"/>
      <c r="Q1307" s="77" t="s">
        <v>8721</v>
      </c>
      <c r="R1307" s="80"/>
      <c r="S1307" s="80" t="s">
        <v>8722</v>
      </c>
      <c r="T1307" s="101" t="s">
        <v>8723</v>
      </c>
      <c r="U1307" s="80" t="s">
        <v>8724</v>
      </c>
      <c r="V1307" s="102" t="s">
        <v>8725</v>
      </c>
      <c r="W1307" s="79" t="s">
        <v>306</v>
      </c>
      <c r="X1307" s="79" t="s">
        <v>306</v>
      </c>
      <c r="Y1307" s="126" t="s">
        <v>309</v>
      </c>
      <c r="Z1307" s="79"/>
    </row>
    <row r="1308" ht="15.0" customHeight="1">
      <c r="A1308" s="103" t="s">
        <v>24</v>
      </c>
      <c r="B1308" s="77" t="s">
        <v>8726</v>
      </c>
      <c r="C1308" s="80">
        <v>3.0708610514E10</v>
      </c>
      <c r="D1308" s="79" t="s">
        <v>264</v>
      </c>
      <c r="E1308" s="79" t="s">
        <v>1607</v>
      </c>
      <c r="F1308" s="44">
        <v>4433.0</v>
      </c>
      <c r="G1308" s="79" t="s">
        <v>15</v>
      </c>
      <c r="H1308" s="80">
        <v>1678.0</v>
      </c>
      <c r="I1308" s="79">
        <v>309100.0</v>
      </c>
      <c r="J1308" s="74" t="s">
        <v>337</v>
      </c>
      <c r="K1308" s="79" t="s">
        <v>2697</v>
      </c>
      <c r="L1308" s="79"/>
      <c r="M1308" s="79"/>
      <c r="N1308" s="79">
        <v>22.0</v>
      </c>
      <c r="O1308" s="74"/>
      <c r="P1308" s="80"/>
      <c r="Q1308" s="79"/>
      <c r="R1308" s="80"/>
      <c r="S1308" s="80" t="s">
        <v>8729</v>
      </c>
      <c r="T1308" s="101" t="s">
        <v>8730</v>
      </c>
      <c r="U1308" s="80" t="s">
        <v>332</v>
      </c>
      <c r="V1308" s="102" t="s">
        <v>429</v>
      </c>
      <c r="W1308" s="79" t="s">
        <v>309</v>
      </c>
      <c r="X1308" s="79" t="s">
        <v>309</v>
      </c>
      <c r="Y1308" s="79" t="s">
        <v>309</v>
      </c>
      <c r="Z1308" s="79"/>
    </row>
    <row r="1309" ht="15.0" customHeight="1">
      <c r="A1309" s="76" t="s">
        <v>247</v>
      </c>
      <c r="B1309" s="77" t="s">
        <v>2145</v>
      </c>
      <c r="C1309" s="80">
        <v>3.0560494757E10</v>
      </c>
      <c r="D1309" s="79" t="s">
        <v>264</v>
      </c>
      <c r="E1309" s="79" t="s">
        <v>314</v>
      </c>
      <c r="F1309" s="44">
        <v>5403.0</v>
      </c>
      <c r="G1309" s="79" t="s">
        <v>15</v>
      </c>
      <c r="H1309" s="80">
        <v>1678.0</v>
      </c>
      <c r="I1309" s="79">
        <v>239600.0</v>
      </c>
      <c r="J1309" s="74" t="s">
        <v>396</v>
      </c>
      <c r="K1309" s="79" t="s">
        <v>2013</v>
      </c>
      <c r="L1309" s="79"/>
      <c r="M1309" s="79"/>
      <c r="N1309" s="79">
        <v>60.0</v>
      </c>
      <c r="O1309" s="74" t="s">
        <v>8733</v>
      </c>
      <c r="P1309" s="78" t="s">
        <v>8734</v>
      </c>
      <c r="Q1309" s="79"/>
      <c r="R1309" s="80"/>
      <c r="S1309" s="80" t="s">
        <v>8735</v>
      </c>
      <c r="T1309" s="101" t="s">
        <v>8736</v>
      </c>
      <c r="U1309" s="80" t="s">
        <v>8737</v>
      </c>
      <c r="V1309" s="102" t="s">
        <v>8738</v>
      </c>
      <c r="W1309" s="79" t="s">
        <v>309</v>
      </c>
      <c r="X1309" s="79" t="s">
        <v>309</v>
      </c>
      <c r="Y1309" s="79" t="s">
        <v>309</v>
      </c>
      <c r="Z1309" s="79"/>
    </row>
    <row r="1310" ht="15.0" customHeight="1">
      <c r="A1310" s="103" t="s">
        <v>24</v>
      </c>
      <c r="B1310" s="77" t="s">
        <v>8739</v>
      </c>
      <c r="C1310" s="80">
        <v>3.3685206019E10</v>
      </c>
      <c r="D1310" s="119" t="s">
        <v>264</v>
      </c>
      <c r="E1310" s="77" t="s">
        <v>2868</v>
      </c>
      <c r="F1310" s="44">
        <v>3596.0</v>
      </c>
      <c r="G1310" s="79" t="s">
        <v>15</v>
      </c>
      <c r="H1310" s="80">
        <v>1678.0</v>
      </c>
      <c r="I1310" s="79">
        <v>300000.0</v>
      </c>
      <c r="J1310" s="74" t="s">
        <v>347</v>
      </c>
      <c r="K1310" s="79" t="s">
        <v>8742</v>
      </c>
      <c r="L1310" s="79" t="s">
        <v>662</v>
      </c>
      <c r="M1310" s="79"/>
      <c r="N1310" s="79">
        <v>0.0</v>
      </c>
      <c r="O1310" s="74"/>
      <c r="P1310" s="80"/>
      <c r="Q1310" s="79"/>
      <c r="R1310" s="80"/>
      <c r="S1310" s="80" t="s">
        <v>8743</v>
      </c>
      <c r="T1310" s="101" t="s">
        <v>332</v>
      </c>
      <c r="U1310" s="80" t="s">
        <v>332</v>
      </c>
      <c r="V1310" s="102" t="s">
        <v>429</v>
      </c>
      <c r="W1310" s="79" t="s">
        <v>309</v>
      </c>
      <c r="X1310" s="79" t="s">
        <v>309</v>
      </c>
      <c r="Y1310" s="79"/>
      <c r="Z1310" s="79"/>
    </row>
    <row r="1311" ht="15.75" customHeight="1">
      <c r="A1311" s="76" t="s">
        <v>247</v>
      </c>
      <c r="B1311" s="77" t="s">
        <v>7586</v>
      </c>
      <c r="C1311" s="80">
        <v>2.0285044015E10</v>
      </c>
      <c r="D1311" s="77" t="s">
        <v>631</v>
      </c>
      <c r="E1311" s="77" t="s">
        <v>8745</v>
      </c>
      <c r="F1311" s="128">
        <v>5682.0</v>
      </c>
      <c r="G1311" s="77" t="s">
        <v>269</v>
      </c>
      <c r="H1311" s="78">
        <v>1682.0</v>
      </c>
      <c r="I1311" s="79">
        <v>620300.0</v>
      </c>
      <c r="J1311" s="74" t="s">
        <v>433</v>
      </c>
      <c r="K1311" s="77" t="s">
        <v>2924</v>
      </c>
      <c r="L1311" s="79"/>
      <c r="M1311" s="77" t="s">
        <v>8746</v>
      </c>
      <c r="N1311" s="79"/>
      <c r="O1311" s="74"/>
      <c r="P1311" s="80"/>
      <c r="Q1311" s="79"/>
      <c r="R1311" s="80"/>
      <c r="S1311" s="80"/>
      <c r="T1311" s="101"/>
      <c r="U1311" s="80"/>
      <c r="V1311" s="102" t="s">
        <v>8748</v>
      </c>
      <c r="W1311" s="79"/>
      <c r="X1311" s="79"/>
      <c r="Y1311" s="79" t="s">
        <v>309</v>
      </c>
      <c r="Z1311" s="79"/>
    </row>
    <row r="1312" ht="15.0" customHeight="1">
      <c r="A1312" s="76" t="s">
        <v>247</v>
      </c>
      <c r="B1312" s="77" t="s">
        <v>7592</v>
      </c>
      <c r="C1312" s="80">
        <v>3.0551434512E10</v>
      </c>
      <c r="D1312" s="144" t="s">
        <v>631</v>
      </c>
      <c r="E1312" s="79" t="s">
        <v>2985</v>
      </c>
      <c r="F1312" s="44">
        <v>746.0</v>
      </c>
      <c r="G1312" s="79" t="s">
        <v>68</v>
      </c>
      <c r="H1312" s="80">
        <v>1702.0</v>
      </c>
      <c r="I1312" s="79">
        <v>243200.0</v>
      </c>
      <c r="J1312" s="74" t="s">
        <v>347</v>
      </c>
      <c r="K1312" s="79" t="s">
        <v>1277</v>
      </c>
      <c r="L1312" s="79" t="s">
        <v>453</v>
      </c>
      <c r="M1312" s="79"/>
      <c r="N1312" s="79">
        <v>6.0</v>
      </c>
      <c r="O1312" s="74"/>
      <c r="P1312" s="80"/>
      <c r="Q1312" s="79"/>
      <c r="R1312" s="80"/>
      <c r="S1312" s="80" t="s">
        <v>8750</v>
      </c>
      <c r="T1312" s="101" t="s">
        <v>332</v>
      </c>
      <c r="U1312" s="80" t="s">
        <v>332</v>
      </c>
      <c r="V1312" s="102" t="s">
        <v>429</v>
      </c>
      <c r="W1312" s="79" t="s">
        <v>306</v>
      </c>
      <c r="X1312" s="79" t="s">
        <v>306</v>
      </c>
      <c r="Y1312" s="79" t="s">
        <v>309</v>
      </c>
      <c r="Z1312" s="79"/>
    </row>
    <row r="1313" ht="15.75" customHeight="1">
      <c r="A1313" s="103" t="s">
        <v>24</v>
      </c>
      <c r="B1313" s="77" t="s">
        <v>8752</v>
      </c>
      <c r="C1313" s="79">
        <v>3.0708324708E10</v>
      </c>
      <c r="D1313" s="77" t="s">
        <v>264</v>
      </c>
      <c r="E1313" s="79" t="s">
        <v>8753</v>
      </c>
      <c r="F1313" s="44">
        <v>77.0</v>
      </c>
      <c r="G1313" s="79" t="s">
        <v>68</v>
      </c>
      <c r="H1313" s="80">
        <v>1702.0</v>
      </c>
      <c r="I1313" s="79">
        <v>152021.0</v>
      </c>
      <c r="J1313" s="74" t="s">
        <v>73</v>
      </c>
      <c r="K1313" s="77" t="s">
        <v>1693</v>
      </c>
      <c r="L1313" s="79"/>
      <c r="M1313" s="79"/>
      <c r="N1313" s="79">
        <v>0.0</v>
      </c>
      <c r="O1313" s="74"/>
      <c r="P1313" s="80"/>
      <c r="Q1313" s="79"/>
      <c r="R1313" s="80"/>
      <c r="S1313" s="80" t="s">
        <v>8756</v>
      </c>
      <c r="T1313" s="101" t="s">
        <v>8757</v>
      </c>
      <c r="U1313" s="80" t="s">
        <v>332</v>
      </c>
      <c r="V1313" s="102" t="s">
        <v>429</v>
      </c>
      <c r="W1313" s="79" t="s">
        <v>306</v>
      </c>
      <c r="X1313" s="79" t="s">
        <v>306</v>
      </c>
      <c r="Y1313" s="79"/>
      <c r="Z1313" s="79"/>
    </row>
    <row r="1314" ht="15.75" customHeight="1">
      <c r="A1314" s="76" t="s">
        <v>247</v>
      </c>
      <c r="B1314" s="77" t="s">
        <v>7597</v>
      </c>
      <c r="C1314" s="80">
        <v>3.0687497895E10</v>
      </c>
      <c r="D1314" s="119" t="s">
        <v>264</v>
      </c>
      <c r="E1314" s="77" t="s">
        <v>1683</v>
      </c>
      <c r="F1314" s="44">
        <v>3065.0</v>
      </c>
      <c r="G1314" s="79" t="s">
        <v>15</v>
      </c>
      <c r="H1314" s="80">
        <v>1678.0</v>
      </c>
      <c r="I1314" s="79">
        <v>107999.0</v>
      </c>
      <c r="J1314" s="74" t="s">
        <v>22</v>
      </c>
      <c r="K1314" s="77" t="s">
        <v>4497</v>
      </c>
      <c r="L1314" s="79" t="s">
        <v>1122</v>
      </c>
      <c r="M1314" s="79" t="s">
        <v>1371</v>
      </c>
      <c r="N1314" s="79">
        <v>5.0</v>
      </c>
      <c r="O1314" s="74" t="s">
        <v>8760</v>
      </c>
      <c r="P1314" s="78" t="s">
        <v>8761</v>
      </c>
      <c r="Q1314" s="79"/>
      <c r="R1314" s="80"/>
      <c r="S1314" s="80" t="s">
        <v>8762</v>
      </c>
      <c r="T1314" s="101" t="s">
        <v>8763</v>
      </c>
      <c r="U1314" s="80" t="s">
        <v>332</v>
      </c>
      <c r="V1314" s="102" t="s">
        <v>8764</v>
      </c>
      <c r="W1314" s="79" t="s">
        <v>309</v>
      </c>
      <c r="X1314" s="79" t="s">
        <v>309</v>
      </c>
      <c r="Y1314" s="79" t="s">
        <v>309</v>
      </c>
      <c r="Z1314" s="79"/>
    </row>
    <row r="1315" ht="15.75" customHeight="1">
      <c r="A1315" s="103" t="s">
        <v>24</v>
      </c>
      <c r="B1315" s="79" t="s">
        <v>8765</v>
      </c>
      <c r="C1315" s="80">
        <v>3.0714381632E10</v>
      </c>
      <c r="D1315" s="79" t="s">
        <v>264</v>
      </c>
      <c r="E1315" s="79" t="s">
        <v>8146</v>
      </c>
      <c r="F1315" s="44">
        <v>2545.0</v>
      </c>
      <c r="G1315" s="79" t="s">
        <v>175</v>
      </c>
      <c r="H1315" s="80">
        <v>1657.0</v>
      </c>
      <c r="I1315" s="77">
        <v>331900.0</v>
      </c>
      <c r="J1315" s="74" t="s">
        <v>347</v>
      </c>
      <c r="K1315" s="77" t="s">
        <v>6590</v>
      </c>
      <c r="L1315" s="79"/>
      <c r="M1315" s="79"/>
      <c r="N1315" s="79">
        <v>0.0</v>
      </c>
      <c r="O1315" s="74"/>
      <c r="P1315" s="80"/>
      <c r="Q1315" s="79"/>
      <c r="R1315" s="80"/>
      <c r="S1315" s="78" t="s">
        <v>3810</v>
      </c>
      <c r="T1315" s="101" t="s">
        <v>332</v>
      </c>
      <c r="U1315" s="80" t="s">
        <v>332</v>
      </c>
      <c r="V1315" s="102" t="s">
        <v>429</v>
      </c>
      <c r="W1315" s="79" t="s">
        <v>306</v>
      </c>
      <c r="X1315" s="79" t="s">
        <v>306</v>
      </c>
      <c r="Y1315" s="79"/>
      <c r="Z1315" s="79"/>
    </row>
    <row r="1316" ht="15.75" customHeight="1">
      <c r="A1316" s="76" t="s">
        <v>247</v>
      </c>
      <c r="B1316" s="79" t="s">
        <v>2149</v>
      </c>
      <c r="C1316" s="80">
        <v>3.0715098667E10</v>
      </c>
      <c r="D1316" s="79" t="s">
        <v>264</v>
      </c>
      <c r="E1316" s="77" t="s">
        <v>1427</v>
      </c>
      <c r="F1316" s="44">
        <v>3386.0</v>
      </c>
      <c r="G1316" s="79" t="s">
        <v>15</v>
      </c>
      <c r="H1316" s="80">
        <v>1678.0</v>
      </c>
      <c r="I1316" s="77">
        <v>141130.0</v>
      </c>
      <c r="J1316" s="83" t="s">
        <v>448</v>
      </c>
      <c r="K1316" s="77" t="s">
        <v>1564</v>
      </c>
      <c r="L1316" s="79"/>
      <c r="M1316" s="79"/>
      <c r="N1316" s="79"/>
      <c r="O1316" s="83" t="s">
        <v>8769</v>
      </c>
      <c r="P1316" s="78" t="s">
        <v>8770</v>
      </c>
      <c r="Q1316" s="79"/>
      <c r="R1316" s="80"/>
      <c r="S1316" s="80"/>
      <c r="T1316" s="80"/>
      <c r="U1316" s="80"/>
      <c r="V1316" s="102" t="s">
        <v>429</v>
      </c>
      <c r="W1316" s="79"/>
      <c r="X1316" s="79"/>
      <c r="Y1316" s="79"/>
      <c r="Z1316" s="79"/>
    </row>
    <row r="1317" ht="15.75" customHeight="1">
      <c r="A1317" s="76" t="s">
        <v>247</v>
      </c>
      <c r="B1317" s="77" t="s">
        <v>2156</v>
      </c>
      <c r="C1317" s="80">
        <v>3.0708590602E10</v>
      </c>
      <c r="D1317" s="119" t="s">
        <v>264</v>
      </c>
      <c r="E1317" s="79" t="s">
        <v>1088</v>
      </c>
      <c r="F1317" s="44">
        <v>5444.0</v>
      </c>
      <c r="G1317" s="79" t="s">
        <v>15</v>
      </c>
      <c r="H1317" s="80">
        <v>1678.0</v>
      </c>
      <c r="I1317" s="79">
        <v>275010.0</v>
      </c>
      <c r="J1317" s="74" t="s">
        <v>347</v>
      </c>
      <c r="K1317" s="79" t="s">
        <v>8773</v>
      </c>
      <c r="L1317" s="79"/>
      <c r="M1317" s="79"/>
      <c r="N1317" s="79">
        <v>26.0</v>
      </c>
      <c r="O1317" s="83" t="s">
        <v>8774</v>
      </c>
      <c r="P1317" s="78" t="s">
        <v>8775</v>
      </c>
      <c r="Q1317" s="334" t="s">
        <v>8776</v>
      </c>
      <c r="R1317" s="223" t="s">
        <v>8777</v>
      </c>
      <c r="S1317" s="78" t="s">
        <v>8778</v>
      </c>
      <c r="T1317" s="85" t="s">
        <v>8779</v>
      </c>
      <c r="U1317" s="78" t="s">
        <v>8781</v>
      </c>
      <c r="V1317" s="102" t="s">
        <v>8782</v>
      </c>
      <c r="W1317" s="79" t="s">
        <v>309</v>
      </c>
      <c r="X1317" s="79" t="s">
        <v>309</v>
      </c>
      <c r="Y1317" s="79" t="s">
        <v>309</v>
      </c>
      <c r="Z1317" s="79"/>
    </row>
    <row r="1318" ht="15.75" customHeight="1">
      <c r="A1318" s="76" t="s">
        <v>247</v>
      </c>
      <c r="B1318" s="77" t="s">
        <v>2160</v>
      </c>
      <c r="C1318" s="80">
        <v>3.0700915154E10</v>
      </c>
      <c r="D1318" s="79" t="s">
        <v>264</v>
      </c>
      <c r="E1318" s="79" t="s">
        <v>8784</v>
      </c>
      <c r="F1318" s="44">
        <v>2361.0</v>
      </c>
      <c r="G1318" s="77" t="s">
        <v>226</v>
      </c>
      <c r="H1318" s="80">
        <v>1674.0</v>
      </c>
      <c r="I1318" s="79">
        <v>310010.0</v>
      </c>
      <c r="J1318" s="74" t="s">
        <v>313</v>
      </c>
      <c r="K1318" s="79" t="s">
        <v>1438</v>
      </c>
      <c r="L1318" s="79" t="s">
        <v>1122</v>
      </c>
      <c r="M1318" s="79" t="s">
        <v>8785</v>
      </c>
      <c r="N1318" s="79">
        <v>17.0</v>
      </c>
      <c r="O1318" s="83" t="s">
        <v>8786</v>
      </c>
      <c r="P1318" s="78" t="s">
        <v>8788</v>
      </c>
      <c r="Q1318" s="79"/>
      <c r="R1318" s="80"/>
      <c r="S1318" s="80" t="s">
        <v>8789</v>
      </c>
      <c r="T1318" s="85" t="s">
        <v>8790</v>
      </c>
      <c r="U1318" s="80" t="s">
        <v>332</v>
      </c>
      <c r="V1318" s="102" t="s">
        <v>8791</v>
      </c>
      <c r="W1318" s="79" t="s">
        <v>309</v>
      </c>
      <c r="X1318" s="79" t="s">
        <v>309</v>
      </c>
      <c r="Y1318" s="79" t="s">
        <v>309</v>
      </c>
      <c r="Z1318" s="79"/>
    </row>
    <row r="1319" ht="15.75" customHeight="1">
      <c r="A1319" s="76" t="s">
        <v>247</v>
      </c>
      <c r="B1319" s="77" t="s">
        <v>7602</v>
      </c>
      <c r="C1319" s="80">
        <v>3.0709975575E10</v>
      </c>
      <c r="D1319" s="79" t="s">
        <v>264</v>
      </c>
      <c r="E1319" s="77" t="s">
        <v>1828</v>
      </c>
      <c r="F1319" s="44">
        <v>110.0</v>
      </c>
      <c r="G1319" s="77" t="s">
        <v>226</v>
      </c>
      <c r="H1319" s="80">
        <v>1674.0</v>
      </c>
      <c r="I1319" s="79">
        <v>310010.0</v>
      </c>
      <c r="J1319" s="74" t="s">
        <v>313</v>
      </c>
      <c r="K1319" s="79" t="s">
        <v>1438</v>
      </c>
      <c r="L1319" s="79" t="s">
        <v>1122</v>
      </c>
      <c r="M1319" s="79"/>
      <c r="N1319" s="79">
        <v>4.0</v>
      </c>
      <c r="O1319" s="74"/>
      <c r="P1319" s="80"/>
      <c r="Q1319" s="79"/>
      <c r="R1319" s="80"/>
      <c r="S1319" s="114" t="s">
        <v>8792</v>
      </c>
      <c r="T1319" s="101"/>
      <c r="U1319" s="80" t="s">
        <v>332</v>
      </c>
      <c r="V1319" s="102" t="s">
        <v>8793</v>
      </c>
      <c r="W1319" s="79" t="s">
        <v>306</v>
      </c>
      <c r="X1319" s="79" t="s">
        <v>306</v>
      </c>
      <c r="Y1319" s="79" t="s">
        <v>309</v>
      </c>
      <c r="Z1319" s="79"/>
    </row>
    <row r="1320" ht="15.75" customHeight="1">
      <c r="A1320" s="76" t="s">
        <v>247</v>
      </c>
      <c r="B1320" s="77" t="s">
        <v>7606</v>
      </c>
      <c r="C1320" s="80">
        <v>3.0710267894E10</v>
      </c>
      <c r="D1320" s="79" t="s">
        <v>264</v>
      </c>
      <c r="E1320" s="79" t="s">
        <v>1944</v>
      </c>
      <c r="F1320" s="44">
        <v>968.0</v>
      </c>
      <c r="G1320" s="79" t="s">
        <v>68</v>
      </c>
      <c r="H1320" s="80">
        <v>1702.0</v>
      </c>
      <c r="I1320" s="79">
        <v>310010.0</v>
      </c>
      <c r="J1320" s="74" t="s">
        <v>313</v>
      </c>
      <c r="K1320" s="79" t="s">
        <v>1438</v>
      </c>
      <c r="L1320" s="79" t="s">
        <v>453</v>
      </c>
      <c r="M1320" s="79" t="s">
        <v>8798</v>
      </c>
      <c r="N1320" s="79">
        <v>9.0</v>
      </c>
      <c r="O1320" s="300" t="s">
        <v>8799</v>
      </c>
      <c r="P1320" s="80"/>
      <c r="Q1320" s="79" t="s">
        <v>8800</v>
      </c>
      <c r="R1320" s="80"/>
      <c r="S1320" s="80" t="s">
        <v>8801</v>
      </c>
      <c r="T1320" s="85" t="s">
        <v>8802</v>
      </c>
      <c r="U1320" s="80" t="s">
        <v>332</v>
      </c>
      <c r="V1320" s="102" t="s">
        <v>8803</v>
      </c>
      <c r="W1320" s="79" t="s">
        <v>309</v>
      </c>
      <c r="X1320" s="79" t="s">
        <v>309</v>
      </c>
      <c r="Y1320" s="79" t="s">
        <v>309</v>
      </c>
      <c r="Z1320" s="79"/>
    </row>
    <row r="1321" ht="15.75" customHeight="1">
      <c r="A1321" s="103" t="s">
        <v>24</v>
      </c>
      <c r="B1321" s="77" t="s">
        <v>8804</v>
      </c>
      <c r="C1321" s="80">
        <v>3.0579833056E10</v>
      </c>
      <c r="D1321" s="79" t="s">
        <v>264</v>
      </c>
      <c r="E1321" s="79" t="s">
        <v>1666</v>
      </c>
      <c r="F1321" s="44">
        <v>3035.0</v>
      </c>
      <c r="G1321" s="79" t="s">
        <v>15</v>
      </c>
      <c r="H1321" s="80">
        <v>1678.0</v>
      </c>
      <c r="I1321" s="79">
        <v>361010.0</v>
      </c>
      <c r="J1321" s="74" t="s">
        <v>313</v>
      </c>
      <c r="K1321" s="79" t="s">
        <v>2534</v>
      </c>
      <c r="L1321" s="79" t="s">
        <v>1122</v>
      </c>
      <c r="M1321" s="79"/>
      <c r="N1321" s="79">
        <v>3.0</v>
      </c>
      <c r="O1321" s="74"/>
      <c r="P1321" s="80"/>
      <c r="Q1321" s="79"/>
      <c r="R1321" s="80"/>
      <c r="S1321" s="80" t="s">
        <v>8807</v>
      </c>
      <c r="T1321" s="101" t="s">
        <v>8808</v>
      </c>
      <c r="U1321" s="80" t="s">
        <v>332</v>
      </c>
      <c r="V1321" s="102" t="s">
        <v>429</v>
      </c>
      <c r="W1321" s="79" t="s">
        <v>306</v>
      </c>
      <c r="X1321" s="79" t="s">
        <v>306</v>
      </c>
      <c r="Y1321" s="79"/>
      <c r="Z1321" s="79"/>
    </row>
    <row r="1322" ht="15.0" customHeight="1">
      <c r="A1322" s="103" t="s">
        <v>24</v>
      </c>
      <c r="B1322" s="77" t="s">
        <v>8809</v>
      </c>
      <c r="C1322" s="80">
        <v>3.0714403962E10</v>
      </c>
      <c r="D1322" s="144" t="s">
        <v>631</v>
      </c>
      <c r="E1322" s="77" t="s">
        <v>1765</v>
      </c>
      <c r="F1322" s="44">
        <v>3746.0</v>
      </c>
      <c r="G1322" s="79" t="s">
        <v>15</v>
      </c>
      <c r="H1322" s="80">
        <v>1678.0</v>
      </c>
      <c r="I1322" s="79">
        <v>331210.0</v>
      </c>
      <c r="J1322" s="74" t="s">
        <v>433</v>
      </c>
      <c r="K1322" s="79" t="s">
        <v>5543</v>
      </c>
      <c r="L1322" s="79"/>
      <c r="M1322" s="79"/>
      <c r="N1322" s="79">
        <v>3.0</v>
      </c>
      <c r="O1322" s="74"/>
      <c r="P1322" s="80"/>
      <c r="Q1322" s="79"/>
      <c r="R1322" s="80"/>
      <c r="S1322" s="80" t="s">
        <v>8812</v>
      </c>
      <c r="T1322" s="101"/>
      <c r="U1322" s="80" t="s">
        <v>332</v>
      </c>
      <c r="V1322" s="102" t="s">
        <v>429</v>
      </c>
      <c r="W1322" s="79" t="s">
        <v>306</v>
      </c>
      <c r="X1322" s="79" t="s">
        <v>306</v>
      </c>
      <c r="Y1322" s="79"/>
      <c r="Z1322" s="79"/>
    </row>
    <row r="1323" ht="15.75" customHeight="1">
      <c r="A1323" s="76" t="s">
        <v>247</v>
      </c>
      <c r="B1323" s="77" t="s">
        <v>8815</v>
      </c>
      <c r="C1323" s="80">
        <v>3.0659157671E10</v>
      </c>
      <c r="D1323" s="79" t="s">
        <v>264</v>
      </c>
      <c r="E1323" s="79" t="s">
        <v>5790</v>
      </c>
      <c r="F1323" s="44">
        <v>3279.0</v>
      </c>
      <c r="G1323" s="79" t="s">
        <v>15</v>
      </c>
      <c r="H1323" s="80">
        <v>1678.0</v>
      </c>
      <c r="I1323" s="79">
        <v>259999.0</v>
      </c>
      <c r="J1323" s="74" t="s">
        <v>347</v>
      </c>
      <c r="K1323" s="77" t="s">
        <v>839</v>
      </c>
      <c r="L1323" s="79" t="s">
        <v>453</v>
      </c>
      <c r="M1323" s="79"/>
      <c r="N1323" s="79">
        <v>6.0</v>
      </c>
      <c r="O1323" s="74"/>
      <c r="P1323" s="80"/>
      <c r="Q1323" s="79"/>
      <c r="R1323" s="80"/>
      <c r="S1323" s="80" t="s">
        <v>8817</v>
      </c>
      <c r="T1323" s="101" t="s">
        <v>332</v>
      </c>
      <c r="U1323" s="80" t="s">
        <v>332</v>
      </c>
      <c r="V1323" s="102" t="s">
        <v>429</v>
      </c>
      <c r="W1323" s="79" t="s">
        <v>306</v>
      </c>
      <c r="X1323" s="79" t="s">
        <v>306</v>
      </c>
      <c r="Y1323" s="79" t="s">
        <v>309</v>
      </c>
      <c r="Z1323" s="79"/>
    </row>
    <row r="1324" ht="15.75" customHeight="1">
      <c r="A1324" s="76" t="s">
        <v>247</v>
      </c>
      <c r="B1324" s="77" t="s">
        <v>2164</v>
      </c>
      <c r="C1324" s="80">
        <v>2.0115940237E10</v>
      </c>
      <c r="D1324" s="77" t="s">
        <v>631</v>
      </c>
      <c r="E1324" s="79" t="s">
        <v>1801</v>
      </c>
      <c r="F1324" s="44">
        <v>4674.0</v>
      </c>
      <c r="G1324" s="79" t="s">
        <v>68</v>
      </c>
      <c r="H1324" s="80">
        <v>1702.0</v>
      </c>
      <c r="I1324" s="79">
        <v>259301.0</v>
      </c>
      <c r="J1324" s="83" t="s">
        <v>327</v>
      </c>
      <c r="K1324" s="77" t="s">
        <v>1334</v>
      </c>
      <c r="L1324" s="79"/>
      <c r="M1324" s="77" t="s">
        <v>8820</v>
      </c>
      <c r="N1324" s="79"/>
      <c r="O1324" s="83" t="s">
        <v>8821</v>
      </c>
      <c r="P1324" s="78" t="s">
        <v>8822</v>
      </c>
      <c r="Q1324" s="79"/>
      <c r="R1324" s="80"/>
      <c r="S1324" s="78" t="s">
        <v>8823</v>
      </c>
      <c r="T1324" s="101"/>
      <c r="U1324" s="80"/>
      <c r="V1324" s="98" t="s">
        <v>8824</v>
      </c>
      <c r="W1324" s="79"/>
      <c r="X1324" s="79"/>
      <c r="Y1324" s="79" t="s">
        <v>309</v>
      </c>
      <c r="Z1324" s="79"/>
    </row>
    <row r="1325" ht="15.75" customHeight="1">
      <c r="A1325" s="76" t="s">
        <v>247</v>
      </c>
      <c r="B1325" s="77" t="s">
        <v>7613</v>
      </c>
      <c r="C1325" s="80">
        <v>3.0711790175E10</v>
      </c>
      <c r="D1325" s="79" t="s">
        <v>264</v>
      </c>
      <c r="E1325" s="79" t="s">
        <v>1045</v>
      </c>
      <c r="F1325" s="44">
        <v>5584.0</v>
      </c>
      <c r="G1325" s="79" t="s">
        <v>15</v>
      </c>
      <c r="H1325" s="80">
        <v>1678.0</v>
      </c>
      <c r="I1325" s="79">
        <v>293090.0</v>
      </c>
      <c r="J1325" s="74" t="s">
        <v>337</v>
      </c>
      <c r="K1325" s="77" t="s">
        <v>407</v>
      </c>
      <c r="L1325" s="79"/>
      <c r="M1325" s="79"/>
      <c r="N1325" s="79">
        <v>8.0</v>
      </c>
      <c r="O1325" s="74"/>
      <c r="P1325" s="80"/>
      <c r="Q1325" s="79"/>
      <c r="R1325" s="80"/>
      <c r="S1325" s="78" t="s">
        <v>8828</v>
      </c>
      <c r="T1325" s="85" t="s">
        <v>8829</v>
      </c>
      <c r="U1325" s="78" t="s">
        <v>8830</v>
      </c>
      <c r="V1325" s="102" t="s">
        <v>429</v>
      </c>
      <c r="W1325" s="79" t="s">
        <v>306</v>
      </c>
      <c r="X1325" s="79" t="s">
        <v>306</v>
      </c>
      <c r="Y1325" s="79" t="s">
        <v>309</v>
      </c>
      <c r="Z1325" s="79"/>
    </row>
    <row r="1326" ht="15.75" customHeight="1">
      <c r="A1326" s="103" t="s">
        <v>24</v>
      </c>
      <c r="B1326" s="77" t="s">
        <v>8831</v>
      </c>
      <c r="C1326" s="80">
        <v>3.0501227109E10</v>
      </c>
      <c r="D1326" s="119" t="s">
        <v>264</v>
      </c>
      <c r="E1326" s="79" t="s">
        <v>8522</v>
      </c>
      <c r="F1326" s="44">
        <v>2002.0</v>
      </c>
      <c r="G1326" s="79" t="s">
        <v>97</v>
      </c>
      <c r="H1326" s="80">
        <v>1702.0</v>
      </c>
      <c r="I1326" s="79">
        <v>273100.0</v>
      </c>
      <c r="J1326" s="74" t="s">
        <v>347</v>
      </c>
      <c r="K1326" s="77" t="s">
        <v>5693</v>
      </c>
      <c r="L1326" s="79" t="s">
        <v>453</v>
      </c>
      <c r="M1326" s="79"/>
      <c r="N1326" s="79">
        <v>0.0</v>
      </c>
      <c r="O1326" s="74"/>
      <c r="P1326" s="80"/>
      <c r="Q1326" s="79"/>
      <c r="R1326" s="80"/>
      <c r="S1326" s="80" t="s">
        <v>8834</v>
      </c>
      <c r="T1326" s="101" t="s">
        <v>332</v>
      </c>
      <c r="U1326" s="80" t="s">
        <v>332</v>
      </c>
      <c r="V1326" s="102" t="s">
        <v>429</v>
      </c>
      <c r="W1326" s="79" t="s">
        <v>309</v>
      </c>
      <c r="X1326" s="79" t="s">
        <v>309</v>
      </c>
      <c r="Y1326" s="79" t="s">
        <v>309</v>
      </c>
      <c r="Z1326" s="79"/>
    </row>
    <row r="1327" ht="15.75" customHeight="1">
      <c r="A1327" s="76" t="s">
        <v>247</v>
      </c>
      <c r="B1327" s="77" t="s">
        <v>7619</v>
      </c>
      <c r="C1327" s="80">
        <v>3.0685329677E10</v>
      </c>
      <c r="D1327" s="119" t="s">
        <v>264</v>
      </c>
      <c r="E1327" s="79" t="s">
        <v>1136</v>
      </c>
      <c r="F1327" s="44">
        <v>2536.0</v>
      </c>
      <c r="G1327" s="79" t="s">
        <v>97</v>
      </c>
      <c r="H1327" s="80">
        <v>1702.0</v>
      </c>
      <c r="I1327" s="79">
        <v>106110.0</v>
      </c>
      <c r="J1327" s="74" t="s">
        <v>22</v>
      </c>
      <c r="K1327" s="79" t="s">
        <v>8837</v>
      </c>
      <c r="L1327" s="79" t="s">
        <v>453</v>
      </c>
      <c r="M1327" s="79" t="s">
        <v>22</v>
      </c>
      <c r="N1327" s="79">
        <v>2.0</v>
      </c>
      <c r="O1327" s="74" t="s">
        <v>8838</v>
      </c>
      <c r="P1327" s="78" t="s">
        <v>8839</v>
      </c>
      <c r="Q1327" s="79"/>
      <c r="R1327" s="80"/>
      <c r="S1327" s="78" t="s">
        <v>8840</v>
      </c>
      <c r="T1327" s="101" t="s">
        <v>332</v>
      </c>
      <c r="U1327" s="80" t="s">
        <v>332</v>
      </c>
      <c r="V1327" s="102" t="s">
        <v>8842</v>
      </c>
      <c r="W1327" s="79" t="s">
        <v>309</v>
      </c>
      <c r="X1327" s="79" t="s">
        <v>309</v>
      </c>
      <c r="Y1327" s="79" t="s">
        <v>309</v>
      </c>
      <c r="Z1327" s="79"/>
    </row>
    <row r="1328" ht="15.75" customHeight="1">
      <c r="A1328" s="103" t="s">
        <v>24</v>
      </c>
      <c r="B1328" s="79" t="s">
        <v>8844</v>
      </c>
      <c r="C1328" s="80">
        <v>3.0569734599E10</v>
      </c>
      <c r="D1328" s="144" t="s">
        <v>631</v>
      </c>
      <c r="E1328" s="79" t="s">
        <v>8846</v>
      </c>
      <c r="F1328" s="44">
        <v>619.0</v>
      </c>
      <c r="G1328" s="79" t="s">
        <v>269</v>
      </c>
      <c r="H1328" s="80">
        <v>1682.0</v>
      </c>
      <c r="I1328" s="79">
        <v>281102.0</v>
      </c>
      <c r="J1328" s="74" t="s">
        <v>347</v>
      </c>
      <c r="K1328" s="79" t="s">
        <v>451</v>
      </c>
      <c r="L1328" s="79" t="s">
        <v>453</v>
      </c>
      <c r="M1328" s="79"/>
      <c r="N1328" s="79">
        <v>0.0</v>
      </c>
      <c r="O1328" s="74"/>
      <c r="P1328" s="80"/>
      <c r="Q1328" s="79"/>
      <c r="R1328" s="80"/>
      <c r="S1328" s="80" t="s">
        <v>8847</v>
      </c>
      <c r="T1328" s="101" t="s">
        <v>332</v>
      </c>
      <c r="U1328" s="80" t="s">
        <v>332</v>
      </c>
      <c r="V1328" s="102" t="s">
        <v>429</v>
      </c>
      <c r="W1328" s="79" t="s">
        <v>306</v>
      </c>
      <c r="X1328" s="79" t="s">
        <v>306</v>
      </c>
      <c r="Y1328" s="79"/>
      <c r="Z1328" s="79"/>
    </row>
    <row r="1329" ht="15.0" customHeight="1">
      <c r="A1329" s="103" t="s">
        <v>24</v>
      </c>
      <c r="B1329" s="77" t="s">
        <v>8850</v>
      </c>
      <c r="C1329" s="80">
        <v>3.051662121E10</v>
      </c>
      <c r="D1329" s="144" t="s">
        <v>631</v>
      </c>
      <c r="E1329" s="79" t="s">
        <v>8846</v>
      </c>
      <c r="F1329" s="44">
        <v>1674.0</v>
      </c>
      <c r="G1329" s="79" t="s">
        <v>134</v>
      </c>
      <c r="H1329" s="80">
        <v>1682.0</v>
      </c>
      <c r="I1329" s="79">
        <v>152030.0</v>
      </c>
      <c r="J1329" s="74" t="s">
        <v>22</v>
      </c>
      <c r="K1329" s="79" t="s">
        <v>8851</v>
      </c>
      <c r="L1329" s="79"/>
      <c r="M1329" s="79"/>
      <c r="N1329" s="79">
        <v>1.0</v>
      </c>
      <c r="O1329" s="74"/>
      <c r="P1329" s="80"/>
      <c r="Q1329" s="79"/>
      <c r="R1329" s="80"/>
      <c r="S1329" s="80" t="s">
        <v>8853</v>
      </c>
      <c r="T1329" s="101" t="s">
        <v>332</v>
      </c>
      <c r="U1329" s="80" t="s">
        <v>332</v>
      </c>
      <c r="V1329" s="102" t="s">
        <v>429</v>
      </c>
      <c r="W1329" s="79" t="s">
        <v>306</v>
      </c>
      <c r="X1329" s="79" t="s">
        <v>306</v>
      </c>
      <c r="Y1329" s="79"/>
      <c r="Z1329" s="79"/>
    </row>
    <row r="1330" ht="15.0" customHeight="1">
      <c r="A1330" s="76" t="s">
        <v>247</v>
      </c>
      <c r="B1330" s="79" t="s">
        <v>7624</v>
      </c>
      <c r="C1330" s="80">
        <v>3.0709588652E10</v>
      </c>
      <c r="D1330" s="79" t="s">
        <v>264</v>
      </c>
      <c r="E1330" s="79" t="s">
        <v>8854</v>
      </c>
      <c r="F1330" s="44">
        <v>1931.0</v>
      </c>
      <c r="G1330" s="79" t="s">
        <v>97</v>
      </c>
      <c r="H1330" s="80">
        <v>1702.0</v>
      </c>
      <c r="I1330" s="79">
        <v>105030.0</v>
      </c>
      <c r="J1330" s="74" t="s">
        <v>22</v>
      </c>
      <c r="K1330" s="77" t="s">
        <v>1052</v>
      </c>
      <c r="L1330" s="79" t="s">
        <v>453</v>
      </c>
      <c r="M1330" s="79"/>
      <c r="N1330" s="79"/>
      <c r="O1330" s="79"/>
      <c r="P1330" s="80"/>
      <c r="Q1330" s="79"/>
      <c r="R1330" s="80"/>
      <c r="S1330" s="80" t="s">
        <v>8857</v>
      </c>
      <c r="T1330" s="101"/>
      <c r="U1330" s="80"/>
      <c r="V1330" s="102" t="s">
        <v>429</v>
      </c>
      <c r="W1330" s="79"/>
      <c r="X1330" s="79"/>
      <c r="Y1330" s="79"/>
      <c r="Z1330" s="79"/>
    </row>
    <row r="1331" ht="15.75" customHeight="1">
      <c r="A1331" s="103" t="s">
        <v>24</v>
      </c>
      <c r="B1331" s="79" t="s">
        <v>8858</v>
      </c>
      <c r="C1331" s="80">
        <v>2.0130961887E10</v>
      </c>
      <c r="D1331" s="77" t="s">
        <v>631</v>
      </c>
      <c r="E1331" s="79" t="s">
        <v>2029</v>
      </c>
      <c r="F1331" s="44">
        <v>1719.0</v>
      </c>
      <c r="G1331" s="79" t="s">
        <v>175</v>
      </c>
      <c r="H1331" s="80">
        <v>1687.0</v>
      </c>
      <c r="I1331" s="77">
        <v>465340.0</v>
      </c>
      <c r="J1331" s="74" t="s">
        <v>261</v>
      </c>
      <c r="K1331" s="77" t="s">
        <v>8859</v>
      </c>
      <c r="L1331" s="79"/>
      <c r="M1331" s="79"/>
      <c r="N1331" s="79"/>
      <c r="O1331" s="74"/>
      <c r="P1331" s="80"/>
      <c r="Q1331" s="79"/>
      <c r="R1331" s="80"/>
      <c r="S1331" s="78" t="s">
        <v>8862</v>
      </c>
      <c r="T1331" s="101"/>
      <c r="U1331" s="80"/>
      <c r="V1331" s="102" t="s">
        <v>429</v>
      </c>
      <c r="W1331" s="79"/>
      <c r="X1331" s="79"/>
      <c r="Y1331" s="79"/>
      <c r="Z1331" s="79"/>
    </row>
    <row r="1332" ht="15.75" customHeight="1">
      <c r="A1332" s="103" t="s">
        <v>24</v>
      </c>
      <c r="B1332" s="77" t="s">
        <v>8863</v>
      </c>
      <c r="C1332" s="80">
        <v>3.070921297E10</v>
      </c>
      <c r="D1332" s="144" t="s">
        <v>631</v>
      </c>
      <c r="E1332" s="79" t="s">
        <v>1569</v>
      </c>
      <c r="F1332" s="44">
        <v>4750.0</v>
      </c>
      <c r="G1332" s="79" t="s">
        <v>68</v>
      </c>
      <c r="H1332" s="80">
        <v>1702.0</v>
      </c>
      <c r="I1332" s="79">
        <v>107309.0</v>
      </c>
      <c r="J1332" s="74" t="s">
        <v>22</v>
      </c>
      <c r="K1332" s="77" t="s">
        <v>1570</v>
      </c>
      <c r="L1332" s="79"/>
      <c r="M1332" s="79"/>
      <c r="N1332" s="79">
        <v>6.0</v>
      </c>
      <c r="O1332" s="74"/>
      <c r="P1332" s="80"/>
      <c r="Q1332" s="79"/>
      <c r="R1332" s="80"/>
      <c r="S1332" s="78" t="s">
        <v>8866</v>
      </c>
      <c r="T1332" s="101" t="s">
        <v>8867</v>
      </c>
      <c r="U1332" s="78" t="s">
        <v>8868</v>
      </c>
      <c r="V1332" s="102" t="s">
        <v>429</v>
      </c>
      <c r="W1332" s="79" t="s">
        <v>309</v>
      </c>
      <c r="X1332" s="79" t="s">
        <v>309</v>
      </c>
      <c r="Y1332" s="79"/>
      <c r="Z1332" s="79"/>
    </row>
    <row r="1333" ht="15.75" customHeight="1">
      <c r="A1333" s="76" t="s">
        <v>247</v>
      </c>
      <c r="B1333" s="79" t="s">
        <v>7631</v>
      </c>
      <c r="C1333" s="80">
        <v>3.0610028434E10</v>
      </c>
      <c r="D1333" s="144" t="s">
        <v>631</v>
      </c>
      <c r="E1333" s="79" t="s">
        <v>314</v>
      </c>
      <c r="F1333" s="44">
        <v>4043.0</v>
      </c>
      <c r="G1333" s="79" t="s">
        <v>15</v>
      </c>
      <c r="H1333" s="80">
        <v>1678.0</v>
      </c>
      <c r="I1333" s="79">
        <v>173090.0</v>
      </c>
      <c r="J1333" s="74" t="s">
        <v>448</v>
      </c>
      <c r="K1333" s="77" t="s">
        <v>8871</v>
      </c>
      <c r="L1333" s="79"/>
      <c r="M1333" s="79"/>
      <c r="N1333" s="79">
        <v>1.0</v>
      </c>
      <c r="O1333" s="74"/>
      <c r="P1333" s="80"/>
      <c r="Q1333" s="79"/>
      <c r="R1333" s="80"/>
      <c r="S1333" s="80" t="s">
        <v>8872</v>
      </c>
      <c r="T1333" s="101" t="s">
        <v>8873</v>
      </c>
      <c r="U1333" s="80"/>
      <c r="V1333" s="102" t="s">
        <v>429</v>
      </c>
      <c r="W1333" s="79" t="s">
        <v>309</v>
      </c>
      <c r="X1333" s="79" t="s">
        <v>306</v>
      </c>
      <c r="Y1333" s="79"/>
      <c r="Z1333" s="79"/>
    </row>
    <row r="1334" ht="15.75" customHeight="1">
      <c r="A1334" s="76" t="s">
        <v>247</v>
      </c>
      <c r="B1334" s="77" t="s">
        <v>2168</v>
      </c>
      <c r="C1334" s="80">
        <v>3.0500786937E10</v>
      </c>
      <c r="D1334" s="119" t="s">
        <v>264</v>
      </c>
      <c r="E1334" s="79" t="s">
        <v>6787</v>
      </c>
      <c r="F1334" s="44">
        <v>451.0</v>
      </c>
      <c r="G1334" s="79" t="s">
        <v>119</v>
      </c>
      <c r="H1334" s="80">
        <v>1657.0</v>
      </c>
      <c r="I1334" s="79">
        <v>282909.0</v>
      </c>
      <c r="J1334" s="74" t="s">
        <v>347</v>
      </c>
      <c r="K1334" s="77" t="s">
        <v>2642</v>
      </c>
      <c r="L1334" s="79" t="s">
        <v>662</v>
      </c>
      <c r="M1334" s="79"/>
      <c r="N1334" s="79">
        <v>306.0</v>
      </c>
      <c r="O1334" s="74" t="s">
        <v>8875</v>
      </c>
      <c r="P1334" s="80"/>
      <c r="Q1334" s="79" t="s">
        <v>8876</v>
      </c>
      <c r="R1334" s="78" t="s">
        <v>8877</v>
      </c>
      <c r="S1334" s="80" t="s">
        <v>8878</v>
      </c>
      <c r="T1334" s="101" t="s">
        <v>8879</v>
      </c>
      <c r="U1334" s="80" t="s">
        <v>7896</v>
      </c>
      <c r="V1334" s="102" t="s">
        <v>8880</v>
      </c>
      <c r="W1334" s="79" t="s">
        <v>309</v>
      </c>
      <c r="X1334" s="79" t="s">
        <v>309</v>
      </c>
      <c r="Y1334" s="79" t="s">
        <v>309</v>
      </c>
      <c r="Z1334" s="79"/>
    </row>
    <row r="1335" ht="15.75" customHeight="1">
      <c r="A1335" s="76" t="s">
        <v>247</v>
      </c>
      <c r="B1335" s="77" t="s">
        <v>7638</v>
      </c>
      <c r="C1335" s="80">
        <v>3.0683676027E10</v>
      </c>
      <c r="D1335" s="79" t="s">
        <v>264</v>
      </c>
      <c r="E1335" s="126" t="s">
        <v>985</v>
      </c>
      <c r="F1335" s="44">
        <v>3969.0</v>
      </c>
      <c r="G1335" s="79" t="s">
        <v>15</v>
      </c>
      <c r="H1335" s="80">
        <v>1678.0</v>
      </c>
      <c r="I1335" s="79">
        <v>281301.0</v>
      </c>
      <c r="J1335" s="74" t="s">
        <v>347</v>
      </c>
      <c r="K1335" s="79" t="s">
        <v>8883</v>
      </c>
      <c r="L1335" s="79"/>
      <c r="M1335" s="79" t="s">
        <v>8884</v>
      </c>
      <c r="N1335" s="79">
        <v>3.0</v>
      </c>
      <c r="O1335" s="74"/>
      <c r="P1335" s="80"/>
      <c r="Q1335" s="79"/>
      <c r="R1335" s="80"/>
      <c r="S1335" s="78" t="s">
        <v>8885</v>
      </c>
      <c r="T1335" s="85" t="s">
        <v>8887</v>
      </c>
      <c r="U1335" s="80" t="s">
        <v>332</v>
      </c>
      <c r="V1335" s="102" t="s">
        <v>8888</v>
      </c>
      <c r="W1335" s="79" t="s">
        <v>309</v>
      </c>
      <c r="X1335" s="79" t="s">
        <v>309</v>
      </c>
      <c r="Y1335" s="79" t="s">
        <v>309</v>
      </c>
      <c r="Z1335" s="79"/>
    </row>
    <row r="1336" ht="15.0" customHeight="1">
      <c r="A1336" s="76" t="s">
        <v>247</v>
      </c>
      <c r="B1336" s="77" t="s">
        <v>7642</v>
      </c>
      <c r="C1336" s="80">
        <v>3.0708877138E10</v>
      </c>
      <c r="D1336" s="119" t="s">
        <v>264</v>
      </c>
      <c r="E1336" s="77" t="s">
        <v>3068</v>
      </c>
      <c r="F1336" s="44">
        <v>9949.0</v>
      </c>
      <c r="G1336" s="79" t="s">
        <v>119</v>
      </c>
      <c r="H1336" s="80">
        <v>1657.0</v>
      </c>
      <c r="I1336" s="79">
        <v>773090.0</v>
      </c>
      <c r="J1336" s="74" t="s">
        <v>433</v>
      </c>
      <c r="K1336" s="77" t="s">
        <v>3395</v>
      </c>
      <c r="L1336" s="79" t="s">
        <v>453</v>
      </c>
      <c r="M1336" s="79" t="s">
        <v>8890</v>
      </c>
      <c r="N1336" s="79">
        <v>16.0</v>
      </c>
      <c r="O1336" s="74" t="s">
        <v>8891</v>
      </c>
      <c r="P1336" s="80"/>
      <c r="Q1336" s="79"/>
      <c r="R1336" s="80"/>
      <c r="S1336" s="80" t="s">
        <v>8893</v>
      </c>
      <c r="T1336" s="101" t="s">
        <v>8895</v>
      </c>
      <c r="U1336" s="80" t="s">
        <v>332</v>
      </c>
      <c r="V1336" s="102" t="s">
        <v>8896</v>
      </c>
      <c r="W1336" s="79" t="s">
        <v>306</v>
      </c>
      <c r="X1336" s="79" t="s">
        <v>306</v>
      </c>
      <c r="Y1336" s="79" t="s">
        <v>309</v>
      </c>
      <c r="Z1336" s="79"/>
    </row>
    <row r="1337" ht="15.0" customHeight="1">
      <c r="A1337" s="103" t="s">
        <v>24</v>
      </c>
      <c r="B1337" s="77" t="s">
        <v>8897</v>
      </c>
      <c r="C1337" s="80">
        <v>3.0576858295E10</v>
      </c>
      <c r="D1337" s="79" t="s">
        <v>264</v>
      </c>
      <c r="E1337" s="79" t="s">
        <v>3987</v>
      </c>
      <c r="F1337" s="44">
        <v>9827.0</v>
      </c>
      <c r="G1337" s="79" t="s">
        <v>119</v>
      </c>
      <c r="H1337" s="80">
        <v>1657.0</v>
      </c>
      <c r="I1337" s="79">
        <v>343000.0</v>
      </c>
      <c r="J1337" s="74" t="s">
        <v>337</v>
      </c>
      <c r="K1337" s="79" t="s">
        <v>2104</v>
      </c>
      <c r="L1337" s="79"/>
      <c r="M1337" s="79"/>
      <c r="N1337" s="79">
        <v>0.0</v>
      </c>
      <c r="O1337" s="74"/>
      <c r="P1337" s="80"/>
      <c r="Q1337" s="79"/>
      <c r="R1337" s="80"/>
      <c r="S1337" s="80" t="s">
        <v>8899</v>
      </c>
      <c r="T1337" s="101" t="s">
        <v>332</v>
      </c>
      <c r="U1337" s="80" t="s">
        <v>332</v>
      </c>
      <c r="V1337" s="102" t="s">
        <v>429</v>
      </c>
      <c r="W1337" s="79" t="s">
        <v>309</v>
      </c>
      <c r="X1337" s="79" t="s">
        <v>309</v>
      </c>
      <c r="Y1337" s="79"/>
      <c r="Z1337" s="79"/>
    </row>
    <row r="1338" ht="15.75" customHeight="1">
      <c r="A1338" s="76" t="s">
        <v>247</v>
      </c>
      <c r="B1338" s="77" t="s">
        <v>7644</v>
      </c>
      <c r="C1338" s="80">
        <v>3.0708371056E10</v>
      </c>
      <c r="D1338" s="119" t="s">
        <v>264</v>
      </c>
      <c r="E1338" s="79" t="s">
        <v>314</v>
      </c>
      <c r="F1338" s="44">
        <v>5054.0</v>
      </c>
      <c r="G1338" s="79" t="s">
        <v>15</v>
      </c>
      <c r="H1338" s="80">
        <v>1678.0</v>
      </c>
      <c r="I1338" s="79">
        <v>410021.0</v>
      </c>
      <c r="J1338" s="74" t="s">
        <v>125</v>
      </c>
      <c r="K1338" s="79" t="s">
        <v>8901</v>
      </c>
      <c r="L1338" s="79" t="s">
        <v>453</v>
      </c>
      <c r="M1338" s="79"/>
      <c r="N1338" s="79">
        <v>26.0</v>
      </c>
      <c r="O1338" s="74" t="s">
        <v>8902</v>
      </c>
      <c r="P1338" s="78" t="s">
        <v>8904</v>
      </c>
      <c r="Q1338" s="79"/>
      <c r="R1338" s="80"/>
      <c r="S1338" s="78" t="s">
        <v>8906</v>
      </c>
      <c r="T1338" s="85" t="s">
        <v>8907</v>
      </c>
      <c r="U1338" s="80" t="s">
        <v>332</v>
      </c>
      <c r="V1338" s="102" t="s">
        <v>8908</v>
      </c>
      <c r="W1338" s="79" t="s">
        <v>306</v>
      </c>
      <c r="X1338" s="79" t="s">
        <v>306</v>
      </c>
      <c r="Y1338" s="79" t="s">
        <v>309</v>
      </c>
      <c r="Z1338" s="79"/>
    </row>
    <row r="1339" ht="15.0" customHeight="1">
      <c r="A1339" s="103" t="s">
        <v>24</v>
      </c>
      <c r="B1339" s="77" t="s">
        <v>8909</v>
      </c>
      <c r="C1339" s="80">
        <v>3.0644212749E10</v>
      </c>
      <c r="D1339" s="79" t="s">
        <v>264</v>
      </c>
      <c r="E1339" s="79" t="s">
        <v>1376</v>
      </c>
      <c r="F1339" s="44">
        <v>1631.0</v>
      </c>
      <c r="G1339" s="79" t="s">
        <v>68</v>
      </c>
      <c r="H1339" s="80">
        <v>1702.0</v>
      </c>
      <c r="I1339" s="79">
        <v>231090.0</v>
      </c>
      <c r="J1339" s="74" t="s">
        <v>457</v>
      </c>
      <c r="K1339" s="77" t="s">
        <v>2477</v>
      </c>
      <c r="L1339" s="79" t="s">
        <v>453</v>
      </c>
      <c r="M1339" s="79" t="s">
        <v>7146</v>
      </c>
      <c r="N1339" s="79">
        <v>5.0</v>
      </c>
      <c r="O1339" s="74"/>
      <c r="P1339" s="80"/>
      <c r="Q1339" s="77" t="s">
        <v>8912</v>
      </c>
      <c r="R1339" s="80"/>
      <c r="S1339" s="80" t="s">
        <v>8913</v>
      </c>
      <c r="T1339" s="101" t="s">
        <v>8914</v>
      </c>
      <c r="U1339" s="80" t="s">
        <v>8915</v>
      </c>
      <c r="V1339" s="102" t="s">
        <v>8916</v>
      </c>
      <c r="W1339" s="79" t="s">
        <v>309</v>
      </c>
      <c r="X1339" s="79" t="s">
        <v>309</v>
      </c>
      <c r="Y1339" s="79" t="s">
        <v>309</v>
      </c>
      <c r="Z1339" s="79"/>
    </row>
    <row r="1340" ht="15.0" customHeight="1">
      <c r="A1340" s="103" t="s">
        <v>24</v>
      </c>
      <c r="B1340" s="77" t="s">
        <v>8917</v>
      </c>
      <c r="C1340" s="80">
        <v>3.0714189065E10</v>
      </c>
      <c r="D1340" s="79" t="s">
        <v>264</v>
      </c>
      <c r="E1340" s="79" t="s">
        <v>8918</v>
      </c>
      <c r="F1340" s="44">
        <v>757.0</v>
      </c>
      <c r="G1340" s="79" t="s">
        <v>68</v>
      </c>
      <c r="H1340" s="80">
        <v>1702.0</v>
      </c>
      <c r="I1340" s="79">
        <v>139209.0</v>
      </c>
      <c r="J1340" s="74" t="s">
        <v>448</v>
      </c>
      <c r="K1340" s="77" t="s">
        <v>539</v>
      </c>
      <c r="L1340" s="79" t="s">
        <v>1122</v>
      </c>
      <c r="M1340" s="79"/>
      <c r="N1340" s="79">
        <v>0.0</v>
      </c>
      <c r="O1340" s="74"/>
      <c r="P1340" s="80"/>
      <c r="Q1340" s="79"/>
      <c r="R1340" s="80"/>
      <c r="S1340" s="80" t="s">
        <v>8921</v>
      </c>
      <c r="T1340" s="101" t="s">
        <v>332</v>
      </c>
      <c r="U1340" s="80" t="s">
        <v>332</v>
      </c>
      <c r="V1340" s="102" t="s">
        <v>429</v>
      </c>
      <c r="W1340" s="79" t="s">
        <v>306</v>
      </c>
      <c r="X1340" s="79" t="s">
        <v>306</v>
      </c>
      <c r="Y1340" s="79"/>
      <c r="Z1340" s="79"/>
    </row>
    <row r="1341" ht="15.75" customHeight="1">
      <c r="A1341" s="76" t="s">
        <v>247</v>
      </c>
      <c r="B1341" s="77" t="s">
        <v>4237</v>
      </c>
      <c r="C1341" s="80">
        <v>2.0152209429E10</v>
      </c>
      <c r="D1341" s="77" t="s">
        <v>631</v>
      </c>
      <c r="E1341" s="79" t="s">
        <v>1494</v>
      </c>
      <c r="F1341" s="44">
        <v>1355.0</v>
      </c>
      <c r="G1341" s="79" t="s">
        <v>269</v>
      </c>
      <c r="H1341" s="80">
        <v>1682.0</v>
      </c>
      <c r="I1341" s="119">
        <v>309200.0</v>
      </c>
      <c r="J1341" s="74" t="s">
        <v>347</v>
      </c>
      <c r="K1341" s="119" t="s">
        <v>7283</v>
      </c>
      <c r="L1341" s="79"/>
      <c r="M1341" s="79" t="s">
        <v>8923</v>
      </c>
      <c r="N1341" s="79">
        <v>18.0</v>
      </c>
      <c r="O1341" s="79" t="s">
        <v>8924</v>
      </c>
      <c r="P1341" s="80"/>
      <c r="Q1341" s="77" t="s">
        <v>8925</v>
      </c>
      <c r="R1341" s="78" t="s">
        <v>8926</v>
      </c>
      <c r="S1341" s="78" t="s">
        <v>8927</v>
      </c>
      <c r="T1341" s="101"/>
      <c r="U1341" s="80"/>
      <c r="V1341" s="102" t="s">
        <v>8929</v>
      </c>
      <c r="W1341" s="79"/>
      <c r="X1341" s="79"/>
      <c r="Y1341" s="79"/>
      <c r="Z1341" s="79"/>
    </row>
    <row r="1342" ht="15.75" customHeight="1">
      <c r="A1342" s="76" t="s">
        <v>247</v>
      </c>
      <c r="B1342" s="77" t="s">
        <v>2173</v>
      </c>
      <c r="C1342" s="268">
        <v>3.0716126451E10</v>
      </c>
      <c r="D1342" s="79" t="s">
        <v>264</v>
      </c>
      <c r="E1342" s="79" t="s">
        <v>314</v>
      </c>
      <c r="F1342" s="44" t="s">
        <v>8930</v>
      </c>
      <c r="G1342" s="79" t="s">
        <v>15</v>
      </c>
      <c r="H1342" s="80">
        <v>1678.0</v>
      </c>
      <c r="I1342" s="80">
        <v>310010.0</v>
      </c>
      <c r="J1342" s="74" t="s">
        <v>313</v>
      </c>
      <c r="K1342" s="129" t="s">
        <v>8931</v>
      </c>
      <c r="L1342" s="79"/>
      <c r="M1342" s="79" t="s">
        <v>8932</v>
      </c>
      <c r="N1342" s="79"/>
      <c r="O1342" s="79" t="s">
        <v>8934</v>
      </c>
      <c r="P1342" s="78" t="s">
        <v>8935</v>
      </c>
      <c r="Q1342" s="77" t="s">
        <v>8936</v>
      </c>
      <c r="R1342" s="78">
        <v>1.167512167E9</v>
      </c>
      <c r="S1342" s="80"/>
      <c r="T1342" s="101"/>
      <c r="U1342" s="80"/>
      <c r="V1342" s="102" t="s">
        <v>8937</v>
      </c>
      <c r="W1342" s="79"/>
      <c r="X1342" s="79"/>
      <c r="Y1342" s="79"/>
      <c r="Z1342" s="79"/>
    </row>
    <row r="1343" ht="15.0" customHeight="1">
      <c r="A1343" s="76" t="s">
        <v>247</v>
      </c>
      <c r="B1343" s="77" t="s">
        <v>2176</v>
      </c>
      <c r="C1343" s="80">
        <v>3.0715087789E10</v>
      </c>
      <c r="D1343" s="79" t="s">
        <v>264</v>
      </c>
      <c r="E1343" s="79" t="s">
        <v>2491</v>
      </c>
      <c r="F1343" s="44">
        <v>1321.0</v>
      </c>
      <c r="G1343" s="79" t="s">
        <v>15</v>
      </c>
      <c r="H1343" s="80">
        <v>1678.0</v>
      </c>
      <c r="I1343" s="79">
        <v>222010.0</v>
      </c>
      <c r="J1343" s="83" t="s">
        <v>568</v>
      </c>
      <c r="K1343" s="77" t="s">
        <v>1170</v>
      </c>
      <c r="L1343" s="79" t="s">
        <v>453</v>
      </c>
      <c r="M1343" s="77" t="s">
        <v>8940</v>
      </c>
      <c r="N1343" s="79">
        <v>16.0</v>
      </c>
      <c r="O1343" s="74" t="s">
        <v>8941</v>
      </c>
      <c r="P1343" s="78" t="s">
        <v>8942</v>
      </c>
      <c r="Q1343" s="79" t="s">
        <v>8943</v>
      </c>
      <c r="R1343" s="80" t="s">
        <v>8944</v>
      </c>
      <c r="S1343" s="80" t="s">
        <v>8945</v>
      </c>
      <c r="T1343" s="101" t="s">
        <v>8946</v>
      </c>
      <c r="U1343" s="80" t="s">
        <v>8947</v>
      </c>
      <c r="V1343" s="102" t="s">
        <v>8949</v>
      </c>
      <c r="W1343" s="79" t="s">
        <v>306</v>
      </c>
      <c r="X1343" s="79" t="s">
        <v>306</v>
      </c>
      <c r="Y1343" s="79" t="s">
        <v>309</v>
      </c>
      <c r="Z1343" s="79"/>
    </row>
    <row r="1344" ht="15.0" customHeight="1">
      <c r="A1344" s="103" t="s">
        <v>24</v>
      </c>
      <c r="B1344" s="77" t="s">
        <v>8951</v>
      </c>
      <c r="C1344" s="80">
        <v>3.0628879407E10</v>
      </c>
      <c r="D1344" s="119" t="s">
        <v>264</v>
      </c>
      <c r="E1344" s="79" t="s">
        <v>3405</v>
      </c>
      <c r="F1344" s="44">
        <v>6650.0</v>
      </c>
      <c r="G1344" s="79" t="s">
        <v>269</v>
      </c>
      <c r="H1344" s="80">
        <v>1682.0</v>
      </c>
      <c r="I1344" s="79">
        <v>289999.0</v>
      </c>
      <c r="J1344" s="74" t="s">
        <v>347</v>
      </c>
      <c r="K1344" s="77" t="s">
        <v>8952</v>
      </c>
      <c r="L1344" s="79" t="s">
        <v>453</v>
      </c>
      <c r="M1344" s="79"/>
      <c r="N1344" s="79">
        <v>0.0</v>
      </c>
      <c r="O1344" s="74"/>
      <c r="P1344" s="80"/>
      <c r="Q1344" s="79"/>
      <c r="R1344" s="80"/>
      <c r="S1344" s="80" t="s">
        <v>8955</v>
      </c>
      <c r="T1344" s="101" t="s">
        <v>332</v>
      </c>
      <c r="U1344" s="80" t="s">
        <v>332</v>
      </c>
      <c r="V1344" s="102" t="s">
        <v>429</v>
      </c>
      <c r="W1344" s="79" t="s">
        <v>306</v>
      </c>
      <c r="X1344" s="79" t="s">
        <v>306</v>
      </c>
      <c r="Y1344" s="79"/>
      <c r="Z1344" s="79"/>
    </row>
    <row r="1345" ht="15.75" customHeight="1">
      <c r="A1345" s="76" t="s">
        <v>247</v>
      </c>
      <c r="B1345" s="77" t="s">
        <v>2183</v>
      </c>
      <c r="C1345" s="80">
        <v>3.0557281289E10</v>
      </c>
      <c r="D1345" s="119" t="s">
        <v>264</v>
      </c>
      <c r="E1345" s="79" t="s">
        <v>1965</v>
      </c>
      <c r="F1345" s="44">
        <v>5251.0</v>
      </c>
      <c r="G1345" s="79" t="s">
        <v>15</v>
      </c>
      <c r="H1345" s="80">
        <v>1678.0</v>
      </c>
      <c r="I1345" s="79">
        <v>222090.0</v>
      </c>
      <c r="J1345" s="83" t="s">
        <v>568</v>
      </c>
      <c r="K1345" s="77" t="s">
        <v>569</v>
      </c>
      <c r="L1345" s="79" t="s">
        <v>453</v>
      </c>
      <c r="M1345" s="79" t="s">
        <v>4430</v>
      </c>
      <c r="N1345" s="79">
        <v>7.0</v>
      </c>
      <c r="O1345" s="83" t="s">
        <v>8958</v>
      </c>
      <c r="P1345" s="78" t="s">
        <v>8959</v>
      </c>
      <c r="Q1345" s="79"/>
      <c r="R1345" s="80"/>
      <c r="S1345" s="80" t="s">
        <v>8960</v>
      </c>
      <c r="T1345" s="101" t="s">
        <v>8961</v>
      </c>
      <c r="U1345" s="80" t="s">
        <v>8962</v>
      </c>
      <c r="V1345" s="86" t="s">
        <v>8963</v>
      </c>
      <c r="W1345" s="79" t="s">
        <v>309</v>
      </c>
      <c r="X1345" s="79" t="s">
        <v>309</v>
      </c>
      <c r="Y1345" s="79" t="s">
        <v>309</v>
      </c>
      <c r="Z1345" s="79"/>
    </row>
    <row r="1346" ht="15.75" customHeight="1">
      <c r="A1346" s="76" t="s">
        <v>247</v>
      </c>
      <c r="B1346" s="79" t="s">
        <v>7652</v>
      </c>
      <c r="C1346" s="79">
        <v>3.0650256979E10</v>
      </c>
      <c r="D1346" s="77" t="s">
        <v>631</v>
      </c>
      <c r="E1346" s="77" t="s">
        <v>6334</v>
      </c>
      <c r="F1346" s="44">
        <v>1993.0</v>
      </c>
      <c r="G1346" s="79" t="s">
        <v>68</v>
      </c>
      <c r="H1346" s="80">
        <v>1702.0</v>
      </c>
      <c r="I1346" s="79">
        <v>329090.0</v>
      </c>
      <c r="J1346" s="83" t="s">
        <v>313</v>
      </c>
      <c r="K1346" s="77" t="s">
        <v>8966</v>
      </c>
      <c r="L1346" s="79"/>
      <c r="M1346" s="79"/>
      <c r="N1346" s="79">
        <v>0.0</v>
      </c>
      <c r="O1346" s="74"/>
      <c r="P1346" s="80"/>
      <c r="Q1346" s="79"/>
      <c r="R1346" s="80"/>
      <c r="S1346" s="80" t="s">
        <v>8967</v>
      </c>
      <c r="T1346" s="101" t="s">
        <v>332</v>
      </c>
      <c r="U1346" s="80" t="s">
        <v>332</v>
      </c>
      <c r="V1346" s="102" t="s">
        <v>429</v>
      </c>
      <c r="W1346" s="79" t="s">
        <v>306</v>
      </c>
      <c r="X1346" s="79" t="s">
        <v>306</v>
      </c>
      <c r="Y1346" s="79" t="s">
        <v>309</v>
      </c>
      <c r="Z1346" s="79"/>
    </row>
    <row r="1347" ht="15.75" customHeight="1">
      <c r="A1347" s="76" t="s">
        <v>247</v>
      </c>
      <c r="B1347" s="77" t="s">
        <v>2187</v>
      </c>
      <c r="C1347" s="80">
        <v>3.0639072076E10</v>
      </c>
      <c r="D1347" s="119" t="s">
        <v>264</v>
      </c>
      <c r="E1347" s="79" t="s">
        <v>1376</v>
      </c>
      <c r="F1347" s="44">
        <v>1443.0</v>
      </c>
      <c r="G1347" s="79" t="s">
        <v>68</v>
      </c>
      <c r="H1347" s="80">
        <v>1702.0</v>
      </c>
      <c r="I1347" s="79">
        <v>172900.0</v>
      </c>
      <c r="J1347" s="74" t="s">
        <v>448</v>
      </c>
      <c r="K1347" s="77" t="s">
        <v>4372</v>
      </c>
      <c r="L1347" s="77" t="s">
        <v>1122</v>
      </c>
      <c r="M1347" s="79"/>
      <c r="N1347" s="79">
        <v>3.0</v>
      </c>
      <c r="O1347" s="208" t="s">
        <v>8971</v>
      </c>
      <c r="P1347" s="153" t="s">
        <v>8973</v>
      </c>
      <c r="Q1347" s="79" t="s">
        <v>8974</v>
      </c>
      <c r="R1347" s="80"/>
      <c r="S1347" s="80" t="s">
        <v>8975</v>
      </c>
      <c r="T1347" s="85" t="s">
        <v>8976</v>
      </c>
      <c r="U1347" s="80" t="s">
        <v>332</v>
      </c>
      <c r="V1347" s="102" t="s">
        <v>8977</v>
      </c>
      <c r="W1347" s="79" t="s">
        <v>309</v>
      </c>
      <c r="X1347" s="79" t="s">
        <v>309</v>
      </c>
      <c r="Y1347" s="79" t="s">
        <v>309</v>
      </c>
      <c r="Z1347" s="79"/>
    </row>
    <row r="1348" ht="15.0" customHeight="1">
      <c r="A1348" s="103" t="s">
        <v>24</v>
      </c>
      <c r="B1348" s="77" t="s">
        <v>8978</v>
      </c>
      <c r="C1348" s="79">
        <v>3.0707331425E10</v>
      </c>
      <c r="D1348" s="77" t="s">
        <v>264</v>
      </c>
      <c r="E1348" s="79" t="s">
        <v>8979</v>
      </c>
      <c r="F1348" s="44">
        <v>6669.0</v>
      </c>
      <c r="G1348" s="77" t="s">
        <v>47</v>
      </c>
      <c r="H1348" s="80">
        <v>1684.0</v>
      </c>
      <c r="I1348" s="77">
        <v>152021.0</v>
      </c>
      <c r="J1348" s="74" t="s">
        <v>73</v>
      </c>
      <c r="K1348" s="77" t="s">
        <v>1693</v>
      </c>
      <c r="L1348" s="79"/>
      <c r="M1348" s="79"/>
      <c r="N1348" s="79">
        <v>0.0</v>
      </c>
      <c r="O1348" s="74"/>
      <c r="P1348" s="80"/>
      <c r="Q1348" s="79"/>
      <c r="R1348" s="80"/>
      <c r="S1348" s="80" t="s">
        <v>8982</v>
      </c>
      <c r="T1348" s="101" t="s">
        <v>8983</v>
      </c>
      <c r="U1348" s="80" t="s">
        <v>332</v>
      </c>
      <c r="V1348" s="102" t="s">
        <v>429</v>
      </c>
      <c r="W1348" s="79" t="s">
        <v>306</v>
      </c>
      <c r="X1348" s="79" t="s">
        <v>306</v>
      </c>
      <c r="Y1348" s="79"/>
      <c r="Z1348" s="79"/>
    </row>
    <row r="1349" ht="15.75" customHeight="1">
      <c r="A1349" s="103" t="s">
        <v>24</v>
      </c>
      <c r="B1349" s="77" t="s">
        <v>8984</v>
      </c>
      <c r="C1349" s="80">
        <v>3.0710124554E10</v>
      </c>
      <c r="D1349" s="119" t="s">
        <v>264</v>
      </c>
      <c r="E1349" s="79" t="s">
        <v>4696</v>
      </c>
      <c r="F1349" s="44">
        <v>6655.0</v>
      </c>
      <c r="G1349" s="79" t="s">
        <v>119</v>
      </c>
      <c r="H1349" s="80">
        <v>1657.0</v>
      </c>
      <c r="I1349" s="79">
        <v>222090.0</v>
      </c>
      <c r="J1349" s="83" t="s">
        <v>568</v>
      </c>
      <c r="K1349" s="77" t="s">
        <v>569</v>
      </c>
      <c r="L1349" s="79" t="s">
        <v>453</v>
      </c>
      <c r="M1349" s="79"/>
      <c r="N1349" s="79">
        <v>4.0</v>
      </c>
      <c r="O1349" s="74"/>
      <c r="P1349" s="80"/>
      <c r="Q1349" s="79"/>
      <c r="R1349" s="80"/>
      <c r="S1349" s="78" t="s">
        <v>8986</v>
      </c>
      <c r="T1349" s="101" t="s">
        <v>332</v>
      </c>
      <c r="U1349" s="80" t="s">
        <v>332</v>
      </c>
      <c r="V1349" s="102" t="s">
        <v>429</v>
      </c>
      <c r="W1349" s="79" t="s">
        <v>309</v>
      </c>
      <c r="X1349" s="79" t="s">
        <v>309</v>
      </c>
      <c r="Y1349" s="79"/>
      <c r="Z1349" s="79"/>
    </row>
    <row r="1350" ht="15.0" customHeight="1">
      <c r="A1350" s="76" t="s">
        <v>247</v>
      </c>
      <c r="B1350" s="77" t="s">
        <v>2191</v>
      </c>
      <c r="C1350" s="80">
        <v>3.3644674059E10</v>
      </c>
      <c r="D1350" s="119" t="s">
        <v>264</v>
      </c>
      <c r="E1350" s="77" t="s">
        <v>3068</v>
      </c>
      <c r="F1350" s="44">
        <v>10015.0</v>
      </c>
      <c r="G1350" s="79" t="s">
        <v>119</v>
      </c>
      <c r="H1350" s="80">
        <v>1657.0</v>
      </c>
      <c r="I1350" s="79">
        <v>222090.0</v>
      </c>
      <c r="J1350" s="83" t="s">
        <v>568</v>
      </c>
      <c r="K1350" s="77" t="s">
        <v>569</v>
      </c>
      <c r="L1350" s="79" t="s">
        <v>453</v>
      </c>
      <c r="M1350" s="79" t="s">
        <v>8988</v>
      </c>
      <c r="N1350" s="79">
        <v>118.0</v>
      </c>
      <c r="O1350" s="83" t="s">
        <v>8989</v>
      </c>
      <c r="P1350" s="78" t="s">
        <v>8990</v>
      </c>
      <c r="Q1350" s="79" t="s">
        <v>8991</v>
      </c>
      <c r="R1350" s="80"/>
      <c r="S1350" s="80" t="s">
        <v>8992</v>
      </c>
      <c r="T1350" s="101" t="s">
        <v>8994</v>
      </c>
      <c r="U1350" s="78" t="s">
        <v>8995</v>
      </c>
      <c r="V1350" s="102" t="s">
        <v>8996</v>
      </c>
      <c r="W1350" s="79" t="s">
        <v>309</v>
      </c>
      <c r="X1350" s="79" t="s">
        <v>309</v>
      </c>
      <c r="Y1350" s="79" t="s">
        <v>309</v>
      </c>
      <c r="Z1350" s="79"/>
    </row>
    <row r="1351" ht="15.0" customHeight="1">
      <c r="A1351" s="103" t="s">
        <v>24</v>
      </c>
      <c r="B1351" s="77" t="s">
        <v>8998</v>
      </c>
      <c r="C1351" s="80">
        <v>3.0709939919E10</v>
      </c>
      <c r="D1351" s="119" t="s">
        <v>264</v>
      </c>
      <c r="E1351" s="77" t="s">
        <v>5795</v>
      </c>
      <c r="F1351" s="44">
        <v>5534.0</v>
      </c>
      <c r="G1351" s="79" t="s">
        <v>269</v>
      </c>
      <c r="H1351" s="80">
        <v>1682.0</v>
      </c>
      <c r="I1351" s="79">
        <v>107129.0</v>
      </c>
      <c r="J1351" s="74" t="s">
        <v>22</v>
      </c>
      <c r="K1351" s="77" t="s">
        <v>7435</v>
      </c>
      <c r="L1351" s="79"/>
      <c r="M1351" s="79"/>
      <c r="N1351" s="79">
        <v>17.0</v>
      </c>
      <c r="O1351" s="74"/>
      <c r="P1351" s="80"/>
      <c r="Q1351" s="79"/>
      <c r="R1351" s="80"/>
      <c r="S1351" s="78" t="s">
        <v>9001</v>
      </c>
      <c r="T1351" s="101" t="s">
        <v>9002</v>
      </c>
      <c r="U1351" s="80" t="s">
        <v>9003</v>
      </c>
      <c r="V1351" s="102" t="s">
        <v>429</v>
      </c>
      <c r="W1351" s="79" t="s">
        <v>306</v>
      </c>
      <c r="X1351" s="79" t="s">
        <v>306</v>
      </c>
      <c r="Y1351" s="79" t="s">
        <v>309</v>
      </c>
      <c r="Z1351" s="79"/>
    </row>
    <row r="1352" ht="15.75" customHeight="1">
      <c r="A1352" s="76" t="s">
        <v>247</v>
      </c>
      <c r="B1352" s="77" t="s">
        <v>2196</v>
      </c>
      <c r="C1352" s="80">
        <v>3.0689645131E10</v>
      </c>
      <c r="D1352" s="79" t="s">
        <v>264</v>
      </c>
      <c r="E1352" s="126" t="s">
        <v>985</v>
      </c>
      <c r="F1352" s="44">
        <v>5834.0</v>
      </c>
      <c r="G1352" s="79" t="s">
        <v>15</v>
      </c>
      <c r="H1352" s="80">
        <v>1678.0</v>
      </c>
      <c r="I1352" s="79">
        <v>310010.0</v>
      </c>
      <c r="J1352" s="74" t="s">
        <v>313</v>
      </c>
      <c r="K1352" s="79" t="s">
        <v>1438</v>
      </c>
      <c r="L1352" s="79" t="s">
        <v>1122</v>
      </c>
      <c r="M1352" s="79" t="s">
        <v>9005</v>
      </c>
      <c r="N1352" s="79">
        <v>24.0</v>
      </c>
      <c r="O1352" s="74" t="s">
        <v>9007</v>
      </c>
      <c r="P1352" s="78" t="s">
        <v>9008</v>
      </c>
      <c r="Q1352" s="79" t="s">
        <v>9009</v>
      </c>
      <c r="R1352" s="85" t="s">
        <v>9010</v>
      </c>
      <c r="S1352" s="80" t="s">
        <v>9011</v>
      </c>
      <c r="T1352" s="85" t="s">
        <v>9012</v>
      </c>
      <c r="U1352" s="85" t="s">
        <v>9013</v>
      </c>
      <c r="V1352" s="102" t="s">
        <v>9014</v>
      </c>
      <c r="W1352" s="79" t="s">
        <v>309</v>
      </c>
      <c r="X1352" s="79" t="s">
        <v>309</v>
      </c>
      <c r="Y1352" s="79" t="s">
        <v>309</v>
      </c>
      <c r="Z1352" s="79"/>
    </row>
    <row r="1353" ht="15.0" customHeight="1">
      <c r="A1353" s="76" t="s">
        <v>247</v>
      </c>
      <c r="B1353" s="77" t="s">
        <v>2200</v>
      </c>
      <c r="C1353" s="80">
        <v>2.0203299479E10</v>
      </c>
      <c r="D1353" s="77" t="s">
        <v>631</v>
      </c>
      <c r="E1353" s="79" t="s">
        <v>9015</v>
      </c>
      <c r="F1353" s="44">
        <v>2226.0</v>
      </c>
      <c r="G1353" s="79" t="s">
        <v>285</v>
      </c>
      <c r="H1353" s="80">
        <v>1674.0</v>
      </c>
      <c r="I1353" s="79">
        <v>265101.0</v>
      </c>
      <c r="J1353" s="74" t="s">
        <v>207</v>
      </c>
      <c r="K1353" s="77" t="s">
        <v>2794</v>
      </c>
      <c r="L1353" s="79" t="s">
        <v>4703</v>
      </c>
      <c r="M1353" s="77" t="s">
        <v>9018</v>
      </c>
      <c r="N1353" s="79"/>
      <c r="O1353" s="74" t="s">
        <v>9019</v>
      </c>
      <c r="P1353" s="78" t="s">
        <v>9020</v>
      </c>
      <c r="Q1353" s="79"/>
      <c r="R1353" s="80"/>
      <c r="S1353" s="78" t="s">
        <v>9021</v>
      </c>
      <c r="T1353" s="85" t="s">
        <v>9022</v>
      </c>
      <c r="U1353" s="80"/>
      <c r="V1353" s="98" t="s">
        <v>9023</v>
      </c>
      <c r="W1353" s="79"/>
      <c r="X1353" s="79"/>
      <c r="Y1353" s="79"/>
      <c r="Z1353" s="79"/>
    </row>
    <row r="1354" ht="15.0" customHeight="1">
      <c r="A1354" s="76" t="s">
        <v>247</v>
      </c>
      <c r="B1354" s="79" t="s">
        <v>2205</v>
      </c>
      <c r="C1354" s="239">
        <v>3.0711659834E10</v>
      </c>
      <c r="D1354" s="79" t="s">
        <v>264</v>
      </c>
      <c r="E1354" s="79" t="s">
        <v>1114</v>
      </c>
      <c r="F1354" s="44">
        <v>4467.0</v>
      </c>
      <c r="G1354" s="79" t="s">
        <v>68</v>
      </c>
      <c r="H1354" s="80">
        <v>1702.0</v>
      </c>
      <c r="I1354" s="77">
        <v>476130.0</v>
      </c>
      <c r="J1354" s="83" t="s">
        <v>283</v>
      </c>
      <c r="K1354" s="77" t="s">
        <v>2320</v>
      </c>
      <c r="L1354" s="79"/>
      <c r="M1354" s="79"/>
      <c r="N1354" s="79"/>
      <c r="O1354" s="79" t="s">
        <v>9026</v>
      </c>
      <c r="P1354" s="80"/>
      <c r="Q1354" s="79"/>
      <c r="R1354" s="80"/>
      <c r="S1354" s="80"/>
      <c r="T1354" s="101"/>
      <c r="U1354" s="80"/>
      <c r="V1354" s="102" t="s">
        <v>429</v>
      </c>
      <c r="W1354" s="79"/>
      <c r="X1354" s="79"/>
      <c r="Y1354" s="79"/>
      <c r="Z1354" s="79"/>
    </row>
    <row r="1355" ht="15.0" customHeight="1">
      <c r="A1355" s="76" t="s">
        <v>247</v>
      </c>
      <c r="B1355" s="77" t="s">
        <v>2208</v>
      </c>
      <c r="C1355" s="80">
        <v>3.0642724211E10</v>
      </c>
      <c r="D1355" s="119" t="s">
        <v>264</v>
      </c>
      <c r="E1355" s="119" t="s">
        <v>1422</v>
      </c>
      <c r="F1355" s="44">
        <v>1665.0</v>
      </c>
      <c r="G1355" s="79" t="s">
        <v>119</v>
      </c>
      <c r="H1355" s="80">
        <v>1657.0</v>
      </c>
      <c r="I1355" s="79">
        <v>275099.0</v>
      </c>
      <c r="J1355" s="83" t="s">
        <v>207</v>
      </c>
      <c r="K1355" s="77" t="s">
        <v>1527</v>
      </c>
      <c r="L1355" s="79"/>
      <c r="M1355" s="79"/>
      <c r="N1355" s="79">
        <v>4.0</v>
      </c>
      <c r="O1355" s="74" t="s">
        <v>9030</v>
      </c>
      <c r="P1355" s="78" t="s">
        <v>9031</v>
      </c>
      <c r="Q1355" s="77" t="s">
        <v>9032</v>
      </c>
      <c r="R1355" s="78">
        <v>1.149380368E9</v>
      </c>
      <c r="S1355" s="101" t="s">
        <v>9033</v>
      </c>
      <c r="T1355" s="101" t="s">
        <v>332</v>
      </c>
      <c r="U1355" s="80" t="s">
        <v>332</v>
      </c>
      <c r="V1355" s="102" t="s">
        <v>9034</v>
      </c>
      <c r="W1355" s="79" t="s">
        <v>309</v>
      </c>
      <c r="X1355" s="79" t="s">
        <v>309</v>
      </c>
      <c r="Y1355" s="79" t="s">
        <v>309</v>
      </c>
      <c r="Z1355" s="79"/>
    </row>
    <row r="1356" ht="15.0" customHeight="1">
      <c r="A1356" s="76" t="s">
        <v>247</v>
      </c>
      <c r="B1356" s="77" t="s">
        <v>7674</v>
      </c>
      <c r="C1356" s="80">
        <v>3.3710082869E10</v>
      </c>
      <c r="D1356" s="119" t="s">
        <v>264</v>
      </c>
      <c r="E1356" s="79" t="s">
        <v>2831</v>
      </c>
      <c r="F1356" s="44">
        <v>6790.0</v>
      </c>
      <c r="G1356" s="79" t="s">
        <v>119</v>
      </c>
      <c r="H1356" s="80">
        <v>1657.0</v>
      </c>
      <c r="I1356" s="79">
        <v>222010.0</v>
      </c>
      <c r="J1356" s="83" t="s">
        <v>568</v>
      </c>
      <c r="K1356" s="79" t="s">
        <v>1170</v>
      </c>
      <c r="L1356" s="79" t="s">
        <v>453</v>
      </c>
      <c r="M1356" s="79"/>
      <c r="N1356" s="79">
        <v>7.0</v>
      </c>
      <c r="O1356" s="74"/>
      <c r="P1356" s="80"/>
      <c r="Q1356" s="79"/>
      <c r="R1356" s="80"/>
      <c r="S1356" s="78" t="s">
        <v>9037</v>
      </c>
      <c r="T1356" s="101" t="s">
        <v>332</v>
      </c>
      <c r="U1356" s="80" t="s">
        <v>332</v>
      </c>
      <c r="V1356" s="102" t="s">
        <v>429</v>
      </c>
      <c r="W1356" s="79" t="s">
        <v>306</v>
      </c>
      <c r="X1356" s="79" t="s">
        <v>306</v>
      </c>
      <c r="Y1356" s="79" t="s">
        <v>309</v>
      </c>
      <c r="Z1356" s="79"/>
    </row>
    <row r="1357" ht="15.0" customHeight="1">
      <c r="A1357" s="103" t="s">
        <v>24</v>
      </c>
      <c r="B1357" s="77" t="s">
        <v>9039</v>
      </c>
      <c r="C1357" s="80">
        <v>3.0710293798E10</v>
      </c>
      <c r="D1357" s="79" t="s">
        <v>264</v>
      </c>
      <c r="E1357" s="79" t="s">
        <v>2518</v>
      </c>
      <c r="F1357" s="44">
        <v>2950.0</v>
      </c>
      <c r="G1357" s="77" t="s">
        <v>226</v>
      </c>
      <c r="H1357" s="80">
        <v>1674.0</v>
      </c>
      <c r="I1357" s="79">
        <v>310010.0</v>
      </c>
      <c r="J1357" s="74" t="s">
        <v>313</v>
      </c>
      <c r="K1357" s="79" t="s">
        <v>1438</v>
      </c>
      <c r="L1357" s="79" t="s">
        <v>1122</v>
      </c>
      <c r="M1357" s="79"/>
      <c r="N1357" s="79">
        <v>6.0</v>
      </c>
      <c r="O1357" s="74"/>
      <c r="P1357" s="80"/>
      <c r="Q1357" s="79"/>
      <c r="R1357" s="80"/>
      <c r="S1357" s="80" t="s">
        <v>9042</v>
      </c>
      <c r="T1357" s="101" t="s">
        <v>9043</v>
      </c>
      <c r="U1357" s="80" t="s">
        <v>332</v>
      </c>
      <c r="V1357" s="102" t="s">
        <v>9045</v>
      </c>
      <c r="W1357" s="79" t="s">
        <v>306</v>
      </c>
      <c r="X1357" s="79" t="s">
        <v>306</v>
      </c>
      <c r="Y1357" s="79" t="s">
        <v>309</v>
      </c>
      <c r="Z1357" s="79"/>
    </row>
    <row r="1358" ht="15.0" customHeight="1">
      <c r="A1358" s="103" t="s">
        <v>24</v>
      </c>
      <c r="B1358" s="77" t="s">
        <v>7680</v>
      </c>
      <c r="C1358" s="80">
        <v>3.0707997865E10</v>
      </c>
      <c r="D1358" s="79" t="s">
        <v>264</v>
      </c>
      <c r="E1358" s="79" t="s">
        <v>4638</v>
      </c>
      <c r="F1358" s="128">
        <v>7582.0</v>
      </c>
      <c r="G1358" s="79" t="s">
        <v>269</v>
      </c>
      <c r="H1358" s="80">
        <v>1682.0</v>
      </c>
      <c r="I1358" s="79">
        <v>293090.0</v>
      </c>
      <c r="J1358" s="74" t="s">
        <v>337</v>
      </c>
      <c r="K1358" s="77" t="s">
        <v>407</v>
      </c>
      <c r="L1358" s="79"/>
      <c r="M1358" s="79"/>
      <c r="N1358" s="79">
        <v>25.0</v>
      </c>
      <c r="O1358" s="74"/>
      <c r="P1358" s="80"/>
      <c r="Q1358" s="79"/>
      <c r="R1358" s="80"/>
      <c r="S1358" s="80"/>
      <c r="T1358" s="101" t="s">
        <v>332</v>
      </c>
      <c r="U1358" s="80" t="s">
        <v>332</v>
      </c>
      <c r="V1358" s="102" t="s">
        <v>9048</v>
      </c>
      <c r="W1358" s="79" t="s">
        <v>306</v>
      </c>
      <c r="X1358" s="79" t="s">
        <v>306</v>
      </c>
      <c r="Y1358" s="79" t="s">
        <v>309</v>
      </c>
      <c r="Z1358" s="79"/>
    </row>
    <row r="1359" ht="15.0" customHeight="1">
      <c r="A1359" s="103" t="s">
        <v>24</v>
      </c>
      <c r="B1359" s="77" t="s">
        <v>9051</v>
      </c>
      <c r="C1359" s="80">
        <v>3.0654087608E10</v>
      </c>
      <c r="D1359" s="119" t="s">
        <v>264</v>
      </c>
      <c r="E1359" s="79" t="s">
        <v>9052</v>
      </c>
      <c r="F1359" s="44">
        <v>3866.0</v>
      </c>
      <c r="G1359" s="79" t="s">
        <v>68</v>
      </c>
      <c r="H1359" s="80">
        <v>1702.0</v>
      </c>
      <c r="I1359" s="79">
        <v>381136.0</v>
      </c>
      <c r="J1359" s="74" t="s">
        <v>347</v>
      </c>
      <c r="K1359" s="77" t="s">
        <v>9054</v>
      </c>
      <c r="L1359" s="79"/>
      <c r="M1359" s="79"/>
      <c r="N1359" s="79">
        <v>0.0</v>
      </c>
      <c r="O1359" s="74"/>
      <c r="P1359" s="80"/>
      <c r="Q1359" s="79"/>
      <c r="R1359" s="80"/>
      <c r="S1359" s="80" t="s">
        <v>9056</v>
      </c>
      <c r="T1359" s="101" t="s">
        <v>332</v>
      </c>
      <c r="U1359" s="80" t="s">
        <v>332</v>
      </c>
      <c r="V1359" s="102" t="s">
        <v>429</v>
      </c>
      <c r="W1359" s="79" t="s">
        <v>309</v>
      </c>
      <c r="X1359" s="79" t="s">
        <v>309</v>
      </c>
      <c r="Y1359" s="79"/>
      <c r="Z1359" s="79"/>
    </row>
    <row r="1360" ht="15.0" customHeight="1">
      <c r="A1360" s="76" t="s">
        <v>247</v>
      </c>
      <c r="B1360" s="77" t="s">
        <v>7684</v>
      </c>
      <c r="C1360" s="101">
        <v>3.3714944679E10</v>
      </c>
      <c r="D1360" s="79" t="s">
        <v>264</v>
      </c>
      <c r="E1360" s="79" t="s">
        <v>1569</v>
      </c>
      <c r="F1360" s="44">
        <v>2952.0</v>
      </c>
      <c r="G1360" s="79" t="s">
        <v>97</v>
      </c>
      <c r="H1360" s="80">
        <v>1703.0</v>
      </c>
      <c r="I1360" s="79">
        <v>259200.0</v>
      </c>
      <c r="J1360" s="74" t="s">
        <v>347</v>
      </c>
      <c r="K1360" s="77" t="s">
        <v>9058</v>
      </c>
      <c r="L1360" s="79"/>
      <c r="M1360" s="79"/>
      <c r="N1360" s="79"/>
      <c r="O1360" s="79" t="s">
        <v>9060</v>
      </c>
      <c r="P1360" s="78" t="s">
        <v>9061</v>
      </c>
      <c r="Q1360" s="79" t="s">
        <v>9062</v>
      </c>
      <c r="R1360" s="78" t="s">
        <v>9063</v>
      </c>
      <c r="S1360" s="78" t="s">
        <v>9064</v>
      </c>
      <c r="T1360" s="101"/>
      <c r="U1360" s="80"/>
      <c r="V1360" s="98" t="s">
        <v>9065</v>
      </c>
      <c r="W1360" s="79"/>
      <c r="X1360" s="79"/>
      <c r="Y1360" s="79"/>
      <c r="Z1360" s="79"/>
    </row>
    <row r="1361" ht="15.0" customHeight="1">
      <c r="A1361" s="103" t="s">
        <v>24</v>
      </c>
      <c r="B1361" s="77" t="s">
        <v>9068</v>
      </c>
      <c r="C1361" s="101">
        <v>3.0715851098E10</v>
      </c>
      <c r="D1361" s="79" t="s">
        <v>264</v>
      </c>
      <c r="E1361" s="79" t="s">
        <v>1819</v>
      </c>
      <c r="F1361" s="44">
        <v>2434.0</v>
      </c>
      <c r="G1361" s="79" t="s">
        <v>97</v>
      </c>
      <c r="H1361" s="80">
        <v>1703.0</v>
      </c>
      <c r="I1361" s="79">
        <v>259993.0</v>
      </c>
      <c r="J1361" s="74" t="s">
        <v>347</v>
      </c>
      <c r="K1361" s="129" t="s">
        <v>638</v>
      </c>
      <c r="L1361" s="79"/>
      <c r="M1361" s="79"/>
      <c r="N1361" s="79"/>
      <c r="O1361" s="79"/>
      <c r="P1361" s="80"/>
      <c r="Q1361" s="79"/>
      <c r="R1361" s="80"/>
      <c r="S1361" s="80" t="s">
        <v>9070</v>
      </c>
      <c r="T1361" s="101"/>
      <c r="U1361" s="80"/>
      <c r="V1361" s="102" t="s">
        <v>429</v>
      </c>
      <c r="W1361" s="79"/>
      <c r="X1361" s="79"/>
      <c r="Y1361" s="79"/>
      <c r="Z1361" s="79"/>
    </row>
    <row r="1362" ht="15.0" customHeight="1">
      <c r="A1362" s="103" t="s">
        <v>24</v>
      </c>
      <c r="B1362" s="77" t="s">
        <v>9071</v>
      </c>
      <c r="C1362" s="80">
        <v>3.0712478221E10</v>
      </c>
      <c r="D1362" s="119" t="s">
        <v>264</v>
      </c>
      <c r="E1362" s="79" t="s">
        <v>2410</v>
      </c>
      <c r="F1362" s="44">
        <v>1144.0</v>
      </c>
      <c r="G1362" s="79" t="s">
        <v>68</v>
      </c>
      <c r="H1362" s="80">
        <v>1702.0</v>
      </c>
      <c r="I1362" s="79">
        <v>202200.0</v>
      </c>
      <c r="J1362" s="74" t="s">
        <v>316</v>
      </c>
      <c r="K1362" s="79" t="s">
        <v>2635</v>
      </c>
      <c r="L1362" s="79"/>
      <c r="M1362" s="79"/>
      <c r="N1362" s="79">
        <v>3.0</v>
      </c>
      <c r="O1362" s="74"/>
      <c r="P1362" s="80"/>
      <c r="Q1362" s="79"/>
      <c r="R1362" s="80"/>
      <c r="S1362" s="80"/>
      <c r="T1362" s="101" t="s">
        <v>332</v>
      </c>
      <c r="U1362" s="80" t="s">
        <v>332</v>
      </c>
      <c r="V1362" s="102" t="s">
        <v>429</v>
      </c>
      <c r="W1362" s="79" t="s">
        <v>306</v>
      </c>
      <c r="X1362" s="79" t="s">
        <v>306</v>
      </c>
      <c r="Y1362" s="79"/>
      <c r="Z1362" s="79"/>
    </row>
    <row r="1363" ht="15.0" customHeight="1">
      <c r="A1363" s="76" t="s">
        <v>247</v>
      </c>
      <c r="B1363" s="77" t="s">
        <v>7689</v>
      </c>
      <c r="C1363" s="80">
        <v>3.0709212997E10</v>
      </c>
      <c r="D1363" s="119" t="s">
        <v>264</v>
      </c>
      <c r="E1363" s="77" t="s">
        <v>5817</v>
      </c>
      <c r="F1363" s="44">
        <v>3972.0</v>
      </c>
      <c r="G1363" s="79" t="s">
        <v>15</v>
      </c>
      <c r="H1363" s="78">
        <v>1678.0</v>
      </c>
      <c r="I1363" s="79">
        <v>281500.0</v>
      </c>
      <c r="J1363" s="74" t="s">
        <v>337</v>
      </c>
      <c r="K1363" s="77" t="s">
        <v>3607</v>
      </c>
      <c r="L1363" s="79"/>
      <c r="M1363" s="79" t="s">
        <v>9075</v>
      </c>
      <c r="N1363" s="79"/>
      <c r="O1363" s="74"/>
      <c r="P1363" s="80"/>
      <c r="Q1363" s="79"/>
      <c r="R1363" s="80"/>
      <c r="S1363" s="80" t="s">
        <v>9077</v>
      </c>
      <c r="T1363" s="101"/>
      <c r="U1363" s="80"/>
      <c r="V1363" s="102" t="s">
        <v>9078</v>
      </c>
      <c r="W1363" s="79"/>
      <c r="X1363" s="79"/>
      <c r="Y1363" s="79"/>
      <c r="Z1363" s="79"/>
    </row>
    <row r="1364" ht="15.75" customHeight="1">
      <c r="A1364" s="76" t="s">
        <v>247</v>
      </c>
      <c r="B1364" s="77" t="s">
        <v>2214</v>
      </c>
      <c r="C1364" s="77">
        <v>2.0265232176E10</v>
      </c>
      <c r="D1364" s="77" t="s">
        <v>631</v>
      </c>
      <c r="E1364" s="77" t="s">
        <v>943</v>
      </c>
      <c r="F1364" s="128">
        <v>4754.0</v>
      </c>
      <c r="G1364" s="77" t="s">
        <v>68</v>
      </c>
      <c r="H1364" s="80">
        <v>1684.0</v>
      </c>
      <c r="I1364" s="77">
        <v>107301.0</v>
      </c>
      <c r="J1364" s="83" t="s">
        <v>22</v>
      </c>
      <c r="K1364" s="77" t="s">
        <v>9079</v>
      </c>
      <c r="L1364" s="79"/>
      <c r="M1364" s="79"/>
      <c r="N1364" s="79"/>
      <c r="O1364" s="74" t="s">
        <v>9081</v>
      </c>
      <c r="P1364" s="78" t="s">
        <v>9082</v>
      </c>
      <c r="Q1364" s="77" t="s">
        <v>9083</v>
      </c>
      <c r="R1364" s="78" t="s">
        <v>9085</v>
      </c>
      <c r="S1364" s="80"/>
      <c r="T1364" s="101"/>
      <c r="U1364" s="80"/>
      <c r="V1364" s="102" t="s">
        <v>9086</v>
      </c>
      <c r="W1364" s="79"/>
      <c r="X1364" s="79"/>
      <c r="Y1364" s="79" t="s">
        <v>309</v>
      </c>
      <c r="Z1364" s="79"/>
    </row>
    <row r="1365" ht="15.75" customHeight="1">
      <c r="A1365" s="76" t="s">
        <v>247</v>
      </c>
      <c r="B1365" s="77" t="s">
        <v>7698</v>
      </c>
      <c r="C1365" s="80">
        <v>3.3708678649E10</v>
      </c>
      <c r="D1365" s="119" t="s">
        <v>264</v>
      </c>
      <c r="E1365" s="79" t="s">
        <v>5729</v>
      </c>
      <c r="F1365" s="44">
        <v>5166.0</v>
      </c>
      <c r="G1365" s="79" t="s">
        <v>15</v>
      </c>
      <c r="H1365" s="80">
        <v>1678.0</v>
      </c>
      <c r="I1365" s="79">
        <v>241009.0</v>
      </c>
      <c r="J1365" s="74" t="s">
        <v>347</v>
      </c>
      <c r="K1365" s="77" t="s">
        <v>5011</v>
      </c>
      <c r="L1365" s="79"/>
      <c r="M1365" s="79"/>
      <c r="N1365" s="79">
        <v>6.0</v>
      </c>
      <c r="O1365" s="74"/>
      <c r="P1365" s="80"/>
      <c r="Q1365" s="79"/>
      <c r="R1365" s="80"/>
      <c r="S1365" s="80" t="s">
        <v>9089</v>
      </c>
      <c r="T1365" s="101"/>
      <c r="U1365" s="80" t="s">
        <v>332</v>
      </c>
      <c r="V1365" s="102" t="s">
        <v>429</v>
      </c>
      <c r="W1365" s="79" t="s">
        <v>309</v>
      </c>
      <c r="X1365" s="79" t="s">
        <v>309</v>
      </c>
      <c r="Y1365" s="79" t="s">
        <v>309</v>
      </c>
      <c r="Z1365" s="79"/>
    </row>
    <row r="1366" ht="15.0" customHeight="1">
      <c r="A1366" s="76" t="s">
        <v>247</v>
      </c>
      <c r="B1366" s="79" t="s">
        <v>7700</v>
      </c>
      <c r="C1366" s="80">
        <v>3.3709045119E10</v>
      </c>
      <c r="D1366" s="79" t="s">
        <v>264</v>
      </c>
      <c r="E1366" s="77" t="s">
        <v>1294</v>
      </c>
      <c r="F1366" s="44">
        <v>9710.0</v>
      </c>
      <c r="G1366" s="79" t="s">
        <v>119</v>
      </c>
      <c r="H1366" s="80">
        <v>1657.0</v>
      </c>
      <c r="I1366" s="79">
        <v>259999.0</v>
      </c>
      <c r="J1366" s="83" t="s">
        <v>347</v>
      </c>
      <c r="K1366" s="77" t="s">
        <v>839</v>
      </c>
      <c r="L1366" s="79"/>
      <c r="M1366" s="79"/>
      <c r="N1366" s="79"/>
      <c r="O1366" s="74"/>
      <c r="P1366" s="80"/>
      <c r="Q1366" s="79"/>
      <c r="R1366" s="80"/>
      <c r="S1366" s="101" t="s">
        <v>9092</v>
      </c>
      <c r="T1366" s="85" t="s">
        <v>9093</v>
      </c>
      <c r="U1366" s="78" t="s">
        <v>9094</v>
      </c>
      <c r="V1366" s="102" t="s">
        <v>9095</v>
      </c>
      <c r="W1366" s="79"/>
      <c r="X1366" s="79"/>
      <c r="Y1366" s="79"/>
      <c r="Z1366" s="79"/>
    </row>
    <row r="1367" ht="15.75" customHeight="1">
      <c r="A1367" s="76" t="s">
        <v>247</v>
      </c>
      <c r="B1367" s="77" t="s">
        <v>7704</v>
      </c>
      <c r="C1367" s="80">
        <v>3.3552966509E10</v>
      </c>
      <c r="D1367" s="79" t="s">
        <v>264</v>
      </c>
      <c r="E1367" s="126" t="s">
        <v>696</v>
      </c>
      <c r="F1367" s="44">
        <v>5378.0</v>
      </c>
      <c r="G1367" s="79" t="s">
        <v>15</v>
      </c>
      <c r="H1367" s="80">
        <v>1678.0</v>
      </c>
      <c r="I1367" s="79">
        <v>221909.0</v>
      </c>
      <c r="J1367" s="74" t="s">
        <v>88</v>
      </c>
      <c r="K1367" s="82" t="s">
        <v>2473</v>
      </c>
      <c r="L1367" s="79"/>
      <c r="M1367" s="79" t="s">
        <v>9100</v>
      </c>
      <c r="N1367" s="79">
        <v>43.0</v>
      </c>
      <c r="O1367" s="74"/>
      <c r="P1367" s="80"/>
      <c r="Q1367" s="79" t="s">
        <v>9101</v>
      </c>
      <c r="R1367" s="80"/>
      <c r="S1367" s="80" t="s">
        <v>9102</v>
      </c>
      <c r="T1367" s="101" t="s">
        <v>9103</v>
      </c>
      <c r="U1367" s="80"/>
      <c r="V1367" s="102" t="s">
        <v>9104</v>
      </c>
      <c r="W1367" s="79" t="s">
        <v>309</v>
      </c>
      <c r="X1367" s="79" t="s">
        <v>309</v>
      </c>
      <c r="Y1367" s="79" t="s">
        <v>309</v>
      </c>
      <c r="Z1367" s="79"/>
    </row>
    <row r="1368" ht="15.75" customHeight="1">
      <c r="A1368" s="103" t="s">
        <v>24</v>
      </c>
      <c r="B1368" s="77" t="s">
        <v>9107</v>
      </c>
      <c r="C1368" s="80">
        <v>3.0712566805E10</v>
      </c>
      <c r="D1368" s="119" t="s">
        <v>264</v>
      </c>
      <c r="E1368" s="79" t="s">
        <v>3511</v>
      </c>
      <c r="F1368" s="44">
        <v>5025.0</v>
      </c>
      <c r="G1368" s="79" t="s">
        <v>269</v>
      </c>
      <c r="H1368" s="80">
        <v>1682.0</v>
      </c>
      <c r="I1368" s="79">
        <v>410021.0</v>
      </c>
      <c r="J1368" s="74" t="s">
        <v>125</v>
      </c>
      <c r="K1368" s="79" t="s">
        <v>8901</v>
      </c>
      <c r="L1368" s="79" t="s">
        <v>453</v>
      </c>
      <c r="M1368" s="79"/>
      <c r="N1368" s="79">
        <v>3.0</v>
      </c>
      <c r="O1368" s="74"/>
      <c r="P1368" s="80"/>
      <c r="Q1368" s="79"/>
      <c r="R1368" s="80"/>
      <c r="S1368" s="78" t="s">
        <v>9108</v>
      </c>
      <c r="T1368" s="101" t="s">
        <v>332</v>
      </c>
      <c r="U1368" s="80" t="s">
        <v>332</v>
      </c>
      <c r="V1368" s="102" t="s">
        <v>429</v>
      </c>
      <c r="W1368" s="79" t="s">
        <v>306</v>
      </c>
      <c r="X1368" s="79" t="s">
        <v>306</v>
      </c>
      <c r="Y1368" s="79" t="s">
        <v>309</v>
      </c>
      <c r="Z1368" s="79"/>
    </row>
    <row r="1369" ht="15.0" customHeight="1">
      <c r="A1369" s="76" t="s">
        <v>247</v>
      </c>
      <c r="B1369" s="77" t="s">
        <v>7710</v>
      </c>
      <c r="C1369" s="80">
        <v>3.0580975573E10</v>
      </c>
      <c r="D1369" s="79" t="s">
        <v>264</v>
      </c>
      <c r="E1369" s="79" t="s">
        <v>898</v>
      </c>
      <c r="F1369" s="44">
        <v>3811.0</v>
      </c>
      <c r="G1369" s="79" t="s">
        <v>68</v>
      </c>
      <c r="H1369" s="80">
        <v>1702.0</v>
      </c>
      <c r="I1369" s="79">
        <v>265101.0</v>
      </c>
      <c r="J1369" s="83" t="s">
        <v>207</v>
      </c>
      <c r="K1369" s="79" t="s">
        <v>2794</v>
      </c>
      <c r="L1369" s="79"/>
      <c r="M1369" s="79"/>
      <c r="N1369" s="79">
        <v>10.0</v>
      </c>
      <c r="O1369" s="74" t="s">
        <v>9110</v>
      </c>
      <c r="P1369" s="78" t="s">
        <v>9111</v>
      </c>
      <c r="Q1369" s="79"/>
      <c r="R1369" s="80"/>
      <c r="S1369" s="80" t="s">
        <v>9112</v>
      </c>
      <c r="T1369" s="101" t="s">
        <v>9113</v>
      </c>
      <c r="U1369" s="80" t="s">
        <v>9114</v>
      </c>
      <c r="V1369" s="102" t="s">
        <v>429</v>
      </c>
      <c r="W1369" s="79" t="s">
        <v>309</v>
      </c>
      <c r="X1369" s="79" t="s">
        <v>309</v>
      </c>
      <c r="Y1369" s="79" t="s">
        <v>309</v>
      </c>
      <c r="Z1369" s="79"/>
    </row>
    <row r="1370" ht="15.0" customHeight="1">
      <c r="A1370" s="76" t="s">
        <v>247</v>
      </c>
      <c r="B1370" s="77" t="s">
        <v>7715</v>
      </c>
      <c r="C1370" s="80">
        <v>3.3627599779E10</v>
      </c>
      <c r="D1370" s="119" t="s">
        <v>264</v>
      </c>
      <c r="E1370" s="79" t="s">
        <v>1079</v>
      </c>
      <c r="F1370" s="44">
        <v>5098.0</v>
      </c>
      <c r="G1370" s="79" t="s">
        <v>15</v>
      </c>
      <c r="H1370" s="80">
        <v>1678.0</v>
      </c>
      <c r="I1370" s="79">
        <v>275099.0</v>
      </c>
      <c r="J1370" s="83" t="s">
        <v>207</v>
      </c>
      <c r="K1370" s="77" t="s">
        <v>1527</v>
      </c>
      <c r="L1370" s="79"/>
      <c r="M1370" s="79"/>
      <c r="N1370" s="79">
        <v>5.0</v>
      </c>
      <c r="O1370" s="74" t="s">
        <v>9116</v>
      </c>
      <c r="P1370" s="78" t="s">
        <v>9117</v>
      </c>
      <c r="Q1370" s="79"/>
      <c r="R1370" s="80"/>
      <c r="S1370" s="80" t="s">
        <v>9118</v>
      </c>
      <c r="T1370" s="101" t="s">
        <v>332</v>
      </c>
      <c r="U1370" s="80" t="s">
        <v>332</v>
      </c>
      <c r="V1370" s="102" t="s">
        <v>9120</v>
      </c>
      <c r="W1370" s="79" t="s">
        <v>309</v>
      </c>
      <c r="X1370" s="79" t="s">
        <v>309</v>
      </c>
      <c r="Y1370" s="79" t="s">
        <v>309</v>
      </c>
      <c r="Z1370" s="79"/>
    </row>
    <row r="1371" ht="15.75" customHeight="1">
      <c r="A1371" s="103" t="s">
        <v>24</v>
      </c>
      <c r="B1371" s="77" t="s">
        <v>9121</v>
      </c>
      <c r="C1371" s="80">
        <v>3.0709635634E10</v>
      </c>
      <c r="D1371" s="79" t="s">
        <v>264</v>
      </c>
      <c r="E1371" s="79" t="s">
        <v>3552</v>
      </c>
      <c r="F1371" s="44">
        <v>3019.0</v>
      </c>
      <c r="G1371" s="79" t="s">
        <v>15</v>
      </c>
      <c r="H1371" s="80">
        <v>1678.0</v>
      </c>
      <c r="I1371" s="79">
        <v>251101.0</v>
      </c>
      <c r="J1371" s="74" t="s">
        <v>347</v>
      </c>
      <c r="K1371" s="79" t="s">
        <v>1486</v>
      </c>
      <c r="L1371" s="79" t="s">
        <v>453</v>
      </c>
      <c r="M1371" s="79"/>
      <c r="N1371" s="79">
        <v>2.0</v>
      </c>
      <c r="O1371" s="74"/>
      <c r="P1371" s="80"/>
      <c r="Q1371" s="79"/>
      <c r="R1371" s="80"/>
      <c r="S1371" s="80" t="s">
        <v>9123</v>
      </c>
      <c r="T1371" s="101" t="s">
        <v>332</v>
      </c>
      <c r="U1371" s="80" t="s">
        <v>332</v>
      </c>
      <c r="V1371" s="102" t="s">
        <v>429</v>
      </c>
      <c r="W1371" s="79" t="s">
        <v>306</v>
      </c>
      <c r="X1371" s="79" t="s">
        <v>306</v>
      </c>
      <c r="Y1371" s="79"/>
      <c r="Z1371" s="79"/>
    </row>
    <row r="1372" ht="15.75" customHeight="1">
      <c r="A1372" s="76" t="s">
        <v>247</v>
      </c>
      <c r="B1372" s="77" t="s">
        <v>7718</v>
      </c>
      <c r="C1372" s="80">
        <v>3.0516752684E10</v>
      </c>
      <c r="D1372" s="79" t="s">
        <v>264</v>
      </c>
      <c r="E1372" s="79" t="s">
        <v>2007</v>
      </c>
      <c r="F1372" s="44">
        <v>5673.0</v>
      </c>
      <c r="G1372" s="79" t="s">
        <v>15</v>
      </c>
      <c r="H1372" s="80">
        <v>1678.0</v>
      </c>
      <c r="I1372" s="79">
        <v>202907.0</v>
      </c>
      <c r="J1372" s="74" t="s">
        <v>316</v>
      </c>
      <c r="K1372" s="79" t="s">
        <v>318</v>
      </c>
      <c r="L1372" s="79"/>
      <c r="M1372" s="79"/>
      <c r="N1372" s="79">
        <v>41.0</v>
      </c>
      <c r="O1372" s="74"/>
      <c r="P1372" s="80"/>
      <c r="Q1372" s="79"/>
      <c r="R1372" s="80"/>
      <c r="S1372" s="78" t="s">
        <v>9125</v>
      </c>
      <c r="T1372" s="101" t="s">
        <v>332</v>
      </c>
      <c r="U1372" s="80" t="s">
        <v>332</v>
      </c>
      <c r="V1372" s="102" t="s">
        <v>9126</v>
      </c>
      <c r="W1372" s="79" t="s">
        <v>309</v>
      </c>
      <c r="X1372" s="79" t="s">
        <v>309</v>
      </c>
      <c r="Y1372" s="79" t="s">
        <v>309</v>
      </c>
      <c r="Z1372" s="79"/>
    </row>
    <row r="1373" ht="15.75" customHeight="1">
      <c r="A1373" s="103" t="s">
        <v>24</v>
      </c>
      <c r="B1373" s="77" t="s">
        <v>9127</v>
      </c>
      <c r="C1373" s="80">
        <v>3.0697635773E10</v>
      </c>
      <c r="D1373" s="79" t="s">
        <v>264</v>
      </c>
      <c r="E1373" s="79" t="s">
        <v>1810</v>
      </c>
      <c r="F1373" s="44">
        <v>3175.0</v>
      </c>
      <c r="G1373" s="79" t="s">
        <v>15</v>
      </c>
      <c r="H1373" s="80">
        <v>1678.0</v>
      </c>
      <c r="I1373" s="79">
        <v>293090.0</v>
      </c>
      <c r="J1373" s="83" t="s">
        <v>37</v>
      </c>
      <c r="K1373" s="77" t="s">
        <v>407</v>
      </c>
      <c r="L1373" s="79"/>
      <c r="M1373" s="79"/>
      <c r="N1373" s="79">
        <v>8.0</v>
      </c>
      <c r="O1373" s="74"/>
      <c r="P1373" s="80"/>
      <c r="Q1373" s="79" t="s">
        <v>9129</v>
      </c>
      <c r="R1373" s="80"/>
      <c r="S1373" s="80" t="s">
        <v>9130</v>
      </c>
      <c r="T1373" s="101" t="s">
        <v>9131</v>
      </c>
      <c r="U1373" s="80" t="s">
        <v>332</v>
      </c>
      <c r="V1373" s="102" t="s">
        <v>429</v>
      </c>
      <c r="W1373" s="79" t="s">
        <v>309</v>
      </c>
      <c r="X1373" s="79" t="s">
        <v>309</v>
      </c>
      <c r="Y1373" s="79" t="s">
        <v>309</v>
      </c>
      <c r="Z1373" s="79"/>
    </row>
    <row r="1374" ht="15.75" customHeight="1">
      <c r="A1374" s="103" t="s">
        <v>24</v>
      </c>
      <c r="B1374" s="77" t="s">
        <v>9133</v>
      </c>
      <c r="C1374" s="80">
        <v>3.0708514329E10</v>
      </c>
      <c r="D1374" s="119" t="s">
        <v>264</v>
      </c>
      <c r="E1374" s="77" t="s">
        <v>2678</v>
      </c>
      <c r="F1374" s="44">
        <v>8141.0</v>
      </c>
      <c r="G1374" s="79" t="s">
        <v>119</v>
      </c>
      <c r="H1374" s="80">
        <v>1657.0</v>
      </c>
      <c r="I1374" s="79">
        <v>410011.0</v>
      </c>
      <c r="J1374" s="74" t="s">
        <v>125</v>
      </c>
      <c r="K1374" s="79" t="s">
        <v>1829</v>
      </c>
      <c r="L1374" s="79" t="s">
        <v>453</v>
      </c>
      <c r="M1374" s="79"/>
      <c r="N1374" s="79">
        <v>0.0</v>
      </c>
      <c r="O1374" s="74"/>
      <c r="P1374" s="80"/>
      <c r="Q1374" s="79"/>
      <c r="R1374" s="80"/>
      <c r="S1374" s="78" t="s">
        <v>9134</v>
      </c>
      <c r="T1374" s="101" t="s">
        <v>9135</v>
      </c>
      <c r="U1374" s="80" t="s">
        <v>332</v>
      </c>
      <c r="V1374" s="102" t="s">
        <v>429</v>
      </c>
      <c r="W1374" s="79" t="s">
        <v>309</v>
      </c>
      <c r="X1374" s="79" t="s">
        <v>309</v>
      </c>
      <c r="Y1374" s="79"/>
      <c r="Z1374" s="79"/>
    </row>
    <row r="1375" ht="15.75" customHeight="1">
      <c r="A1375" s="76" t="s">
        <v>247</v>
      </c>
      <c r="B1375" s="77" t="s">
        <v>7722</v>
      </c>
      <c r="C1375" s="80">
        <v>3.0654024347E10</v>
      </c>
      <c r="D1375" s="79" t="s">
        <v>264</v>
      </c>
      <c r="E1375" s="77" t="s">
        <v>943</v>
      </c>
      <c r="F1375" s="44">
        <v>4655.0</v>
      </c>
      <c r="G1375" s="79" t="s">
        <v>15</v>
      </c>
      <c r="H1375" s="80">
        <v>1678.0</v>
      </c>
      <c r="I1375" s="79">
        <v>251101.0</v>
      </c>
      <c r="J1375" s="74" t="s">
        <v>347</v>
      </c>
      <c r="K1375" s="79" t="s">
        <v>1486</v>
      </c>
      <c r="L1375" s="79" t="s">
        <v>453</v>
      </c>
      <c r="M1375" s="79"/>
      <c r="N1375" s="79">
        <v>7.0</v>
      </c>
      <c r="O1375" s="74"/>
      <c r="P1375" s="80"/>
      <c r="Q1375" s="79"/>
      <c r="R1375" s="80"/>
      <c r="S1375" s="80" t="s">
        <v>9138</v>
      </c>
      <c r="T1375" s="101" t="s">
        <v>332</v>
      </c>
      <c r="U1375" s="80" t="s">
        <v>332</v>
      </c>
      <c r="V1375" s="102" t="s">
        <v>9139</v>
      </c>
      <c r="W1375" s="79" t="s">
        <v>306</v>
      </c>
      <c r="X1375" s="79" t="s">
        <v>306</v>
      </c>
      <c r="Y1375" s="79" t="s">
        <v>309</v>
      </c>
      <c r="Z1375" s="79"/>
    </row>
    <row r="1376" ht="15.75" customHeight="1">
      <c r="A1376" s="103" t="s">
        <v>24</v>
      </c>
      <c r="B1376" s="77" t="s">
        <v>9140</v>
      </c>
      <c r="C1376" s="80">
        <v>3.0710350791E10</v>
      </c>
      <c r="D1376" s="119" t="s">
        <v>264</v>
      </c>
      <c r="E1376" s="77" t="s">
        <v>2383</v>
      </c>
      <c r="F1376" s="44">
        <v>9272.0</v>
      </c>
      <c r="G1376" s="79" t="s">
        <v>175</v>
      </c>
      <c r="H1376" s="80">
        <v>1657.0</v>
      </c>
      <c r="I1376" s="79">
        <v>960990.0</v>
      </c>
      <c r="J1376" s="74" t="s">
        <v>433</v>
      </c>
      <c r="K1376" s="77" t="s">
        <v>3982</v>
      </c>
      <c r="L1376" s="79"/>
      <c r="M1376" s="79"/>
      <c r="N1376" s="79">
        <v>2.0</v>
      </c>
      <c r="O1376" s="74"/>
      <c r="P1376" s="80"/>
      <c r="Q1376" s="79"/>
      <c r="R1376" s="80"/>
      <c r="S1376" s="101" t="s">
        <v>9142</v>
      </c>
      <c r="T1376" s="101" t="s">
        <v>332</v>
      </c>
      <c r="U1376" s="80" t="s">
        <v>332</v>
      </c>
      <c r="V1376" s="102" t="s">
        <v>429</v>
      </c>
      <c r="W1376" s="79" t="s">
        <v>306</v>
      </c>
      <c r="X1376" s="79" t="s">
        <v>306</v>
      </c>
      <c r="Y1376" s="79"/>
      <c r="Z1376" s="79"/>
    </row>
    <row r="1377" ht="15.0" customHeight="1">
      <c r="A1377" s="103" t="s">
        <v>24</v>
      </c>
      <c r="B1377" s="79" t="s">
        <v>9143</v>
      </c>
      <c r="C1377" s="80">
        <v>3.3710568869E10</v>
      </c>
      <c r="D1377" s="119" t="s">
        <v>264</v>
      </c>
      <c r="E1377" s="79" t="s">
        <v>5790</v>
      </c>
      <c r="F1377" s="44">
        <v>3720.0</v>
      </c>
      <c r="G1377" s="79" t="s">
        <v>15</v>
      </c>
      <c r="H1377" s="80">
        <v>1678.0</v>
      </c>
      <c r="I1377" s="79">
        <v>252090.0</v>
      </c>
      <c r="J1377" s="83" t="s">
        <v>568</v>
      </c>
      <c r="K1377" s="77" t="s">
        <v>2920</v>
      </c>
      <c r="L1377" s="79" t="s">
        <v>453</v>
      </c>
      <c r="M1377" s="79"/>
      <c r="N1377" s="79">
        <v>0.0</v>
      </c>
      <c r="O1377" s="74"/>
      <c r="P1377" s="80"/>
      <c r="Q1377" s="79"/>
      <c r="R1377" s="80"/>
      <c r="S1377" s="78" t="s">
        <v>9145</v>
      </c>
      <c r="T1377" s="101" t="s">
        <v>332</v>
      </c>
      <c r="U1377" s="80" t="s">
        <v>332</v>
      </c>
      <c r="V1377" s="102" t="s">
        <v>429</v>
      </c>
      <c r="W1377" s="79" t="s">
        <v>306</v>
      </c>
      <c r="X1377" s="79" t="s">
        <v>306</v>
      </c>
      <c r="Y1377" s="79"/>
      <c r="Z1377" s="79"/>
    </row>
    <row r="1378" ht="15.75" customHeight="1">
      <c r="A1378" s="103" t="s">
        <v>24</v>
      </c>
      <c r="B1378" s="77" t="s">
        <v>9147</v>
      </c>
      <c r="C1378" s="80">
        <v>3.0709680575E10</v>
      </c>
      <c r="D1378" s="119" t="s">
        <v>264</v>
      </c>
      <c r="E1378" s="79" t="s">
        <v>8753</v>
      </c>
      <c r="F1378" s="44">
        <v>187.0</v>
      </c>
      <c r="G1378" s="79" t="s">
        <v>68</v>
      </c>
      <c r="H1378" s="80">
        <v>1702.0</v>
      </c>
      <c r="I1378" s="79">
        <v>821900.0</v>
      </c>
      <c r="J1378" s="74" t="s">
        <v>433</v>
      </c>
      <c r="K1378" s="79" t="s">
        <v>6080</v>
      </c>
      <c r="L1378" s="79"/>
      <c r="M1378" s="79"/>
      <c r="N1378" s="79">
        <v>3.0</v>
      </c>
      <c r="O1378" s="74"/>
      <c r="P1378" s="80"/>
      <c r="Q1378" s="79"/>
      <c r="R1378" s="80"/>
      <c r="S1378" s="80" t="s">
        <v>9149</v>
      </c>
      <c r="T1378" s="101" t="s">
        <v>332</v>
      </c>
      <c r="U1378" s="80" t="s">
        <v>332</v>
      </c>
      <c r="V1378" s="102" t="s">
        <v>429</v>
      </c>
      <c r="W1378" s="79" t="s">
        <v>306</v>
      </c>
      <c r="X1378" s="79" t="s">
        <v>306</v>
      </c>
      <c r="Y1378" s="79"/>
      <c r="Z1378" s="79"/>
    </row>
    <row r="1379" ht="15.0" customHeight="1">
      <c r="A1379" s="103" t="s">
        <v>24</v>
      </c>
      <c r="B1379" s="79" t="s">
        <v>7728</v>
      </c>
      <c r="C1379" s="80">
        <v>3.0646978919E10</v>
      </c>
      <c r="D1379" s="144" t="s">
        <v>631</v>
      </c>
      <c r="E1379" s="79" t="s">
        <v>3405</v>
      </c>
      <c r="F1379" s="44">
        <v>6855.0</v>
      </c>
      <c r="G1379" s="79" t="s">
        <v>269</v>
      </c>
      <c r="H1379" s="80">
        <v>1682.0</v>
      </c>
      <c r="I1379" s="77">
        <v>951200.0</v>
      </c>
      <c r="J1379" s="74" t="s">
        <v>433</v>
      </c>
      <c r="K1379" s="79" t="s">
        <v>9151</v>
      </c>
      <c r="L1379" s="79"/>
      <c r="M1379" s="79"/>
      <c r="N1379" s="79">
        <v>0.0</v>
      </c>
      <c r="O1379" s="74"/>
      <c r="P1379" s="80"/>
      <c r="Q1379" s="79"/>
      <c r="R1379" s="80"/>
      <c r="S1379" s="80"/>
      <c r="T1379" s="101" t="s">
        <v>332</v>
      </c>
      <c r="U1379" s="80" t="s">
        <v>332</v>
      </c>
      <c r="V1379" s="102" t="s">
        <v>429</v>
      </c>
      <c r="W1379" s="79" t="s">
        <v>306</v>
      </c>
      <c r="X1379" s="79" t="s">
        <v>306</v>
      </c>
      <c r="Y1379" s="79" t="s">
        <v>309</v>
      </c>
      <c r="Z1379" s="79"/>
    </row>
    <row r="1380" ht="15.0" customHeight="1">
      <c r="A1380" s="76" t="s">
        <v>247</v>
      </c>
      <c r="B1380" s="77" t="s">
        <v>7730</v>
      </c>
      <c r="C1380" s="80">
        <v>3.3708597509E10</v>
      </c>
      <c r="D1380" s="79" t="s">
        <v>264</v>
      </c>
      <c r="E1380" s="77" t="s">
        <v>3466</v>
      </c>
      <c r="F1380" s="128">
        <v>3873.0</v>
      </c>
      <c r="G1380" s="79" t="s">
        <v>68</v>
      </c>
      <c r="H1380" s="80">
        <v>1702.0</v>
      </c>
      <c r="I1380" s="79">
        <v>259999.0</v>
      </c>
      <c r="J1380" s="74" t="s">
        <v>347</v>
      </c>
      <c r="K1380" s="77" t="s">
        <v>839</v>
      </c>
      <c r="L1380" s="79" t="s">
        <v>453</v>
      </c>
      <c r="M1380" s="79"/>
      <c r="N1380" s="79">
        <v>10.0</v>
      </c>
      <c r="O1380" s="74"/>
      <c r="P1380" s="80"/>
      <c r="Q1380" s="79"/>
      <c r="R1380" s="80"/>
      <c r="S1380" s="78" t="s">
        <v>9153</v>
      </c>
      <c r="T1380" s="85" t="s">
        <v>9154</v>
      </c>
      <c r="U1380" s="80"/>
      <c r="V1380" s="102" t="s">
        <v>9155</v>
      </c>
      <c r="W1380" s="79" t="s">
        <v>306</v>
      </c>
      <c r="X1380" s="79" t="s">
        <v>306</v>
      </c>
      <c r="Y1380" s="79" t="s">
        <v>309</v>
      </c>
      <c r="Z1380" s="79"/>
    </row>
    <row r="1381" ht="15.75" customHeight="1">
      <c r="A1381" s="76" t="s">
        <v>247</v>
      </c>
      <c r="B1381" s="77" t="s">
        <v>2216</v>
      </c>
      <c r="C1381" s="80">
        <v>3.0504812649E10</v>
      </c>
      <c r="D1381" s="79" t="s">
        <v>264</v>
      </c>
      <c r="E1381" s="79" t="s">
        <v>1563</v>
      </c>
      <c r="F1381" s="44">
        <v>4630.0</v>
      </c>
      <c r="G1381" s="79" t="s">
        <v>15</v>
      </c>
      <c r="H1381" s="80">
        <v>1678.0</v>
      </c>
      <c r="I1381" s="79">
        <v>259993.0</v>
      </c>
      <c r="J1381" s="74" t="s">
        <v>347</v>
      </c>
      <c r="K1381" s="79" t="s">
        <v>638</v>
      </c>
      <c r="L1381" s="79" t="s">
        <v>453</v>
      </c>
      <c r="M1381" s="79"/>
      <c r="N1381" s="79">
        <v>6.0</v>
      </c>
      <c r="O1381" s="129" t="s">
        <v>9157</v>
      </c>
      <c r="P1381" s="78" t="s">
        <v>9158</v>
      </c>
      <c r="Q1381" s="79"/>
      <c r="R1381" s="80"/>
      <c r="S1381" s="80" t="s">
        <v>9159</v>
      </c>
      <c r="T1381" s="101"/>
      <c r="U1381" s="80" t="s">
        <v>332</v>
      </c>
      <c r="V1381" s="102" t="s">
        <v>9160</v>
      </c>
      <c r="W1381" s="79" t="s">
        <v>309</v>
      </c>
      <c r="X1381" s="79" t="s">
        <v>309</v>
      </c>
      <c r="Y1381" s="79" t="s">
        <v>309</v>
      </c>
      <c r="Z1381" s="79"/>
    </row>
    <row r="1382" ht="15.75" customHeight="1">
      <c r="A1382" s="103" t="s">
        <v>24</v>
      </c>
      <c r="B1382" s="79" t="s">
        <v>9162</v>
      </c>
      <c r="C1382" s="80">
        <v>3.3621302049E10</v>
      </c>
      <c r="D1382" s="144" t="s">
        <v>631</v>
      </c>
      <c r="E1382" s="79" t="s">
        <v>3987</v>
      </c>
      <c r="F1382" s="44">
        <v>9255.0</v>
      </c>
      <c r="G1382" s="79" t="s">
        <v>119</v>
      </c>
      <c r="H1382" s="80">
        <v>1657.0</v>
      </c>
      <c r="I1382" s="79">
        <v>951315.0</v>
      </c>
      <c r="J1382" s="74" t="s">
        <v>433</v>
      </c>
      <c r="K1382" s="79" t="s">
        <v>9163</v>
      </c>
      <c r="L1382" s="79"/>
      <c r="M1382" s="79"/>
      <c r="N1382" s="79">
        <v>0.0</v>
      </c>
      <c r="O1382" s="74"/>
      <c r="P1382" s="80"/>
      <c r="Q1382" s="79"/>
      <c r="R1382" s="80"/>
      <c r="S1382" s="80" t="s">
        <v>9165</v>
      </c>
      <c r="T1382" s="101" t="s">
        <v>9166</v>
      </c>
      <c r="U1382" s="80" t="s">
        <v>332</v>
      </c>
      <c r="V1382" s="102" t="s">
        <v>9167</v>
      </c>
      <c r="W1382" s="79" t="s">
        <v>306</v>
      </c>
      <c r="X1382" s="79" t="s">
        <v>306</v>
      </c>
      <c r="Y1382" s="79"/>
      <c r="Z1382" s="79"/>
    </row>
    <row r="1383" ht="15.75" customHeight="1">
      <c r="A1383" s="76" t="s">
        <v>247</v>
      </c>
      <c r="B1383" s="77" t="s">
        <v>7737</v>
      </c>
      <c r="C1383" s="80">
        <v>3.0709010235E10</v>
      </c>
      <c r="D1383" s="119" t="s">
        <v>264</v>
      </c>
      <c r="E1383" s="126" t="s">
        <v>3981</v>
      </c>
      <c r="F1383" s="44">
        <v>3366.0</v>
      </c>
      <c r="G1383" s="79" t="s">
        <v>249</v>
      </c>
      <c r="H1383" s="80">
        <v>1676.0</v>
      </c>
      <c r="I1383" s="79">
        <v>851220.0</v>
      </c>
      <c r="J1383" s="74" t="s">
        <v>433</v>
      </c>
      <c r="K1383" s="79" t="s">
        <v>9169</v>
      </c>
      <c r="L1383" s="79"/>
      <c r="M1383" s="79"/>
      <c r="N1383" s="79">
        <v>0.0</v>
      </c>
      <c r="O1383" s="74"/>
      <c r="P1383" s="80"/>
      <c r="Q1383" s="79"/>
      <c r="R1383" s="80"/>
      <c r="S1383" s="78" t="s">
        <v>9171</v>
      </c>
      <c r="T1383" s="101" t="s">
        <v>332</v>
      </c>
      <c r="U1383" s="80" t="s">
        <v>332</v>
      </c>
      <c r="V1383" s="102" t="s">
        <v>9172</v>
      </c>
      <c r="W1383" s="79" t="s">
        <v>306</v>
      </c>
      <c r="X1383" s="79" t="s">
        <v>306</v>
      </c>
      <c r="Y1383" s="79"/>
      <c r="Z1383" s="79"/>
    </row>
    <row r="1384">
      <c r="A1384" s="76" t="s">
        <v>247</v>
      </c>
      <c r="B1384" s="77" t="s">
        <v>7741</v>
      </c>
      <c r="C1384" s="290" t="s">
        <v>2517</v>
      </c>
      <c r="D1384" s="79" t="s">
        <v>264</v>
      </c>
      <c r="E1384" s="79" t="s">
        <v>2669</v>
      </c>
      <c r="F1384" s="44">
        <v>3102.0</v>
      </c>
      <c r="G1384" s="79" t="s">
        <v>15</v>
      </c>
      <c r="H1384" s="80">
        <v>1678.0</v>
      </c>
      <c r="I1384" s="78" t="s">
        <v>2519</v>
      </c>
      <c r="J1384" s="83" t="s">
        <v>2519</v>
      </c>
      <c r="K1384" s="77" t="s">
        <v>2519</v>
      </c>
      <c r="L1384" s="79"/>
      <c r="M1384" s="79"/>
      <c r="N1384" s="79"/>
      <c r="O1384" s="79" t="s">
        <v>9174</v>
      </c>
      <c r="P1384" s="80"/>
      <c r="Q1384" s="79" t="s">
        <v>9176</v>
      </c>
      <c r="R1384" s="80"/>
      <c r="S1384" s="80" t="s">
        <v>9177</v>
      </c>
      <c r="T1384" s="101"/>
      <c r="U1384" s="80"/>
      <c r="V1384" s="102" t="s">
        <v>9178</v>
      </c>
      <c r="W1384" s="79"/>
      <c r="X1384" s="79"/>
      <c r="Y1384" s="79"/>
      <c r="Z1384" s="79"/>
    </row>
    <row r="1385" ht="15.0" customHeight="1">
      <c r="A1385" s="76" t="s">
        <v>247</v>
      </c>
      <c r="B1385" s="77" t="s">
        <v>2227</v>
      </c>
      <c r="C1385" s="80">
        <v>3.0575198348E10</v>
      </c>
      <c r="D1385" s="119" t="s">
        <v>264</v>
      </c>
      <c r="E1385" s="77" t="s">
        <v>2383</v>
      </c>
      <c r="F1385" s="44">
        <v>8890.0</v>
      </c>
      <c r="G1385" s="79" t="s">
        <v>175</v>
      </c>
      <c r="H1385" s="80">
        <v>1657.0</v>
      </c>
      <c r="I1385" s="79">
        <v>282909.0</v>
      </c>
      <c r="J1385" s="74" t="s">
        <v>347</v>
      </c>
      <c r="K1385" s="77" t="s">
        <v>2642</v>
      </c>
      <c r="L1385" s="79" t="s">
        <v>662</v>
      </c>
      <c r="M1385" s="77" t="s">
        <v>9179</v>
      </c>
      <c r="N1385" s="77">
        <v>22.0</v>
      </c>
      <c r="O1385" s="74" t="s">
        <v>9181</v>
      </c>
      <c r="P1385" s="78" t="s">
        <v>9182</v>
      </c>
      <c r="Q1385" s="77" t="s">
        <v>9183</v>
      </c>
      <c r="R1385" s="78" t="s">
        <v>9184</v>
      </c>
      <c r="S1385" s="78" t="s">
        <v>9185</v>
      </c>
      <c r="T1385" s="78" t="s">
        <v>9186</v>
      </c>
      <c r="U1385" s="101" t="s">
        <v>9187</v>
      </c>
      <c r="V1385" s="102" t="s">
        <v>9188</v>
      </c>
      <c r="W1385" s="79" t="s">
        <v>309</v>
      </c>
      <c r="X1385" s="79" t="s">
        <v>309</v>
      </c>
      <c r="Y1385" s="79" t="s">
        <v>309</v>
      </c>
      <c r="Z1385" s="79"/>
    </row>
    <row r="1386" ht="15.75" customHeight="1">
      <c r="A1386" s="76" t="s">
        <v>247</v>
      </c>
      <c r="B1386" s="77" t="s">
        <v>9189</v>
      </c>
      <c r="C1386" s="80">
        <v>2.0340781911E10</v>
      </c>
      <c r="D1386" s="77" t="s">
        <v>631</v>
      </c>
      <c r="E1386" s="126" t="s">
        <v>9190</v>
      </c>
      <c r="F1386" s="44">
        <v>970.0</v>
      </c>
      <c r="G1386" s="79" t="s">
        <v>269</v>
      </c>
      <c r="H1386" s="101">
        <v>1682.0</v>
      </c>
      <c r="I1386" s="77">
        <v>322001.0</v>
      </c>
      <c r="J1386" s="83" t="s">
        <v>313</v>
      </c>
      <c r="K1386" s="79" t="s">
        <v>9192</v>
      </c>
      <c r="L1386" s="79"/>
      <c r="M1386" s="79" t="s">
        <v>9193</v>
      </c>
      <c r="N1386" s="79"/>
      <c r="O1386" s="79" t="s">
        <v>9194</v>
      </c>
      <c r="P1386" s="78" t="s">
        <v>9195</v>
      </c>
      <c r="Q1386" s="176"/>
      <c r="R1386" s="80"/>
      <c r="S1386" s="80"/>
      <c r="T1386" s="101"/>
      <c r="U1386" s="80"/>
      <c r="V1386" s="102" t="s">
        <v>429</v>
      </c>
      <c r="W1386" s="79"/>
      <c r="X1386" s="79"/>
      <c r="Y1386" s="79"/>
      <c r="Z1386" s="79"/>
    </row>
    <row r="1387" ht="15.0" customHeight="1">
      <c r="A1387" s="103" t="s">
        <v>24</v>
      </c>
      <c r="B1387" s="77" t="s">
        <v>9196</v>
      </c>
      <c r="C1387" s="80">
        <v>3.0714565474E10</v>
      </c>
      <c r="D1387" s="119" t="s">
        <v>264</v>
      </c>
      <c r="E1387" s="119" t="s">
        <v>1422</v>
      </c>
      <c r="F1387" s="44">
        <v>1538.0</v>
      </c>
      <c r="G1387" s="79" t="s">
        <v>134</v>
      </c>
      <c r="H1387" s="80">
        <v>1682.0</v>
      </c>
      <c r="I1387" s="79">
        <v>104011.0</v>
      </c>
      <c r="J1387" s="74" t="s">
        <v>5</v>
      </c>
      <c r="K1387" s="79" t="s">
        <v>4443</v>
      </c>
      <c r="L1387" s="79"/>
      <c r="M1387" s="79"/>
      <c r="N1387" s="79">
        <v>0.0</v>
      </c>
      <c r="O1387" s="74"/>
      <c r="P1387" s="80"/>
      <c r="Q1387" s="79"/>
      <c r="R1387" s="80"/>
      <c r="S1387" s="80" t="s">
        <v>9198</v>
      </c>
      <c r="T1387" s="101" t="s">
        <v>332</v>
      </c>
      <c r="U1387" s="80" t="s">
        <v>332</v>
      </c>
      <c r="V1387" s="102" t="s">
        <v>429</v>
      </c>
      <c r="W1387" s="79" t="s">
        <v>306</v>
      </c>
      <c r="X1387" s="79" t="s">
        <v>306</v>
      </c>
      <c r="Y1387" s="79"/>
      <c r="Z1387" s="79"/>
    </row>
    <row r="1388" ht="15.0" customHeight="1">
      <c r="A1388" s="76" t="s">
        <v>247</v>
      </c>
      <c r="B1388" s="77" t="s">
        <v>2234</v>
      </c>
      <c r="C1388" s="80">
        <v>2.3127140979E10</v>
      </c>
      <c r="D1388" s="77" t="s">
        <v>631</v>
      </c>
      <c r="E1388" s="77" t="s">
        <v>1458</v>
      </c>
      <c r="F1388" s="44">
        <v>4970.0</v>
      </c>
      <c r="G1388" s="79" t="s">
        <v>15</v>
      </c>
      <c r="H1388" s="80">
        <v>1678.0</v>
      </c>
      <c r="I1388" s="79">
        <v>259309.0</v>
      </c>
      <c r="J1388" s="74" t="s">
        <v>347</v>
      </c>
      <c r="K1388" s="77" t="s">
        <v>1121</v>
      </c>
      <c r="L1388" s="79" t="s">
        <v>286</v>
      </c>
      <c r="M1388" s="79" t="s">
        <v>9200</v>
      </c>
      <c r="N1388" s="79">
        <v>4.0</v>
      </c>
      <c r="O1388" s="74" t="s">
        <v>9201</v>
      </c>
      <c r="P1388" s="78" t="s">
        <v>9202</v>
      </c>
      <c r="Q1388" s="79"/>
      <c r="R1388" s="80"/>
      <c r="S1388" s="80"/>
      <c r="T1388" s="101"/>
      <c r="U1388" s="80"/>
      <c r="V1388" s="102" t="s">
        <v>9203</v>
      </c>
      <c r="W1388" s="79"/>
      <c r="X1388" s="79"/>
      <c r="Y1388" s="79" t="s">
        <v>309</v>
      </c>
      <c r="Z1388" s="79"/>
    </row>
    <row r="1389" ht="15.75" customHeight="1">
      <c r="A1389" s="76" t="s">
        <v>247</v>
      </c>
      <c r="B1389" s="79" t="s">
        <v>4253</v>
      </c>
      <c r="C1389" s="80">
        <v>3.0715604333E10</v>
      </c>
      <c r="D1389" s="79" t="s">
        <v>264</v>
      </c>
      <c r="E1389" s="79" t="s">
        <v>3052</v>
      </c>
      <c r="F1389" s="44">
        <v>180.0</v>
      </c>
      <c r="G1389" s="79" t="s">
        <v>68</v>
      </c>
      <c r="H1389" s="80">
        <v>1702.0</v>
      </c>
      <c r="I1389" s="79">
        <v>282500.0</v>
      </c>
      <c r="J1389" s="74" t="s">
        <v>261</v>
      </c>
      <c r="K1389" s="144" t="s">
        <v>2498</v>
      </c>
      <c r="L1389" s="79" t="s">
        <v>6508</v>
      </c>
      <c r="M1389" s="79" t="s">
        <v>9205</v>
      </c>
      <c r="N1389" s="79"/>
      <c r="O1389" s="74" t="s">
        <v>9206</v>
      </c>
      <c r="P1389" s="80"/>
      <c r="Q1389" s="79" t="s">
        <v>9207</v>
      </c>
      <c r="R1389" s="78" t="s">
        <v>9208</v>
      </c>
      <c r="S1389" s="80" t="s">
        <v>9209</v>
      </c>
      <c r="T1389" s="101" t="s">
        <v>9211</v>
      </c>
      <c r="U1389" s="80"/>
      <c r="V1389" s="102" t="s">
        <v>9212</v>
      </c>
      <c r="W1389" s="79"/>
      <c r="X1389" s="79"/>
      <c r="Y1389" s="79"/>
      <c r="Z1389" s="79"/>
    </row>
    <row r="1390" ht="15.0" customHeight="1">
      <c r="A1390" s="103" t="s">
        <v>24</v>
      </c>
      <c r="B1390" s="77" t="s">
        <v>9213</v>
      </c>
      <c r="C1390" s="80">
        <v>3.0709867497E10</v>
      </c>
      <c r="D1390" s="79" t="s">
        <v>264</v>
      </c>
      <c r="E1390" s="79" t="s">
        <v>9214</v>
      </c>
      <c r="F1390" s="44">
        <v>2088.0</v>
      </c>
      <c r="G1390" s="79" t="s">
        <v>134</v>
      </c>
      <c r="H1390" s="80">
        <v>1682.0</v>
      </c>
      <c r="I1390" s="79">
        <v>361010.0</v>
      </c>
      <c r="J1390" s="74" t="s">
        <v>313</v>
      </c>
      <c r="K1390" s="79" t="s">
        <v>2534</v>
      </c>
      <c r="L1390" s="79" t="s">
        <v>1122</v>
      </c>
      <c r="M1390" s="79"/>
      <c r="N1390" s="79">
        <v>0.0</v>
      </c>
      <c r="O1390" s="74"/>
      <c r="P1390" s="80"/>
      <c r="Q1390" s="79"/>
      <c r="R1390" s="80"/>
      <c r="S1390" s="80" t="s">
        <v>9216</v>
      </c>
      <c r="T1390" s="101" t="s">
        <v>332</v>
      </c>
      <c r="U1390" s="80" t="s">
        <v>332</v>
      </c>
      <c r="V1390" s="102" t="s">
        <v>429</v>
      </c>
      <c r="W1390" s="79" t="s">
        <v>306</v>
      </c>
      <c r="X1390" s="79" t="s">
        <v>306</v>
      </c>
      <c r="Y1390" s="79"/>
      <c r="Z1390" s="79"/>
    </row>
    <row r="1391" ht="15.0" customHeight="1">
      <c r="A1391" s="76" t="s">
        <v>247</v>
      </c>
      <c r="B1391" s="77" t="s">
        <v>7754</v>
      </c>
      <c r="C1391" s="80">
        <v>3.0708093536E10</v>
      </c>
      <c r="D1391" s="119" t="s">
        <v>264</v>
      </c>
      <c r="E1391" s="79" t="s">
        <v>2143</v>
      </c>
      <c r="F1391" s="44">
        <v>871.0</v>
      </c>
      <c r="G1391" s="79" t="s">
        <v>68</v>
      </c>
      <c r="H1391" s="80">
        <v>1702.0</v>
      </c>
      <c r="I1391" s="79">
        <v>107121.0</v>
      </c>
      <c r="J1391" s="74" t="s">
        <v>22</v>
      </c>
      <c r="K1391" s="79" t="s">
        <v>1392</v>
      </c>
      <c r="L1391" s="79"/>
      <c r="M1391" s="79"/>
      <c r="N1391" s="79">
        <v>12.0</v>
      </c>
      <c r="O1391" s="74" t="s">
        <v>9218</v>
      </c>
      <c r="P1391" s="80"/>
      <c r="Q1391" s="79" t="s">
        <v>9219</v>
      </c>
      <c r="R1391" s="80"/>
      <c r="S1391" s="78" t="s">
        <v>9220</v>
      </c>
      <c r="T1391" s="85" t="s">
        <v>9221</v>
      </c>
      <c r="U1391" s="78">
        <v>9.75988177E8</v>
      </c>
      <c r="V1391" s="102" t="s">
        <v>429</v>
      </c>
      <c r="W1391" s="79" t="s">
        <v>306</v>
      </c>
      <c r="X1391" s="79" t="s">
        <v>306</v>
      </c>
      <c r="Y1391" s="79" t="s">
        <v>309</v>
      </c>
      <c r="Z1391" s="79"/>
    </row>
    <row r="1392" ht="15.0" customHeight="1">
      <c r="A1392" s="103" t="s">
        <v>24</v>
      </c>
      <c r="B1392" s="77" t="s">
        <v>9223</v>
      </c>
      <c r="C1392" s="80">
        <v>3.0709277118E10</v>
      </c>
      <c r="D1392" s="119" t="s">
        <v>264</v>
      </c>
      <c r="E1392" s="77" t="s">
        <v>9224</v>
      </c>
      <c r="F1392" s="44">
        <v>5637.0</v>
      </c>
      <c r="G1392" s="79" t="s">
        <v>269</v>
      </c>
      <c r="H1392" s="80">
        <v>1682.0</v>
      </c>
      <c r="I1392" s="79">
        <v>410011.0</v>
      </c>
      <c r="J1392" s="74" t="s">
        <v>125</v>
      </c>
      <c r="K1392" s="79" t="s">
        <v>1829</v>
      </c>
      <c r="L1392" s="79" t="s">
        <v>453</v>
      </c>
      <c r="M1392" s="79"/>
      <c r="N1392" s="79">
        <v>7.0</v>
      </c>
      <c r="O1392" s="83" t="s">
        <v>9225</v>
      </c>
      <c r="P1392" s="80"/>
      <c r="Q1392" s="77" t="s">
        <v>9226</v>
      </c>
      <c r="R1392" s="80"/>
      <c r="S1392" s="80"/>
      <c r="T1392" s="101" t="s">
        <v>332</v>
      </c>
      <c r="U1392" s="80" t="s">
        <v>332</v>
      </c>
      <c r="V1392" s="102" t="s">
        <v>429</v>
      </c>
      <c r="W1392" s="79" t="s">
        <v>306</v>
      </c>
      <c r="X1392" s="79" t="s">
        <v>306</v>
      </c>
      <c r="Y1392" s="79"/>
      <c r="Z1392" s="79"/>
    </row>
    <row r="1393" ht="15.75" customHeight="1">
      <c r="A1393" s="76" t="s">
        <v>247</v>
      </c>
      <c r="B1393" s="77" t="s">
        <v>2237</v>
      </c>
      <c r="C1393" s="80">
        <v>2.0302795801E10</v>
      </c>
      <c r="D1393" s="144" t="s">
        <v>631</v>
      </c>
      <c r="E1393" s="77" t="s">
        <v>1828</v>
      </c>
      <c r="F1393" s="44">
        <v>950.0</v>
      </c>
      <c r="G1393" s="77" t="s">
        <v>226</v>
      </c>
      <c r="H1393" s="80">
        <v>1674.0</v>
      </c>
      <c r="I1393" s="78" t="s">
        <v>2519</v>
      </c>
      <c r="J1393" s="74" t="s">
        <v>22</v>
      </c>
      <c r="K1393" s="79" t="s">
        <v>9228</v>
      </c>
      <c r="L1393" s="79" t="s">
        <v>369</v>
      </c>
      <c r="M1393" s="79" t="s">
        <v>9229</v>
      </c>
      <c r="N1393" s="79"/>
      <c r="O1393" s="79" t="s">
        <v>9230</v>
      </c>
      <c r="P1393" s="78" t="s">
        <v>9231</v>
      </c>
      <c r="Q1393" s="79"/>
      <c r="R1393" s="80"/>
      <c r="S1393" s="78" t="s">
        <v>9232</v>
      </c>
      <c r="T1393" s="101"/>
      <c r="U1393" s="80"/>
      <c r="V1393" s="102" t="s">
        <v>9233</v>
      </c>
      <c r="W1393" s="79"/>
      <c r="X1393" s="79"/>
      <c r="Y1393" s="79"/>
      <c r="Z1393" s="79"/>
    </row>
    <row r="1394" ht="15.0" customHeight="1">
      <c r="A1394" s="76" t="s">
        <v>247</v>
      </c>
      <c r="B1394" s="77" t="s">
        <v>9235</v>
      </c>
      <c r="C1394" s="80">
        <v>3.0708903279E10</v>
      </c>
      <c r="D1394" s="79" t="s">
        <v>264</v>
      </c>
      <c r="E1394" s="79" t="s">
        <v>9236</v>
      </c>
      <c r="F1394" s="44">
        <v>4679.0</v>
      </c>
      <c r="G1394" s="79" t="s">
        <v>15</v>
      </c>
      <c r="H1394" s="80">
        <v>1678.0</v>
      </c>
      <c r="I1394" s="79">
        <v>222010.0</v>
      </c>
      <c r="J1394" s="83" t="s">
        <v>568</v>
      </c>
      <c r="K1394" s="144" t="s">
        <v>1170</v>
      </c>
      <c r="L1394" s="79" t="s">
        <v>453</v>
      </c>
      <c r="M1394" s="79" t="s">
        <v>9238</v>
      </c>
      <c r="N1394" s="79"/>
      <c r="O1394" s="79" t="s">
        <v>9239</v>
      </c>
      <c r="P1394" s="80"/>
      <c r="Q1394" s="79"/>
      <c r="R1394" s="80"/>
      <c r="S1394" s="80" t="s">
        <v>9240</v>
      </c>
      <c r="T1394" s="101" t="s">
        <v>9241</v>
      </c>
      <c r="U1394" s="80"/>
      <c r="V1394" s="102" t="s">
        <v>9242</v>
      </c>
      <c r="W1394" s="79"/>
      <c r="X1394" s="79"/>
      <c r="Y1394" s="79"/>
      <c r="Z1394" s="79"/>
    </row>
    <row r="1395" ht="15.75" customHeight="1">
      <c r="A1395" s="103" t="s">
        <v>24</v>
      </c>
      <c r="B1395" s="79" t="s">
        <v>2244</v>
      </c>
      <c r="C1395" s="80">
        <v>3.0586686417E10</v>
      </c>
      <c r="D1395" s="144" t="s">
        <v>631</v>
      </c>
      <c r="E1395" s="77" t="s">
        <v>9244</v>
      </c>
      <c r="F1395" s="44">
        <v>150.0</v>
      </c>
      <c r="G1395" s="79" t="s">
        <v>68</v>
      </c>
      <c r="H1395" s="80">
        <v>1702.0</v>
      </c>
      <c r="I1395" s="79">
        <v>311715.0</v>
      </c>
      <c r="J1395" s="74" t="s">
        <v>22</v>
      </c>
      <c r="K1395" s="77" t="s">
        <v>9245</v>
      </c>
      <c r="L1395" s="79"/>
      <c r="M1395" s="79"/>
      <c r="N1395" s="79">
        <v>0.0</v>
      </c>
      <c r="O1395" s="74"/>
      <c r="P1395" s="78" t="s">
        <v>7449</v>
      </c>
      <c r="Q1395" s="79"/>
      <c r="R1395" s="80"/>
      <c r="S1395" s="80" t="s">
        <v>9247</v>
      </c>
      <c r="T1395" s="101" t="s">
        <v>332</v>
      </c>
      <c r="U1395" s="80" t="s">
        <v>332</v>
      </c>
      <c r="V1395" s="102" t="s">
        <v>429</v>
      </c>
      <c r="W1395" s="79" t="s">
        <v>306</v>
      </c>
      <c r="X1395" s="79" t="s">
        <v>306</v>
      </c>
      <c r="Y1395" s="79"/>
      <c r="Z1395" s="79"/>
    </row>
    <row r="1396" ht="15.0" customHeight="1">
      <c r="A1396" s="103" t="s">
        <v>24</v>
      </c>
      <c r="B1396" s="77" t="s">
        <v>9248</v>
      </c>
      <c r="C1396" s="80">
        <v>3.0712382402E10</v>
      </c>
      <c r="D1396" s="119" t="s">
        <v>264</v>
      </c>
      <c r="E1396" s="77" t="s">
        <v>2678</v>
      </c>
      <c r="F1396" s="44">
        <v>9271.0</v>
      </c>
      <c r="G1396" s="79" t="s">
        <v>119</v>
      </c>
      <c r="H1396" s="80">
        <v>1657.0</v>
      </c>
      <c r="I1396" s="79">
        <v>107129.0</v>
      </c>
      <c r="J1396" s="74" t="s">
        <v>22</v>
      </c>
      <c r="K1396" s="77" t="s">
        <v>9250</v>
      </c>
      <c r="L1396" s="79"/>
      <c r="M1396" s="79" t="s">
        <v>9251</v>
      </c>
      <c r="N1396" s="79">
        <v>4.0</v>
      </c>
      <c r="O1396" s="74"/>
      <c r="P1396" s="80"/>
      <c r="Q1396" s="79"/>
      <c r="R1396" s="80"/>
      <c r="S1396" s="78" t="s">
        <v>9252</v>
      </c>
      <c r="T1396" s="101" t="s">
        <v>332</v>
      </c>
      <c r="U1396" s="80" t="s">
        <v>332</v>
      </c>
      <c r="V1396" s="102" t="s">
        <v>9253</v>
      </c>
      <c r="W1396" s="79" t="s">
        <v>306</v>
      </c>
      <c r="X1396" s="79" t="s">
        <v>306</v>
      </c>
      <c r="Y1396" s="79"/>
      <c r="Z1396" s="79"/>
    </row>
    <row r="1397" ht="15.0" customHeight="1">
      <c r="A1397" s="76" t="s">
        <v>247</v>
      </c>
      <c r="B1397" s="77" t="s">
        <v>7764</v>
      </c>
      <c r="C1397" s="80">
        <v>3.070970547E10</v>
      </c>
      <c r="D1397" s="119" t="s">
        <v>264</v>
      </c>
      <c r="E1397" s="79" t="s">
        <v>2333</v>
      </c>
      <c r="F1397" s="44">
        <v>4426.0</v>
      </c>
      <c r="G1397" s="79" t="s">
        <v>68</v>
      </c>
      <c r="H1397" s="80">
        <v>1702.0</v>
      </c>
      <c r="I1397" s="79">
        <v>222010.0</v>
      </c>
      <c r="J1397" s="83" t="s">
        <v>568</v>
      </c>
      <c r="K1397" s="79" t="s">
        <v>1170</v>
      </c>
      <c r="L1397" s="79" t="s">
        <v>453</v>
      </c>
      <c r="M1397" s="79"/>
      <c r="N1397" s="79">
        <v>2.0</v>
      </c>
      <c r="O1397" s="74"/>
      <c r="P1397" s="80"/>
      <c r="Q1397" s="79"/>
      <c r="R1397" s="80"/>
      <c r="S1397" s="78" t="s">
        <v>9255</v>
      </c>
      <c r="T1397" s="85" t="s">
        <v>9256</v>
      </c>
      <c r="U1397" s="78" t="s">
        <v>9257</v>
      </c>
      <c r="V1397" s="102" t="s">
        <v>9258</v>
      </c>
      <c r="W1397" s="79" t="s">
        <v>309</v>
      </c>
      <c r="X1397" s="79" t="s">
        <v>309</v>
      </c>
      <c r="Y1397" s="79"/>
      <c r="Z1397" s="79"/>
    </row>
    <row r="1398" ht="15.75" customHeight="1">
      <c r="A1398" s="103" t="s">
        <v>24</v>
      </c>
      <c r="B1398" s="77" t="s">
        <v>9260</v>
      </c>
      <c r="C1398" s="80">
        <v>3.0575654483E10</v>
      </c>
      <c r="D1398" s="119" t="s">
        <v>264</v>
      </c>
      <c r="E1398" s="79" t="s">
        <v>1246</v>
      </c>
      <c r="F1398" s="44">
        <v>232.0</v>
      </c>
      <c r="G1398" s="79" t="s">
        <v>68</v>
      </c>
      <c r="H1398" s="80">
        <v>1702.0</v>
      </c>
      <c r="I1398" s="79">
        <v>526909.0</v>
      </c>
      <c r="J1398" s="74" t="s">
        <v>433</v>
      </c>
      <c r="K1398" s="77" t="s">
        <v>2096</v>
      </c>
      <c r="L1398" s="79"/>
      <c r="M1398" s="79"/>
      <c r="N1398" s="79">
        <v>0.0</v>
      </c>
      <c r="O1398" s="74"/>
      <c r="P1398" s="80"/>
      <c r="Q1398" s="79"/>
      <c r="R1398" s="80"/>
      <c r="S1398" s="78" t="s">
        <v>9262</v>
      </c>
      <c r="T1398" s="85" t="s">
        <v>9263</v>
      </c>
      <c r="U1398" s="80" t="s">
        <v>332</v>
      </c>
      <c r="V1398" s="102" t="s">
        <v>429</v>
      </c>
      <c r="W1398" s="79" t="s">
        <v>306</v>
      </c>
      <c r="X1398" s="79" t="s">
        <v>306</v>
      </c>
      <c r="Y1398" s="79"/>
      <c r="Z1398" s="79"/>
    </row>
    <row r="1399" ht="15.0" customHeight="1">
      <c r="A1399" s="76" t="s">
        <v>247</v>
      </c>
      <c r="B1399" s="79" t="s">
        <v>7767</v>
      </c>
      <c r="C1399" s="80">
        <v>3.0710652755E10</v>
      </c>
      <c r="D1399" s="79" t="s">
        <v>264</v>
      </c>
      <c r="E1399" s="77" t="s">
        <v>9264</v>
      </c>
      <c r="F1399" s="44">
        <v>2070.0</v>
      </c>
      <c r="G1399" s="79" t="s">
        <v>97</v>
      </c>
      <c r="H1399" s="80">
        <v>1702.0</v>
      </c>
      <c r="I1399" s="79">
        <v>259993.0</v>
      </c>
      <c r="J1399" s="74" t="s">
        <v>347</v>
      </c>
      <c r="K1399" s="129" t="s">
        <v>638</v>
      </c>
      <c r="L1399" s="79" t="s">
        <v>453</v>
      </c>
      <c r="M1399" s="79"/>
      <c r="N1399" s="79">
        <v>2.0</v>
      </c>
      <c r="O1399" s="74"/>
      <c r="P1399" s="80"/>
      <c r="Q1399" s="79"/>
      <c r="R1399" s="80"/>
      <c r="S1399" s="80" t="s">
        <v>9266</v>
      </c>
      <c r="T1399" s="101" t="s">
        <v>332</v>
      </c>
      <c r="U1399" s="80" t="s">
        <v>332</v>
      </c>
      <c r="V1399" s="102" t="s">
        <v>429</v>
      </c>
      <c r="W1399" s="79" t="s">
        <v>306</v>
      </c>
      <c r="X1399" s="79" t="s">
        <v>306</v>
      </c>
      <c r="Y1399" s="79" t="s">
        <v>309</v>
      </c>
      <c r="Z1399" s="79"/>
    </row>
    <row r="1400" ht="15.75" customHeight="1">
      <c r="A1400" s="76" t="s">
        <v>247</v>
      </c>
      <c r="B1400" s="77" t="s">
        <v>7771</v>
      </c>
      <c r="C1400" s="114">
        <v>3.3710854489E10</v>
      </c>
      <c r="D1400" s="79" t="s">
        <v>264</v>
      </c>
      <c r="E1400" s="77" t="s">
        <v>1806</v>
      </c>
      <c r="F1400" s="44">
        <v>4377.0</v>
      </c>
      <c r="G1400" s="79" t="s">
        <v>15</v>
      </c>
      <c r="H1400" s="80">
        <v>1678.0</v>
      </c>
      <c r="I1400" s="77">
        <v>222090.0</v>
      </c>
      <c r="J1400" s="83" t="s">
        <v>568</v>
      </c>
      <c r="K1400" s="77" t="s">
        <v>569</v>
      </c>
      <c r="L1400" s="79" t="s">
        <v>453</v>
      </c>
      <c r="M1400" s="79"/>
      <c r="N1400" s="79">
        <v>9.0</v>
      </c>
      <c r="O1400" s="83" t="s">
        <v>9268</v>
      </c>
      <c r="P1400" s="78" t="s">
        <v>9269</v>
      </c>
      <c r="Q1400" s="79"/>
      <c r="R1400" s="80"/>
      <c r="S1400" s="80" t="s">
        <v>9270</v>
      </c>
      <c r="T1400" s="101" t="s">
        <v>332</v>
      </c>
      <c r="U1400" s="80" t="s">
        <v>332</v>
      </c>
      <c r="V1400" s="102" t="s">
        <v>9271</v>
      </c>
      <c r="W1400" s="79" t="s">
        <v>306</v>
      </c>
      <c r="X1400" s="79" t="s">
        <v>306</v>
      </c>
      <c r="Y1400" s="79" t="s">
        <v>309</v>
      </c>
      <c r="Z1400" s="79"/>
    </row>
    <row r="1401" ht="15.75" customHeight="1">
      <c r="A1401" s="76" t="s">
        <v>247</v>
      </c>
      <c r="B1401" s="77" t="s">
        <v>7779</v>
      </c>
      <c r="C1401" s="79">
        <v>3.058334607E10</v>
      </c>
      <c r="D1401" s="77" t="s">
        <v>264</v>
      </c>
      <c r="E1401" s="79" t="s">
        <v>742</v>
      </c>
      <c r="F1401" s="44">
        <v>4266.0</v>
      </c>
      <c r="G1401" s="79" t="s">
        <v>15</v>
      </c>
      <c r="H1401" s="80">
        <v>1678.0</v>
      </c>
      <c r="I1401" s="79">
        <v>432920.0</v>
      </c>
      <c r="J1401" s="74" t="s">
        <v>433</v>
      </c>
      <c r="K1401" s="291" t="s">
        <v>9273</v>
      </c>
      <c r="L1401" s="79"/>
      <c r="M1401" s="79"/>
      <c r="N1401" s="79">
        <v>5.0</v>
      </c>
      <c r="O1401" s="74"/>
      <c r="P1401" s="80"/>
      <c r="Q1401" s="77" t="s">
        <v>9274</v>
      </c>
      <c r="R1401" s="80"/>
      <c r="S1401" s="114" t="s">
        <v>9275</v>
      </c>
      <c r="T1401" s="101" t="s">
        <v>332</v>
      </c>
      <c r="U1401" s="80" t="s">
        <v>332</v>
      </c>
      <c r="V1401" s="102" t="s">
        <v>429</v>
      </c>
      <c r="W1401" s="79" t="s">
        <v>309</v>
      </c>
      <c r="X1401" s="79" t="s">
        <v>309</v>
      </c>
      <c r="Y1401" s="79" t="s">
        <v>309</v>
      </c>
      <c r="Z1401" s="79"/>
    </row>
    <row r="1402" ht="15.75" customHeight="1">
      <c r="A1402" s="76" t="s">
        <v>247</v>
      </c>
      <c r="B1402" s="77" t="s">
        <v>2252</v>
      </c>
      <c r="C1402" s="80">
        <v>3.0710373716E10</v>
      </c>
      <c r="D1402" s="119" t="s">
        <v>264</v>
      </c>
      <c r="E1402" s="79" t="s">
        <v>1114</v>
      </c>
      <c r="F1402" s="44">
        <v>4379.0</v>
      </c>
      <c r="G1402" s="79" t="s">
        <v>68</v>
      </c>
      <c r="H1402" s="80">
        <v>1702.0</v>
      </c>
      <c r="I1402" s="79">
        <v>711003.0</v>
      </c>
      <c r="J1402" s="83" t="s">
        <v>207</v>
      </c>
      <c r="K1402" s="77" t="s">
        <v>9277</v>
      </c>
      <c r="L1402" s="79"/>
      <c r="M1402" s="79" t="s">
        <v>9278</v>
      </c>
      <c r="N1402" s="79">
        <v>7.0</v>
      </c>
      <c r="O1402" s="74" t="s">
        <v>9279</v>
      </c>
      <c r="P1402" s="78" t="s">
        <v>9280</v>
      </c>
      <c r="Q1402" s="59"/>
      <c r="R1402" s="80"/>
      <c r="S1402" s="78" t="s">
        <v>9281</v>
      </c>
      <c r="T1402" s="85" t="s">
        <v>9280</v>
      </c>
      <c r="U1402" s="80" t="s">
        <v>332</v>
      </c>
      <c r="V1402" s="102" t="s">
        <v>9283</v>
      </c>
      <c r="W1402" s="79" t="s">
        <v>306</v>
      </c>
      <c r="X1402" s="79" t="s">
        <v>306</v>
      </c>
      <c r="Y1402" s="79" t="s">
        <v>309</v>
      </c>
      <c r="Z1402" s="79"/>
    </row>
    <row r="1403" ht="15.0" customHeight="1">
      <c r="A1403" s="76" t="s">
        <v>247</v>
      </c>
      <c r="B1403" s="77" t="s">
        <v>7786</v>
      </c>
      <c r="C1403" s="80">
        <v>3.0710227337E10</v>
      </c>
      <c r="D1403" s="119" t="s">
        <v>264</v>
      </c>
      <c r="E1403" s="126" t="s">
        <v>985</v>
      </c>
      <c r="F1403" s="44">
        <v>3708.0</v>
      </c>
      <c r="G1403" s="79" t="s">
        <v>15</v>
      </c>
      <c r="H1403" s="80">
        <v>1678.0</v>
      </c>
      <c r="I1403" s="79">
        <v>829200.0</v>
      </c>
      <c r="J1403" s="74" t="s">
        <v>433</v>
      </c>
      <c r="K1403" s="79" t="s">
        <v>3092</v>
      </c>
      <c r="L1403" s="79"/>
      <c r="M1403" s="79"/>
      <c r="N1403" s="79">
        <v>17.0</v>
      </c>
      <c r="O1403" s="74"/>
      <c r="P1403" s="80"/>
      <c r="Q1403" s="79"/>
      <c r="R1403" s="80"/>
      <c r="S1403" s="78" t="s">
        <v>9285</v>
      </c>
      <c r="T1403" s="101" t="s">
        <v>332</v>
      </c>
      <c r="U1403" s="80" t="s">
        <v>332</v>
      </c>
      <c r="V1403" s="102" t="s">
        <v>9286</v>
      </c>
      <c r="W1403" s="79" t="s">
        <v>306</v>
      </c>
      <c r="X1403" s="79" t="s">
        <v>306</v>
      </c>
      <c r="Y1403" s="79"/>
      <c r="Z1403" s="79"/>
    </row>
    <row r="1404" ht="15.75" customHeight="1">
      <c r="A1404" s="76" t="s">
        <v>247</v>
      </c>
      <c r="B1404" s="77" t="s">
        <v>7788</v>
      </c>
      <c r="C1404" s="80">
        <v>3.0712218157E10</v>
      </c>
      <c r="D1404" s="79" t="s">
        <v>264</v>
      </c>
      <c r="E1404" s="79" t="s">
        <v>2348</v>
      </c>
      <c r="F1404" s="44">
        <v>469.0</v>
      </c>
      <c r="G1404" s="79" t="s">
        <v>68</v>
      </c>
      <c r="H1404" s="80">
        <v>1702.0</v>
      </c>
      <c r="I1404" s="79">
        <v>259999.0</v>
      </c>
      <c r="J1404" s="74" t="s">
        <v>347</v>
      </c>
      <c r="K1404" s="77" t="s">
        <v>839</v>
      </c>
      <c r="L1404" s="79" t="s">
        <v>453</v>
      </c>
      <c r="M1404" s="79"/>
      <c r="N1404" s="79">
        <v>0.0</v>
      </c>
      <c r="O1404" s="74"/>
      <c r="P1404" s="80"/>
      <c r="Q1404" s="79"/>
      <c r="R1404" s="80"/>
      <c r="S1404" s="78" t="s">
        <v>9289</v>
      </c>
      <c r="T1404" s="101" t="s">
        <v>332</v>
      </c>
      <c r="U1404" s="80" t="s">
        <v>332</v>
      </c>
      <c r="V1404" s="102" t="s">
        <v>429</v>
      </c>
      <c r="W1404" s="79" t="s">
        <v>306</v>
      </c>
      <c r="X1404" s="79" t="s">
        <v>306</v>
      </c>
      <c r="Y1404" s="79" t="s">
        <v>309</v>
      </c>
      <c r="Z1404" s="79"/>
    </row>
    <row r="1405" ht="15.0" customHeight="1">
      <c r="A1405" s="76" t="s">
        <v>247</v>
      </c>
      <c r="B1405" s="77" t="s">
        <v>7793</v>
      </c>
      <c r="C1405" s="80">
        <v>3.0711915288E10</v>
      </c>
      <c r="D1405" s="119" t="s">
        <v>264</v>
      </c>
      <c r="E1405" s="79" t="s">
        <v>2831</v>
      </c>
      <c r="F1405" s="44">
        <v>6709.0</v>
      </c>
      <c r="G1405" s="79" t="s">
        <v>119</v>
      </c>
      <c r="H1405" s="80">
        <v>1657.0</v>
      </c>
      <c r="I1405" s="79">
        <v>222090.0</v>
      </c>
      <c r="J1405" s="83" t="s">
        <v>568</v>
      </c>
      <c r="K1405" s="77" t="s">
        <v>569</v>
      </c>
      <c r="L1405" s="79" t="s">
        <v>453</v>
      </c>
      <c r="M1405" s="79"/>
      <c r="N1405" s="79">
        <v>9.0</v>
      </c>
      <c r="O1405" s="74"/>
      <c r="P1405" s="80"/>
      <c r="Q1405" s="79"/>
      <c r="R1405" s="80"/>
      <c r="S1405" s="80" t="s">
        <v>9291</v>
      </c>
      <c r="T1405" s="101" t="s">
        <v>332</v>
      </c>
      <c r="U1405" s="80" t="s">
        <v>332</v>
      </c>
      <c r="V1405" s="102" t="s">
        <v>429</v>
      </c>
      <c r="W1405" s="79" t="s">
        <v>309</v>
      </c>
      <c r="X1405" s="79" t="s">
        <v>309</v>
      </c>
      <c r="Y1405" s="79" t="s">
        <v>309</v>
      </c>
      <c r="Z1405" s="79"/>
    </row>
    <row r="1406" ht="15.0" customHeight="1">
      <c r="A1406" s="103" t="s">
        <v>24</v>
      </c>
      <c r="B1406" s="77" t="s">
        <v>9292</v>
      </c>
      <c r="C1406" s="80">
        <v>3.0685263269E10</v>
      </c>
      <c r="D1406" s="119" t="s">
        <v>264</v>
      </c>
      <c r="E1406" s="79" t="s">
        <v>8846</v>
      </c>
      <c r="F1406" s="44">
        <v>1041.0</v>
      </c>
      <c r="G1406" s="79" t="s">
        <v>269</v>
      </c>
      <c r="H1406" s="80">
        <v>1682.0</v>
      </c>
      <c r="I1406" s="79">
        <v>960990.0</v>
      </c>
      <c r="J1406" s="74" t="s">
        <v>433</v>
      </c>
      <c r="K1406" s="77" t="s">
        <v>3982</v>
      </c>
      <c r="L1406" s="79"/>
      <c r="M1406" s="79"/>
      <c r="N1406" s="79">
        <v>2.0</v>
      </c>
      <c r="O1406" s="74"/>
      <c r="P1406" s="80"/>
      <c r="Q1406" s="79"/>
      <c r="R1406" s="80"/>
      <c r="S1406" s="78" t="s">
        <v>9294</v>
      </c>
      <c r="T1406" s="101" t="s">
        <v>332</v>
      </c>
      <c r="U1406" s="80" t="s">
        <v>332</v>
      </c>
      <c r="V1406" s="102" t="s">
        <v>429</v>
      </c>
      <c r="W1406" s="79" t="s">
        <v>306</v>
      </c>
      <c r="X1406" s="79" t="s">
        <v>306</v>
      </c>
      <c r="Y1406" s="79"/>
      <c r="Z1406" s="79"/>
    </row>
    <row r="1407" ht="15.0" customHeight="1">
      <c r="A1407" s="103" t="s">
        <v>24</v>
      </c>
      <c r="B1407" s="77" t="s">
        <v>9296</v>
      </c>
      <c r="C1407" s="80">
        <v>3.0658553379E10</v>
      </c>
      <c r="D1407" s="119" t="s">
        <v>264</v>
      </c>
      <c r="E1407" s="77" t="s">
        <v>6580</v>
      </c>
      <c r="F1407" s="44">
        <v>6024.0</v>
      </c>
      <c r="G1407" s="79" t="s">
        <v>134</v>
      </c>
      <c r="H1407" s="80">
        <v>1682.0</v>
      </c>
      <c r="I1407" s="79">
        <v>742103.0</v>
      </c>
      <c r="J1407" s="74" t="s">
        <v>433</v>
      </c>
      <c r="K1407" s="79" t="s">
        <v>9297</v>
      </c>
      <c r="L1407" s="79"/>
      <c r="M1407" s="79"/>
      <c r="N1407" s="79">
        <v>0.0</v>
      </c>
      <c r="O1407" s="74"/>
      <c r="P1407" s="80"/>
      <c r="Q1407" s="79"/>
      <c r="R1407" s="80"/>
      <c r="S1407" s="80" t="s">
        <v>9299</v>
      </c>
      <c r="T1407" s="101" t="s">
        <v>9300</v>
      </c>
      <c r="U1407" s="80" t="s">
        <v>9301</v>
      </c>
      <c r="V1407" s="102" t="s">
        <v>9302</v>
      </c>
      <c r="W1407" s="79" t="s">
        <v>309</v>
      </c>
      <c r="X1407" s="79" t="s">
        <v>309</v>
      </c>
      <c r="Y1407" s="79"/>
      <c r="Z1407" s="79"/>
    </row>
    <row r="1408" ht="15.75" customHeight="1">
      <c r="A1408" s="103" t="s">
        <v>24</v>
      </c>
      <c r="B1408" s="77" t="s">
        <v>9304</v>
      </c>
      <c r="C1408" s="80">
        <v>3.0709016683E10</v>
      </c>
      <c r="D1408" s="119" t="s">
        <v>264</v>
      </c>
      <c r="E1408" s="79" t="s">
        <v>3676</v>
      </c>
      <c r="F1408" s="44">
        <v>1434.0</v>
      </c>
      <c r="G1408" s="79" t="s">
        <v>285</v>
      </c>
      <c r="H1408" s="80">
        <v>1674.0</v>
      </c>
      <c r="I1408" s="79">
        <v>104011.0</v>
      </c>
      <c r="J1408" s="74" t="s">
        <v>22</v>
      </c>
      <c r="K1408" s="79" t="s">
        <v>4443</v>
      </c>
      <c r="L1408" s="79"/>
      <c r="M1408" s="79"/>
      <c r="N1408" s="79">
        <v>5.0</v>
      </c>
      <c r="O1408" s="74" t="s">
        <v>9305</v>
      </c>
      <c r="P1408" s="80"/>
      <c r="Q1408" s="79"/>
      <c r="R1408" s="80"/>
      <c r="S1408" s="80" t="s">
        <v>9307</v>
      </c>
      <c r="T1408" s="101"/>
      <c r="U1408" s="80" t="s">
        <v>332</v>
      </c>
      <c r="V1408" s="102" t="s">
        <v>9308</v>
      </c>
      <c r="W1408" s="79" t="s">
        <v>309</v>
      </c>
      <c r="X1408" s="79" t="s">
        <v>309</v>
      </c>
      <c r="Y1408" s="79"/>
      <c r="Z1408" s="79"/>
    </row>
    <row r="1409" ht="15.75" customHeight="1">
      <c r="A1409" s="76" t="s">
        <v>247</v>
      </c>
      <c r="B1409" s="77" t="s">
        <v>7796</v>
      </c>
      <c r="C1409" s="80">
        <v>3.0709986283E10</v>
      </c>
      <c r="D1409" s="79" t="s">
        <v>264</v>
      </c>
      <c r="E1409" s="79" t="s">
        <v>8846</v>
      </c>
      <c r="F1409" s="44">
        <v>1260.0</v>
      </c>
      <c r="G1409" s="79" t="s">
        <v>269</v>
      </c>
      <c r="H1409" s="80">
        <v>1682.0</v>
      </c>
      <c r="I1409" s="79">
        <v>221909.0</v>
      </c>
      <c r="J1409" s="74" t="s">
        <v>88</v>
      </c>
      <c r="K1409" s="82" t="s">
        <v>2473</v>
      </c>
      <c r="L1409" s="79"/>
      <c r="M1409" s="79"/>
      <c r="N1409" s="79">
        <v>3.0</v>
      </c>
      <c r="O1409" s="74"/>
      <c r="P1409" s="80"/>
      <c r="Q1409" s="79"/>
      <c r="R1409" s="80"/>
      <c r="S1409" s="80" t="s">
        <v>9310</v>
      </c>
      <c r="T1409" s="101" t="s">
        <v>9311</v>
      </c>
      <c r="U1409" s="80" t="s">
        <v>332</v>
      </c>
      <c r="V1409" s="102" t="s">
        <v>9312</v>
      </c>
      <c r="W1409" s="79" t="s">
        <v>306</v>
      </c>
      <c r="X1409" s="79" t="s">
        <v>306</v>
      </c>
      <c r="Y1409" s="79" t="s">
        <v>309</v>
      </c>
      <c r="Z1409" s="79"/>
    </row>
    <row r="1410" ht="15.75" customHeight="1">
      <c r="A1410" s="76" t="s">
        <v>247</v>
      </c>
      <c r="B1410" s="77" t="s">
        <v>9313</v>
      </c>
      <c r="C1410" s="101">
        <v>2.0148676381E10</v>
      </c>
      <c r="D1410" s="77" t="s">
        <v>631</v>
      </c>
      <c r="E1410" s="79" t="s">
        <v>1221</v>
      </c>
      <c r="F1410" s="210">
        <v>8845.0</v>
      </c>
      <c r="G1410" s="79" t="s">
        <v>119</v>
      </c>
      <c r="H1410" s="80">
        <v>1657.0</v>
      </c>
      <c r="I1410" s="101">
        <v>310010.0</v>
      </c>
      <c r="J1410" s="83" t="s">
        <v>313</v>
      </c>
      <c r="K1410" s="144" t="s">
        <v>1438</v>
      </c>
      <c r="L1410" s="79"/>
      <c r="M1410" s="79"/>
      <c r="N1410" s="79"/>
      <c r="O1410" s="77" t="s">
        <v>9315</v>
      </c>
      <c r="P1410" s="78" t="s">
        <v>3871</v>
      </c>
      <c r="Q1410" s="77" t="s">
        <v>9316</v>
      </c>
      <c r="R1410" s="78" t="s">
        <v>9317</v>
      </c>
      <c r="S1410" s="337" t="s">
        <v>3873</v>
      </c>
      <c r="T1410" s="101"/>
      <c r="U1410" s="80"/>
      <c r="V1410" s="102" t="s">
        <v>429</v>
      </c>
      <c r="W1410" s="79"/>
      <c r="X1410" s="79"/>
      <c r="Y1410" s="79"/>
      <c r="Z1410" s="79"/>
    </row>
    <row r="1411" ht="15.0" customHeight="1">
      <c r="A1411" s="103" t="s">
        <v>24</v>
      </c>
      <c r="B1411" s="77" t="s">
        <v>9319</v>
      </c>
      <c r="C1411" s="80">
        <v>3.3556312759E10</v>
      </c>
      <c r="D1411" s="119" t="s">
        <v>264</v>
      </c>
      <c r="E1411" s="77" t="s">
        <v>5424</v>
      </c>
      <c r="F1411" s="44">
        <v>1389.0</v>
      </c>
      <c r="G1411" s="79" t="s">
        <v>249</v>
      </c>
      <c r="H1411" s="80">
        <v>1676.0</v>
      </c>
      <c r="I1411" s="79">
        <v>259309.0</v>
      </c>
      <c r="J1411" s="74" t="s">
        <v>347</v>
      </c>
      <c r="K1411" s="77" t="s">
        <v>1121</v>
      </c>
      <c r="L1411" s="79"/>
      <c r="M1411" s="79"/>
      <c r="N1411" s="79">
        <v>8.0</v>
      </c>
      <c r="O1411" s="74" t="s">
        <v>9320</v>
      </c>
      <c r="P1411" s="80"/>
      <c r="Q1411" s="79" t="s">
        <v>9321</v>
      </c>
      <c r="R1411" s="80"/>
      <c r="S1411" s="80" t="s">
        <v>9323</v>
      </c>
      <c r="T1411" s="101"/>
      <c r="U1411" s="80" t="s">
        <v>332</v>
      </c>
      <c r="V1411" s="102" t="s">
        <v>9324</v>
      </c>
      <c r="W1411" s="79" t="s">
        <v>309</v>
      </c>
      <c r="X1411" s="79" t="s">
        <v>309</v>
      </c>
      <c r="Y1411" s="79" t="s">
        <v>309</v>
      </c>
      <c r="Z1411" s="79"/>
    </row>
    <row r="1412" ht="15.0" customHeight="1">
      <c r="A1412" s="76" t="s">
        <v>247</v>
      </c>
      <c r="B1412" s="77" t="s">
        <v>7800</v>
      </c>
      <c r="C1412" s="80">
        <v>3.0710237804E10</v>
      </c>
      <c r="D1412" s="119" t="s">
        <v>264</v>
      </c>
      <c r="E1412" s="79" t="s">
        <v>314</v>
      </c>
      <c r="F1412" s="44">
        <v>4723.0</v>
      </c>
      <c r="G1412" s="79" t="s">
        <v>15</v>
      </c>
      <c r="H1412" s="80">
        <v>1678.0</v>
      </c>
      <c r="I1412" s="79">
        <v>222010.0</v>
      </c>
      <c r="J1412" s="83" t="s">
        <v>568</v>
      </c>
      <c r="K1412" s="79" t="s">
        <v>1170</v>
      </c>
      <c r="L1412" s="79" t="s">
        <v>453</v>
      </c>
      <c r="M1412" s="79" t="s">
        <v>9326</v>
      </c>
      <c r="N1412" s="79">
        <v>5.0</v>
      </c>
      <c r="O1412" s="74" t="s">
        <v>9327</v>
      </c>
      <c r="P1412" s="80"/>
      <c r="Q1412" s="79"/>
      <c r="R1412" s="80"/>
      <c r="S1412" s="78" t="s">
        <v>9328</v>
      </c>
      <c r="T1412" s="101" t="s">
        <v>332</v>
      </c>
      <c r="U1412" s="80" t="s">
        <v>332</v>
      </c>
      <c r="V1412" s="102" t="s">
        <v>429</v>
      </c>
      <c r="W1412" s="79" t="s">
        <v>309</v>
      </c>
      <c r="X1412" s="79" t="s">
        <v>309</v>
      </c>
      <c r="Y1412" s="79" t="s">
        <v>309</v>
      </c>
      <c r="Z1412" s="79"/>
    </row>
    <row r="1413" ht="15.75" customHeight="1">
      <c r="A1413" s="76" t="s">
        <v>247</v>
      </c>
      <c r="B1413" s="77" t="s">
        <v>2257</v>
      </c>
      <c r="C1413" s="80">
        <v>3.0708309032E10</v>
      </c>
      <c r="D1413" s="119" t="s">
        <v>264</v>
      </c>
      <c r="E1413" s="79" t="s">
        <v>314</v>
      </c>
      <c r="F1413" s="44">
        <v>5048.0</v>
      </c>
      <c r="G1413" s="79" t="s">
        <v>15</v>
      </c>
      <c r="H1413" s="80">
        <v>1678.0</v>
      </c>
      <c r="I1413" s="79">
        <v>222090.0</v>
      </c>
      <c r="J1413" s="83" t="s">
        <v>568</v>
      </c>
      <c r="K1413" s="77" t="s">
        <v>569</v>
      </c>
      <c r="L1413" s="79" t="s">
        <v>453</v>
      </c>
      <c r="M1413" s="79" t="s">
        <v>9330</v>
      </c>
      <c r="N1413" s="79">
        <v>25.0</v>
      </c>
      <c r="O1413" s="74" t="s">
        <v>9331</v>
      </c>
      <c r="P1413" s="80"/>
      <c r="Q1413" s="79" t="s">
        <v>9332</v>
      </c>
      <c r="R1413" s="80"/>
      <c r="S1413" s="80" t="s">
        <v>9333</v>
      </c>
      <c r="T1413" s="101" t="s">
        <v>9334</v>
      </c>
      <c r="U1413" s="339" t="s">
        <v>9335</v>
      </c>
      <c r="V1413" s="102" t="s">
        <v>9337</v>
      </c>
      <c r="W1413" s="79" t="s">
        <v>309</v>
      </c>
      <c r="X1413" s="79" t="s">
        <v>309</v>
      </c>
      <c r="Y1413" s="79" t="s">
        <v>309</v>
      </c>
      <c r="Z1413" s="79"/>
    </row>
    <row r="1414" ht="15.75" customHeight="1">
      <c r="A1414" s="103" t="s">
        <v>24</v>
      </c>
      <c r="B1414" s="79" t="s">
        <v>9338</v>
      </c>
      <c r="C1414" s="80">
        <v>3.0710278705E10</v>
      </c>
      <c r="D1414" s="79" t="s">
        <v>264</v>
      </c>
      <c r="E1414" s="79" t="s">
        <v>4571</v>
      </c>
      <c r="F1414" s="44">
        <v>470.0</v>
      </c>
      <c r="G1414" s="79" t="s">
        <v>68</v>
      </c>
      <c r="H1414" s="80">
        <v>1702.0</v>
      </c>
      <c r="I1414" s="79">
        <v>259999.0</v>
      </c>
      <c r="J1414" s="74" t="s">
        <v>347</v>
      </c>
      <c r="K1414" s="77" t="s">
        <v>839</v>
      </c>
      <c r="L1414" s="79" t="s">
        <v>369</v>
      </c>
      <c r="M1414" s="79"/>
      <c r="N1414" s="79">
        <v>2.0</v>
      </c>
      <c r="O1414" s="74" t="s">
        <v>9340</v>
      </c>
      <c r="P1414" s="80" t="s">
        <v>9341</v>
      </c>
      <c r="Q1414" s="79"/>
      <c r="R1414" s="80"/>
      <c r="S1414" s="80"/>
      <c r="T1414" s="101" t="s">
        <v>332</v>
      </c>
      <c r="U1414" s="78"/>
      <c r="V1414" s="102" t="s">
        <v>429</v>
      </c>
      <c r="W1414" s="79" t="s">
        <v>306</v>
      </c>
      <c r="X1414" s="79" t="s">
        <v>306</v>
      </c>
      <c r="Y1414" s="79"/>
      <c r="Z1414" s="79"/>
    </row>
    <row r="1415" ht="15.0" customHeight="1">
      <c r="A1415" s="76" t="s">
        <v>247</v>
      </c>
      <c r="B1415" s="77" t="s">
        <v>2261</v>
      </c>
      <c r="C1415" s="85">
        <v>3.0716347865E10</v>
      </c>
      <c r="D1415" s="77" t="s">
        <v>264</v>
      </c>
      <c r="E1415" s="77" t="s">
        <v>9343</v>
      </c>
      <c r="F1415" s="128">
        <v>3665.0</v>
      </c>
      <c r="G1415" s="77" t="s">
        <v>226</v>
      </c>
      <c r="H1415" s="78">
        <v>1674.0</v>
      </c>
      <c r="I1415" s="78">
        <v>293090.0</v>
      </c>
      <c r="J1415" s="83" t="s">
        <v>37</v>
      </c>
      <c r="K1415" s="77" t="s">
        <v>407</v>
      </c>
      <c r="L1415" s="79"/>
      <c r="M1415" s="77" t="s">
        <v>9344</v>
      </c>
      <c r="N1415" s="77">
        <v>29.0</v>
      </c>
      <c r="O1415" s="77" t="s">
        <v>9345</v>
      </c>
      <c r="P1415" s="153" t="s">
        <v>9346</v>
      </c>
      <c r="Q1415" s="77" t="s">
        <v>9347</v>
      </c>
      <c r="R1415" s="78">
        <v>1.130781201E9</v>
      </c>
      <c r="S1415" s="78" t="s">
        <v>9348</v>
      </c>
      <c r="T1415" s="85" t="s">
        <v>9349</v>
      </c>
      <c r="U1415" s="78" t="s">
        <v>9350</v>
      </c>
      <c r="V1415" s="98" t="s">
        <v>9351</v>
      </c>
      <c r="W1415" s="79"/>
      <c r="X1415" s="79"/>
      <c r="Y1415" s="79"/>
      <c r="Z1415" s="79"/>
    </row>
    <row r="1416" ht="15.0" customHeight="1">
      <c r="A1416" s="103" t="s">
        <v>24</v>
      </c>
      <c r="B1416" s="77" t="s">
        <v>9353</v>
      </c>
      <c r="C1416" s="80">
        <v>3.0502528951E10</v>
      </c>
      <c r="D1416" s="144" t="s">
        <v>631</v>
      </c>
      <c r="E1416" s="79" t="s">
        <v>2985</v>
      </c>
      <c r="F1416" s="44">
        <v>568.0</v>
      </c>
      <c r="G1416" s="79" t="s">
        <v>68</v>
      </c>
      <c r="H1416" s="80">
        <v>1702.0</v>
      </c>
      <c r="I1416" s="79">
        <v>241001.0</v>
      </c>
      <c r="J1416" s="74" t="s">
        <v>347</v>
      </c>
      <c r="K1416" s="79" t="s">
        <v>2986</v>
      </c>
      <c r="L1416" s="79"/>
      <c r="M1416" s="79"/>
      <c r="N1416" s="79">
        <v>0.0</v>
      </c>
      <c r="O1416" s="74"/>
      <c r="P1416" s="80"/>
      <c r="Q1416" s="79"/>
      <c r="R1416" s="80"/>
      <c r="S1416" s="78" t="s">
        <v>9355</v>
      </c>
      <c r="T1416" s="85" t="s">
        <v>9356</v>
      </c>
      <c r="U1416" s="80" t="s">
        <v>332</v>
      </c>
      <c r="V1416" s="102" t="s">
        <v>429</v>
      </c>
      <c r="W1416" s="79" t="s">
        <v>306</v>
      </c>
      <c r="X1416" s="79" t="s">
        <v>306</v>
      </c>
      <c r="Y1416" s="79" t="s">
        <v>309</v>
      </c>
      <c r="Z1416" s="79"/>
    </row>
    <row r="1417" ht="15.75" customHeight="1">
      <c r="A1417" s="76" t="s">
        <v>247</v>
      </c>
      <c r="B1417" s="79" t="s">
        <v>2266</v>
      </c>
      <c r="C1417" s="80">
        <v>3.068532271E10</v>
      </c>
      <c r="D1417" s="144" t="s">
        <v>631</v>
      </c>
      <c r="E1417" s="126" t="s">
        <v>696</v>
      </c>
      <c r="F1417" s="44">
        <v>4961.0</v>
      </c>
      <c r="G1417" s="79" t="s">
        <v>15</v>
      </c>
      <c r="H1417" s="80">
        <v>1678.0</v>
      </c>
      <c r="I1417" s="79">
        <v>711003.0</v>
      </c>
      <c r="J1417" s="74" t="s">
        <v>433</v>
      </c>
      <c r="K1417" s="79" t="s">
        <v>3084</v>
      </c>
      <c r="L1417" s="79"/>
      <c r="M1417" s="79" t="s">
        <v>9358</v>
      </c>
      <c r="N1417" s="79">
        <v>10.0</v>
      </c>
      <c r="O1417" s="83" t="s">
        <v>9359</v>
      </c>
      <c r="P1417" s="78">
        <v>1.134430275E9</v>
      </c>
      <c r="Q1417" s="79"/>
      <c r="R1417" s="80"/>
      <c r="S1417" s="80" t="s">
        <v>9360</v>
      </c>
      <c r="T1417" s="101" t="s">
        <v>332</v>
      </c>
      <c r="U1417" s="80" t="s">
        <v>332</v>
      </c>
      <c r="V1417" s="102" t="s">
        <v>9361</v>
      </c>
      <c r="W1417" s="79" t="s">
        <v>309</v>
      </c>
      <c r="X1417" s="79" t="s">
        <v>309</v>
      </c>
      <c r="Y1417" s="79" t="s">
        <v>309</v>
      </c>
      <c r="Z1417" s="79"/>
    </row>
    <row r="1418" ht="15.75" customHeight="1">
      <c r="A1418" s="76" t="s">
        <v>247</v>
      </c>
      <c r="B1418" s="79" t="s">
        <v>7811</v>
      </c>
      <c r="C1418" s="80">
        <v>3.0685293877E10</v>
      </c>
      <c r="D1418" s="77" t="s">
        <v>631</v>
      </c>
      <c r="E1418" s="79" t="s">
        <v>359</v>
      </c>
      <c r="F1418" s="44">
        <v>4844.0</v>
      </c>
      <c r="G1418" s="79" t="s">
        <v>15</v>
      </c>
      <c r="H1418" s="80">
        <v>1678.0</v>
      </c>
      <c r="I1418" s="79">
        <v>281101.0</v>
      </c>
      <c r="J1418" s="74" t="s">
        <v>347</v>
      </c>
      <c r="K1418" s="79" t="s">
        <v>4263</v>
      </c>
      <c r="L1418" s="79" t="s">
        <v>453</v>
      </c>
      <c r="M1418" s="79"/>
      <c r="N1418" s="79">
        <v>0.0</v>
      </c>
      <c r="O1418" s="74"/>
      <c r="P1418" s="80"/>
      <c r="Q1418" s="79"/>
      <c r="R1418" s="80"/>
      <c r="S1418" s="80" t="s">
        <v>9364</v>
      </c>
      <c r="T1418" s="101" t="s">
        <v>332</v>
      </c>
      <c r="U1418" s="80" t="s">
        <v>332</v>
      </c>
      <c r="V1418" s="102" t="s">
        <v>429</v>
      </c>
      <c r="W1418" s="79" t="s">
        <v>306</v>
      </c>
      <c r="X1418" s="79" t="s">
        <v>306</v>
      </c>
      <c r="Y1418" s="79"/>
      <c r="Z1418" s="79"/>
    </row>
    <row r="1419" ht="15.0" customHeight="1">
      <c r="A1419" s="103" t="s">
        <v>24</v>
      </c>
      <c r="B1419" s="79" t="s">
        <v>9365</v>
      </c>
      <c r="C1419" s="80">
        <v>3.0711557861E10</v>
      </c>
      <c r="D1419" s="144" t="s">
        <v>631</v>
      </c>
      <c r="E1419" s="79" t="s">
        <v>314</v>
      </c>
      <c r="F1419" s="44">
        <v>5630.0</v>
      </c>
      <c r="G1419" s="79" t="s">
        <v>15</v>
      </c>
      <c r="H1419" s="80">
        <v>1678.0</v>
      </c>
      <c r="I1419" s="79">
        <v>131202.0</v>
      </c>
      <c r="J1419" s="74" t="s">
        <v>448</v>
      </c>
      <c r="K1419" s="79" t="s">
        <v>5408</v>
      </c>
      <c r="L1419" s="79"/>
      <c r="M1419" s="79"/>
      <c r="N1419" s="79">
        <v>5.0</v>
      </c>
      <c r="O1419" s="74"/>
      <c r="P1419" s="80"/>
      <c r="Q1419" s="79"/>
      <c r="R1419" s="80"/>
      <c r="S1419" s="80" t="s">
        <v>9367</v>
      </c>
      <c r="T1419" s="101"/>
      <c r="U1419" s="80" t="s">
        <v>332</v>
      </c>
      <c r="V1419" s="102" t="s">
        <v>429</v>
      </c>
      <c r="W1419" s="79" t="s">
        <v>309</v>
      </c>
      <c r="X1419" s="79" t="s">
        <v>309</v>
      </c>
      <c r="Y1419" s="79"/>
      <c r="Z1419" s="79"/>
    </row>
    <row r="1420" ht="15.0" customHeight="1">
      <c r="A1420" s="76" t="s">
        <v>247</v>
      </c>
      <c r="B1420" s="77" t="s">
        <v>7815</v>
      </c>
      <c r="C1420" s="80">
        <v>3.0709306851E10</v>
      </c>
      <c r="D1420" s="79" t="s">
        <v>264</v>
      </c>
      <c r="E1420" s="79" t="s">
        <v>1357</v>
      </c>
      <c r="F1420" s="44">
        <v>5446.0</v>
      </c>
      <c r="G1420" s="79" t="s">
        <v>15</v>
      </c>
      <c r="H1420" s="80">
        <v>1678.0</v>
      </c>
      <c r="I1420" s="79">
        <v>151200.0</v>
      </c>
      <c r="J1420" s="74" t="s">
        <v>163</v>
      </c>
      <c r="K1420" s="77" t="s">
        <v>749</v>
      </c>
      <c r="L1420" s="79"/>
      <c r="M1420" s="79"/>
      <c r="N1420" s="79">
        <v>2.0</v>
      </c>
      <c r="O1420" s="74"/>
      <c r="P1420" s="80"/>
      <c r="Q1420" s="79"/>
      <c r="R1420" s="80"/>
      <c r="S1420" s="80" t="s">
        <v>9369</v>
      </c>
      <c r="T1420" s="101" t="s">
        <v>332</v>
      </c>
      <c r="U1420" s="80" t="s">
        <v>332</v>
      </c>
      <c r="V1420" s="102" t="s">
        <v>429</v>
      </c>
      <c r="W1420" s="79" t="s">
        <v>306</v>
      </c>
      <c r="X1420" s="79" t="s">
        <v>306</v>
      </c>
      <c r="Y1420" s="79" t="s">
        <v>309</v>
      </c>
      <c r="Z1420" s="79"/>
    </row>
    <row r="1421" ht="15.0" customHeight="1">
      <c r="A1421" s="103" t="s">
        <v>24</v>
      </c>
      <c r="B1421" s="77" t="s">
        <v>9370</v>
      </c>
      <c r="C1421" s="80">
        <v>3.0709270032E10</v>
      </c>
      <c r="D1421" s="79" t="s">
        <v>264</v>
      </c>
      <c r="E1421" s="79" t="s">
        <v>1045</v>
      </c>
      <c r="F1421" s="44">
        <v>5560.0</v>
      </c>
      <c r="G1421" s="79" t="s">
        <v>15</v>
      </c>
      <c r="H1421" s="80">
        <v>1678.0</v>
      </c>
      <c r="I1421" s="79">
        <v>361010.0</v>
      </c>
      <c r="J1421" s="74" t="s">
        <v>313</v>
      </c>
      <c r="K1421" s="79" t="s">
        <v>2534</v>
      </c>
      <c r="L1421" s="79" t="s">
        <v>1122</v>
      </c>
      <c r="M1421" s="79"/>
      <c r="N1421" s="79">
        <v>2.0</v>
      </c>
      <c r="O1421" s="74"/>
      <c r="P1421" s="80"/>
      <c r="Q1421" s="79"/>
      <c r="R1421" s="80"/>
      <c r="S1421" s="78" t="s">
        <v>9372</v>
      </c>
      <c r="T1421" s="101"/>
      <c r="U1421" s="80" t="s">
        <v>332</v>
      </c>
      <c r="V1421" s="102" t="s">
        <v>429</v>
      </c>
      <c r="W1421" s="79" t="s">
        <v>306</v>
      </c>
      <c r="X1421" s="79" t="s">
        <v>306</v>
      </c>
      <c r="Y1421" s="79"/>
      <c r="Z1421" s="79"/>
    </row>
    <row r="1422" ht="15.0" customHeight="1">
      <c r="A1422" s="76" t="s">
        <v>247</v>
      </c>
      <c r="B1422" s="77" t="s">
        <v>4257</v>
      </c>
      <c r="C1422" s="80">
        <v>3.0707413677E10</v>
      </c>
      <c r="D1422" s="119" t="s">
        <v>264</v>
      </c>
      <c r="E1422" s="79" t="s">
        <v>1711</v>
      </c>
      <c r="F1422" s="44">
        <v>5250.0</v>
      </c>
      <c r="G1422" s="79" t="s">
        <v>15</v>
      </c>
      <c r="H1422" s="80">
        <v>1678.0</v>
      </c>
      <c r="I1422" s="79">
        <v>107121.0</v>
      </c>
      <c r="J1422" s="74" t="s">
        <v>22</v>
      </c>
      <c r="K1422" s="79" t="s">
        <v>1392</v>
      </c>
      <c r="L1422" s="79"/>
      <c r="M1422" s="79"/>
      <c r="N1422" s="79">
        <v>284.0</v>
      </c>
      <c r="O1422" s="126" t="s">
        <v>9374</v>
      </c>
      <c r="P1422" s="85" t="s">
        <v>9375</v>
      </c>
      <c r="Q1422" s="79" t="s">
        <v>9376</v>
      </c>
      <c r="R1422" s="85" t="s">
        <v>9378</v>
      </c>
      <c r="S1422" s="85" t="s">
        <v>9379</v>
      </c>
      <c r="T1422" s="85" t="s">
        <v>9380</v>
      </c>
      <c r="U1422" s="80" t="s">
        <v>332</v>
      </c>
      <c r="V1422" s="102" t="s">
        <v>9381</v>
      </c>
      <c r="W1422" s="79" t="s">
        <v>309</v>
      </c>
      <c r="X1422" s="79" t="s">
        <v>309</v>
      </c>
      <c r="Y1422" s="79" t="s">
        <v>309</v>
      </c>
      <c r="Z1422" s="79"/>
    </row>
    <row r="1423" ht="15.0" customHeight="1">
      <c r="A1423" s="76" t="s">
        <v>247</v>
      </c>
      <c r="B1423" s="77" t="s">
        <v>2270</v>
      </c>
      <c r="C1423" s="101">
        <v>3.0715807668E10</v>
      </c>
      <c r="D1423" s="79" t="s">
        <v>264</v>
      </c>
      <c r="E1423" s="79" t="s">
        <v>8918</v>
      </c>
      <c r="F1423" s="44">
        <v>850.0</v>
      </c>
      <c r="G1423" s="79" t="s">
        <v>68</v>
      </c>
      <c r="H1423" s="80">
        <v>1702.0</v>
      </c>
      <c r="I1423" s="79">
        <v>107121.0</v>
      </c>
      <c r="J1423" s="74" t="s">
        <v>22</v>
      </c>
      <c r="K1423" s="77" t="s">
        <v>9382</v>
      </c>
      <c r="L1423" s="79"/>
      <c r="M1423" s="79"/>
      <c r="N1423" s="79"/>
      <c r="O1423" s="79" t="s">
        <v>9384</v>
      </c>
      <c r="P1423" s="78" t="s">
        <v>9385</v>
      </c>
      <c r="Q1423" s="79"/>
      <c r="R1423" s="80"/>
      <c r="S1423" s="80" t="s">
        <v>9386</v>
      </c>
      <c r="T1423" s="85" t="s">
        <v>9387</v>
      </c>
      <c r="U1423" s="80"/>
      <c r="V1423" s="98" t="s">
        <v>9388</v>
      </c>
      <c r="W1423" s="79"/>
      <c r="X1423" s="79"/>
      <c r="Y1423" s="79"/>
      <c r="Z1423" s="79"/>
    </row>
    <row r="1424" ht="15.0" customHeight="1">
      <c r="A1424" s="76" t="s">
        <v>247</v>
      </c>
      <c r="B1424" s="77" t="s">
        <v>7838</v>
      </c>
      <c r="C1424" s="80">
        <v>3.3709853339E10</v>
      </c>
      <c r="D1424" s="79" t="s">
        <v>264</v>
      </c>
      <c r="E1424" s="77" t="s">
        <v>7748</v>
      </c>
      <c r="F1424" s="44">
        <v>8630.0</v>
      </c>
      <c r="G1424" s="79" t="s">
        <v>119</v>
      </c>
      <c r="H1424" s="80">
        <v>1657.0</v>
      </c>
      <c r="I1424" s="79">
        <v>107129.0</v>
      </c>
      <c r="J1424" s="74" t="s">
        <v>22</v>
      </c>
      <c r="K1424" s="77" t="s">
        <v>7435</v>
      </c>
      <c r="L1424" s="79"/>
      <c r="M1424" s="79"/>
      <c r="N1424" s="79">
        <v>16.0</v>
      </c>
      <c r="O1424" s="74"/>
      <c r="P1424" s="80"/>
      <c r="Q1424" s="79" t="s">
        <v>9390</v>
      </c>
      <c r="R1424" s="80"/>
      <c r="S1424" s="80" t="s">
        <v>9391</v>
      </c>
      <c r="T1424" s="101" t="s">
        <v>332</v>
      </c>
      <c r="U1424" s="80"/>
      <c r="V1424" s="102" t="s">
        <v>9393</v>
      </c>
      <c r="W1424" s="79" t="s">
        <v>306</v>
      </c>
      <c r="X1424" s="79" t="s">
        <v>306</v>
      </c>
      <c r="Y1424" s="79" t="s">
        <v>309</v>
      </c>
      <c r="Z1424" s="79"/>
    </row>
    <row r="1425" ht="15.0" customHeight="1">
      <c r="A1425" s="103" t="s">
        <v>24</v>
      </c>
      <c r="B1425" s="77" t="s">
        <v>9394</v>
      </c>
      <c r="C1425" s="80">
        <v>3.0710600402E10</v>
      </c>
      <c r="D1425" s="119" t="s">
        <v>264</v>
      </c>
      <c r="E1425" s="79" t="s">
        <v>9395</v>
      </c>
      <c r="F1425" s="44">
        <v>961.0</v>
      </c>
      <c r="G1425" s="79" t="s">
        <v>68</v>
      </c>
      <c r="H1425" s="80">
        <v>1702.0</v>
      </c>
      <c r="I1425" s="79">
        <v>289999.0</v>
      </c>
      <c r="J1425" s="74" t="s">
        <v>347</v>
      </c>
      <c r="K1425" s="77" t="s">
        <v>1901</v>
      </c>
      <c r="L1425" s="79" t="s">
        <v>453</v>
      </c>
      <c r="M1425" s="79"/>
      <c r="N1425" s="79">
        <v>0.0</v>
      </c>
      <c r="O1425" s="74"/>
      <c r="P1425" s="80"/>
      <c r="Q1425" s="79"/>
      <c r="R1425" s="80"/>
      <c r="S1425" s="78" t="s">
        <v>9397</v>
      </c>
      <c r="T1425" s="101" t="s">
        <v>332</v>
      </c>
      <c r="U1425" s="80" t="s">
        <v>332</v>
      </c>
      <c r="V1425" s="102" t="s">
        <v>429</v>
      </c>
      <c r="W1425" s="79" t="s">
        <v>306</v>
      </c>
      <c r="X1425" s="79" t="s">
        <v>306</v>
      </c>
      <c r="Y1425" s="79"/>
      <c r="Z1425" s="79"/>
    </row>
    <row r="1426" ht="15.0" customHeight="1">
      <c r="A1426" s="76" t="s">
        <v>247</v>
      </c>
      <c r="B1426" s="79" t="s">
        <v>2277</v>
      </c>
      <c r="C1426" s="80">
        <v>3.0503969358E10</v>
      </c>
      <c r="D1426" s="119" t="s">
        <v>264</v>
      </c>
      <c r="E1426" s="79" t="s">
        <v>1860</v>
      </c>
      <c r="F1426" s="44">
        <v>3470.0</v>
      </c>
      <c r="G1426" s="79" t="s">
        <v>15</v>
      </c>
      <c r="H1426" s="80">
        <v>1678.0</v>
      </c>
      <c r="I1426" s="79">
        <v>202908.0</v>
      </c>
      <c r="J1426" s="74" t="s">
        <v>316</v>
      </c>
      <c r="K1426" s="77" t="s">
        <v>1766</v>
      </c>
      <c r="L1426" s="79"/>
      <c r="M1426" s="79"/>
      <c r="N1426" s="79">
        <v>42.0</v>
      </c>
      <c r="O1426" s="74" t="s">
        <v>9399</v>
      </c>
      <c r="P1426" s="78" t="s">
        <v>9400</v>
      </c>
      <c r="Q1426" s="79" t="s">
        <v>9401</v>
      </c>
      <c r="R1426" s="78" t="s">
        <v>9402</v>
      </c>
      <c r="S1426" s="78" t="s">
        <v>9403</v>
      </c>
      <c r="T1426" s="101" t="s">
        <v>332</v>
      </c>
      <c r="U1426" s="80" t="s">
        <v>332</v>
      </c>
      <c r="V1426" s="102" t="s">
        <v>9404</v>
      </c>
      <c r="W1426" s="79" t="s">
        <v>309</v>
      </c>
      <c r="X1426" s="79" t="s">
        <v>309</v>
      </c>
      <c r="Y1426" s="79" t="s">
        <v>309</v>
      </c>
      <c r="Z1426" s="79"/>
    </row>
    <row r="1427" ht="15.75" customHeight="1">
      <c r="A1427" s="76" t="s">
        <v>247</v>
      </c>
      <c r="B1427" s="77" t="s">
        <v>7847</v>
      </c>
      <c r="C1427" s="79">
        <v>3.0625210204E10</v>
      </c>
      <c r="D1427" s="77" t="s">
        <v>264</v>
      </c>
      <c r="E1427" s="77" t="s">
        <v>9264</v>
      </c>
      <c r="F1427" s="44">
        <v>867.0</v>
      </c>
      <c r="G1427" s="79" t="s">
        <v>68</v>
      </c>
      <c r="H1427" s="80">
        <v>1702.0</v>
      </c>
      <c r="I1427" s="79">
        <v>329090.0</v>
      </c>
      <c r="J1427" s="74" t="s">
        <v>283</v>
      </c>
      <c r="K1427" s="77" t="s">
        <v>9405</v>
      </c>
      <c r="L1427" s="79"/>
      <c r="M1427" s="77" t="s">
        <v>1884</v>
      </c>
      <c r="N1427" s="79">
        <v>1.0</v>
      </c>
      <c r="O1427" s="74"/>
      <c r="P1427" s="339">
        <v>1.564010011E9</v>
      </c>
      <c r="Q1427" s="79"/>
      <c r="R1427" s="80"/>
      <c r="S1427" s="114" t="s">
        <v>9407</v>
      </c>
      <c r="T1427" s="101" t="s">
        <v>332</v>
      </c>
      <c r="U1427" s="80" t="s">
        <v>332</v>
      </c>
      <c r="V1427" s="102" t="s">
        <v>429</v>
      </c>
      <c r="W1427" s="79" t="s">
        <v>306</v>
      </c>
      <c r="X1427" s="79" t="s">
        <v>306</v>
      </c>
      <c r="Y1427" s="79" t="s">
        <v>309</v>
      </c>
      <c r="Z1427" s="79"/>
    </row>
    <row r="1428" ht="15.0" customHeight="1">
      <c r="A1428" s="103" t="s">
        <v>24</v>
      </c>
      <c r="B1428" s="77" t="s">
        <v>9408</v>
      </c>
      <c r="C1428" s="80">
        <v>3.07087463E10</v>
      </c>
      <c r="D1428" s="79" t="s">
        <v>264</v>
      </c>
      <c r="E1428" s="79" t="s">
        <v>9410</v>
      </c>
      <c r="F1428" s="44">
        <v>2947.0</v>
      </c>
      <c r="G1428" s="79" t="s">
        <v>15</v>
      </c>
      <c r="H1428" s="80">
        <v>1678.0</v>
      </c>
      <c r="I1428" s="79">
        <v>210990.0</v>
      </c>
      <c r="J1428" s="74" t="s">
        <v>283</v>
      </c>
      <c r="K1428" s="77" t="s">
        <v>4745</v>
      </c>
      <c r="L1428" s="79"/>
      <c r="M1428" s="79"/>
      <c r="N1428" s="79">
        <v>1.0</v>
      </c>
      <c r="O1428" s="83" t="s">
        <v>9411</v>
      </c>
      <c r="P1428" s="78" t="s">
        <v>9412</v>
      </c>
      <c r="Q1428" s="79"/>
      <c r="R1428" s="80"/>
      <c r="S1428" s="78" t="s">
        <v>9413</v>
      </c>
      <c r="T1428" s="78" t="s">
        <v>9414</v>
      </c>
      <c r="U1428" s="85" t="s">
        <v>9415</v>
      </c>
      <c r="V1428" s="98" t="s">
        <v>9416</v>
      </c>
      <c r="W1428" s="79" t="s">
        <v>306</v>
      </c>
      <c r="X1428" s="79" t="s">
        <v>306</v>
      </c>
      <c r="Y1428" s="79"/>
      <c r="Z1428" s="79"/>
    </row>
    <row r="1429" ht="15.75" customHeight="1">
      <c r="A1429" s="76" t="s">
        <v>247</v>
      </c>
      <c r="B1429" s="77" t="s">
        <v>2281</v>
      </c>
      <c r="C1429" s="80">
        <v>3.0708167823E10</v>
      </c>
      <c r="D1429" s="79" t="s">
        <v>264</v>
      </c>
      <c r="E1429" s="77" t="s">
        <v>1458</v>
      </c>
      <c r="F1429" s="44">
        <v>4073.0</v>
      </c>
      <c r="G1429" s="79" t="s">
        <v>15</v>
      </c>
      <c r="H1429" s="80">
        <v>1678.0</v>
      </c>
      <c r="I1429" s="79">
        <v>170910.0</v>
      </c>
      <c r="J1429" s="74" t="s">
        <v>283</v>
      </c>
      <c r="K1429" s="79" t="s">
        <v>5832</v>
      </c>
      <c r="L1429" s="79" t="s">
        <v>369</v>
      </c>
      <c r="M1429" s="79" t="s">
        <v>9418</v>
      </c>
      <c r="N1429" s="79">
        <v>37.0</v>
      </c>
      <c r="O1429" s="83" t="s">
        <v>9419</v>
      </c>
      <c r="P1429" s="78" t="s">
        <v>9420</v>
      </c>
      <c r="Q1429" s="79"/>
      <c r="R1429" s="80"/>
      <c r="S1429" s="78" t="s">
        <v>9422</v>
      </c>
      <c r="T1429" s="101"/>
      <c r="U1429" s="80" t="s">
        <v>332</v>
      </c>
      <c r="V1429" s="102" t="s">
        <v>9423</v>
      </c>
      <c r="W1429" s="79" t="s">
        <v>309</v>
      </c>
      <c r="X1429" s="79" t="s">
        <v>309</v>
      </c>
      <c r="Y1429" s="79" t="s">
        <v>309</v>
      </c>
      <c r="Z1429" s="79"/>
    </row>
    <row r="1430" ht="15.0" customHeight="1">
      <c r="A1430" s="76" t="s">
        <v>247</v>
      </c>
      <c r="B1430" s="77" t="s">
        <v>9424</v>
      </c>
      <c r="C1430" s="80">
        <v>3.0707267301E10</v>
      </c>
      <c r="D1430" s="77" t="s">
        <v>631</v>
      </c>
      <c r="E1430" s="79" t="s">
        <v>2089</v>
      </c>
      <c r="F1430" s="44">
        <v>4625.0</v>
      </c>
      <c r="G1430" s="79" t="s">
        <v>68</v>
      </c>
      <c r="H1430" s="80">
        <v>1702.0</v>
      </c>
      <c r="I1430" s="79">
        <v>313000.0</v>
      </c>
      <c r="J1430" s="74" t="s">
        <v>347</v>
      </c>
      <c r="K1430" s="79" t="s">
        <v>4119</v>
      </c>
      <c r="L1430" s="79"/>
      <c r="M1430" s="79"/>
      <c r="N1430" s="79">
        <v>0.0</v>
      </c>
      <c r="O1430" s="74"/>
      <c r="P1430" s="80"/>
      <c r="Q1430" s="79"/>
      <c r="R1430" s="80"/>
      <c r="S1430" s="78" t="s">
        <v>9426</v>
      </c>
      <c r="T1430" s="101" t="s">
        <v>332</v>
      </c>
      <c r="U1430" s="80"/>
      <c r="V1430" s="102" t="s">
        <v>429</v>
      </c>
      <c r="W1430" s="79" t="s">
        <v>309</v>
      </c>
      <c r="X1430" s="79" t="s">
        <v>309</v>
      </c>
      <c r="Y1430" s="79" t="s">
        <v>309</v>
      </c>
      <c r="Z1430" s="79"/>
    </row>
    <row r="1431" ht="14.25" customHeight="1">
      <c r="A1431" s="76" t="s">
        <v>247</v>
      </c>
      <c r="B1431" s="77" t="s">
        <v>7857</v>
      </c>
      <c r="C1431" s="78"/>
      <c r="D1431" s="79" t="s">
        <v>264</v>
      </c>
      <c r="E1431" s="77" t="s">
        <v>943</v>
      </c>
      <c r="F1431" s="128">
        <v>4018.0</v>
      </c>
      <c r="G1431" s="79" t="s">
        <v>68</v>
      </c>
      <c r="H1431" s="80">
        <v>1702.0</v>
      </c>
      <c r="I1431" s="78" t="s">
        <v>2519</v>
      </c>
      <c r="J1431" s="74" t="s">
        <v>337</v>
      </c>
      <c r="K1431" s="79"/>
      <c r="L1431" s="79" t="s">
        <v>286</v>
      </c>
      <c r="M1431" s="79" t="s">
        <v>9428</v>
      </c>
      <c r="N1431" s="79">
        <v>1.0</v>
      </c>
      <c r="O1431" s="74" t="s">
        <v>5307</v>
      </c>
      <c r="P1431" s="80"/>
      <c r="Q1431" s="79"/>
      <c r="R1431" s="80"/>
      <c r="S1431" s="78" t="s">
        <v>9429</v>
      </c>
      <c r="T1431" s="85" t="s">
        <v>9430</v>
      </c>
      <c r="U1431" s="80"/>
      <c r="V1431" s="102" t="s">
        <v>9431</v>
      </c>
      <c r="W1431" s="79"/>
      <c r="X1431" s="79"/>
      <c r="Y1431" s="79"/>
      <c r="Z1431" s="79"/>
    </row>
    <row r="1432" ht="15.75" customHeight="1">
      <c r="A1432" s="76" t="s">
        <v>247</v>
      </c>
      <c r="B1432" s="77" t="s">
        <v>7862</v>
      </c>
      <c r="C1432" s="80">
        <v>3.0612548559E10</v>
      </c>
      <c r="D1432" s="119" t="s">
        <v>264</v>
      </c>
      <c r="E1432" s="79" t="s">
        <v>1079</v>
      </c>
      <c r="F1432" s="44">
        <v>5783.0</v>
      </c>
      <c r="G1432" s="79" t="s">
        <v>15</v>
      </c>
      <c r="H1432" s="80">
        <v>1678.0</v>
      </c>
      <c r="I1432" s="79">
        <v>259309.0</v>
      </c>
      <c r="J1432" s="74" t="s">
        <v>347</v>
      </c>
      <c r="K1432" s="77" t="s">
        <v>1121</v>
      </c>
      <c r="L1432" s="79"/>
      <c r="M1432" s="79"/>
      <c r="N1432" s="79">
        <v>30.0</v>
      </c>
      <c r="O1432" s="74" t="s">
        <v>9433</v>
      </c>
      <c r="P1432" s="80"/>
      <c r="Q1432" s="79"/>
      <c r="R1432" s="80"/>
      <c r="S1432" s="78" t="s">
        <v>9434</v>
      </c>
      <c r="T1432" s="101" t="s">
        <v>9435</v>
      </c>
      <c r="U1432" s="80" t="s">
        <v>9436</v>
      </c>
      <c r="V1432" s="102" t="s">
        <v>9437</v>
      </c>
      <c r="W1432" s="79" t="s">
        <v>309</v>
      </c>
      <c r="X1432" s="79" t="s">
        <v>309</v>
      </c>
      <c r="Y1432" s="79" t="s">
        <v>309</v>
      </c>
      <c r="Z1432" s="79"/>
    </row>
    <row r="1433">
      <c r="A1433" s="76" t="s">
        <v>247</v>
      </c>
      <c r="B1433" s="77" t="s">
        <v>2285</v>
      </c>
      <c r="C1433" s="80">
        <v>3.0517046929E10</v>
      </c>
      <c r="D1433" s="79" t="s">
        <v>264</v>
      </c>
      <c r="E1433" s="79" t="s">
        <v>1563</v>
      </c>
      <c r="F1433" s="44">
        <v>3565.0</v>
      </c>
      <c r="G1433" s="79" t="s">
        <v>15</v>
      </c>
      <c r="H1433" s="80">
        <v>1678.0</v>
      </c>
      <c r="I1433" s="79">
        <v>162300.0</v>
      </c>
      <c r="J1433" s="74" t="s">
        <v>313</v>
      </c>
      <c r="K1433" s="79" t="s">
        <v>2702</v>
      </c>
      <c r="L1433" s="79" t="s">
        <v>1122</v>
      </c>
      <c r="M1433" s="79"/>
      <c r="N1433" s="79">
        <v>13.0</v>
      </c>
      <c r="O1433" s="74" t="s">
        <v>9439</v>
      </c>
      <c r="P1433" s="78" t="s">
        <v>9440</v>
      </c>
      <c r="Q1433" s="79" t="s">
        <v>9441</v>
      </c>
      <c r="R1433" s="78" t="s">
        <v>9443</v>
      </c>
      <c r="S1433" s="80" t="s">
        <v>9444</v>
      </c>
      <c r="T1433" s="101" t="s">
        <v>9445</v>
      </c>
      <c r="U1433" s="80" t="s">
        <v>332</v>
      </c>
      <c r="V1433" s="102" t="s">
        <v>9446</v>
      </c>
      <c r="W1433" s="79" t="s">
        <v>309</v>
      </c>
      <c r="X1433" s="79" t="s">
        <v>309</v>
      </c>
      <c r="Y1433" s="79" t="s">
        <v>309</v>
      </c>
      <c r="Z1433" s="79"/>
    </row>
    <row r="1434" ht="15.75" customHeight="1">
      <c r="A1434" s="76" t="s">
        <v>247</v>
      </c>
      <c r="B1434" s="77" t="s">
        <v>9447</v>
      </c>
      <c r="C1434" s="79">
        <v>3.4583382722E10</v>
      </c>
      <c r="D1434" s="77" t="s">
        <v>631</v>
      </c>
      <c r="E1434" s="77" t="s">
        <v>1765</v>
      </c>
      <c r="F1434" s="44">
        <v>3024.0</v>
      </c>
      <c r="G1434" s="79" t="s">
        <v>15</v>
      </c>
      <c r="H1434" s="80">
        <v>1678.0</v>
      </c>
      <c r="I1434" s="79">
        <v>329090.0</v>
      </c>
      <c r="J1434" s="83" t="s">
        <v>327</v>
      </c>
      <c r="K1434" s="77" t="s">
        <v>1307</v>
      </c>
      <c r="L1434" s="79"/>
      <c r="M1434" s="79"/>
      <c r="N1434" s="79">
        <v>2.0</v>
      </c>
      <c r="O1434" s="74"/>
      <c r="P1434" s="78" t="s">
        <v>9449</v>
      </c>
      <c r="Q1434" s="79"/>
      <c r="R1434" s="80"/>
      <c r="S1434" s="80" t="s">
        <v>9450</v>
      </c>
      <c r="T1434" s="85" t="s">
        <v>9451</v>
      </c>
      <c r="U1434" s="78" t="s">
        <v>9452</v>
      </c>
      <c r="V1434" s="102" t="s">
        <v>429</v>
      </c>
      <c r="W1434" s="79" t="s">
        <v>306</v>
      </c>
      <c r="X1434" s="79" t="s">
        <v>306</v>
      </c>
      <c r="Y1434" s="79" t="s">
        <v>309</v>
      </c>
      <c r="Z1434" s="79"/>
    </row>
    <row r="1435" ht="15.75" customHeight="1">
      <c r="A1435" s="76" t="s">
        <v>247</v>
      </c>
      <c r="B1435" s="77" t="s">
        <v>7868</v>
      </c>
      <c r="C1435" s="80">
        <v>2.7274097804E10</v>
      </c>
      <c r="D1435" s="77" t="s">
        <v>631</v>
      </c>
      <c r="E1435" s="79" t="s">
        <v>9453</v>
      </c>
      <c r="F1435" s="128">
        <v>1942.0</v>
      </c>
      <c r="G1435" s="79" t="s">
        <v>175</v>
      </c>
      <c r="H1435" s="80">
        <v>1657.0</v>
      </c>
      <c r="I1435" s="79">
        <v>242010.0</v>
      </c>
      <c r="J1435" s="74" t="s">
        <v>347</v>
      </c>
      <c r="K1435" s="77" t="s">
        <v>2832</v>
      </c>
      <c r="L1435" s="79" t="s">
        <v>286</v>
      </c>
      <c r="M1435" s="79" t="s">
        <v>9455</v>
      </c>
      <c r="N1435" s="79"/>
      <c r="O1435" s="79"/>
      <c r="P1435" s="80"/>
      <c r="Q1435" s="79"/>
      <c r="R1435" s="80"/>
      <c r="S1435" s="78" t="s">
        <v>9456</v>
      </c>
      <c r="T1435" s="85" t="s">
        <v>9457</v>
      </c>
      <c r="U1435" s="80"/>
      <c r="V1435" s="102" t="s">
        <v>429</v>
      </c>
      <c r="W1435" s="79"/>
      <c r="X1435" s="79"/>
      <c r="Y1435" s="79"/>
      <c r="Z1435" s="79"/>
    </row>
    <row r="1436" ht="15.75" customHeight="1">
      <c r="A1436" s="76" t="s">
        <v>247</v>
      </c>
      <c r="B1436" s="77" t="s">
        <v>7879</v>
      </c>
      <c r="C1436" s="80">
        <v>3.059697343E10</v>
      </c>
      <c r="D1436" s="119" t="s">
        <v>264</v>
      </c>
      <c r="E1436" s="79" t="s">
        <v>2997</v>
      </c>
      <c r="F1436" s="44">
        <v>5791.0</v>
      </c>
      <c r="G1436" s="79" t="s">
        <v>269</v>
      </c>
      <c r="H1436" s="80">
        <v>1682.0</v>
      </c>
      <c r="I1436" s="79">
        <v>251102.0</v>
      </c>
      <c r="J1436" s="74" t="s">
        <v>347</v>
      </c>
      <c r="K1436" s="79" t="s">
        <v>1611</v>
      </c>
      <c r="L1436" s="79" t="s">
        <v>453</v>
      </c>
      <c r="M1436" s="79"/>
      <c r="N1436" s="79">
        <v>17.0</v>
      </c>
      <c r="O1436" s="74"/>
      <c r="P1436" s="80"/>
      <c r="Q1436" s="77" t="s">
        <v>9459</v>
      </c>
      <c r="R1436" s="80"/>
      <c r="S1436" s="80" t="s">
        <v>9460</v>
      </c>
      <c r="T1436" s="101" t="s">
        <v>9461</v>
      </c>
      <c r="U1436" s="80" t="s">
        <v>332</v>
      </c>
      <c r="V1436" s="102" t="s">
        <v>429</v>
      </c>
      <c r="W1436" s="79" t="s">
        <v>309</v>
      </c>
      <c r="X1436" s="79" t="s">
        <v>309</v>
      </c>
      <c r="Y1436" s="79" t="s">
        <v>309</v>
      </c>
      <c r="Z1436" s="79"/>
    </row>
    <row r="1437" ht="15.75" customHeight="1">
      <c r="A1437" s="76" t="s">
        <v>247</v>
      </c>
      <c r="B1437" s="191" t="s">
        <v>7882</v>
      </c>
      <c r="C1437" s="192">
        <v>3.0546793806E10</v>
      </c>
      <c r="D1437" s="323" t="s">
        <v>264</v>
      </c>
      <c r="E1437" s="194" t="s">
        <v>3987</v>
      </c>
      <c r="F1437" s="193">
        <v>8375.0</v>
      </c>
      <c r="G1437" s="194" t="s">
        <v>119</v>
      </c>
      <c r="H1437" s="192">
        <v>1657.0</v>
      </c>
      <c r="I1437" s="192">
        <v>282200.0</v>
      </c>
      <c r="J1437" s="194" t="s">
        <v>347</v>
      </c>
      <c r="K1437" s="194" t="s">
        <v>5178</v>
      </c>
      <c r="L1437" s="79"/>
      <c r="M1437" s="79"/>
      <c r="N1437" s="77">
        <v>30.0</v>
      </c>
      <c r="O1437" s="79"/>
      <c r="P1437" s="80"/>
      <c r="Q1437" s="79"/>
      <c r="R1437" s="80"/>
      <c r="S1437" s="192" t="s">
        <v>9463</v>
      </c>
      <c r="T1437" s="197" t="s">
        <v>9464</v>
      </c>
      <c r="U1437" s="194"/>
      <c r="V1437" s="194" t="s">
        <v>9466</v>
      </c>
      <c r="W1437" s="79"/>
      <c r="X1437" s="79"/>
      <c r="Y1437" s="79"/>
      <c r="Z1437" s="79"/>
    </row>
    <row r="1438" ht="15.75" customHeight="1">
      <c r="A1438" s="76" t="s">
        <v>247</v>
      </c>
      <c r="B1438" s="77" t="s">
        <v>4270</v>
      </c>
      <c r="C1438" s="80">
        <v>3.3682770649E10</v>
      </c>
      <c r="D1438" s="79" t="s">
        <v>264</v>
      </c>
      <c r="E1438" s="79" t="s">
        <v>1114</v>
      </c>
      <c r="F1438" s="44">
        <v>4356.0</v>
      </c>
      <c r="G1438" s="79" t="s">
        <v>68</v>
      </c>
      <c r="H1438" s="80">
        <v>1702.0</v>
      </c>
      <c r="I1438" s="79">
        <v>293090.0</v>
      </c>
      <c r="J1438" s="74" t="s">
        <v>347</v>
      </c>
      <c r="K1438" s="77" t="s">
        <v>5963</v>
      </c>
      <c r="L1438" s="79"/>
      <c r="M1438" s="79"/>
      <c r="N1438" s="79">
        <v>19.0</v>
      </c>
      <c r="O1438" s="126" t="s">
        <v>9467</v>
      </c>
      <c r="P1438" s="80" t="s">
        <v>9468</v>
      </c>
      <c r="Q1438" s="79" t="s">
        <v>9470</v>
      </c>
      <c r="R1438" s="78" t="s">
        <v>9471</v>
      </c>
      <c r="S1438" s="80" t="s">
        <v>9472</v>
      </c>
      <c r="T1438" s="101" t="s">
        <v>9473</v>
      </c>
      <c r="U1438" s="78" t="s">
        <v>9474</v>
      </c>
      <c r="V1438" s="102" t="s">
        <v>9475</v>
      </c>
      <c r="W1438" s="79" t="s">
        <v>309</v>
      </c>
      <c r="X1438" s="79" t="s">
        <v>309</v>
      </c>
      <c r="Y1438" s="79" t="s">
        <v>309</v>
      </c>
      <c r="Z1438" s="79"/>
    </row>
    <row r="1439" ht="15.75" customHeight="1">
      <c r="A1439" s="76" t="s">
        <v>247</v>
      </c>
      <c r="B1439" s="77" t="s">
        <v>7890</v>
      </c>
      <c r="C1439" s="80">
        <v>3.0708820489E10</v>
      </c>
      <c r="D1439" s="79" t="s">
        <v>264</v>
      </c>
      <c r="E1439" s="77" t="s">
        <v>5869</v>
      </c>
      <c r="F1439" s="44">
        <v>3220.0</v>
      </c>
      <c r="G1439" s="79" t="s">
        <v>249</v>
      </c>
      <c r="H1439" s="80">
        <v>1676.0</v>
      </c>
      <c r="I1439" s="78">
        <v>464920.0</v>
      </c>
      <c r="J1439" s="83" t="s">
        <v>568</v>
      </c>
      <c r="K1439" s="77" t="s">
        <v>9477</v>
      </c>
      <c r="L1439" s="79" t="s">
        <v>453</v>
      </c>
      <c r="M1439" s="79" t="s">
        <v>9478</v>
      </c>
      <c r="N1439" s="80">
        <v>14.0</v>
      </c>
      <c r="O1439" s="74"/>
      <c r="P1439" s="80"/>
      <c r="Q1439" s="79"/>
      <c r="R1439" s="80"/>
      <c r="S1439" s="80" t="s">
        <v>9479</v>
      </c>
      <c r="T1439" s="101" t="s">
        <v>9480</v>
      </c>
      <c r="U1439" s="80"/>
      <c r="V1439" s="102" t="s">
        <v>9481</v>
      </c>
      <c r="W1439" s="79" t="s">
        <v>306</v>
      </c>
      <c r="X1439" s="79" t="s">
        <v>306</v>
      </c>
      <c r="Y1439" s="79" t="s">
        <v>309</v>
      </c>
      <c r="Z1439" s="79"/>
    </row>
    <row r="1440" ht="15.75" customHeight="1">
      <c r="A1440" s="103" t="s">
        <v>24</v>
      </c>
      <c r="B1440" s="79" t="s">
        <v>9483</v>
      </c>
      <c r="C1440" s="80">
        <v>3.0711418462E10</v>
      </c>
      <c r="D1440" s="119" t="s">
        <v>264</v>
      </c>
      <c r="E1440" s="79" t="s">
        <v>9484</v>
      </c>
      <c r="F1440" s="44">
        <v>6963.0</v>
      </c>
      <c r="G1440" s="79" t="s">
        <v>119</v>
      </c>
      <c r="H1440" s="80">
        <v>1657.0</v>
      </c>
      <c r="I1440" s="79">
        <v>949990.0</v>
      </c>
      <c r="J1440" s="74" t="s">
        <v>433</v>
      </c>
      <c r="K1440" s="77" t="s">
        <v>3881</v>
      </c>
      <c r="L1440" s="79"/>
      <c r="M1440" s="79"/>
      <c r="N1440" s="79">
        <v>0.0</v>
      </c>
      <c r="O1440" s="74"/>
      <c r="P1440" s="80"/>
      <c r="Q1440" s="79"/>
      <c r="R1440" s="80"/>
      <c r="S1440" s="80" t="s">
        <v>9486</v>
      </c>
      <c r="T1440" s="101" t="s">
        <v>332</v>
      </c>
      <c r="U1440" s="80" t="s">
        <v>332</v>
      </c>
      <c r="V1440" s="102" t="s">
        <v>429</v>
      </c>
      <c r="W1440" s="79" t="s">
        <v>306</v>
      </c>
      <c r="X1440" s="79" t="s">
        <v>306</v>
      </c>
      <c r="Y1440" s="79"/>
      <c r="Z1440" s="79"/>
    </row>
    <row r="1441" ht="15.75" customHeight="1">
      <c r="A1441" s="76" t="s">
        <v>247</v>
      </c>
      <c r="B1441" s="77" t="s">
        <v>9487</v>
      </c>
      <c r="C1441" s="80">
        <v>3.0711592632E10</v>
      </c>
      <c r="D1441" s="119" t="s">
        <v>264</v>
      </c>
      <c r="E1441" s="77" t="s">
        <v>6900</v>
      </c>
      <c r="F1441" s="44">
        <v>2250.0</v>
      </c>
      <c r="G1441" s="79" t="s">
        <v>134</v>
      </c>
      <c r="H1441" s="80">
        <v>1682.0</v>
      </c>
      <c r="I1441" s="79">
        <v>172900.0</v>
      </c>
      <c r="J1441" s="74" t="s">
        <v>448</v>
      </c>
      <c r="K1441" s="77" t="s">
        <v>4372</v>
      </c>
      <c r="L1441" s="79"/>
      <c r="M1441" s="79"/>
      <c r="N1441" s="79">
        <v>0.0</v>
      </c>
      <c r="O1441" s="74"/>
      <c r="P1441" s="80"/>
      <c r="Q1441" s="79"/>
      <c r="R1441" s="80"/>
      <c r="S1441" s="78" t="s">
        <v>9489</v>
      </c>
      <c r="T1441" s="101" t="s">
        <v>332</v>
      </c>
      <c r="U1441" s="80"/>
      <c r="V1441" s="102" t="s">
        <v>429</v>
      </c>
      <c r="W1441" s="79" t="s">
        <v>306</v>
      </c>
      <c r="X1441" s="79" t="s">
        <v>306</v>
      </c>
      <c r="Y1441" s="79" t="s">
        <v>309</v>
      </c>
      <c r="Z1441" s="79"/>
    </row>
    <row r="1442" ht="15.0" customHeight="1">
      <c r="A1442" s="103" t="s">
        <v>24</v>
      </c>
      <c r="B1442" s="77" t="s">
        <v>9490</v>
      </c>
      <c r="C1442" s="80">
        <v>3.3556808649E10</v>
      </c>
      <c r="D1442" s="119" t="s">
        <v>264</v>
      </c>
      <c r="E1442" s="79" t="s">
        <v>2641</v>
      </c>
      <c r="F1442" s="44">
        <v>3465.0</v>
      </c>
      <c r="G1442" s="79" t="s">
        <v>68</v>
      </c>
      <c r="H1442" s="80">
        <v>1702.0</v>
      </c>
      <c r="I1442" s="79">
        <v>181199.0</v>
      </c>
      <c r="J1442" s="74" t="s">
        <v>448</v>
      </c>
      <c r="K1442" s="77" t="s">
        <v>9492</v>
      </c>
      <c r="L1442" s="79" t="s">
        <v>1122</v>
      </c>
      <c r="M1442" s="79"/>
      <c r="N1442" s="79">
        <v>14.0</v>
      </c>
      <c r="O1442" s="74"/>
      <c r="P1442" s="80"/>
      <c r="Q1442" s="79"/>
      <c r="R1442" s="80"/>
      <c r="S1442" s="78" t="s">
        <v>9493</v>
      </c>
      <c r="T1442" s="101" t="s">
        <v>332</v>
      </c>
      <c r="U1442" s="80" t="s">
        <v>332</v>
      </c>
      <c r="V1442" s="102" t="s">
        <v>429</v>
      </c>
      <c r="W1442" s="79" t="s">
        <v>306</v>
      </c>
      <c r="X1442" s="79" t="s">
        <v>306</v>
      </c>
      <c r="Y1442" s="79"/>
      <c r="Z1442" s="79"/>
    </row>
    <row r="1443" ht="15.75" customHeight="1">
      <c r="A1443" s="103" t="s">
        <v>24</v>
      </c>
      <c r="B1443" s="79" t="s">
        <v>9494</v>
      </c>
      <c r="C1443" s="80">
        <v>3.0620331836E10</v>
      </c>
      <c r="D1443" s="144" t="s">
        <v>631</v>
      </c>
      <c r="E1443" s="79" t="s">
        <v>9495</v>
      </c>
      <c r="F1443" s="44">
        <v>10231.0</v>
      </c>
      <c r="G1443" s="79" t="s">
        <v>119</v>
      </c>
      <c r="H1443" s="80">
        <v>1657.0</v>
      </c>
      <c r="I1443" s="79">
        <v>390968.0</v>
      </c>
      <c r="J1443" s="74" t="s">
        <v>347</v>
      </c>
      <c r="K1443" s="79" t="s">
        <v>9497</v>
      </c>
      <c r="L1443" s="79"/>
      <c r="M1443" s="79"/>
      <c r="N1443" s="79">
        <v>0.0</v>
      </c>
      <c r="O1443" s="74"/>
      <c r="P1443" s="80"/>
      <c r="Q1443" s="79"/>
      <c r="R1443" s="80"/>
      <c r="S1443" s="80" t="s">
        <v>9498</v>
      </c>
      <c r="T1443" s="101" t="s">
        <v>332</v>
      </c>
      <c r="U1443" s="80" t="s">
        <v>332</v>
      </c>
      <c r="V1443" s="102" t="s">
        <v>429</v>
      </c>
      <c r="W1443" s="79" t="s">
        <v>306</v>
      </c>
      <c r="X1443" s="79" t="s">
        <v>306</v>
      </c>
      <c r="Y1443" s="79"/>
      <c r="Z1443" s="79"/>
    </row>
    <row r="1444" ht="15.75" customHeight="1">
      <c r="A1444" s="103" t="s">
        <v>24</v>
      </c>
      <c r="B1444" s="79" t="s">
        <v>9499</v>
      </c>
      <c r="C1444" s="80">
        <v>3.3602191619E10</v>
      </c>
      <c r="D1444" s="77" t="s">
        <v>631</v>
      </c>
      <c r="E1444" s="79" t="s">
        <v>3614</v>
      </c>
      <c r="F1444" s="44">
        <v>2232.0</v>
      </c>
      <c r="G1444" s="79" t="s">
        <v>175</v>
      </c>
      <c r="H1444" s="80">
        <v>1657.0</v>
      </c>
      <c r="I1444" s="79">
        <v>311000.0</v>
      </c>
      <c r="J1444" s="83" t="s">
        <v>207</v>
      </c>
      <c r="K1444" s="77" t="s">
        <v>661</v>
      </c>
      <c r="L1444" s="79"/>
      <c r="M1444" s="79"/>
      <c r="N1444" s="79">
        <v>0.0</v>
      </c>
      <c r="O1444" s="74"/>
      <c r="P1444" s="80"/>
      <c r="Q1444" s="79"/>
      <c r="R1444" s="80"/>
      <c r="S1444" s="80" t="s">
        <v>9501</v>
      </c>
      <c r="T1444" s="101" t="s">
        <v>332</v>
      </c>
      <c r="U1444" s="80"/>
      <c r="V1444" s="102" t="s">
        <v>429</v>
      </c>
      <c r="W1444" s="79" t="s">
        <v>309</v>
      </c>
      <c r="X1444" s="79" t="s">
        <v>309</v>
      </c>
      <c r="Y1444" s="79" t="s">
        <v>309</v>
      </c>
      <c r="Z1444" s="79"/>
    </row>
    <row r="1445" ht="15.0" customHeight="1">
      <c r="A1445" s="76" t="s">
        <v>247</v>
      </c>
      <c r="B1445" s="77" t="s">
        <v>7893</v>
      </c>
      <c r="C1445" s="80">
        <v>3.054178221E10</v>
      </c>
      <c r="D1445" s="79" t="s">
        <v>264</v>
      </c>
      <c r="E1445" s="119" t="s">
        <v>1422</v>
      </c>
      <c r="F1445" s="44">
        <v>1182.0</v>
      </c>
      <c r="G1445" s="79" t="s">
        <v>269</v>
      </c>
      <c r="H1445" s="80">
        <v>1682.0</v>
      </c>
      <c r="I1445" s="79">
        <v>259999.0</v>
      </c>
      <c r="J1445" s="74" t="s">
        <v>347</v>
      </c>
      <c r="K1445" s="77" t="s">
        <v>839</v>
      </c>
      <c r="L1445" s="79" t="s">
        <v>453</v>
      </c>
      <c r="M1445" s="79"/>
      <c r="N1445" s="79">
        <v>8.0</v>
      </c>
      <c r="O1445" s="74"/>
      <c r="P1445" s="80"/>
      <c r="Q1445" s="79"/>
      <c r="R1445" s="80"/>
      <c r="S1445" s="78" t="s">
        <v>9503</v>
      </c>
      <c r="T1445" s="85" t="s">
        <v>9504</v>
      </c>
      <c r="U1445" s="80" t="s">
        <v>332</v>
      </c>
      <c r="V1445" s="102" t="s">
        <v>429</v>
      </c>
      <c r="W1445" s="79" t="s">
        <v>306</v>
      </c>
      <c r="X1445" s="79" t="s">
        <v>306</v>
      </c>
      <c r="Y1445" s="79" t="s">
        <v>309</v>
      </c>
      <c r="Z1445" s="79"/>
    </row>
    <row r="1446">
      <c r="A1446" s="76" t="s">
        <v>247</v>
      </c>
      <c r="B1446" s="79" t="s">
        <v>9505</v>
      </c>
      <c r="C1446" s="80">
        <v>2.4299753812E10</v>
      </c>
      <c r="D1446" s="77" t="s">
        <v>631</v>
      </c>
      <c r="E1446" s="79" t="s">
        <v>1095</v>
      </c>
      <c r="F1446" s="44">
        <v>4147.0</v>
      </c>
      <c r="G1446" s="77" t="s">
        <v>15</v>
      </c>
      <c r="H1446" s="78">
        <v>1678.0</v>
      </c>
      <c r="I1446" s="79">
        <v>259993.0</v>
      </c>
      <c r="J1446" s="83" t="s">
        <v>347</v>
      </c>
      <c r="K1446" s="129" t="s">
        <v>638</v>
      </c>
      <c r="L1446" s="79"/>
      <c r="M1446" s="79"/>
      <c r="N1446" s="79"/>
      <c r="O1446" s="74"/>
      <c r="P1446" s="80"/>
      <c r="Q1446" s="79"/>
      <c r="R1446" s="80"/>
      <c r="S1446" s="78" t="s">
        <v>3771</v>
      </c>
      <c r="T1446" s="101"/>
      <c r="U1446" s="80"/>
      <c r="V1446" s="102" t="s">
        <v>429</v>
      </c>
      <c r="W1446" s="79"/>
      <c r="X1446" s="79"/>
      <c r="Y1446" s="79"/>
      <c r="Z1446" s="79"/>
    </row>
    <row r="1447" ht="15.0" customHeight="1">
      <c r="A1447" s="76" t="s">
        <v>247</v>
      </c>
      <c r="B1447" s="77" t="s">
        <v>2287</v>
      </c>
      <c r="C1447" s="80">
        <v>3.0504594943E10</v>
      </c>
      <c r="D1447" s="119" t="s">
        <v>264</v>
      </c>
      <c r="E1447" s="79" t="s">
        <v>3833</v>
      </c>
      <c r="F1447" s="44">
        <v>5364.0</v>
      </c>
      <c r="G1447" s="79" t="s">
        <v>15</v>
      </c>
      <c r="H1447" s="80">
        <v>1678.0</v>
      </c>
      <c r="I1447" s="79">
        <v>110100.0</v>
      </c>
      <c r="J1447" s="74" t="s">
        <v>57</v>
      </c>
      <c r="K1447" s="79" t="s">
        <v>9508</v>
      </c>
      <c r="L1447" s="79"/>
      <c r="M1447" s="79" t="s">
        <v>9509</v>
      </c>
      <c r="N1447" s="79">
        <v>108.0</v>
      </c>
      <c r="O1447" s="83" t="s">
        <v>9510</v>
      </c>
      <c r="P1447" s="78" t="s">
        <v>9511</v>
      </c>
      <c r="Q1447" s="79" t="s">
        <v>9512</v>
      </c>
      <c r="R1447" s="78" t="s">
        <v>9513</v>
      </c>
      <c r="S1447" s="80" t="s">
        <v>9514</v>
      </c>
      <c r="T1447" s="341" t="s">
        <v>9515</v>
      </c>
      <c r="U1447" s="80" t="s">
        <v>9516</v>
      </c>
      <c r="V1447" s="102" t="s">
        <v>9517</v>
      </c>
      <c r="W1447" s="79" t="s">
        <v>309</v>
      </c>
      <c r="X1447" s="79" t="s">
        <v>309</v>
      </c>
      <c r="Y1447" s="79" t="s">
        <v>309</v>
      </c>
      <c r="Z1447" s="79"/>
    </row>
    <row r="1448" ht="15.0" customHeight="1">
      <c r="A1448" s="103" t="s">
        <v>24</v>
      </c>
      <c r="B1448" s="77" t="s">
        <v>9519</v>
      </c>
      <c r="C1448" s="80">
        <v>3.0707329501E10</v>
      </c>
      <c r="D1448" s="79" t="s">
        <v>264</v>
      </c>
      <c r="E1448" s="79" t="s">
        <v>2312</v>
      </c>
      <c r="F1448" s="44">
        <v>4264.0</v>
      </c>
      <c r="G1448" s="79" t="s">
        <v>15</v>
      </c>
      <c r="H1448" s="80">
        <v>1678.0</v>
      </c>
      <c r="I1448" s="77">
        <v>310010.0</v>
      </c>
      <c r="J1448" s="74" t="s">
        <v>313</v>
      </c>
      <c r="K1448" s="77" t="s">
        <v>1438</v>
      </c>
      <c r="L1448" s="79" t="s">
        <v>1122</v>
      </c>
      <c r="M1448" s="79"/>
      <c r="N1448" s="79">
        <v>3.0</v>
      </c>
      <c r="O1448" s="74"/>
      <c r="P1448" s="80"/>
      <c r="Q1448" s="79"/>
      <c r="R1448" s="80"/>
      <c r="S1448" s="101" t="s">
        <v>9520</v>
      </c>
      <c r="T1448" s="101" t="s">
        <v>332</v>
      </c>
      <c r="U1448" s="80" t="s">
        <v>332</v>
      </c>
      <c r="V1448" s="102" t="s">
        <v>429</v>
      </c>
      <c r="W1448" s="79" t="s">
        <v>306</v>
      </c>
      <c r="X1448" s="79" t="s">
        <v>306</v>
      </c>
      <c r="Y1448" s="79"/>
      <c r="Z1448" s="79"/>
    </row>
    <row r="1449" ht="15.0" customHeight="1">
      <c r="A1449" s="103" t="s">
        <v>24</v>
      </c>
      <c r="B1449" s="79" t="s">
        <v>9522</v>
      </c>
      <c r="C1449" s="80">
        <v>3.0715528866E10</v>
      </c>
      <c r="D1449" s="79" t="s">
        <v>264</v>
      </c>
      <c r="E1449" s="79" t="s">
        <v>1882</v>
      </c>
      <c r="F1449" s="44">
        <v>4999.0</v>
      </c>
      <c r="G1449" s="79" t="s">
        <v>15</v>
      </c>
      <c r="H1449" s="78">
        <v>1678.0</v>
      </c>
      <c r="I1449" s="77">
        <v>422100.0</v>
      </c>
      <c r="J1449" s="74" t="s">
        <v>125</v>
      </c>
      <c r="K1449" s="77" t="s">
        <v>9523</v>
      </c>
      <c r="L1449" s="79" t="s">
        <v>453</v>
      </c>
      <c r="M1449" s="79"/>
      <c r="N1449" s="79"/>
      <c r="O1449" s="74"/>
      <c r="P1449" s="78" t="s">
        <v>9524</v>
      </c>
      <c r="Q1449" s="79"/>
      <c r="R1449" s="80"/>
      <c r="S1449" s="80"/>
      <c r="T1449" s="101"/>
      <c r="U1449" s="80"/>
      <c r="V1449" s="102" t="s">
        <v>429</v>
      </c>
      <c r="W1449" s="79"/>
      <c r="X1449" s="79"/>
      <c r="Y1449" s="79"/>
      <c r="Z1449" s="79"/>
    </row>
    <row r="1450" ht="15.75" customHeight="1">
      <c r="A1450" s="76" t="s">
        <v>247</v>
      </c>
      <c r="B1450" s="77" t="s">
        <v>2291</v>
      </c>
      <c r="C1450" s="78">
        <v>2.0108334836E10</v>
      </c>
      <c r="D1450" s="144" t="s">
        <v>631</v>
      </c>
      <c r="E1450" s="79" t="s">
        <v>2333</v>
      </c>
      <c r="F1450" s="44">
        <v>2760.0</v>
      </c>
      <c r="G1450" s="79" t="s">
        <v>97</v>
      </c>
      <c r="H1450" s="80">
        <v>1702.0</v>
      </c>
      <c r="I1450" s="77">
        <v>282300.0</v>
      </c>
      <c r="J1450" s="83" t="s">
        <v>347</v>
      </c>
      <c r="K1450" s="77" t="s">
        <v>4825</v>
      </c>
      <c r="L1450" s="79"/>
      <c r="M1450" s="79"/>
      <c r="N1450" s="79"/>
      <c r="O1450" s="129" t="s">
        <v>9527</v>
      </c>
      <c r="P1450" s="78" t="s">
        <v>9528</v>
      </c>
      <c r="Q1450" s="79"/>
      <c r="R1450" s="80"/>
      <c r="S1450" s="80" t="s">
        <v>9529</v>
      </c>
      <c r="T1450" s="101"/>
      <c r="U1450" s="80"/>
      <c r="V1450" s="102" t="s">
        <v>9530</v>
      </c>
      <c r="W1450" s="79"/>
      <c r="X1450" s="79"/>
      <c r="Y1450" s="79" t="s">
        <v>309</v>
      </c>
      <c r="Z1450" s="79"/>
    </row>
    <row r="1451" ht="15.75" customHeight="1">
      <c r="A1451" s="76" t="s">
        <v>247</v>
      </c>
      <c r="B1451" s="77" t="s">
        <v>2294</v>
      </c>
      <c r="C1451" s="80">
        <v>2.0251778273E10</v>
      </c>
      <c r="D1451" s="77" t="s">
        <v>631</v>
      </c>
      <c r="E1451" s="79" t="s">
        <v>826</v>
      </c>
      <c r="F1451" s="44">
        <v>6601.0</v>
      </c>
      <c r="G1451" s="79" t="s">
        <v>134</v>
      </c>
      <c r="H1451" s="78">
        <v>1682.0</v>
      </c>
      <c r="I1451" s="77">
        <v>620900.0</v>
      </c>
      <c r="J1451" s="83" t="s">
        <v>278</v>
      </c>
      <c r="K1451" s="77" t="s">
        <v>9532</v>
      </c>
      <c r="L1451" s="79"/>
      <c r="M1451" s="79"/>
      <c r="N1451" s="79"/>
      <c r="O1451" s="74" t="s">
        <v>9533</v>
      </c>
      <c r="P1451" s="78" t="s">
        <v>9534</v>
      </c>
      <c r="Q1451" s="79" t="s">
        <v>9535</v>
      </c>
      <c r="R1451" s="78" t="s">
        <v>9536</v>
      </c>
      <c r="S1451" s="342" t="s">
        <v>9537</v>
      </c>
      <c r="T1451" s="343"/>
      <c r="U1451" s="78">
        <v>1.128757177E9</v>
      </c>
      <c r="V1451" s="102" t="s">
        <v>9538</v>
      </c>
      <c r="W1451" s="79"/>
      <c r="X1451" s="79"/>
      <c r="Y1451" s="79" t="s">
        <v>309</v>
      </c>
      <c r="Z1451" s="79"/>
    </row>
    <row r="1452" ht="15.0" customHeight="1">
      <c r="A1452" s="76" t="s">
        <v>247</v>
      </c>
      <c r="B1452" s="77" t="s">
        <v>7907</v>
      </c>
      <c r="C1452" s="80">
        <v>3.0710629516E10</v>
      </c>
      <c r="D1452" s="119" t="s">
        <v>264</v>
      </c>
      <c r="E1452" s="79" t="s">
        <v>1314</v>
      </c>
      <c r="F1452" s="44">
        <v>5341.0</v>
      </c>
      <c r="G1452" s="79" t="s">
        <v>15</v>
      </c>
      <c r="H1452" s="80">
        <v>1678.0</v>
      </c>
      <c r="I1452" s="79">
        <v>202908.0</v>
      </c>
      <c r="J1452" s="74" t="s">
        <v>316</v>
      </c>
      <c r="K1452" s="77" t="s">
        <v>1153</v>
      </c>
      <c r="L1452" s="79"/>
      <c r="M1452" s="79"/>
      <c r="N1452" s="79">
        <v>9.0</v>
      </c>
      <c r="O1452" s="74"/>
      <c r="P1452" s="80"/>
      <c r="Q1452" s="79"/>
      <c r="R1452" s="80"/>
      <c r="S1452" s="80" t="s">
        <v>9541</v>
      </c>
      <c r="T1452" s="101" t="s">
        <v>332</v>
      </c>
      <c r="U1452" s="80" t="s">
        <v>332</v>
      </c>
      <c r="V1452" s="102" t="s">
        <v>9542</v>
      </c>
      <c r="W1452" s="79" t="s">
        <v>306</v>
      </c>
      <c r="X1452" s="79" t="s">
        <v>306</v>
      </c>
      <c r="Y1452" s="79" t="s">
        <v>309</v>
      </c>
      <c r="Z1452" s="79"/>
    </row>
    <row r="1453" ht="15.0" customHeight="1">
      <c r="A1453" s="76" t="s">
        <v>247</v>
      </c>
      <c r="B1453" s="77" t="s">
        <v>9544</v>
      </c>
      <c r="C1453" s="80">
        <v>3.0504744538E10</v>
      </c>
      <c r="D1453" s="79" t="s">
        <v>264</v>
      </c>
      <c r="E1453" s="79" t="s">
        <v>826</v>
      </c>
      <c r="F1453" s="44">
        <v>1001.0</v>
      </c>
      <c r="G1453" s="79" t="s">
        <v>269</v>
      </c>
      <c r="H1453" s="80">
        <v>1682.0</v>
      </c>
      <c r="I1453" s="79">
        <v>291000.0</v>
      </c>
      <c r="J1453" s="74" t="s">
        <v>347</v>
      </c>
      <c r="K1453" s="79" t="s">
        <v>9545</v>
      </c>
      <c r="L1453" s="79" t="s">
        <v>453</v>
      </c>
      <c r="M1453" s="79" t="s">
        <v>4430</v>
      </c>
      <c r="N1453" s="79">
        <v>4026.0</v>
      </c>
      <c r="O1453" s="129" t="s">
        <v>9546</v>
      </c>
      <c r="P1453" s="78" t="s">
        <v>9547</v>
      </c>
      <c r="Q1453" s="79" t="s">
        <v>9548</v>
      </c>
      <c r="R1453" s="80"/>
      <c r="S1453" s="80" t="s">
        <v>9550</v>
      </c>
      <c r="T1453" s="101" t="s">
        <v>9551</v>
      </c>
      <c r="U1453" s="78" t="s">
        <v>9552</v>
      </c>
      <c r="V1453" s="102" t="s">
        <v>9553</v>
      </c>
      <c r="W1453" s="79" t="s">
        <v>309</v>
      </c>
      <c r="X1453" s="79" t="s">
        <v>309</v>
      </c>
      <c r="Y1453" s="79" t="s">
        <v>309</v>
      </c>
      <c r="Z1453" s="79"/>
    </row>
    <row r="1454" ht="15.75" customHeight="1">
      <c r="A1454" s="76" t="s">
        <v>247</v>
      </c>
      <c r="B1454" s="77" t="s">
        <v>2299</v>
      </c>
      <c r="C1454" s="239">
        <v>2.7286942356E10</v>
      </c>
      <c r="D1454" s="77" t="s">
        <v>631</v>
      </c>
      <c r="E1454" s="77" t="s">
        <v>9554</v>
      </c>
      <c r="F1454" s="44">
        <v>4760.0</v>
      </c>
      <c r="G1454" s="79" t="s">
        <v>15</v>
      </c>
      <c r="H1454" s="80">
        <v>1678.0</v>
      </c>
      <c r="I1454" s="77">
        <v>141199.0</v>
      </c>
      <c r="J1454" s="74" t="s">
        <v>313</v>
      </c>
      <c r="K1454" s="77" t="s">
        <v>2765</v>
      </c>
      <c r="L1454" s="79"/>
      <c r="M1454" s="77" t="s">
        <v>9556</v>
      </c>
      <c r="N1454" s="79"/>
      <c r="O1454" s="83" t="s">
        <v>9557</v>
      </c>
      <c r="P1454" s="78" t="s">
        <v>9558</v>
      </c>
      <c r="Q1454" s="79"/>
      <c r="R1454" s="80"/>
      <c r="S1454" s="283" t="s">
        <v>9559</v>
      </c>
      <c r="T1454" s="78" t="s">
        <v>9560</v>
      </c>
      <c r="U1454" s="85" t="s">
        <v>9561</v>
      </c>
      <c r="V1454" s="102" t="s">
        <v>9562</v>
      </c>
      <c r="W1454" s="79"/>
      <c r="X1454" s="79"/>
      <c r="Y1454" s="79"/>
      <c r="Z1454" s="79"/>
    </row>
    <row r="1455" ht="15.75" customHeight="1">
      <c r="A1455" s="103" t="s">
        <v>24</v>
      </c>
      <c r="B1455" s="79" t="s">
        <v>9564</v>
      </c>
      <c r="C1455" s="80">
        <v>3.0648089364E10</v>
      </c>
      <c r="D1455" s="144" t="s">
        <v>631</v>
      </c>
      <c r="E1455" s="79" t="s">
        <v>2443</v>
      </c>
      <c r="F1455" s="44">
        <v>699.0</v>
      </c>
      <c r="G1455" s="79" t="s">
        <v>68</v>
      </c>
      <c r="H1455" s="80">
        <v>1702.0</v>
      </c>
      <c r="I1455" s="79">
        <v>951315.0</v>
      </c>
      <c r="J1455" s="74" t="s">
        <v>433</v>
      </c>
      <c r="K1455" s="79" t="s">
        <v>9163</v>
      </c>
      <c r="L1455" s="79"/>
      <c r="M1455" s="79"/>
      <c r="N1455" s="79">
        <v>0.0</v>
      </c>
      <c r="O1455" s="74"/>
      <c r="P1455" s="80"/>
      <c r="Q1455" s="79"/>
      <c r="R1455" s="80"/>
      <c r="S1455" s="80" t="s">
        <v>9565</v>
      </c>
      <c r="T1455" s="101" t="s">
        <v>332</v>
      </c>
      <c r="U1455" s="80" t="s">
        <v>332</v>
      </c>
      <c r="V1455" s="102" t="s">
        <v>429</v>
      </c>
      <c r="W1455" s="79" t="s">
        <v>306</v>
      </c>
      <c r="X1455" s="79" t="s">
        <v>306</v>
      </c>
      <c r="Y1455" s="79"/>
      <c r="Z1455" s="79"/>
    </row>
    <row r="1456" ht="15.75" customHeight="1">
      <c r="A1456" s="103" t="s">
        <v>24</v>
      </c>
      <c r="B1456" s="77" t="s">
        <v>9567</v>
      </c>
      <c r="C1456" s="80">
        <v>3.0709097144E10</v>
      </c>
      <c r="D1456" s="79" t="s">
        <v>264</v>
      </c>
      <c r="E1456" s="79" t="s">
        <v>2400</v>
      </c>
      <c r="F1456" s="44">
        <v>9349.0</v>
      </c>
      <c r="G1456" s="79" t="s">
        <v>175</v>
      </c>
      <c r="H1456" s="80">
        <v>1657.0</v>
      </c>
      <c r="I1456" s="79">
        <v>869090.0</v>
      </c>
      <c r="J1456" s="74" t="s">
        <v>433</v>
      </c>
      <c r="K1456" s="77" t="s">
        <v>4018</v>
      </c>
      <c r="L1456" s="79"/>
      <c r="M1456" s="79"/>
      <c r="N1456" s="79">
        <v>41.0</v>
      </c>
      <c r="O1456" s="74"/>
      <c r="P1456" s="80"/>
      <c r="Q1456" s="79"/>
      <c r="R1456" s="80"/>
      <c r="S1456" s="80" t="s">
        <v>9569</v>
      </c>
      <c r="T1456" s="80" t="s">
        <v>9570</v>
      </c>
      <c r="U1456" s="80" t="s">
        <v>332</v>
      </c>
      <c r="V1456" s="102" t="s">
        <v>429</v>
      </c>
      <c r="W1456" s="79" t="s">
        <v>306</v>
      </c>
      <c r="X1456" s="79" t="s">
        <v>306</v>
      </c>
      <c r="Y1456" s="79"/>
      <c r="Z1456" s="79"/>
    </row>
    <row r="1457" ht="15.0" customHeight="1">
      <c r="A1457" s="103" t="s">
        <v>24</v>
      </c>
      <c r="B1457" s="77" t="s">
        <v>7915</v>
      </c>
      <c r="C1457" s="80">
        <v>3.3714514429E10</v>
      </c>
      <c r="D1457" s="119" t="s">
        <v>264</v>
      </c>
      <c r="E1457" s="79" t="s">
        <v>1726</v>
      </c>
      <c r="F1457" s="44">
        <v>3006.0</v>
      </c>
      <c r="G1457" s="79" t="s">
        <v>15</v>
      </c>
      <c r="H1457" s="80">
        <v>1678.0</v>
      </c>
      <c r="I1457" s="79">
        <v>101030.0</v>
      </c>
      <c r="J1457" s="74" t="s">
        <v>22</v>
      </c>
      <c r="K1457" s="79" t="s">
        <v>3365</v>
      </c>
      <c r="L1457" s="79"/>
      <c r="M1457" s="79" t="s">
        <v>9572</v>
      </c>
      <c r="N1457" s="79">
        <v>5.0</v>
      </c>
      <c r="O1457" s="74" t="s">
        <v>322</v>
      </c>
      <c r="P1457" s="78" t="s">
        <v>9573</v>
      </c>
      <c r="Q1457" s="77" t="s">
        <v>9574</v>
      </c>
      <c r="R1457" s="78">
        <v>1.136144331E9</v>
      </c>
      <c r="S1457" s="235" t="s">
        <v>9576</v>
      </c>
      <c r="T1457" s="235" t="s">
        <v>9577</v>
      </c>
      <c r="U1457" s="78">
        <v>1.155764776E9</v>
      </c>
      <c r="V1457" s="344" t="s">
        <v>9578</v>
      </c>
      <c r="W1457" s="79" t="s">
        <v>306</v>
      </c>
      <c r="X1457" s="79" t="s">
        <v>306</v>
      </c>
      <c r="Y1457" s="79"/>
      <c r="Z1457" s="79"/>
    </row>
    <row r="1458" ht="15.0" customHeight="1">
      <c r="A1458" s="103" t="s">
        <v>24</v>
      </c>
      <c r="B1458" s="79" t="s">
        <v>7921</v>
      </c>
      <c r="C1458" s="80">
        <v>3.05912467E10</v>
      </c>
      <c r="D1458" s="144" t="s">
        <v>631</v>
      </c>
      <c r="E1458" s="79" t="s">
        <v>826</v>
      </c>
      <c r="F1458" s="44">
        <v>9531.0</v>
      </c>
      <c r="G1458" s="79" t="s">
        <v>175</v>
      </c>
      <c r="H1458" s="80">
        <v>1657.0</v>
      </c>
      <c r="I1458" s="79">
        <v>361010.0</v>
      </c>
      <c r="J1458" s="74" t="s">
        <v>313</v>
      </c>
      <c r="K1458" s="79" t="s">
        <v>2534</v>
      </c>
      <c r="L1458" s="79" t="s">
        <v>1122</v>
      </c>
      <c r="M1458" s="79"/>
      <c r="N1458" s="79">
        <v>1.0</v>
      </c>
      <c r="O1458" s="74"/>
      <c r="P1458" s="80"/>
      <c r="Q1458" s="79"/>
      <c r="R1458" s="80"/>
      <c r="S1458" s="80"/>
      <c r="T1458" s="101" t="s">
        <v>332</v>
      </c>
      <c r="U1458" s="80" t="s">
        <v>332</v>
      </c>
      <c r="V1458" s="102" t="s">
        <v>429</v>
      </c>
      <c r="W1458" s="79" t="s">
        <v>306</v>
      </c>
      <c r="X1458" s="79" t="s">
        <v>306</v>
      </c>
      <c r="Y1458" s="79"/>
      <c r="Z1458" s="79"/>
    </row>
    <row r="1459" ht="15.75" customHeight="1">
      <c r="A1459" s="76" t="s">
        <v>247</v>
      </c>
      <c r="B1459" s="77" t="s">
        <v>7923</v>
      </c>
      <c r="C1459" s="80">
        <v>2.09342082E10</v>
      </c>
      <c r="D1459" s="77" t="s">
        <v>631</v>
      </c>
      <c r="E1459" s="79" t="s">
        <v>1143</v>
      </c>
      <c r="F1459" s="44">
        <v>3655.0</v>
      </c>
      <c r="G1459" s="79" t="s">
        <v>15</v>
      </c>
      <c r="H1459" s="80">
        <v>1678.0</v>
      </c>
      <c r="I1459" s="79">
        <v>259999.0</v>
      </c>
      <c r="J1459" s="74" t="s">
        <v>313</v>
      </c>
      <c r="K1459" s="79" t="s">
        <v>9582</v>
      </c>
      <c r="L1459" s="79" t="s">
        <v>286</v>
      </c>
      <c r="M1459" s="79" t="s">
        <v>9583</v>
      </c>
      <c r="N1459" s="79"/>
      <c r="O1459" s="74" t="s">
        <v>9584</v>
      </c>
      <c r="P1459" s="80"/>
      <c r="Q1459" s="79"/>
      <c r="R1459" s="80"/>
      <c r="S1459" s="80" t="s">
        <v>9585</v>
      </c>
      <c r="T1459" s="101" t="s">
        <v>9587</v>
      </c>
      <c r="U1459" s="80" t="s">
        <v>9588</v>
      </c>
      <c r="V1459" s="102" t="s">
        <v>9589</v>
      </c>
      <c r="W1459" s="79"/>
      <c r="X1459" s="79"/>
      <c r="Y1459" s="79" t="s">
        <v>309</v>
      </c>
      <c r="Z1459" s="79"/>
    </row>
    <row r="1460" ht="15.0" customHeight="1">
      <c r="A1460" s="103" t="s">
        <v>24</v>
      </c>
      <c r="B1460" s="79" t="s">
        <v>9590</v>
      </c>
      <c r="C1460" s="80">
        <v>3.0685317423E10</v>
      </c>
      <c r="D1460" s="77" t="s">
        <v>631</v>
      </c>
      <c r="E1460" s="79" t="s">
        <v>9236</v>
      </c>
      <c r="F1460" s="44">
        <v>4640.0</v>
      </c>
      <c r="G1460" s="79" t="s">
        <v>15</v>
      </c>
      <c r="H1460" s="80">
        <v>1678.0</v>
      </c>
      <c r="I1460" s="79">
        <v>361020.0</v>
      </c>
      <c r="J1460" s="74" t="s">
        <v>313</v>
      </c>
      <c r="K1460" s="79" t="s">
        <v>2569</v>
      </c>
      <c r="L1460" s="79"/>
      <c r="M1460" s="79"/>
      <c r="N1460" s="79">
        <v>0.0</v>
      </c>
      <c r="O1460" s="74"/>
      <c r="P1460" s="80"/>
      <c r="Q1460" s="79"/>
      <c r="R1460" s="80"/>
      <c r="S1460" s="80" t="s">
        <v>9592</v>
      </c>
      <c r="T1460" s="101" t="s">
        <v>332</v>
      </c>
      <c r="U1460" s="80" t="s">
        <v>332</v>
      </c>
      <c r="V1460" s="102" t="s">
        <v>429</v>
      </c>
      <c r="W1460" s="79" t="s">
        <v>306</v>
      </c>
      <c r="X1460" s="79" t="s">
        <v>306</v>
      </c>
      <c r="Y1460" s="79"/>
      <c r="Z1460" s="79"/>
    </row>
    <row r="1461" ht="15.0" customHeight="1">
      <c r="A1461" s="76" t="s">
        <v>247</v>
      </c>
      <c r="B1461" s="77" t="s">
        <v>9593</v>
      </c>
      <c r="C1461" s="80">
        <v>3.0519372165E10</v>
      </c>
      <c r="D1461" s="79" t="s">
        <v>264</v>
      </c>
      <c r="E1461" s="77" t="s">
        <v>9594</v>
      </c>
      <c r="F1461" s="128">
        <v>6030.0</v>
      </c>
      <c r="G1461" s="79" t="s">
        <v>119</v>
      </c>
      <c r="H1461" s="80">
        <v>1657.0</v>
      </c>
      <c r="I1461" s="79">
        <v>131139.0</v>
      </c>
      <c r="J1461" s="74" t="s">
        <v>448</v>
      </c>
      <c r="K1461" s="77" t="s">
        <v>9596</v>
      </c>
      <c r="L1461" s="79"/>
      <c r="M1461" s="79"/>
      <c r="N1461" s="79">
        <v>16.0</v>
      </c>
      <c r="O1461" s="74"/>
      <c r="P1461" s="80"/>
      <c r="Q1461" s="79"/>
      <c r="R1461" s="80"/>
      <c r="S1461" s="80" t="s">
        <v>9597</v>
      </c>
      <c r="T1461" s="101"/>
      <c r="U1461" s="80"/>
      <c r="V1461" s="102" t="s">
        <v>9598</v>
      </c>
      <c r="W1461" s="79" t="s">
        <v>309</v>
      </c>
      <c r="X1461" s="79" t="s">
        <v>309</v>
      </c>
      <c r="Y1461" s="79" t="s">
        <v>309</v>
      </c>
      <c r="Z1461" s="79"/>
    </row>
    <row r="1462" ht="15.0" customHeight="1">
      <c r="A1462" s="103" t="s">
        <v>24</v>
      </c>
      <c r="B1462" s="77" t="s">
        <v>9600</v>
      </c>
      <c r="C1462" s="80">
        <v>3.3712542409E10</v>
      </c>
      <c r="D1462" s="119" t="s">
        <v>264</v>
      </c>
      <c r="E1462" s="79" t="s">
        <v>2472</v>
      </c>
      <c r="F1462" s="44">
        <v>8045.0</v>
      </c>
      <c r="G1462" s="79" t="s">
        <v>269</v>
      </c>
      <c r="H1462" s="80">
        <v>1682.0</v>
      </c>
      <c r="I1462" s="79">
        <v>107999.0</v>
      </c>
      <c r="J1462" s="74" t="s">
        <v>22</v>
      </c>
      <c r="K1462" s="77" t="s">
        <v>1384</v>
      </c>
      <c r="L1462" s="79"/>
      <c r="M1462" s="79"/>
      <c r="N1462" s="79">
        <v>0.0</v>
      </c>
      <c r="O1462" s="74" t="s">
        <v>332</v>
      </c>
      <c r="P1462" s="80"/>
      <c r="Q1462" s="79"/>
      <c r="R1462" s="80"/>
      <c r="S1462" s="80"/>
      <c r="T1462" s="101" t="s">
        <v>332</v>
      </c>
      <c r="U1462" s="114" t="s">
        <v>332</v>
      </c>
      <c r="V1462" s="102" t="s">
        <v>429</v>
      </c>
      <c r="W1462" s="79" t="s">
        <v>306</v>
      </c>
      <c r="X1462" s="79" t="s">
        <v>306</v>
      </c>
      <c r="Y1462" s="79" t="s">
        <v>309</v>
      </c>
      <c r="Z1462" s="79"/>
    </row>
    <row r="1463" ht="15.75" customHeight="1">
      <c r="A1463" s="76" t="s">
        <v>247</v>
      </c>
      <c r="B1463" s="77" t="s">
        <v>7929</v>
      </c>
      <c r="C1463" s="80">
        <v>3.0521119981E10</v>
      </c>
      <c r="D1463" s="119" t="s">
        <v>264</v>
      </c>
      <c r="E1463" s="79" t="s">
        <v>1357</v>
      </c>
      <c r="F1463" s="44">
        <v>4930.0</v>
      </c>
      <c r="G1463" s="79" t="s">
        <v>15</v>
      </c>
      <c r="H1463" s="80">
        <v>1678.0</v>
      </c>
      <c r="I1463" s="79">
        <v>259910.0</v>
      </c>
      <c r="J1463" s="74" t="s">
        <v>347</v>
      </c>
      <c r="K1463" s="79" t="s">
        <v>4990</v>
      </c>
      <c r="L1463" s="79" t="s">
        <v>453</v>
      </c>
      <c r="M1463" s="79"/>
      <c r="N1463" s="79">
        <v>20.0</v>
      </c>
      <c r="O1463" s="74"/>
      <c r="P1463" s="80"/>
      <c r="Q1463" s="79"/>
      <c r="R1463" s="80"/>
      <c r="S1463" s="78" t="s">
        <v>9603</v>
      </c>
      <c r="T1463" s="101" t="s">
        <v>9604</v>
      </c>
      <c r="U1463" s="80" t="s">
        <v>9605</v>
      </c>
      <c r="V1463" s="102" t="s">
        <v>9606</v>
      </c>
      <c r="W1463" s="79" t="s">
        <v>309</v>
      </c>
      <c r="X1463" s="79" t="s">
        <v>309</v>
      </c>
      <c r="Y1463" s="79" t="s">
        <v>309</v>
      </c>
      <c r="Z1463" s="79"/>
    </row>
    <row r="1464" ht="15.75" customHeight="1">
      <c r="A1464" s="103" t="s">
        <v>24</v>
      </c>
      <c r="B1464" s="77" t="s">
        <v>9608</v>
      </c>
      <c r="C1464" s="80">
        <v>3.0605343437E10</v>
      </c>
      <c r="D1464" s="79" t="s">
        <v>264</v>
      </c>
      <c r="E1464" s="79" t="s">
        <v>1357</v>
      </c>
      <c r="F1464" s="44">
        <v>5451.0</v>
      </c>
      <c r="G1464" s="79" t="s">
        <v>15</v>
      </c>
      <c r="H1464" s="80">
        <v>1678.0</v>
      </c>
      <c r="I1464" s="79">
        <v>311000.0</v>
      </c>
      <c r="J1464" s="83" t="s">
        <v>207</v>
      </c>
      <c r="K1464" s="79" t="s">
        <v>7111</v>
      </c>
      <c r="L1464" s="79"/>
      <c r="M1464" s="79"/>
      <c r="N1464" s="79">
        <v>0.0</v>
      </c>
      <c r="O1464" s="74"/>
      <c r="P1464" s="80"/>
      <c r="Q1464" s="79"/>
      <c r="R1464" s="80"/>
      <c r="S1464" s="80" t="s">
        <v>9610</v>
      </c>
      <c r="T1464" s="101" t="s">
        <v>332</v>
      </c>
      <c r="U1464" s="80" t="s">
        <v>332</v>
      </c>
      <c r="V1464" s="102" t="s">
        <v>429</v>
      </c>
      <c r="W1464" s="79" t="s">
        <v>306</v>
      </c>
      <c r="X1464" s="79" t="s">
        <v>306</v>
      </c>
      <c r="Y1464" s="79"/>
      <c r="Z1464" s="79"/>
    </row>
    <row r="1465" ht="15.75" customHeight="1">
      <c r="A1465" s="76" t="s">
        <v>247</v>
      </c>
      <c r="B1465" s="77" t="s">
        <v>7932</v>
      </c>
      <c r="C1465" s="80">
        <v>3.0555765122E10</v>
      </c>
      <c r="D1465" s="119" t="s">
        <v>264</v>
      </c>
      <c r="E1465" s="79" t="s">
        <v>1965</v>
      </c>
      <c r="F1465" s="44">
        <v>4937.0</v>
      </c>
      <c r="G1465" s="79" t="s">
        <v>15</v>
      </c>
      <c r="H1465" s="80">
        <v>1678.0</v>
      </c>
      <c r="I1465" s="79">
        <v>202200.0</v>
      </c>
      <c r="J1465" s="74" t="s">
        <v>316</v>
      </c>
      <c r="K1465" s="79" t="s">
        <v>2635</v>
      </c>
      <c r="L1465" s="79"/>
      <c r="M1465" s="77" t="s">
        <v>5173</v>
      </c>
      <c r="N1465" s="79">
        <v>9.0</v>
      </c>
      <c r="O1465" s="74"/>
      <c r="P1465" s="80"/>
      <c r="Q1465" s="79"/>
      <c r="R1465" s="80"/>
      <c r="S1465" s="78" t="s">
        <v>9612</v>
      </c>
      <c r="T1465" s="85" t="s">
        <v>9613</v>
      </c>
      <c r="U1465" s="80" t="s">
        <v>332</v>
      </c>
      <c r="V1465" s="98" t="s">
        <v>9614</v>
      </c>
      <c r="W1465" s="79" t="s">
        <v>309</v>
      </c>
      <c r="X1465" s="79" t="s">
        <v>309</v>
      </c>
      <c r="Y1465" s="79" t="s">
        <v>309</v>
      </c>
      <c r="Z1465" s="79"/>
    </row>
    <row r="1466" ht="15.0" customHeight="1">
      <c r="A1466" s="103" t="s">
        <v>24</v>
      </c>
      <c r="B1466" s="77" t="s">
        <v>7938</v>
      </c>
      <c r="C1466" s="80">
        <v>3.0708513748E10</v>
      </c>
      <c r="D1466" s="79" t="s">
        <v>264</v>
      </c>
      <c r="E1466" s="79" t="s">
        <v>2319</v>
      </c>
      <c r="F1466" s="44">
        <v>440.0</v>
      </c>
      <c r="G1466" s="79" t="s">
        <v>249</v>
      </c>
      <c r="H1466" s="80">
        <v>1676.0</v>
      </c>
      <c r="I1466" s="79">
        <v>310010.0</v>
      </c>
      <c r="J1466" s="74" t="s">
        <v>313</v>
      </c>
      <c r="K1466" s="79" t="s">
        <v>1438</v>
      </c>
      <c r="L1466" s="79" t="s">
        <v>1122</v>
      </c>
      <c r="M1466" s="79"/>
      <c r="N1466" s="79">
        <v>0.0</v>
      </c>
      <c r="O1466" s="74"/>
      <c r="P1466" s="80"/>
      <c r="Q1466" s="79"/>
      <c r="R1466" s="80"/>
      <c r="S1466" s="80"/>
      <c r="T1466" s="101" t="s">
        <v>332</v>
      </c>
      <c r="U1466" s="80" t="s">
        <v>332</v>
      </c>
      <c r="V1466" s="102" t="s">
        <v>429</v>
      </c>
      <c r="W1466" s="79" t="s">
        <v>306</v>
      </c>
      <c r="X1466" s="79" t="s">
        <v>306</v>
      </c>
      <c r="Y1466" s="79" t="s">
        <v>309</v>
      </c>
      <c r="Z1466" s="79"/>
    </row>
    <row r="1467" ht="15.75" customHeight="1">
      <c r="A1467" s="103" t="s">
        <v>24</v>
      </c>
      <c r="B1467" s="79" t="s">
        <v>9617</v>
      </c>
      <c r="C1467" s="80">
        <v>2.0232510081E10</v>
      </c>
      <c r="D1467" s="77" t="s">
        <v>631</v>
      </c>
      <c r="E1467" s="79" t="s">
        <v>1955</v>
      </c>
      <c r="F1467" s="44">
        <v>3910.0</v>
      </c>
      <c r="G1467" s="79" t="s">
        <v>68</v>
      </c>
      <c r="H1467" s="80">
        <v>1702.0</v>
      </c>
      <c r="I1467" s="79">
        <v>149000.0</v>
      </c>
      <c r="J1467" s="74" t="s">
        <v>261</v>
      </c>
      <c r="K1467" s="77" t="s">
        <v>9619</v>
      </c>
      <c r="L1467" s="79"/>
      <c r="M1467" s="79"/>
      <c r="N1467" s="79"/>
      <c r="O1467" s="74"/>
      <c r="P1467" s="80"/>
      <c r="Q1467" s="79"/>
      <c r="R1467" s="80"/>
      <c r="S1467" s="78" t="s">
        <v>2290</v>
      </c>
      <c r="T1467" s="101"/>
      <c r="U1467" s="80"/>
      <c r="V1467" s="102" t="s">
        <v>429</v>
      </c>
      <c r="W1467" s="79"/>
      <c r="X1467" s="79"/>
      <c r="Y1467" s="79"/>
      <c r="Z1467" s="79"/>
    </row>
    <row r="1468" ht="15.75" customHeight="1">
      <c r="A1468" s="76" t="s">
        <v>247</v>
      </c>
      <c r="B1468" s="77" t="s">
        <v>7943</v>
      </c>
      <c r="C1468" s="80">
        <v>3.0709727636E10</v>
      </c>
      <c r="D1468" s="79" t="s">
        <v>264</v>
      </c>
      <c r="E1468" s="79" t="s">
        <v>7734</v>
      </c>
      <c r="F1468" s="44">
        <v>5165.0</v>
      </c>
      <c r="G1468" s="79" t="s">
        <v>15</v>
      </c>
      <c r="H1468" s="80">
        <v>1678.0</v>
      </c>
      <c r="I1468" s="79">
        <v>141199.0</v>
      </c>
      <c r="J1468" s="74" t="s">
        <v>448</v>
      </c>
      <c r="K1468" s="77" t="s">
        <v>2765</v>
      </c>
      <c r="L1468" s="79" t="s">
        <v>1122</v>
      </c>
      <c r="M1468" s="79"/>
      <c r="N1468" s="79">
        <v>8.0</v>
      </c>
      <c r="O1468" s="74"/>
      <c r="P1468" s="80"/>
      <c r="Q1468" s="79"/>
      <c r="R1468" s="80"/>
      <c r="S1468" s="78" t="s">
        <v>9621</v>
      </c>
      <c r="T1468" s="80" t="s">
        <v>332</v>
      </c>
      <c r="U1468" s="80" t="s">
        <v>332</v>
      </c>
      <c r="V1468" s="98" t="s">
        <v>9623</v>
      </c>
      <c r="W1468" s="79" t="s">
        <v>309</v>
      </c>
      <c r="X1468" s="79" t="s">
        <v>309</v>
      </c>
      <c r="Y1468" s="79"/>
      <c r="Z1468" s="79"/>
    </row>
    <row r="1469" ht="15.75" customHeight="1">
      <c r="A1469" s="103" t="s">
        <v>24</v>
      </c>
      <c r="B1469" s="77" t="s">
        <v>9624</v>
      </c>
      <c r="C1469" s="80">
        <v>3.0658859656E10</v>
      </c>
      <c r="D1469" s="119" t="s">
        <v>264</v>
      </c>
      <c r="E1469" s="79" t="s">
        <v>1049</v>
      </c>
      <c r="F1469" s="128">
        <v>6076.0</v>
      </c>
      <c r="G1469" s="79" t="s">
        <v>269</v>
      </c>
      <c r="H1469" s="80">
        <v>1682.0</v>
      </c>
      <c r="I1469" s="79">
        <v>719110.0</v>
      </c>
      <c r="J1469" s="74" t="s">
        <v>433</v>
      </c>
      <c r="K1469" s="79" t="s">
        <v>9626</v>
      </c>
      <c r="L1469" s="79"/>
      <c r="M1469" s="79"/>
      <c r="N1469" s="79">
        <v>0.0</v>
      </c>
      <c r="O1469" s="74"/>
      <c r="P1469" s="80"/>
      <c r="Q1469" s="79"/>
      <c r="R1469" s="80"/>
      <c r="S1469" s="78" t="s">
        <v>9627</v>
      </c>
      <c r="T1469" s="101" t="s">
        <v>332</v>
      </c>
      <c r="U1469" s="80" t="s">
        <v>332</v>
      </c>
      <c r="V1469" s="102" t="s">
        <v>429</v>
      </c>
      <c r="W1469" s="79" t="s">
        <v>306</v>
      </c>
      <c r="X1469" s="79" t="s">
        <v>306</v>
      </c>
      <c r="Y1469" s="79"/>
      <c r="Z1469" s="79"/>
    </row>
    <row r="1470" ht="15.75" customHeight="1">
      <c r="A1470" s="103" t="s">
        <v>24</v>
      </c>
      <c r="B1470" s="77" t="s">
        <v>9629</v>
      </c>
      <c r="C1470" s="80">
        <v>3.0710886888E10</v>
      </c>
      <c r="D1470" s="119" t="s">
        <v>264</v>
      </c>
      <c r="E1470" s="79" t="s">
        <v>1369</v>
      </c>
      <c r="F1470" s="44">
        <v>987.0</v>
      </c>
      <c r="G1470" s="79" t="s">
        <v>68</v>
      </c>
      <c r="H1470" s="80">
        <v>1702.0</v>
      </c>
      <c r="I1470" s="79">
        <v>171200.0</v>
      </c>
      <c r="J1470" s="74" t="s">
        <v>448</v>
      </c>
      <c r="K1470" s="77" t="s">
        <v>2680</v>
      </c>
      <c r="L1470" s="79"/>
      <c r="M1470" s="77" t="s">
        <v>9630</v>
      </c>
      <c r="N1470" s="79">
        <v>4.0</v>
      </c>
      <c r="O1470" s="74"/>
      <c r="P1470" s="80"/>
      <c r="Q1470" s="79"/>
      <c r="R1470" s="80"/>
      <c r="S1470" s="78" t="s">
        <v>9631</v>
      </c>
      <c r="T1470" s="101" t="s">
        <v>332</v>
      </c>
      <c r="U1470" s="80" t="s">
        <v>332</v>
      </c>
      <c r="V1470" s="102" t="s">
        <v>9632</v>
      </c>
      <c r="W1470" s="79" t="s">
        <v>306</v>
      </c>
      <c r="X1470" s="79" t="s">
        <v>306</v>
      </c>
      <c r="Y1470" s="79"/>
      <c r="Z1470" s="79"/>
    </row>
    <row r="1471" ht="15.75" customHeight="1">
      <c r="A1471" s="76" t="s">
        <v>247</v>
      </c>
      <c r="B1471" s="77" t="s">
        <v>7945</v>
      </c>
      <c r="C1471" s="239">
        <v>3.0711626707E10</v>
      </c>
      <c r="D1471" s="79" t="s">
        <v>264</v>
      </c>
      <c r="E1471" s="77" t="s">
        <v>1983</v>
      </c>
      <c r="F1471" s="210">
        <v>7240.0</v>
      </c>
      <c r="G1471" s="126" t="s">
        <v>269</v>
      </c>
      <c r="H1471" s="80">
        <v>1682.0</v>
      </c>
      <c r="I1471" s="79">
        <v>222090.0</v>
      </c>
      <c r="J1471" s="83" t="s">
        <v>568</v>
      </c>
      <c r="K1471" s="144" t="s">
        <v>569</v>
      </c>
      <c r="L1471" s="79"/>
      <c r="M1471" s="79" t="s">
        <v>9634</v>
      </c>
      <c r="N1471" s="79"/>
      <c r="O1471" s="79"/>
      <c r="P1471" s="80"/>
      <c r="Q1471" s="79"/>
      <c r="R1471" s="80"/>
      <c r="S1471" s="312" t="s">
        <v>9635</v>
      </c>
      <c r="T1471" s="101"/>
      <c r="U1471" s="80"/>
      <c r="V1471" s="102" t="s">
        <v>429</v>
      </c>
      <c r="W1471" s="79"/>
      <c r="X1471" s="79"/>
      <c r="Y1471" s="79"/>
      <c r="Z1471" s="79"/>
    </row>
    <row r="1472" ht="15.75" customHeight="1">
      <c r="A1472" s="76" t="s">
        <v>247</v>
      </c>
      <c r="B1472" s="79" t="s">
        <v>7950</v>
      </c>
      <c r="C1472" s="80">
        <v>3.0708070676E10</v>
      </c>
      <c r="D1472" s="79" t="s">
        <v>264</v>
      </c>
      <c r="E1472" s="79" t="s">
        <v>359</v>
      </c>
      <c r="F1472" s="44">
        <v>5869.0</v>
      </c>
      <c r="G1472" s="79" t="s">
        <v>15</v>
      </c>
      <c r="H1472" s="80">
        <v>1678.0</v>
      </c>
      <c r="I1472" s="77">
        <v>252090.0</v>
      </c>
      <c r="J1472" s="83" t="s">
        <v>568</v>
      </c>
      <c r="K1472" s="77" t="s">
        <v>9637</v>
      </c>
      <c r="L1472" s="79" t="s">
        <v>369</v>
      </c>
      <c r="M1472" s="79" t="s">
        <v>9638</v>
      </c>
      <c r="N1472" s="79">
        <v>10.0</v>
      </c>
      <c r="O1472" s="74" t="s">
        <v>9639</v>
      </c>
      <c r="P1472" s="80"/>
      <c r="Q1472" s="79"/>
      <c r="R1472" s="80"/>
      <c r="S1472" s="80" t="s">
        <v>9641</v>
      </c>
      <c r="T1472" s="101"/>
      <c r="U1472" s="101"/>
      <c r="V1472" s="102" t="s">
        <v>429</v>
      </c>
      <c r="W1472" s="79"/>
      <c r="X1472" s="79"/>
      <c r="Y1472" s="79"/>
      <c r="Z1472" s="79"/>
    </row>
    <row r="1473" ht="15.0" customHeight="1">
      <c r="A1473" s="103" t="s">
        <v>24</v>
      </c>
      <c r="B1473" s="77" t="s">
        <v>9642</v>
      </c>
      <c r="C1473" s="80">
        <v>3.0505327191E10</v>
      </c>
      <c r="D1473" s="79" t="s">
        <v>264</v>
      </c>
      <c r="E1473" s="77" t="s">
        <v>1596</v>
      </c>
      <c r="F1473" s="44">
        <v>4542.0</v>
      </c>
      <c r="G1473" s="79" t="s">
        <v>15</v>
      </c>
      <c r="H1473" s="80">
        <v>1678.0</v>
      </c>
      <c r="I1473" s="79">
        <v>241309.0</v>
      </c>
      <c r="J1473" s="83" t="s">
        <v>568</v>
      </c>
      <c r="K1473" s="77" t="s">
        <v>2573</v>
      </c>
      <c r="L1473" s="79" t="s">
        <v>453</v>
      </c>
      <c r="M1473" s="79"/>
      <c r="N1473" s="79">
        <v>0.0</v>
      </c>
      <c r="O1473" s="74"/>
      <c r="P1473" s="80"/>
      <c r="Q1473" s="79"/>
      <c r="R1473" s="80"/>
      <c r="S1473" s="101" t="s">
        <v>9644</v>
      </c>
      <c r="T1473" s="101" t="s">
        <v>332</v>
      </c>
      <c r="U1473" s="80" t="s">
        <v>332</v>
      </c>
      <c r="V1473" s="102" t="s">
        <v>2174</v>
      </c>
      <c r="W1473" s="79" t="s">
        <v>306</v>
      </c>
      <c r="X1473" s="79" t="s">
        <v>306</v>
      </c>
      <c r="Y1473" s="79"/>
      <c r="Z1473" s="79"/>
    </row>
    <row r="1474" ht="15.75" customHeight="1">
      <c r="A1474" s="76" t="s">
        <v>247</v>
      </c>
      <c r="B1474" s="77" t="s">
        <v>7956</v>
      </c>
      <c r="C1474" s="80">
        <v>3.0504160269E10</v>
      </c>
      <c r="D1474" s="79" t="s">
        <v>264</v>
      </c>
      <c r="E1474" s="77" t="s">
        <v>3205</v>
      </c>
      <c r="F1474" s="44">
        <v>1244.0</v>
      </c>
      <c r="G1474" s="77" t="s">
        <v>226</v>
      </c>
      <c r="H1474" s="80">
        <v>1674.0</v>
      </c>
      <c r="I1474" s="79">
        <v>273190.0</v>
      </c>
      <c r="J1474" s="74" t="s">
        <v>347</v>
      </c>
      <c r="K1474" s="77" t="s">
        <v>3591</v>
      </c>
      <c r="L1474" s="79"/>
      <c r="M1474" s="79"/>
      <c r="N1474" s="79">
        <v>13.0</v>
      </c>
      <c r="O1474" s="74"/>
      <c r="P1474" s="80"/>
      <c r="Q1474" s="79"/>
      <c r="R1474" s="80"/>
      <c r="S1474" s="78" t="s">
        <v>9646</v>
      </c>
      <c r="T1474" s="101" t="s">
        <v>332</v>
      </c>
      <c r="U1474" s="80" t="s">
        <v>332</v>
      </c>
      <c r="V1474" s="102" t="s">
        <v>429</v>
      </c>
      <c r="W1474" s="79" t="s">
        <v>309</v>
      </c>
      <c r="X1474" s="79" t="s">
        <v>309</v>
      </c>
      <c r="Y1474" s="79" t="s">
        <v>309</v>
      </c>
      <c r="Z1474" s="79"/>
    </row>
    <row r="1475" ht="15.0" customHeight="1">
      <c r="A1475" s="103" t="s">
        <v>24</v>
      </c>
      <c r="B1475" s="77" t="s">
        <v>9648</v>
      </c>
      <c r="C1475" s="80">
        <v>3.071156364E10</v>
      </c>
      <c r="D1475" s="119" t="s">
        <v>264</v>
      </c>
      <c r="E1475" s="77" t="s">
        <v>1437</v>
      </c>
      <c r="F1475" s="44">
        <v>6953.0</v>
      </c>
      <c r="G1475" s="79" t="s">
        <v>119</v>
      </c>
      <c r="H1475" s="80">
        <v>1657.0</v>
      </c>
      <c r="I1475" s="77">
        <v>222010.0</v>
      </c>
      <c r="J1475" s="83" t="s">
        <v>568</v>
      </c>
      <c r="K1475" s="77" t="s">
        <v>1170</v>
      </c>
      <c r="L1475" s="79" t="s">
        <v>453</v>
      </c>
      <c r="M1475" s="79"/>
      <c r="N1475" s="79">
        <v>0.0</v>
      </c>
      <c r="O1475" s="74"/>
      <c r="P1475" s="80"/>
      <c r="Q1475" s="79"/>
      <c r="R1475" s="80"/>
      <c r="S1475" s="78" t="s">
        <v>3301</v>
      </c>
      <c r="T1475" s="101" t="s">
        <v>332</v>
      </c>
      <c r="U1475" s="80" t="s">
        <v>332</v>
      </c>
      <c r="V1475" s="102" t="s">
        <v>429</v>
      </c>
      <c r="W1475" s="79" t="s">
        <v>306</v>
      </c>
      <c r="X1475" s="79" t="s">
        <v>306</v>
      </c>
      <c r="Y1475" s="79"/>
      <c r="Z1475" s="79"/>
    </row>
    <row r="1476" ht="15.75" customHeight="1">
      <c r="A1476" s="76" t="s">
        <v>247</v>
      </c>
      <c r="B1476" s="77" t="s">
        <v>7966</v>
      </c>
      <c r="C1476" s="80">
        <v>3.0687706869E10</v>
      </c>
      <c r="D1476" s="119" t="s">
        <v>264</v>
      </c>
      <c r="E1476" s="79" t="s">
        <v>1449</v>
      </c>
      <c r="F1476" s="44">
        <v>3845.0</v>
      </c>
      <c r="G1476" s="79" t="s">
        <v>68</v>
      </c>
      <c r="H1476" s="80">
        <v>1702.0</v>
      </c>
      <c r="I1476" s="79">
        <v>222090.0</v>
      </c>
      <c r="J1476" s="83" t="s">
        <v>568</v>
      </c>
      <c r="K1476" s="77" t="s">
        <v>1170</v>
      </c>
      <c r="L1476" s="79" t="s">
        <v>453</v>
      </c>
      <c r="M1476" s="79" t="s">
        <v>9651</v>
      </c>
      <c r="N1476" s="79">
        <v>6.0</v>
      </c>
      <c r="O1476" s="74"/>
      <c r="P1476" s="80"/>
      <c r="Q1476" s="176"/>
      <c r="R1476" s="80"/>
      <c r="S1476" s="80" t="s">
        <v>9652</v>
      </c>
      <c r="T1476" s="85" t="s">
        <v>9653</v>
      </c>
      <c r="U1476" s="78" t="s">
        <v>9654</v>
      </c>
      <c r="V1476" s="102" t="s">
        <v>9655</v>
      </c>
      <c r="W1476" s="79" t="s">
        <v>309</v>
      </c>
      <c r="X1476" s="79" t="s">
        <v>309</v>
      </c>
      <c r="Y1476" s="79" t="s">
        <v>309</v>
      </c>
      <c r="Z1476" s="79"/>
    </row>
    <row r="1477">
      <c r="A1477" s="103" t="s">
        <v>24</v>
      </c>
      <c r="B1477" s="77" t="s">
        <v>9657</v>
      </c>
      <c r="C1477" s="80">
        <v>3.0712557555E10</v>
      </c>
      <c r="D1477" s="119" t="s">
        <v>264</v>
      </c>
      <c r="E1477" s="79" t="s">
        <v>3333</v>
      </c>
      <c r="F1477" s="44">
        <v>2780.0</v>
      </c>
      <c r="G1477" s="79" t="s">
        <v>15</v>
      </c>
      <c r="H1477" s="80">
        <v>1678.0</v>
      </c>
      <c r="I1477" s="79">
        <v>222090.0</v>
      </c>
      <c r="J1477" s="83" t="s">
        <v>568</v>
      </c>
      <c r="K1477" s="77" t="s">
        <v>569</v>
      </c>
      <c r="L1477" s="79" t="s">
        <v>453</v>
      </c>
      <c r="M1477" s="79"/>
      <c r="N1477" s="79">
        <v>2.0</v>
      </c>
      <c r="O1477" s="74"/>
      <c r="P1477" s="80"/>
      <c r="Q1477" s="79"/>
      <c r="R1477" s="80"/>
      <c r="S1477" s="78" t="s">
        <v>9659</v>
      </c>
      <c r="T1477" s="101" t="s">
        <v>332</v>
      </c>
      <c r="U1477" s="80" t="s">
        <v>332</v>
      </c>
      <c r="V1477" s="102" t="s">
        <v>429</v>
      </c>
      <c r="W1477" s="79" t="s">
        <v>306</v>
      </c>
      <c r="X1477" s="79" t="s">
        <v>306</v>
      </c>
      <c r="Y1477" s="79"/>
      <c r="Z1477" s="79"/>
    </row>
    <row r="1478" ht="15.0" customHeight="1">
      <c r="A1478" s="103" t="s">
        <v>24</v>
      </c>
      <c r="B1478" s="79" t="s">
        <v>9660</v>
      </c>
      <c r="C1478" s="80">
        <v>3.0620359986E10</v>
      </c>
      <c r="D1478" s="144" t="s">
        <v>631</v>
      </c>
      <c r="E1478" s="79" t="s">
        <v>9661</v>
      </c>
      <c r="F1478" s="44">
        <v>2059.0</v>
      </c>
      <c r="G1478" s="79" t="s">
        <v>68</v>
      </c>
      <c r="H1478" s="80">
        <v>1702.0</v>
      </c>
      <c r="I1478" s="79">
        <v>222090.0</v>
      </c>
      <c r="J1478" s="83" t="s">
        <v>568</v>
      </c>
      <c r="K1478" s="77" t="s">
        <v>569</v>
      </c>
      <c r="L1478" s="79" t="s">
        <v>453</v>
      </c>
      <c r="M1478" s="79"/>
      <c r="N1478" s="79">
        <v>0.0</v>
      </c>
      <c r="O1478" s="74"/>
      <c r="P1478" s="80"/>
      <c r="Q1478" s="79"/>
      <c r="R1478" s="80"/>
      <c r="S1478" s="80" t="s">
        <v>9663</v>
      </c>
      <c r="T1478" s="101" t="s">
        <v>332</v>
      </c>
      <c r="U1478" s="80" t="s">
        <v>332</v>
      </c>
      <c r="V1478" s="102" t="s">
        <v>429</v>
      </c>
      <c r="W1478" s="79" t="s">
        <v>306</v>
      </c>
      <c r="X1478" s="79" t="s">
        <v>306</v>
      </c>
      <c r="Y1478" s="79"/>
      <c r="Z1478" s="79"/>
    </row>
    <row r="1479" ht="15.75" customHeight="1">
      <c r="A1479" s="76" t="s">
        <v>247</v>
      </c>
      <c r="B1479" s="77" t="s">
        <v>7969</v>
      </c>
      <c r="C1479" s="80">
        <v>3.0609327584E10</v>
      </c>
      <c r="D1479" s="119" t="s">
        <v>264</v>
      </c>
      <c r="E1479" s="77" t="s">
        <v>9665</v>
      </c>
      <c r="F1479" s="128">
        <v>6849.0</v>
      </c>
      <c r="G1479" s="79" t="s">
        <v>119</v>
      </c>
      <c r="H1479" s="80">
        <v>1657.0</v>
      </c>
      <c r="I1479" s="79">
        <v>222090.0</v>
      </c>
      <c r="J1479" s="83" t="s">
        <v>568</v>
      </c>
      <c r="K1479" s="77" t="s">
        <v>569</v>
      </c>
      <c r="L1479" s="79" t="s">
        <v>453</v>
      </c>
      <c r="M1479" s="79"/>
      <c r="N1479" s="79">
        <v>19.0</v>
      </c>
      <c r="O1479" s="74"/>
      <c r="P1479" s="80"/>
      <c r="Q1479" s="79"/>
      <c r="R1479" s="80"/>
      <c r="S1479" s="78" t="s">
        <v>9666</v>
      </c>
      <c r="T1479" s="101" t="s">
        <v>9667</v>
      </c>
      <c r="U1479" s="80" t="s">
        <v>9668</v>
      </c>
      <c r="V1479" s="102" t="s">
        <v>429</v>
      </c>
      <c r="W1479" s="79" t="s">
        <v>309</v>
      </c>
      <c r="X1479" s="79" t="s">
        <v>309</v>
      </c>
      <c r="Y1479" s="79" t="s">
        <v>309</v>
      </c>
      <c r="Z1479" s="79"/>
    </row>
    <row r="1480" ht="15.75" customHeight="1">
      <c r="A1480" s="103" t="s">
        <v>24</v>
      </c>
      <c r="B1480" s="77" t="s">
        <v>9670</v>
      </c>
      <c r="C1480" s="80">
        <v>3.0590931345E10</v>
      </c>
      <c r="D1480" s="119" t="s">
        <v>264</v>
      </c>
      <c r="E1480" s="79" t="s">
        <v>1079</v>
      </c>
      <c r="F1480" s="44">
        <v>5833.0</v>
      </c>
      <c r="G1480" s="79" t="s">
        <v>15</v>
      </c>
      <c r="H1480" s="80">
        <v>1678.0</v>
      </c>
      <c r="I1480" s="79">
        <v>252010.0</v>
      </c>
      <c r="J1480" s="83" t="s">
        <v>568</v>
      </c>
      <c r="K1480" s="79" t="s">
        <v>2874</v>
      </c>
      <c r="L1480" s="79" t="s">
        <v>453</v>
      </c>
      <c r="M1480" s="79"/>
      <c r="N1480" s="79">
        <v>0.0</v>
      </c>
      <c r="O1480" s="74"/>
      <c r="P1480" s="80"/>
      <c r="Q1480" s="79"/>
      <c r="R1480" s="80"/>
      <c r="S1480" s="78" t="s">
        <v>9671</v>
      </c>
      <c r="T1480" s="101" t="s">
        <v>332</v>
      </c>
      <c r="U1480" s="80" t="s">
        <v>332</v>
      </c>
      <c r="V1480" s="102" t="s">
        <v>429</v>
      </c>
      <c r="W1480" s="79" t="s">
        <v>306</v>
      </c>
      <c r="X1480" s="79" t="s">
        <v>306</v>
      </c>
      <c r="Y1480" s="79"/>
      <c r="Z1480" s="79"/>
    </row>
    <row r="1481" ht="15.0" customHeight="1">
      <c r="A1481" s="76" t="s">
        <v>247</v>
      </c>
      <c r="B1481" s="79" t="s">
        <v>4277</v>
      </c>
      <c r="C1481" s="80">
        <v>3.0707732519E10</v>
      </c>
      <c r="D1481" s="79" t="s">
        <v>264</v>
      </c>
      <c r="E1481" s="79" t="s">
        <v>9673</v>
      </c>
      <c r="F1481" s="44">
        <v>2973.0</v>
      </c>
      <c r="G1481" s="79" t="s">
        <v>15</v>
      </c>
      <c r="H1481" s="80">
        <v>1678.0</v>
      </c>
      <c r="I1481" s="79">
        <v>222090.0</v>
      </c>
      <c r="J1481" s="83" t="s">
        <v>568</v>
      </c>
      <c r="K1481" s="77" t="s">
        <v>569</v>
      </c>
      <c r="L1481" s="79" t="s">
        <v>453</v>
      </c>
      <c r="M1481" s="79"/>
      <c r="N1481" s="79">
        <v>5.0</v>
      </c>
      <c r="O1481" s="126" t="s">
        <v>9675</v>
      </c>
      <c r="P1481" s="78" t="s">
        <v>9676</v>
      </c>
      <c r="Q1481" s="79" t="s">
        <v>9677</v>
      </c>
      <c r="R1481" s="78" t="s">
        <v>9676</v>
      </c>
      <c r="S1481" s="80" t="s">
        <v>9678</v>
      </c>
      <c r="T1481" s="101" t="s">
        <v>9679</v>
      </c>
      <c r="U1481" s="78" t="s">
        <v>9680</v>
      </c>
      <c r="V1481" s="102" t="s">
        <v>429</v>
      </c>
      <c r="W1481" s="79" t="s">
        <v>306</v>
      </c>
      <c r="X1481" s="79" t="s">
        <v>306</v>
      </c>
      <c r="Y1481" s="79"/>
      <c r="Z1481" s="79"/>
    </row>
    <row r="1482" ht="15.75" customHeight="1">
      <c r="A1482" s="76" t="s">
        <v>247</v>
      </c>
      <c r="B1482" s="77" t="s">
        <v>9681</v>
      </c>
      <c r="C1482" s="80">
        <v>3.0714079839E10</v>
      </c>
      <c r="D1482" s="119" t="s">
        <v>264</v>
      </c>
      <c r="E1482" s="79" t="s">
        <v>2781</v>
      </c>
      <c r="F1482" s="44">
        <v>5226.0</v>
      </c>
      <c r="G1482" s="79" t="s">
        <v>15</v>
      </c>
      <c r="H1482" s="80">
        <v>1678.0</v>
      </c>
      <c r="I1482" s="79">
        <v>222090.0</v>
      </c>
      <c r="J1482" s="83" t="s">
        <v>568</v>
      </c>
      <c r="K1482" s="77" t="s">
        <v>569</v>
      </c>
      <c r="L1482" s="79" t="s">
        <v>453</v>
      </c>
      <c r="M1482" s="77" t="s">
        <v>9683</v>
      </c>
      <c r="N1482" s="79">
        <v>0.0</v>
      </c>
      <c r="O1482" s="129" t="s">
        <v>9684</v>
      </c>
      <c r="P1482" s="80"/>
      <c r="Q1482" s="79"/>
      <c r="R1482" s="80"/>
      <c r="S1482" s="78" t="s">
        <v>9685</v>
      </c>
      <c r="T1482" s="101" t="s">
        <v>3988</v>
      </c>
      <c r="U1482" s="78" t="s">
        <v>9686</v>
      </c>
      <c r="V1482" s="102" t="s">
        <v>9687</v>
      </c>
      <c r="W1482" s="79" t="s">
        <v>306</v>
      </c>
      <c r="X1482" s="79" t="s">
        <v>306</v>
      </c>
      <c r="Y1482" s="79" t="s">
        <v>309</v>
      </c>
      <c r="Z1482" s="79"/>
    </row>
    <row r="1483" ht="15.75" customHeight="1">
      <c r="A1483" s="76" t="s">
        <v>247</v>
      </c>
      <c r="B1483" s="77" t="s">
        <v>7974</v>
      </c>
      <c r="C1483" s="80">
        <v>3.0711622302E10</v>
      </c>
      <c r="D1483" s="119" t="s">
        <v>264</v>
      </c>
      <c r="E1483" s="79" t="s">
        <v>1904</v>
      </c>
      <c r="F1483" s="44">
        <v>3263.0</v>
      </c>
      <c r="G1483" s="79" t="s">
        <v>15</v>
      </c>
      <c r="H1483" s="80">
        <v>1678.0</v>
      </c>
      <c r="I1483" s="79">
        <v>222010.0</v>
      </c>
      <c r="J1483" s="83" t="s">
        <v>568</v>
      </c>
      <c r="K1483" s="79" t="s">
        <v>1170</v>
      </c>
      <c r="L1483" s="79" t="s">
        <v>453</v>
      </c>
      <c r="M1483" s="79"/>
      <c r="N1483" s="79">
        <v>0.0</v>
      </c>
      <c r="O1483" s="74" t="s">
        <v>9689</v>
      </c>
      <c r="P1483" s="80"/>
      <c r="Q1483" s="79"/>
      <c r="R1483" s="80"/>
      <c r="S1483" s="80" t="s">
        <v>9690</v>
      </c>
      <c r="T1483" s="101" t="s">
        <v>332</v>
      </c>
      <c r="U1483" s="80"/>
      <c r="V1483" s="102" t="s">
        <v>429</v>
      </c>
      <c r="W1483" s="79" t="s">
        <v>306</v>
      </c>
      <c r="X1483" s="79" t="s">
        <v>306</v>
      </c>
      <c r="Y1483" s="79"/>
      <c r="Z1483" s="79"/>
    </row>
    <row r="1484" ht="15.0" customHeight="1">
      <c r="A1484" s="76" t="s">
        <v>247</v>
      </c>
      <c r="B1484" s="77" t="s">
        <v>2301</v>
      </c>
      <c r="C1484" s="101">
        <v>3.0708397225E10</v>
      </c>
      <c r="D1484" s="79" t="s">
        <v>264</v>
      </c>
      <c r="E1484" s="79" t="s">
        <v>826</v>
      </c>
      <c r="F1484" s="44">
        <v>10580.0</v>
      </c>
      <c r="G1484" s="79" t="s">
        <v>175</v>
      </c>
      <c r="H1484" s="80">
        <v>1657.0</v>
      </c>
      <c r="I1484" s="77">
        <v>131209.0</v>
      </c>
      <c r="J1484" s="74" t="s">
        <v>448</v>
      </c>
      <c r="K1484" s="77" t="s">
        <v>9692</v>
      </c>
      <c r="L1484" s="79"/>
      <c r="M1484" s="77" t="s">
        <v>9693</v>
      </c>
      <c r="N1484" s="79">
        <v>32.0</v>
      </c>
      <c r="O1484" s="79" t="s">
        <v>9694</v>
      </c>
      <c r="P1484" s="78" t="s">
        <v>9695</v>
      </c>
      <c r="Q1484" s="79" t="s">
        <v>9696</v>
      </c>
      <c r="R1484" s="78" t="s">
        <v>9697</v>
      </c>
      <c r="S1484" s="78" t="s">
        <v>3707</v>
      </c>
      <c r="T1484" s="78" t="s">
        <v>9699</v>
      </c>
      <c r="U1484" s="78" t="s">
        <v>9700</v>
      </c>
      <c r="V1484" s="98" t="s">
        <v>3710</v>
      </c>
      <c r="W1484" s="79"/>
      <c r="X1484" s="79"/>
      <c r="Y1484" s="79"/>
      <c r="Z1484" s="79"/>
    </row>
    <row r="1485" ht="15.75" customHeight="1">
      <c r="A1485" s="76" t="s">
        <v>247</v>
      </c>
      <c r="B1485" s="77" t="s">
        <v>2308</v>
      </c>
      <c r="C1485" s="80">
        <v>3.0708843055E10</v>
      </c>
      <c r="D1485" s="119" t="s">
        <v>264</v>
      </c>
      <c r="E1485" s="129" t="s">
        <v>9701</v>
      </c>
      <c r="F1485" s="128">
        <v>1569.0</v>
      </c>
      <c r="G1485" s="77" t="s">
        <v>269</v>
      </c>
      <c r="H1485" s="78">
        <v>1682.0</v>
      </c>
      <c r="I1485" s="79">
        <v>222010.0</v>
      </c>
      <c r="J1485" s="83" t="s">
        <v>568</v>
      </c>
      <c r="K1485" s="79" t="s">
        <v>1170</v>
      </c>
      <c r="L1485" s="79" t="s">
        <v>453</v>
      </c>
      <c r="M1485" s="79"/>
      <c r="N1485" s="79">
        <v>15.0</v>
      </c>
      <c r="O1485" s="74" t="s">
        <v>8943</v>
      </c>
      <c r="P1485" s="78" t="s">
        <v>9703</v>
      </c>
      <c r="Q1485" s="79"/>
      <c r="R1485" s="80"/>
      <c r="S1485" s="78" t="s">
        <v>9704</v>
      </c>
      <c r="T1485" s="85" t="s">
        <v>8945</v>
      </c>
      <c r="U1485" s="78" t="s">
        <v>9705</v>
      </c>
      <c r="V1485" s="102" t="s">
        <v>9706</v>
      </c>
      <c r="W1485" s="79" t="s">
        <v>306</v>
      </c>
      <c r="X1485" s="79" t="s">
        <v>306</v>
      </c>
      <c r="Y1485" s="79" t="s">
        <v>309</v>
      </c>
      <c r="Z1485" s="79"/>
    </row>
    <row r="1486" ht="15.0" customHeight="1">
      <c r="A1486" s="103" t="s">
        <v>24</v>
      </c>
      <c r="B1486" s="77" t="s">
        <v>9707</v>
      </c>
      <c r="C1486" s="80">
        <v>3.0659168762E10</v>
      </c>
      <c r="D1486" s="119" t="s">
        <v>264</v>
      </c>
      <c r="E1486" s="79" t="s">
        <v>2443</v>
      </c>
      <c r="F1486" s="44">
        <v>774.0</v>
      </c>
      <c r="G1486" s="79" t="s">
        <v>68</v>
      </c>
      <c r="H1486" s="80">
        <v>1702.0</v>
      </c>
      <c r="I1486" s="79">
        <v>222010.0</v>
      </c>
      <c r="J1486" s="83" t="s">
        <v>568</v>
      </c>
      <c r="K1486" s="79" t="s">
        <v>1170</v>
      </c>
      <c r="L1486" s="79" t="s">
        <v>453</v>
      </c>
      <c r="M1486" s="79"/>
      <c r="N1486" s="79">
        <v>18.0</v>
      </c>
      <c r="O1486" s="74"/>
      <c r="P1486" s="80"/>
      <c r="Q1486" s="79"/>
      <c r="R1486" s="80"/>
      <c r="S1486" s="80" t="s">
        <v>9709</v>
      </c>
      <c r="T1486" s="101" t="s">
        <v>9710</v>
      </c>
      <c r="U1486" s="80" t="s">
        <v>332</v>
      </c>
      <c r="V1486" s="102" t="s">
        <v>9711</v>
      </c>
      <c r="W1486" s="79" t="s">
        <v>309</v>
      </c>
      <c r="X1486" s="79" t="s">
        <v>309</v>
      </c>
      <c r="Y1486" s="79" t="s">
        <v>309</v>
      </c>
      <c r="Z1486" s="79"/>
    </row>
    <row r="1487" ht="15.0" customHeight="1">
      <c r="A1487" s="103" t="s">
        <v>24</v>
      </c>
      <c r="B1487" s="79" t="s">
        <v>9712</v>
      </c>
      <c r="C1487" s="79">
        <v>2.0249228401E10</v>
      </c>
      <c r="D1487" s="144" t="s">
        <v>631</v>
      </c>
      <c r="E1487" s="79" t="s">
        <v>1607</v>
      </c>
      <c r="F1487" s="44">
        <v>4342.0</v>
      </c>
      <c r="G1487" s="79" t="s">
        <v>15</v>
      </c>
      <c r="H1487" s="80">
        <v>1678.0</v>
      </c>
      <c r="I1487" s="77">
        <v>492290.0</v>
      </c>
      <c r="J1487" s="74" t="s">
        <v>433</v>
      </c>
      <c r="K1487" s="77" t="s">
        <v>7988</v>
      </c>
      <c r="L1487" s="79"/>
      <c r="M1487" s="79"/>
      <c r="N1487" s="79"/>
      <c r="O1487" s="74"/>
      <c r="P1487" s="80"/>
      <c r="Q1487" s="79"/>
      <c r="R1487" s="80"/>
      <c r="S1487" s="78" t="s">
        <v>9714</v>
      </c>
      <c r="T1487" s="101"/>
      <c r="U1487" s="80"/>
      <c r="V1487" s="102" t="s">
        <v>429</v>
      </c>
      <c r="W1487" s="79"/>
      <c r="X1487" s="79"/>
      <c r="Y1487" s="79"/>
      <c r="Z1487" s="79"/>
    </row>
    <row r="1488" ht="15.75" customHeight="1">
      <c r="A1488" s="76" t="s">
        <v>247</v>
      </c>
      <c r="B1488" s="77" t="s">
        <v>4286</v>
      </c>
      <c r="C1488" s="80">
        <v>3.0519198386E10</v>
      </c>
      <c r="D1488" s="119" t="s">
        <v>264</v>
      </c>
      <c r="E1488" s="77" t="s">
        <v>4273</v>
      </c>
      <c r="F1488" s="128">
        <v>1015.0</v>
      </c>
      <c r="G1488" s="77" t="s">
        <v>226</v>
      </c>
      <c r="H1488" s="80">
        <v>1674.0</v>
      </c>
      <c r="I1488" s="79">
        <v>107309.0</v>
      </c>
      <c r="J1488" s="74" t="s">
        <v>22</v>
      </c>
      <c r="K1488" s="77" t="s">
        <v>1570</v>
      </c>
      <c r="L1488" s="79"/>
      <c r="M1488" s="79" t="s">
        <v>9716</v>
      </c>
      <c r="N1488" s="79">
        <v>24.0</v>
      </c>
      <c r="O1488" s="74" t="s">
        <v>9717</v>
      </c>
      <c r="P1488" s="80"/>
      <c r="Q1488" s="79" t="s">
        <v>9718</v>
      </c>
      <c r="R1488" s="78" t="s">
        <v>9719</v>
      </c>
      <c r="S1488" s="80" t="s">
        <v>9720</v>
      </c>
      <c r="T1488" s="101" t="s">
        <v>9721</v>
      </c>
      <c r="U1488" s="80" t="s">
        <v>9722</v>
      </c>
      <c r="V1488" s="102" t="s">
        <v>9723</v>
      </c>
      <c r="W1488" s="79" t="s">
        <v>309</v>
      </c>
      <c r="X1488" s="79" t="s">
        <v>309</v>
      </c>
      <c r="Y1488" s="126" t="s">
        <v>309</v>
      </c>
      <c r="Z1488" s="79"/>
    </row>
    <row r="1489" ht="15.75" customHeight="1">
      <c r="A1489" s="103" t="s">
        <v>24</v>
      </c>
      <c r="B1489" s="77" t="s">
        <v>9725</v>
      </c>
      <c r="C1489" s="80">
        <v>3.0596096162E10</v>
      </c>
      <c r="D1489" s="119" t="s">
        <v>264</v>
      </c>
      <c r="E1489" s="126" t="s">
        <v>985</v>
      </c>
      <c r="F1489" s="44">
        <v>3744.0</v>
      </c>
      <c r="G1489" s="79" t="s">
        <v>15</v>
      </c>
      <c r="H1489" s="80">
        <v>1678.0</v>
      </c>
      <c r="I1489" s="79">
        <v>252090.0</v>
      </c>
      <c r="J1489" s="83" t="s">
        <v>568</v>
      </c>
      <c r="K1489" s="77" t="s">
        <v>2920</v>
      </c>
      <c r="L1489" s="79" t="s">
        <v>453</v>
      </c>
      <c r="M1489" s="79"/>
      <c r="N1489" s="79">
        <v>18.0</v>
      </c>
      <c r="O1489" s="74"/>
      <c r="P1489" s="80"/>
      <c r="Q1489" s="79"/>
      <c r="R1489" s="80"/>
      <c r="S1489" s="78" t="s">
        <v>9726</v>
      </c>
      <c r="T1489" s="85" t="s">
        <v>9727</v>
      </c>
      <c r="U1489" s="80" t="s">
        <v>332</v>
      </c>
      <c r="V1489" s="102" t="s">
        <v>429</v>
      </c>
      <c r="W1489" s="79" t="s">
        <v>309</v>
      </c>
      <c r="X1489" s="79" t="s">
        <v>309</v>
      </c>
      <c r="Y1489" s="79" t="s">
        <v>309</v>
      </c>
      <c r="Z1489" s="79"/>
    </row>
    <row r="1490" ht="15.75" customHeight="1">
      <c r="A1490" s="103" t="s">
        <v>24</v>
      </c>
      <c r="B1490" s="77" t="s">
        <v>9729</v>
      </c>
      <c r="C1490" s="79">
        <v>3.0629646015E10</v>
      </c>
      <c r="D1490" s="77" t="s">
        <v>264</v>
      </c>
      <c r="E1490" s="79" t="s">
        <v>1079</v>
      </c>
      <c r="F1490" s="44">
        <v>5469.0</v>
      </c>
      <c r="G1490" s="79" t="s">
        <v>15</v>
      </c>
      <c r="H1490" s="80">
        <v>1678.0</v>
      </c>
      <c r="I1490" s="77">
        <v>110412.0</v>
      </c>
      <c r="J1490" s="74" t="s">
        <v>57</v>
      </c>
      <c r="K1490" s="79" t="s">
        <v>4764</v>
      </c>
      <c r="L1490" s="79"/>
      <c r="M1490" s="79"/>
      <c r="N1490" s="79">
        <v>1.0</v>
      </c>
      <c r="O1490" s="74"/>
      <c r="P1490" s="80"/>
      <c r="Q1490" s="79"/>
      <c r="R1490" s="80"/>
      <c r="S1490" s="78" t="s">
        <v>9731</v>
      </c>
      <c r="T1490" s="101" t="s">
        <v>332</v>
      </c>
      <c r="U1490" s="80" t="s">
        <v>332</v>
      </c>
      <c r="V1490" s="102" t="s">
        <v>429</v>
      </c>
      <c r="W1490" s="79" t="s">
        <v>306</v>
      </c>
      <c r="X1490" s="79" t="s">
        <v>306</v>
      </c>
      <c r="Y1490" s="79"/>
      <c r="Z1490" s="79"/>
    </row>
    <row r="1491" ht="15.75" customHeight="1">
      <c r="A1491" s="76" t="s">
        <v>247</v>
      </c>
      <c r="B1491" s="77" t="s">
        <v>2310</v>
      </c>
      <c r="C1491" s="80">
        <v>3.0617044354E10</v>
      </c>
      <c r="D1491" s="119" t="s">
        <v>264</v>
      </c>
      <c r="E1491" s="79" t="s">
        <v>3833</v>
      </c>
      <c r="F1491" s="44">
        <v>4504.0</v>
      </c>
      <c r="G1491" s="79" t="s">
        <v>15</v>
      </c>
      <c r="H1491" s="80">
        <v>1678.0</v>
      </c>
      <c r="I1491" s="79">
        <v>749900.0</v>
      </c>
      <c r="J1491" s="74" t="s">
        <v>433</v>
      </c>
      <c r="K1491" s="77" t="s">
        <v>9733</v>
      </c>
      <c r="L1491" s="79"/>
      <c r="M1491" s="79"/>
      <c r="N1491" s="79">
        <v>3.0</v>
      </c>
      <c r="O1491" s="74"/>
      <c r="P1491" s="80"/>
      <c r="Q1491" s="79"/>
      <c r="R1491" s="80"/>
      <c r="S1491" s="80" t="s">
        <v>9734</v>
      </c>
      <c r="T1491" s="101" t="s">
        <v>9735</v>
      </c>
      <c r="U1491" s="80" t="s">
        <v>9736</v>
      </c>
      <c r="V1491" s="102" t="s">
        <v>429</v>
      </c>
      <c r="W1491" s="79" t="s">
        <v>306</v>
      </c>
      <c r="X1491" s="79" t="s">
        <v>306</v>
      </c>
      <c r="Y1491" s="79" t="s">
        <v>309</v>
      </c>
      <c r="Z1491" s="79"/>
    </row>
    <row r="1492" ht="15.0" customHeight="1">
      <c r="A1492" s="76" t="s">
        <v>247</v>
      </c>
      <c r="B1492" s="77" t="s">
        <v>2313</v>
      </c>
      <c r="C1492" s="80">
        <v>3.0551504774E10</v>
      </c>
      <c r="D1492" s="79" t="s">
        <v>264</v>
      </c>
      <c r="E1492" s="79" t="s">
        <v>2362</v>
      </c>
      <c r="F1492" s="44">
        <v>3130.0</v>
      </c>
      <c r="G1492" s="79" t="s">
        <v>15</v>
      </c>
      <c r="H1492" s="80">
        <v>1678.0</v>
      </c>
      <c r="I1492" s="79">
        <v>222010.0</v>
      </c>
      <c r="J1492" s="83" t="s">
        <v>568</v>
      </c>
      <c r="K1492" s="79" t="s">
        <v>4773</v>
      </c>
      <c r="L1492" s="79" t="s">
        <v>453</v>
      </c>
      <c r="M1492" s="79" t="s">
        <v>9738</v>
      </c>
      <c r="N1492" s="79">
        <v>10.0</v>
      </c>
      <c r="O1492" s="126" t="s">
        <v>9739</v>
      </c>
      <c r="P1492" s="80"/>
      <c r="Q1492" s="79"/>
      <c r="R1492" s="78" t="s">
        <v>9740</v>
      </c>
      <c r="S1492" s="80" t="s">
        <v>9741</v>
      </c>
      <c r="T1492" s="101" t="s">
        <v>9742</v>
      </c>
      <c r="U1492" s="80"/>
      <c r="V1492" s="102" t="s">
        <v>9743</v>
      </c>
      <c r="W1492" s="79"/>
      <c r="X1492" s="79"/>
      <c r="Y1492" s="79" t="s">
        <v>309</v>
      </c>
      <c r="Z1492" s="79"/>
    </row>
    <row r="1493" ht="15.0" customHeight="1">
      <c r="A1493" s="76" t="s">
        <v>247</v>
      </c>
      <c r="B1493" s="77" t="s">
        <v>7998</v>
      </c>
      <c r="C1493" s="80">
        <v>3.066311496E10</v>
      </c>
      <c r="D1493" s="119" t="s">
        <v>264</v>
      </c>
      <c r="E1493" s="79" t="s">
        <v>4638</v>
      </c>
      <c r="F1493" s="44">
        <v>4224.0</v>
      </c>
      <c r="G1493" s="79" t="s">
        <v>249</v>
      </c>
      <c r="H1493" s="80">
        <v>1676.0</v>
      </c>
      <c r="I1493" s="79">
        <v>221909.0</v>
      </c>
      <c r="J1493" s="74" t="s">
        <v>88</v>
      </c>
      <c r="K1493" s="82" t="s">
        <v>2473</v>
      </c>
      <c r="L1493" s="79" t="s">
        <v>453</v>
      </c>
      <c r="M1493" s="79" t="s">
        <v>9745</v>
      </c>
      <c r="N1493" s="79">
        <v>13.0</v>
      </c>
      <c r="O1493" s="74"/>
      <c r="P1493" s="80"/>
      <c r="Q1493" s="77" t="s">
        <v>9746</v>
      </c>
      <c r="R1493" s="80"/>
      <c r="S1493" s="80" t="s">
        <v>9747</v>
      </c>
      <c r="T1493" s="101" t="s">
        <v>9748</v>
      </c>
      <c r="U1493" s="80"/>
      <c r="V1493" s="102" t="s">
        <v>9749</v>
      </c>
      <c r="W1493" s="79" t="s">
        <v>309</v>
      </c>
      <c r="X1493" s="79" t="s">
        <v>309</v>
      </c>
      <c r="Y1493" s="79" t="s">
        <v>309</v>
      </c>
      <c r="Z1493" s="79"/>
    </row>
    <row r="1494" ht="15.0" customHeight="1">
      <c r="A1494" s="103" t="s">
        <v>24</v>
      </c>
      <c r="B1494" s="77" t="s">
        <v>9750</v>
      </c>
      <c r="C1494" s="80">
        <v>3.0714232149E10</v>
      </c>
      <c r="D1494" s="119" t="s">
        <v>264</v>
      </c>
      <c r="E1494" s="79" t="s">
        <v>2902</v>
      </c>
      <c r="F1494" s="44">
        <v>820.0</v>
      </c>
      <c r="G1494" s="79" t="s">
        <v>68</v>
      </c>
      <c r="H1494" s="80">
        <v>1702.0</v>
      </c>
      <c r="I1494" s="79">
        <v>141199.0</v>
      </c>
      <c r="J1494" s="74" t="s">
        <v>448</v>
      </c>
      <c r="K1494" s="77" t="s">
        <v>2765</v>
      </c>
      <c r="L1494" s="79" t="s">
        <v>1122</v>
      </c>
      <c r="M1494" s="79"/>
      <c r="N1494" s="79">
        <v>2.0</v>
      </c>
      <c r="O1494" s="74"/>
      <c r="P1494" s="80"/>
      <c r="Q1494" s="79"/>
      <c r="R1494" s="80"/>
      <c r="S1494" s="78" t="s">
        <v>9753</v>
      </c>
      <c r="T1494" s="101" t="s">
        <v>332</v>
      </c>
      <c r="U1494" s="80" t="s">
        <v>332</v>
      </c>
      <c r="V1494" s="102" t="s">
        <v>429</v>
      </c>
      <c r="W1494" s="79" t="s">
        <v>306</v>
      </c>
      <c r="X1494" s="79" t="s">
        <v>306</v>
      </c>
      <c r="Y1494" s="79"/>
      <c r="Z1494" s="79"/>
    </row>
    <row r="1495" ht="15.0" customHeight="1">
      <c r="A1495" s="76" t="s">
        <v>247</v>
      </c>
      <c r="B1495" s="77" t="s">
        <v>8007</v>
      </c>
      <c r="C1495" s="80">
        <v>3.0710919492E10</v>
      </c>
      <c r="D1495" s="119" t="s">
        <v>264</v>
      </c>
      <c r="E1495" s="77" t="s">
        <v>9755</v>
      </c>
      <c r="F1495" s="44">
        <v>2026.0</v>
      </c>
      <c r="G1495" s="79" t="s">
        <v>119</v>
      </c>
      <c r="H1495" s="80">
        <v>1657.0</v>
      </c>
      <c r="I1495" s="79">
        <v>222090.0</v>
      </c>
      <c r="J1495" s="83" t="s">
        <v>568</v>
      </c>
      <c r="K1495" s="77" t="s">
        <v>569</v>
      </c>
      <c r="L1495" s="79" t="s">
        <v>453</v>
      </c>
      <c r="M1495" s="79"/>
      <c r="N1495" s="79">
        <v>10.0</v>
      </c>
      <c r="O1495" s="74"/>
      <c r="P1495" s="80"/>
      <c r="Q1495" s="79"/>
      <c r="R1495" s="80"/>
      <c r="S1495" s="80" t="s">
        <v>9757</v>
      </c>
      <c r="T1495" s="101" t="s">
        <v>9758</v>
      </c>
      <c r="U1495" s="80" t="s">
        <v>9760</v>
      </c>
      <c r="V1495" s="102" t="s">
        <v>9761</v>
      </c>
      <c r="W1495" s="79" t="s">
        <v>309</v>
      </c>
      <c r="X1495" s="79" t="s">
        <v>309</v>
      </c>
      <c r="Y1495" s="79" t="s">
        <v>309</v>
      </c>
      <c r="Z1495" s="79"/>
    </row>
    <row r="1496" ht="15.75" customHeight="1">
      <c r="A1496" s="76" t="s">
        <v>247</v>
      </c>
      <c r="B1496" s="77" t="s">
        <v>8012</v>
      </c>
      <c r="C1496" s="80">
        <v>3.0680315015E10</v>
      </c>
      <c r="D1496" s="119" t="s">
        <v>264</v>
      </c>
      <c r="E1496" s="119" t="s">
        <v>1422</v>
      </c>
      <c r="F1496" s="44">
        <v>1460.0</v>
      </c>
      <c r="G1496" s="77" t="s">
        <v>269</v>
      </c>
      <c r="H1496" s="80">
        <v>1682.0</v>
      </c>
      <c r="I1496" s="79">
        <v>241009.0</v>
      </c>
      <c r="J1496" s="74" t="s">
        <v>347</v>
      </c>
      <c r="K1496" s="77" t="s">
        <v>5011</v>
      </c>
      <c r="L1496" s="79" t="s">
        <v>453</v>
      </c>
      <c r="M1496" s="79" t="s">
        <v>9763</v>
      </c>
      <c r="N1496" s="79">
        <v>50.0</v>
      </c>
      <c r="O1496" s="74" t="s">
        <v>9764</v>
      </c>
      <c r="P1496" s="85" t="s">
        <v>9765</v>
      </c>
      <c r="Q1496" s="79" t="s">
        <v>9764</v>
      </c>
      <c r="R1496" s="80"/>
      <c r="S1496" s="80" t="s">
        <v>9766</v>
      </c>
      <c r="T1496" s="85" t="s">
        <v>9767</v>
      </c>
      <c r="U1496" s="80"/>
      <c r="V1496" s="102" t="s">
        <v>9769</v>
      </c>
      <c r="W1496" s="79" t="s">
        <v>309</v>
      </c>
      <c r="X1496" s="79" t="s">
        <v>309</v>
      </c>
      <c r="Y1496" s="79" t="s">
        <v>309</v>
      </c>
      <c r="Z1496" s="79"/>
    </row>
    <row r="1497" ht="15.0" customHeight="1">
      <c r="A1497" s="103" t="s">
        <v>24</v>
      </c>
      <c r="B1497" s="77" t="s">
        <v>9770</v>
      </c>
      <c r="C1497" s="80">
        <v>3.0596296188E10</v>
      </c>
      <c r="D1497" s="119" t="s">
        <v>264</v>
      </c>
      <c r="E1497" s="79" t="s">
        <v>1819</v>
      </c>
      <c r="F1497" s="44">
        <v>4520.0</v>
      </c>
      <c r="G1497" s="79" t="s">
        <v>68</v>
      </c>
      <c r="H1497" s="80">
        <v>1702.0</v>
      </c>
      <c r="I1497" s="79">
        <v>242909.0</v>
      </c>
      <c r="J1497" s="74" t="s">
        <v>316</v>
      </c>
      <c r="K1497" s="77" t="s">
        <v>9772</v>
      </c>
      <c r="L1497" s="79"/>
      <c r="M1497" s="79"/>
      <c r="N1497" s="79">
        <v>0.0</v>
      </c>
      <c r="O1497" s="74"/>
      <c r="P1497" s="80"/>
      <c r="Q1497" s="79"/>
      <c r="R1497" s="80"/>
      <c r="S1497" s="80" t="s">
        <v>9773</v>
      </c>
      <c r="T1497" s="101" t="s">
        <v>9774</v>
      </c>
      <c r="U1497" s="80" t="s">
        <v>9775</v>
      </c>
      <c r="V1497" s="102" t="s">
        <v>429</v>
      </c>
      <c r="W1497" s="79" t="s">
        <v>309</v>
      </c>
      <c r="X1497" s="79" t="s">
        <v>309</v>
      </c>
      <c r="Y1497" s="79"/>
      <c r="Z1497" s="79"/>
    </row>
    <row r="1498" ht="15.75" customHeight="1">
      <c r="A1498" s="76" t="s">
        <v>247</v>
      </c>
      <c r="B1498" s="77" t="s">
        <v>8017</v>
      </c>
      <c r="C1498" s="80">
        <v>3.3504891769E10</v>
      </c>
      <c r="D1498" s="79" t="s">
        <v>264</v>
      </c>
      <c r="E1498" s="79" t="s">
        <v>2143</v>
      </c>
      <c r="F1498" s="44">
        <v>1179.0</v>
      </c>
      <c r="G1498" s="79" t="s">
        <v>68</v>
      </c>
      <c r="H1498" s="80">
        <v>1702.0</v>
      </c>
      <c r="I1498" s="79">
        <v>259993.0</v>
      </c>
      <c r="J1498" s="74" t="s">
        <v>347</v>
      </c>
      <c r="K1498" s="129" t="s">
        <v>638</v>
      </c>
      <c r="L1498" s="79" t="s">
        <v>453</v>
      </c>
      <c r="M1498" s="79"/>
      <c r="N1498" s="79">
        <v>2.0</v>
      </c>
      <c r="O1498" s="74"/>
      <c r="P1498" s="80"/>
      <c r="Q1498" s="79"/>
      <c r="R1498" s="80"/>
      <c r="S1498" s="78" t="s">
        <v>9778</v>
      </c>
      <c r="T1498" s="85" t="s">
        <v>9779</v>
      </c>
      <c r="U1498" s="80"/>
      <c r="V1498" s="102" t="s">
        <v>429</v>
      </c>
      <c r="W1498" s="79" t="s">
        <v>306</v>
      </c>
      <c r="X1498" s="79" t="s">
        <v>306</v>
      </c>
      <c r="Y1498" s="79" t="s">
        <v>309</v>
      </c>
      <c r="Z1498" s="79"/>
    </row>
    <row r="1499" ht="15.75" customHeight="1">
      <c r="A1499" s="76" t="s">
        <v>247</v>
      </c>
      <c r="B1499" s="77" t="s">
        <v>2318</v>
      </c>
      <c r="C1499" s="80">
        <v>3.0678279257E10</v>
      </c>
      <c r="D1499" s="79" t="s">
        <v>264</v>
      </c>
      <c r="E1499" s="79" t="s">
        <v>7702</v>
      </c>
      <c r="F1499" s="44">
        <v>3077.0</v>
      </c>
      <c r="G1499" s="79" t="s">
        <v>15</v>
      </c>
      <c r="H1499" s="80">
        <v>1678.0</v>
      </c>
      <c r="I1499" s="79">
        <v>310020.0</v>
      </c>
      <c r="J1499" s="74" t="s">
        <v>347</v>
      </c>
      <c r="K1499" s="79" t="s">
        <v>3277</v>
      </c>
      <c r="L1499" s="79" t="s">
        <v>369</v>
      </c>
      <c r="M1499" s="77" t="s">
        <v>9782</v>
      </c>
      <c r="N1499" s="79">
        <v>25.0</v>
      </c>
      <c r="O1499" s="83" t="s">
        <v>9783</v>
      </c>
      <c r="P1499" s="78" t="s">
        <v>9784</v>
      </c>
      <c r="Q1499" s="79" t="s">
        <v>9786</v>
      </c>
      <c r="R1499" s="80"/>
      <c r="S1499" s="80" t="s">
        <v>9787</v>
      </c>
      <c r="T1499" s="101" t="s">
        <v>9788</v>
      </c>
      <c r="U1499" s="80" t="s">
        <v>332</v>
      </c>
      <c r="V1499" s="102" t="s">
        <v>9789</v>
      </c>
      <c r="W1499" s="79" t="s">
        <v>309</v>
      </c>
      <c r="X1499" s="79" t="s">
        <v>309</v>
      </c>
      <c r="Y1499" s="79" t="s">
        <v>309</v>
      </c>
      <c r="Z1499" s="79"/>
    </row>
    <row r="1500" ht="15.75" customHeight="1">
      <c r="A1500" s="76" t="s">
        <v>247</v>
      </c>
      <c r="B1500" s="77" t="s">
        <v>2321</v>
      </c>
      <c r="C1500" s="80">
        <v>3.0709417408E10</v>
      </c>
      <c r="D1500" s="79" t="s">
        <v>264</v>
      </c>
      <c r="E1500" s="77" t="s">
        <v>266</v>
      </c>
      <c r="F1500" s="44">
        <v>3337.0</v>
      </c>
      <c r="G1500" s="79" t="s">
        <v>15</v>
      </c>
      <c r="H1500" s="80">
        <v>1678.0</v>
      </c>
      <c r="I1500" s="79">
        <v>251101.0</v>
      </c>
      <c r="J1500" s="74" t="s">
        <v>347</v>
      </c>
      <c r="K1500" s="79" t="s">
        <v>9791</v>
      </c>
      <c r="L1500" s="79" t="s">
        <v>453</v>
      </c>
      <c r="M1500" s="77" t="s">
        <v>9792</v>
      </c>
      <c r="N1500" s="79">
        <v>16.0</v>
      </c>
      <c r="O1500" s="126" t="s">
        <v>9793</v>
      </c>
      <c r="P1500" s="85" t="s">
        <v>9794</v>
      </c>
      <c r="Q1500" s="79"/>
      <c r="R1500" s="80"/>
      <c r="S1500" s="80" t="s">
        <v>9795</v>
      </c>
      <c r="T1500" s="85" t="s">
        <v>9796</v>
      </c>
      <c r="U1500" s="80" t="s">
        <v>332</v>
      </c>
      <c r="V1500" s="102" t="s">
        <v>9797</v>
      </c>
      <c r="W1500" s="79" t="s">
        <v>306</v>
      </c>
      <c r="X1500" s="79" t="s">
        <v>306</v>
      </c>
      <c r="Y1500" s="79" t="s">
        <v>309</v>
      </c>
      <c r="Z1500" s="79"/>
    </row>
    <row r="1501" ht="15.0" customHeight="1">
      <c r="A1501" s="103" t="s">
        <v>24</v>
      </c>
      <c r="B1501" s="77" t="s">
        <v>9799</v>
      </c>
      <c r="C1501" s="80">
        <v>3.0699718285E10</v>
      </c>
      <c r="D1501" s="119" t="s">
        <v>264</v>
      </c>
      <c r="E1501" s="77" t="s">
        <v>1458</v>
      </c>
      <c r="F1501" s="44">
        <v>3950.0</v>
      </c>
      <c r="G1501" s="79" t="s">
        <v>15</v>
      </c>
      <c r="H1501" s="80">
        <v>1678.0</v>
      </c>
      <c r="I1501" s="79">
        <v>712909.0</v>
      </c>
      <c r="J1501" s="74" t="s">
        <v>433</v>
      </c>
      <c r="K1501" s="77" t="s">
        <v>9801</v>
      </c>
      <c r="L1501" s="79"/>
      <c r="M1501" s="79"/>
      <c r="N1501" s="79">
        <v>0.0</v>
      </c>
      <c r="O1501" s="74"/>
      <c r="P1501" s="80"/>
      <c r="Q1501" s="79"/>
      <c r="R1501" s="80"/>
      <c r="S1501" s="80" t="s">
        <v>9802</v>
      </c>
      <c r="T1501" s="101" t="s">
        <v>332</v>
      </c>
      <c r="U1501" s="80" t="s">
        <v>332</v>
      </c>
      <c r="V1501" s="102" t="s">
        <v>429</v>
      </c>
      <c r="W1501" s="79" t="s">
        <v>309</v>
      </c>
      <c r="X1501" s="79" t="s">
        <v>309</v>
      </c>
      <c r="Y1501" s="79"/>
      <c r="Z1501" s="79"/>
    </row>
    <row r="1502" ht="15.0" customHeight="1">
      <c r="A1502" s="103" t="s">
        <v>24</v>
      </c>
      <c r="B1502" s="77" t="s">
        <v>9804</v>
      </c>
      <c r="C1502" s="80">
        <v>3.0655581517E10</v>
      </c>
      <c r="D1502" s="119" t="s">
        <v>264</v>
      </c>
      <c r="E1502" s="77" t="s">
        <v>7135</v>
      </c>
      <c r="F1502" s="44">
        <v>8458.0</v>
      </c>
      <c r="G1502" s="79" t="s">
        <v>119</v>
      </c>
      <c r="H1502" s="80">
        <v>1657.0</v>
      </c>
      <c r="I1502" s="79">
        <v>319000.0</v>
      </c>
      <c r="J1502" s="83" t="s">
        <v>207</v>
      </c>
      <c r="K1502" s="77" t="s">
        <v>9805</v>
      </c>
      <c r="L1502" s="79"/>
      <c r="M1502" s="79"/>
      <c r="N1502" s="79">
        <v>0.0</v>
      </c>
      <c r="O1502" s="74"/>
      <c r="P1502" s="80"/>
      <c r="Q1502" s="79"/>
      <c r="R1502" s="80"/>
      <c r="S1502" s="78" t="s">
        <v>9807</v>
      </c>
      <c r="T1502" s="101" t="s">
        <v>332</v>
      </c>
      <c r="U1502" s="80" t="s">
        <v>332</v>
      </c>
      <c r="V1502" s="102" t="s">
        <v>429</v>
      </c>
      <c r="W1502" s="79" t="s">
        <v>306</v>
      </c>
      <c r="X1502" s="79" t="s">
        <v>306</v>
      </c>
      <c r="Y1502" s="79"/>
      <c r="Z1502" s="79"/>
    </row>
    <row r="1503" ht="15.75" customHeight="1">
      <c r="A1503" s="103" t="s">
        <v>24</v>
      </c>
      <c r="B1503" s="79" t="s">
        <v>9808</v>
      </c>
      <c r="C1503" s="80">
        <v>2.3108724439E10</v>
      </c>
      <c r="D1503" s="77" t="s">
        <v>631</v>
      </c>
      <c r="E1503" s="79" t="s">
        <v>1755</v>
      </c>
      <c r="F1503" s="44">
        <v>3370.0</v>
      </c>
      <c r="G1503" s="79" t="s">
        <v>15</v>
      </c>
      <c r="H1503" s="80">
        <v>1678.0</v>
      </c>
      <c r="I1503" s="79">
        <v>251101.0</v>
      </c>
      <c r="J1503" s="74" t="s">
        <v>347</v>
      </c>
      <c r="K1503" s="77" t="s">
        <v>4263</v>
      </c>
      <c r="L1503" s="79" t="s">
        <v>453</v>
      </c>
      <c r="M1503" s="77" t="s">
        <v>9810</v>
      </c>
      <c r="N1503" s="79"/>
      <c r="O1503" s="74"/>
      <c r="P1503" s="80"/>
      <c r="Q1503" s="79"/>
      <c r="R1503" s="80"/>
      <c r="S1503" s="78" t="s">
        <v>9811</v>
      </c>
      <c r="T1503" s="101"/>
      <c r="U1503" s="80"/>
      <c r="V1503" s="102" t="s">
        <v>429</v>
      </c>
      <c r="W1503" s="79"/>
      <c r="X1503" s="79"/>
      <c r="Y1503" s="79"/>
      <c r="Z1503" s="79"/>
    </row>
    <row r="1504" ht="15.0" customHeight="1">
      <c r="A1504" s="103" t="s">
        <v>24</v>
      </c>
      <c r="B1504" s="77" t="s">
        <v>9812</v>
      </c>
      <c r="C1504" s="80">
        <v>3.0709604402E10</v>
      </c>
      <c r="D1504" s="119" t="s">
        <v>264</v>
      </c>
      <c r="E1504" s="79" t="s">
        <v>564</v>
      </c>
      <c r="F1504" s="44">
        <v>4341.0</v>
      </c>
      <c r="G1504" s="77" t="s">
        <v>68</v>
      </c>
      <c r="H1504" s="80">
        <v>1678.0</v>
      </c>
      <c r="I1504" s="79">
        <v>222090.0</v>
      </c>
      <c r="J1504" s="83" t="s">
        <v>568</v>
      </c>
      <c r="K1504" s="77" t="s">
        <v>569</v>
      </c>
      <c r="L1504" s="79" t="s">
        <v>453</v>
      </c>
      <c r="M1504" s="77" t="s">
        <v>9813</v>
      </c>
      <c r="N1504" s="79">
        <v>3.0</v>
      </c>
      <c r="O1504" s="74" t="s">
        <v>9814</v>
      </c>
      <c r="P1504" s="80"/>
      <c r="Q1504" s="79"/>
      <c r="R1504" s="80"/>
      <c r="S1504" s="101" t="s">
        <v>9815</v>
      </c>
      <c r="T1504" s="101" t="s">
        <v>332</v>
      </c>
      <c r="U1504" s="80" t="s">
        <v>332</v>
      </c>
      <c r="V1504" s="102" t="s">
        <v>429</v>
      </c>
      <c r="W1504" s="79" t="s">
        <v>306</v>
      </c>
      <c r="X1504" s="79" t="s">
        <v>306</v>
      </c>
      <c r="Y1504" s="79"/>
      <c r="Z1504" s="79"/>
    </row>
    <row r="1505" ht="15.0" customHeight="1">
      <c r="A1505" s="103" t="s">
        <v>24</v>
      </c>
      <c r="B1505" s="79" t="s">
        <v>9816</v>
      </c>
      <c r="C1505" s="80">
        <v>2.0115973739E10</v>
      </c>
      <c r="D1505" s="77" t="s">
        <v>631</v>
      </c>
      <c r="E1505" s="79" t="s">
        <v>2533</v>
      </c>
      <c r="F1505" s="44">
        <v>7155.0</v>
      </c>
      <c r="G1505" s="79" t="s">
        <v>97</v>
      </c>
      <c r="H1505" s="80">
        <v>1702.0</v>
      </c>
      <c r="I1505" s="79">
        <v>329090.0</v>
      </c>
      <c r="J1505" s="74" t="s">
        <v>261</v>
      </c>
      <c r="K1505" s="77" t="s">
        <v>2448</v>
      </c>
      <c r="L1505" s="79"/>
      <c r="M1505" s="79"/>
      <c r="N1505" s="79"/>
      <c r="O1505" s="74"/>
      <c r="P1505" s="80"/>
      <c r="Q1505" s="79"/>
      <c r="R1505" s="80"/>
      <c r="S1505" s="80" t="s">
        <v>9818</v>
      </c>
      <c r="T1505" s="101"/>
      <c r="U1505" s="80"/>
      <c r="V1505" s="102" t="s">
        <v>429</v>
      </c>
      <c r="W1505" s="79"/>
      <c r="X1505" s="79"/>
      <c r="Y1505" s="79"/>
      <c r="Z1505" s="79"/>
    </row>
    <row r="1506" ht="15.0" customHeight="1">
      <c r="A1506" s="76" t="s">
        <v>247</v>
      </c>
      <c r="B1506" s="77" t="s">
        <v>2324</v>
      </c>
      <c r="C1506" s="80">
        <v>2.0314226446E10</v>
      </c>
      <c r="D1506" s="144" t="s">
        <v>631</v>
      </c>
      <c r="E1506" s="79" t="s">
        <v>1944</v>
      </c>
      <c r="F1506" s="44">
        <v>619.0</v>
      </c>
      <c r="G1506" s="79" t="s">
        <v>68</v>
      </c>
      <c r="H1506" s="80">
        <v>1702.0</v>
      </c>
      <c r="I1506" s="79">
        <v>829900.0</v>
      </c>
      <c r="J1506" s="74" t="s">
        <v>347</v>
      </c>
      <c r="K1506" s="79" t="s">
        <v>9820</v>
      </c>
      <c r="L1506" s="79"/>
      <c r="M1506" s="79"/>
      <c r="N1506" s="79"/>
      <c r="O1506" s="74" t="s">
        <v>9821</v>
      </c>
      <c r="P1506" s="78" t="s">
        <v>9822</v>
      </c>
      <c r="Q1506" s="345" t="s">
        <v>9823</v>
      </c>
      <c r="R1506" s="346" t="s">
        <v>9824</v>
      </c>
      <c r="S1506" s="78" t="s">
        <v>9825</v>
      </c>
      <c r="T1506" s="85" t="s">
        <v>9826</v>
      </c>
      <c r="U1506" s="80"/>
      <c r="V1506" s="102" t="s">
        <v>9827</v>
      </c>
      <c r="W1506" s="79"/>
      <c r="X1506" s="79"/>
      <c r="Y1506" s="79"/>
      <c r="Z1506" s="79"/>
    </row>
    <row r="1507" ht="15.75" customHeight="1">
      <c r="A1507" s="76" t="s">
        <v>247</v>
      </c>
      <c r="B1507" s="77" t="s">
        <v>8027</v>
      </c>
      <c r="C1507" s="79">
        <v>3.0708188634E10</v>
      </c>
      <c r="D1507" s="77" t="s">
        <v>264</v>
      </c>
      <c r="E1507" s="119" t="s">
        <v>1422</v>
      </c>
      <c r="F1507" s="44">
        <v>828.0</v>
      </c>
      <c r="G1507" s="79" t="s">
        <v>269</v>
      </c>
      <c r="H1507" s="80">
        <v>1682.0</v>
      </c>
      <c r="I1507" s="79">
        <v>221120.0</v>
      </c>
      <c r="J1507" s="83" t="s">
        <v>37</v>
      </c>
      <c r="K1507" s="79" t="s">
        <v>9829</v>
      </c>
      <c r="L1507" s="79"/>
      <c r="M1507" s="79"/>
      <c r="N1507" s="79">
        <v>4.0</v>
      </c>
      <c r="O1507" s="74"/>
      <c r="P1507" s="80"/>
      <c r="Q1507" s="79"/>
      <c r="R1507" s="80"/>
      <c r="S1507" s="78" t="s">
        <v>9830</v>
      </c>
      <c r="T1507" s="85" t="s">
        <v>9831</v>
      </c>
      <c r="U1507" s="80" t="s">
        <v>332</v>
      </c>
      <c r="V1507" s="102" t="s">
        <v>9832</v>
      </c>
      <c r="W1507" s="79" t="s">
        <v>306</v>
      </c>
      <c r="X1507" s="79" t="s">
        <v>306</v>
      </c>
      <c r="Y1507" s="79" t="s">
        <v>309</v>
      </c>
      <c r="Z1507" s="79"/>
    </row>
    <row r="1508" ht="15.0" customHeight="1">
      <c r="A1508" s="103" t="s">
        <v>24</v>
      </c>
      <c r="B1508" s="77" t="s">
        <v>9834</v>
      </c>
      <c r="C1508" s="80">
        <v>3.0708880902E10</v>
      </c>
      <c r="D1508" s="79" t="s">
        <v>264</v>
      </c>
      <c r="E1508" s="79" t="s">
        <v>8483</v>
      </c>
      <c r="F1508" s="44">
        <v>4720.0</v>
      </c>
      <c r="G1508" s="79" t="s">
        <v>15</v>
      </c>
      <c r="H1508" s="80">
        <v>1678.0</v>
      </c>
      <c r="I1508" s="77">
        <v>291000.0</v>
      </c>
      <c r="J1508" s="74" t="s">
        <v>347</v>
      </c>
      <c r="K1508" s="77" t="s">
        <v>9545</v>
      </c>
      <c r="L1508" s="79"/>
      <c r="M1508" s="79"/>
      <c r="N1508" s="79">
        <v>0.0</v>
      </c>
      <c r="O1508" s="74"/>
      <c r="P1508" s="80"/>
      <c r="Q1508" s="79"/>
      <c r="R1508" s="80"/>
      <c r="S1508" s="80" t="s">
        <v>9836</v>
      </c>
      <c r="T1508" s="101" t="s">
        <v>332</v>
      </c>
      <c r="U1508" s="80" t="s">
        <v>332</v>
      </c>
      <c r="V1508" s="102" t="s">
        <v>429</v>
      </c>
      <c r="W1508" s="79" t="s">
        <v>309</v>
      </c>
      <c r="X1508" s="79" t="s">
        <v>309</v>
      </c>
      <c r="Y1508" s="79"/>
      <c r="Z1508" s="79"/>
    </row>
    <row r="1509" ht="15.75" customHeight="1">
      <c r="A1509" s="76" t="s">
        <v>247</v>
      </c>
      <c r="B1509" s="77" t="s">
        <v>2326</v>
      </c>
      <c r="C1509" s="307">
        <v>3.0714633941E10</v>
      </c>
      <c r="D1509" s="77" t="s">
        <v>264</v>
      </c>
      <c r="E1509" s="307" t="s">
        <v>1114</v>
      </c>
      <c r="F1509" s="347">
        <v>4467.0</v>
      </c>
      <c r="G1509" s="307" t="s">
        <v>68</v>
      </c>
      <c r="H1509" s="78">
        <v>1702.0</v>
      </c>
      <c r="I1509" s="78">
        <v>170990.0</v>
      </c>
      <c r="J1509" s="83" t="s">
        <v>283</v>
      </c>
      <c r="K1509" s="77" t="s">
        <v>9838</v>
      </c>
      <c r="L1509" s="79"/>
      <c r="M1509" s="77" t="s">
        <v>9839</v>
      </c>
      <c r="N1509" s="79"/>
      <c r="O1509" s="77" t="s">
        <v>9840</v>
      </c>
      <c r="P1509" s="78" t="s">
        <v>9841</v>
      </c>
      <c r="Q1509" s="77" t="s">
        <v>9842</v>
      </c>
      <c r="R1509" s="78" t="s">
        <v>9843</v>
      </c>
      <c r="S1509" s="348" t="s">
        <v>9844</v>
      </c>
      <c r="T1509" s="101"/>
      <c r="U1509" s="80"/>
      <c r="V1509" s="349" t="s">
        <v>9846</v>
      </c>
      <c r="W1509" s="79"/>
      <c r="X1509" s="79"/>
      <c r="Y1509" s="79"/>
      <c r="Z1509" s="79"/>
    </row>
    <row r="1510" ht="15.75" customHeight="1">
      <c r="A1510" s="76" t="s">
        <v>247</v>
      </c>
      <c r="B1510" s="77" t="s">
        <v>9847</v>
      </c>
      <c r="C1510" s="80">
        <v>3.0711235384E10</v>
      </c>
      <c r="D1510" s="119" t="s">
        <v>264</v>
      </c>
      <c r="E1510" s="79" t="s">
        <v>2916</v>
      </c>
      <c r="F1510" s="44">
        <v>6352.0</v>
      </c>
      <c r="G1510" s="79" t="s">
        <v>119</v>
      </c>
      <c r="H1510" s="80">
        <v>1657.0</v>
      </c>
      <c r="I1510" s="79">
        <v>282300.0</v>
      </c>
      <c r="J1510" s="74" t="s">
        <v>347</v>
      </c>
      <c r="K1510" s="79" t="s">
        <v>4825</v>
      </c>
      <c r="L1510" s="79" t="s">
        <v>662</v>
      </c>
      <c r="M1510" s="79"/>
      <c r="N1510" s="79">
        <v>10.0</v>
      </c>
      <c r="O1510" s="74"/>
      <c r="P1510" s="80"/>
      <c r="Q1510" s="79"/>
      <c r="R1510" s="80"/>
      <c r="S1510" s="78" t="s">
        <v>9849</v>
      </c>
      <c r="T1510" s="85" t="s">
        <v>9850</v>
      </c>
      <c r="U1510" s="80" t="s">
        <v>7218</v>
      </c>
      <c r="V1510" s="102" t="s">
        <v>9851</v>
      </c>
      <c r="W1510" s="79" t="s">
        <v>309</v>
      </c>
      <c r="X1510" s="79" t="s">
        <v>309</v>
      </c>
      <c r="Y1510" s="79" t="s">
        <v>309</v>
      </c>
      <c r="Z1510" s="79"/>
    </row>
    <row r="1511" ht="15.0" customHeight="1">
      <c r="A1511" s="76" t="s">
        <v>247</v>
      </c>
      <c r="B1511" s="79" t="s">
        <v>8032</v>
      </c>
      <c r="C1511" s="80">
        <v>2.0257790097E10</v>
      </c>
      <c r="D1511" s="144" t="s">
        <v>631</v>
      </c>
      <c r="E1511" s="77" t="s">
        <v>6787</v>
      </c>
      <c r="F1511" s="128">
        <v>808.0</v>
      </c>
      <c r="G1511" s="79" t="s">
        <v>119</v>
      </c>
      <c r="H1511" s="80">
        <v>1657.0</v>
      </c>
      <c r="I1511" s="77">
        <v>202311.0</v>
      </c>
      <c r="J1511" s="83" t="s">
        <v>433</v>
      </c>
      <c r="K1511" s="77" t="s">
        <v>4406</v>
      </c>
      <c r="L1511" s="79"/>
      <c r="M1511" s="79" t="s">
        <v>9853</v>
      </c>
      <c r="N1511" s="79"/>
      <c r="O1511" s="79"/>
      <c r="P1511" s="80"/>
      <c r="Q1511" s="79"/>
      <c r="R1511" s="80"/>
      <c r="S1511" s="78" t="s">
        <v>9855</v>
      </c>
      <c r="T1511" s="101"/>
      <c r="U1511" s="80"/>
      <c r="V1511" s="102" t="s">
        <v>429</v>
      </c>
      <c r="W1511" s="79"/>
      <c r="X1511" s="79"/>
      <c r="Y1511" s="79"/>
      <c r="Z1511" s="79"/>
    </row>
    <row r="1512" ht="15.75" customHeight="1">
      <c r="A1512" s="76" t="s">
        <v>247</v>
      </c>
      <c r="B1512" s="77" t="s">
        <v>8041</v>
      </c>
      <c r="C1512" s="80">
        <v>3.0693330196E10</v>
      </c>
      <c r="D1512" s="119" t="s">
        <v>264</v>
      </c>
      <c r="E1512" s="77" t="s">
        <v>4829</v>
      </c>
      <c r="F1512" s="44">
        <v>3904.0</v>
      </c>
      <c r="G1512" s="79" t="s">
        <v>15</v>
      </c>
      <c r="H1512" s="80">
        <v>1678.0</v>
      </c>
      <c r="I1512" s="79">
        <v>864000.0</v>
      </c>
      <c r="J1512" s="74" t="s">
        <v>433</v>
      </c>
      <c r="K1512" s="79" t="s">
        <v>9856</v>
      </c>
      <c r="L1512" s="79"/>
      <c r="M1512" s="79"/>
      <c r="N1512" s="79">
        <v>27.0</v>
      </c>
      <c r="O1512" s="74"/>
      <c r="P1512" s="80"/>
      <c r="Q1512" s="79"/>
      <c r="R1512" s="80"/>
      <c r="S1512" s="101" t="s">
        <v>9858</v>
      </c>
      <c r="T1512" s="80" t="s">
        <v>4832</v>
      </c>
      <c r="U1512" s="80" t="s">
        <v>332</v>
      </c>
      <c r="V1512" s="102" t="s">
        <v>429</v>
      </c>
      <c r="W1512" s="79" t="s">
        <v>306</v>
      </c>
      <c r="X1512" s="79" t="s">
        <v>306</v>
      </c>
      <c r="Y1512" s="79"/>
      <c r="Z1512" s="79"/>
    </row>
    <row r="1513" ht="15.75" customHeight="1">
      <c r="A1513" s="76" t="s">
        <v>247</v>
      </c>
      <c r="B1513" s="144" t="s">
        <v>9859</v>
      </c>
      <c r="C1513" s="78">
        <v>3.0696229933E10</v>
      </c>
      <c r="D1513" s="79" t="s">
        <v>264</v>
      </c>
      <c r="E1513" s="119" t="s">
        <v>1770</v>
      </c>
      <c r="F1513" s="44">
        <v>8752.0</v>
      </c>
      <c r="G1513" s="79" t="s">
        <v>119</v>
      </c>
      <c r="H1513" s="80">
        <v>1657.0</v>
      </c>
      <c r="I1513" s="77">
        <v>201409.0</v>
      </c>
      <c r="J1513" s="83" t="s">
        <v>568</v>
      </c>
      <c r="K1513" s="129" t="s">
        <v>6548</v>
      </c>
      <c r="L1513" s="79" t="s">
        <v>453</v>
      </c>
      <c r="M1513" s="77" t="s">
        <v>9861</v>
      </c>
      <c r="N1513" s="79"/>
      <c r="O1513" s="126"/>
      <c r="P1513" s="85"/>
      <c r="Q1513" s="79"/>
      <c r="R1513" s="80"/>
      <c r="S1513" s="101" t="s">
        <v>9862</v>
      </c>
      <c r="T1513" s="101" t="s">
        <v>9863</v>
      </c>
      <c r="U1513" s="85" t="s">
        <v>9864</v>
      </c>
      <c r="V1513" s="98" t="s">
        <v>9865</v>
      </c>
      <c r="W1513" s="79"/>
      <c r="X1513" s="79"/>
      <c r="Y1513" s="79"/>
      <c r="Z1513" s="79"/>
    </row>
    <row r="1514" ht="15.75" customHeight="1">
      <c r="A1514" s="76" t="s">
        <v>247</v>
      </c>
      <c r="B1514" s="79" t="s">
        <v>8044</v>
      </c>
      <c r="C1514" s="80">
        <v>3.0709388513E10</v>
      </c>
      <c r="D1514" s="144" t="s">
        <v>631</v>
      </c>
      <c r="E1514" s="79" t="s">
        <v>1136</v>
      </c>
      <c r="F1514" s="44">
        <v>2935.0</v>
      </c>
      <c r="G1514" s="79" t="s">
        <v>68</v>
      </c>
      <c r="H1514" s="80">
        <v>1702.0</v>
      </c>
      <c r="I1514" s="79">
        <v>181200.0</v>
      </c>
      <c r="J1514" s="74" t="s">
        <v>433</v>
      </c>
      <c r="K1514" s="79" t="s">
        <v>1833</v>
      </c>
      <c r="L1514" s="79"/>
      <c r="M1514" s="79"/>
      <c r="N1514" s="79">
        <v>2.0</v>
      </c>
      <c r="O1514" s="74"/>
      <c r="P1514" s="80"/>
      <c r="Q1514" s="79"/>
      <c r="R1514" s="80"/>
      <c r="S1514" s="80" t="s">
        <v>9868</v>
      </c>
      <c r="T1514" s="85" t="s">
        <v>9869</v>
      </c>
      <c r="U1514" s="78" t="s">
        <v>9870</v>
      </c>
      <c r="V1514" s="102" t="s">
        <v>9871</v>
      </c>
      <c r="W1514" s="79" t="s">
        <v>306</v>
      </c>
      <c r="X1514" s="79" t="s">
        <v>306</v>
      </c>
      <c r="Y1514" s="79" t="s">
        <v>309</v>
      </c>
      <c r="Z1514" s="79"/>
    </row>
    <row r="1515" ht="15.75" customHeight="1">
      <c r="A1515" s="103" t="s">
        <v>24</v>
      </c>
      <c r="B1515" s="77" t="s">
        <v>9872</v>
      </c>
      <c r="C1515" s="80">
        <v>3.0707142282E10</v>
      </c>
      <c r="D1515" s="79" t="s">
        <v>264</v>
      </c>
      <c r="E1515" s="79" t="s">
        <v>3987</v>
      </c>
      <c r="F1515" s="44">
        <v>10204.0</v>
      </c>
      <c r="G1515" s="79" t="s">
        <v>119</v>
      </c>
      <c r="H1515" s="80">
        <v>1657.0</v>
      </c>
      <c r="I1515" s="79">
        <v>202909.0</v>
      </c>
      <c r="J1515" s="74" t="s">
        <v>313</v>
      </c>
      <c r="K1515" s="77" t="s">
        <v>8709</v>
      </c>
      <c r="L1515" s="79" t="s">
        <v>1122</v>
      </c>
      <c r="M1515" s="79"/>
      <c r="N1515" s="79">
        <v>2.0</v>
      </c>
      <c r="O1515" s="74"/>
      <c r="P1515" s="80"/>
      <c r="Q1515" s="79"/>
      <c r="R1515" s="80"/>
      <c r="S1515" s="78" t="s">
        <v>9874</v>
      </c>
      <c r="T1515" s="101" t="s">
        <v>332</v>
      </c>
      <c r="U1515" s="80" t="s">
        <v>332</v>
      </c>
      <c r="V1515" s="102" t="s">
        <v>429</v>
      </c>
      <c r="W1515" s="79" t="s">
        <v>306</v>
      </c>
      <c r="X1515" s="79" t="s">
        <v>306</v>
      </c>
      <c r="Y1515" s="79"/>
      <c r="Z1515" s="79"/>
    </row>
    <row r="1516" ht="15.75" customHeight="1">
      <c r="A1516" s="76" t="s">
        <v>247</v>
      </c>
      <c r="B1516" s="77" t="s">
        <v>8049</v>
      </c>
      <c r="C1516" s="79">
        <v>3.0711737886E10</v>
      </c>
      <c r="D1516" s="77" t="s">
        <v>264</v>
      </c>
      <c r="E1516" s="79" t="s">
        <v>1045</v>
      </c>
      <c r="F1516" s="44">
        <v>5571.0</v>
      </c>
      <c r="G1516" s="79" t="s">
        <v>15</v>
      </c>
      <c r="H1516" s="80">
        <v>1678.0</v>
      </c>
      <c r="I1516" s="79">
        <v>170990.0</v>
      </c>
      <c r="J1516" s="74" t="s">
        <v>283</v>
      </c>
      <c r="K1516" s="77" t="s">
        <v>2385</v>
      </c>
      <c r="L1516" s="79"/>
      <c r="M1516" s="79"/>
      <c r="N1516" s="79">
        <v>7.0</v>
      </c>
      <c r="O1516" s="74"/>
      <c r="P1516" s="80"/>
      <c r="Q1516" s="79"/>
      <c r="R1516" s="80"/>
      <c r="S1516" s="101" t="s">
        <v>9876</v>
      </c>
      <c r="T1516" s="101" t="s">
        <v>332</v>
      </c>
      <c r="U1516" s="80" t="s">
        <v>332</v>
      </c>
      <c r="V1516" s="102" t="s">
        <v>429</v>
      </c>
      <c r="W1516" s="79" t="s">
        <v>306</v>
      </c>
      <c r="X1516" s="79" t="s">
        <v>306</v>
      </c>
      <c r="Y1516" s="79"/>
      <c r="Z1516" s="79"/>
    </row>
    <row r="1517" ht="15.75" customHeight="1">
      <c r="A1517" s="103" t="s">
        <v>24</v>
      </c>
      <c r="B1517" s="77" t="s">
        <v>9878</v>
      </c>
      <c r="C1517" s="80">
        <v>3.0708630507E10</v>
      </c>
      <c r="D1517" s="119" t="s">
        <v>264</v>
      </c>
      <c r="E1517" s="79" t="s">
        <v>5195</v>
      </c>
      <c r="F1517" s="44">
        <v>3078.0</v>
      </c>
      <c r="G1517" s="77" t="s">
        <v>226</v>
      </c>
      <c r="H1517" s="80">
        <v>1674.0</v>
      </c>
      <c r="I1517" s="79">
        <v>433090.0</v>
      </c>
      <c r="J1517" s="74" t="s">
        <v>125</v>
      </c>
      <c r="K1517" s="77" t="s">
        <v>9879</v>
      </c>
      <c r="L1517" s="79" t="s">
        <v>453</v>
      </c>
      <c r="M1517" s="79"/>
      <c r="N1517" s="79">
        <v>0.0</v>
      </c>
      <c r="O1517" s="74"/>
      <c r="P1517" s="80"/>
      <c r="Q1517" s="79"/>
      <c r="R1517" s="114"/>
      <c r="S1517" s="78" t="s">
        <v>9880</v>
      </c>
      <c r="T1517" s="101" t="s">
        <v>332</v>
      </c>
      <c r="U1517" s="80" t="s">
        <v>332</v>
      </c>
      <c r="V1517" s="102" t="s">
        <v>429</v>
      </c>
      <c r="W1517" s="79" t="s">
        <v>306</v>
      </c>
      <c r="X1517" s="79" t="s">
        <v>306</v>
      </c>
      <c r="Y1517" s="79"/>
      <c r="Z1517" s="79"/>
    </row>
    <row r="1518" ht="15.0" customHeight="1">
      <c r="A1518" s="103" t="s">
        <v>24</v>
      </c>
      <c r="B1518" s="77" t="s">
        <v>9882</v>
      </c>
      <c r="C1518" s="80">
        <v>3.0709629715E10</v>
      </c>
      <c r="D1518" s="79" t="s">
        <v>264</v>
      </c>
      <c r="E1518" s="79" t="s">
        <v>4958</v>
      </c>
      <c r="F1518" s="44">
        <v>2847.0</v>
      </c>
      <c r="G1518" s="79" t="s">
        <v>15</v>
      </c>
      <c r="H1518" s="80">
        <v>1678.0</v>
      </c>
      <c r="I1518" s="79">
        <v>259993.0</v>
      </c>
      <c r="J1518" s="74" t="s">
        <v>347</v>
      </c>
      <c r="K1518" s="129" t="s">
        <v>638</v>
      </c>
      <c r="L1518" s="79" t="s">
        <v>453</v>
      </c>
      <c r="M1518" s="79"/>
      <c r="N1518" s="79">
        <v>3.0</v>
      </c>
      <c r="O1518" s="74"/>
      <c r="P1518" s="80"/>
      <c r="Q1518" s="79"/>
      <c r="R1518" s="80"/>
      <c r="S1518" s="78" t="s">
        <v>9883</v>
      </c>
      <c r="T1518" s="101" t="s">
        <v>332</v>
      </c>
      <c r="U1518" s="80" t="s">
        <v>332</v>
      </c>
      <c r="V1518" s="102" t="s">
        <v>429</v>
      </c>
      <c r="W1518" s="79" t="s">
        <v>309</v>
      </c>
      <c r="X1518" s="79" t="s">
        <v>309</v>
      </c>
      <c r="Y1518" s="79"/>
      <c r="Z1518" s="79"/>
    </row>
    <row r="1519" ht="15.75" customHeight="1">
      <c r="A1519" s="103" t="s">
        <v>24</v>
      </c>
      <c r="B1519" s="77" t="s">
        <v>9885</v>
      </c>
      <c r="C1519" s="79">
        <v>3.069611647E10</v>
      </c>
      <c r="D1519" s="77" t="s">
        <v>264</v>
      </c>
      <c r="E1519" s="79" t="s">
        <v>1079</v>
      </c>
      <c r="F1519" s="44">
        <v>5825.0</v>
      </c>
      <c r="G1519" s="79" t="s">
        <v>15</v>
      </c>
      <c r="H1519" s="80">
        <v>1678.0</v>
      </c>
      <c r="I1519" s="79">
        <v>369999.0</v>
      </c>
      <c r="J1519" s="83" t="s">
        <v>327</v>
      </c>
      <c r="K1519" s="77" t="s">
        <v>9886</v>
      </c>
      <c r="L1519" s="79"/>
      <c r="M1519" s="79"/>
      <c r="N1519" s="79">
        <v>0.0</v>
      </c>
      <c r="O1519" s="74"/>
      <c r="P1519" s="80"/>
      <c r="Q1519" s="79"/>
      <c r="R1519" s="80"/>
      <c r="S1519" s="80" t="s">
        <v>9888</v>
      </c>
      <c r="T1519" s="101" t="s">
        <v>9889</v>
      </c>
      <c r="U1519" s="80" t="s">
        <v>332</v>
      </c>
      <c r="V1519" s="102" t="s">
        <v>429</v>
      </c>
      <c r="W1519" s="79" t="s">
        <v>309</v>
      </c>
      <c r="X1519" s="79" t="s">
        <v>309</v>
      </c>
      <c r="Y1519" s="79"/>
      <c r="Z1519" s="79"/>
    </row>
    <row r="1520" ht="15.0" customHeight="1">
      <c r="A1520" s="103" t="s">
        <v>24</v>
      </c>
      <c r="B1520" s="77" t="s">
        <v>9890</v>
      </c>
      <c r="C1520" s="79">
        <v>3.0707966943E10</v>
      </c>
      <c r="D1520" s="77" t="s">
        <v>264</v>
      </c>
      <c r="E1520" s="79" t="s">
        <v>2912</v>
      </c>
      <c r="F1520" s="44">
        <v>6641.0</v>
      </c>
      <c r="G1520" s="79" t="s">
        <v>119</v>
      </c>
      <c r="H1520" s="80">
        <v>1657.0</v>
      </c>
      <c r="I1520" s="79">
        <v>502990.0</v>
      </c>
      <c r="J1520" s="74" t="s">
        <v>433</v>
      </c>
      <c r="K1520" s="77" t="s">
        <v>5751</v>
      </c>
      <c r="L1520" s="79"/>
      <c r="M1520" s="79"/>
      <c r="N1520" s="79">
        <v>0.0</v>
      </c>
      <c r="O1520" s="74"/>
      <c r="P1520" s="80"/>
      <c r="Q1520" s="79"/>
      <c r="R1520" s="80"/>
      <c r="S1520" s="80" t="s">
        <v>9892</v>
      </c>
      <c r="T1520" s="101" t="s">
        <v>9893</v>
      </c>
      <c r="U1520" s="80" t="s">
        <v>9894</v>
      </c>
      <c r="V1520" s="102" t="s">
        <v>429</v>
      </c>
      <c r="W1520" s="79" t="s">
        <v>309</v>
      </c>
      <c r="X1520" s="79" t="s">
        <v>309</v>
      </c>
      <c r="Y1520" s="79"/>
      <c r="Z1520" s="79"/>
    </row>
    <row r="1521" ht="15.75" customHeight="1">
      <c r="A1521" s="76" t="s">
        <v>247</v>
      </c>
      <c r="B1521" s="79" t="s">
        <v>2330</v>
      </c>
      <c r="C1521" s="80">
        <v>3.0715505122E10</v>
      </c>
      <c r="D1521" s="79" t="s">
        <v>264</v>
      </c>
      <c r="E1521" s="79" t="s">
        <v>1049</v>
      </c>
      <c r="F1521" s="44">
        <v>7277.0</v>
      </c>
      <c r="G1521" s="79" t="s">
        <v>9895</v>
      </c>
      <c r="H1521" s="80">
        <v>1682.0</v>
      </c>
      <c r="I1521" s="77">
        <v>104012.0</v>
      </c>
      <c r="J1521" s="74" t="s">
        <v>363</v>
      </c>
      <c r="K1521" s="77" t="s">
        <v>9896</v>
      </c>
      <c r="L1521" s="350"/>
      <c r="M1521" s="79" t="s">
        <v>9897</v>
      </c>
      <c r="N1521" s="79"/>
      <c r="O1521" s="79" t="s">
        <v>9898</v>
      </c>
      <c r="P1521" s="80"/>
      <c r="Q1521" s="77" t="s">
        <v>9899</v>
      </c>
      <c r="R1521" s="78">
        <v>1.150292451E9</v>
      </c>
      <c r="S1521" s="80" t="s">
        <v>9900</v>
      </c>
      <c r="T1521" s="101"/>
      <c r="U1521" s="80"/>
      <c r="V1521" s="102" t="s">
        <v>9901</v>
      </c>
      <c r="W1521" s="79"/>
      <c r="X1521" s="79"/>
      <c r="Y1521" s="79"/>
      <c r="Z1521" s="79"/>
    </row>
    <row r="1522" ht="15.0" customHeight="1">
      <c r="A1522" s="76" t="s">
        <v>247</v>
      </c>
      <c r="B1522" s="79" t="s">
        <v>2334</v>
      </c>
      <c r="C1522" s="80">
        <v>3.0709992917E10</v>
      </c>
      <c r="D1522" s="119" t="s">
        <v>264</v>
      </c>
      <c r="E1522" s="79" t="s">
        <v>2872</v>
      </c>
      <c r="F1522" s="44">
        <v>2850.0</v>
      </c>
      <c r="G1522" s="79" t="s">
        <v>15</v>
      </c>
      <c r="H1522" s="80">
        <v>1678.0</v>
      </c>
      <c r="I1522" s="79">
        <v>141110.0</v>
      </c>
      <c r="J1522" s="74" t="s">
        <v>448</v>
      </c>
      <c r="K1522" s="77" t="s">
        <v>2206</v>
      </c>
      <c r="L1522" s="79"/>
      <c r="M1522" s="77" t="s">
        <v>9904</v>
      </c>
      <c r="N1522" s="79"/>
      <c r="O1522" s="74" t="s">
        <v>9905</v>
      </c>
      <c r="P1522" s="78" t="s">
        <v>9906</v>
      </c>
      <c r="Q1522" s="77" t="s">
        <v>9907</v>
      </c>
      <c r="R1522" s="78" t="s">
        <v>9908</v>
      </c>
      <c r="S1522" s="78" t="s">
        <v>9909</v>
      </c>
      <c r="T1522" s="101"/>
      <c r="U1522" s="80"/>
      <c r="V1522" s="102" t="s">
        <v>9911</v>
      </c>
      <c r="W1522" s="79"/>
      <c r="X1522" s="79"/>
      <c r="Y1522" s="79" t="s">
        <v>309</v>
      </c>
      <c r="Z1522" s="79"/>
    </row>
    <row r="1523" ht="15.0" customHeight="1">
      <c r="A1523" s="76" t="s">
        <v>247</v>
      </c>
      <c r="B1523" s="77" t="s">
        <v>9912</v>
      </c>
      <c r="C1523" s="80">
        <v>3.0707265538E10</v>
      </c>
      <c r="D1523" s="79" t="s">
        <v>264</v>
      </c>
      <c r="E1523" s="79" t="s">
        <v>660</v>
      </c>
      <c r="F1523" s="44">
        <v>4795.0</v>
      </c>
      <c r="G1523" s="79" t="s">
        <v>15</v>
      </c>
      <c r="H1523" s="80">
        <v>1678.0</v>
      </c>
      <c r="I1523" s="79">
        <v>152040.0</v>
      </c>
      <c r="J1523" s="74" t="s">
        <v>73</v>
      </c>
      <c r="K1523" s="79" t="s">
        <v>2709</v>
      </c>
      <c r="L1523" s="79"/>
      <c r="M1523" s="79"/>
      <c r="N1523" s="79">
        <v>0.0</v>
      </c>
      <c r="O1523" s="74"/>
      <c r="P1523" s="80"/>
      <c r="Q1523" s="79"/>
      <c r="R1523" s="80"/>
      <c r="S1523" s="78" t="s">
        <v>9914</v>
      </c>
      <c r="T1523" s="101" t="s">
        <v>332</v>
      </c>
      <c r="U1523" s="80" t="s">
        <v>332</v>
      </c>
      <c r="V1523" s="102" t="s">
        <v>9915</v>
      </c>
      <c r="W1523" s="79" t="s">
        <v>306</v>
      </c>
      <c r="X1523" s="79" t="s">
        <v>306</v>
      </c>
      <c r="Y1523" s="79"/>
      <c r="Z1523" s="79"/>
    </row>
    <row r="1524" ht="15.75" customHeight="1">
      <c r="A1524" s="76" t="s">
        <v>247</v>
      </c>
      <c r="B1524" s="77" t="s">
        <v>8058</v>
      </c>
      <c r="C1524" s="80">
        <v>3.0699026715E10</v>
      </c>
      <c r="D1524" s="119" t="s">
        <v>264</v>
      </c>
      <c r="E1524" s="77" t="s">
        <v>8460</v>
      </c>
      <c r="F1524" s="44">
        <v>2741.0</v>
      </c>
      <c r="G1524" s="79" t="s">
        <v>15</v>
      </c>
      <c r="H1524" s="80">
        <v>1678.0</v>
      </c>
      <c r="I1524" s="78">
        <v>266010.0</v>
      </c>
      <c r="J1524" s="83" t="s">
        <v>207</v>
      </c>
      <c r="K1524" s="77" t="s">
        <v>9918</v>
      </c>
      <c r="L1524" s="79" t="s">
        <v>286</v>
      </c>
      <c r="M1524" s="77" t="s">
        <v>9919</v>
      </c>
      <c r="N1524" s="79"/>
      <c r="O1524" s="79"/>
      <c r="P1524" s="80"/>
      <c r="Q1524" s="79"/>
      <c r="R1524" s="80"/>
      <c r="S1524" s="80" t="s">
        <v>9920</v>
      </c>
      <c r="T1524" s="101" t="s">
        <v>9921</v>
      </c>
      <c r="U1524" s="80" t="s">
        <v>9922</v>
      </c>
      <c r="V1524" s="102" t="s">
        <v>9923</v>
      </c>
      <c r="W1524" s="79"/>
      <c r="X1524" s="79"/>
      <c r="Y1524" s="79"/>
      <c r="Z1524" s="79"/>
    </row>
    <row r="1525" ht="15.75" customHeight="1">
      <c r="A1525" s="76" t="s">
        <v>247</v>
      </c>
      <c r="B1525" s="77" t="s">
        <v>8062</v>
      </c>
      <c r="C1525" s="80">
        <v>3.0577379889E10</v>
      </c>
      <c r="D1525" s="119" t="s">
        <v>264</v>
      </c>
      <c r="E1525" s="126" t="s">
        <v>985</v>
      </c>
      <c r="F1525" s="44">
        <v>5258.0</v>
      </c>
      <c r="G1525" s="79" t="s">
        <v>15</v>
      </c>
      <c r="H1525" s="80">
        <v>1678.0</v>
      </c>
      <c r="I1525" s="79">
        <v>432190.0</v>
      </c>
      <c r="J1525" s="74" t="s">
        <v>433</v>
      </c>
      <c r="K1525" s="77" t="s">
        <v>7724</v>
      </c>
      <c r="L1525" s="79"/>
      <c r="M1525" s="79" t="s">
        <v>9925</v>
      </c>
      <c r="N1525" s="79">
        <v>12.0</v>
      </c>
      <c r="O1525" s="74"/>
      <c r="P1525" s="80"/>
      <c r="Q1525" s="79"/>
      <c r="R1525" s="80"/>
      <c r="S1525" s="78" t="s">
        <v>9927</v>
      </c>
      <c r="T1525" s="101" t="s">
        <v>332</v>
      </c>
      <c r="U1525" s="80"/>
      <c r="V1525" s="102" t="s">
        <v>9928</v>
      </c>
      <c r="W1525" s="79" t="s">
        <v>306</v>
      </c>
      <c r="X1525" s="79" t="s">
        <v>306</v>
      </c>
      <c r="Y1525" s="79" t="s">
        <v>309</v>
      </c>
      <c r="Z1525" s="79"/>
    </row>
    <row r="1526" ht="15.0" customHeight="1">
      <c r="A1526" s="103" t="s">
        <v>24</v>
      </c>
      <c r="B1526" s="77" t="s">
        <v>9929</v>
      </c>
      <c r="C1526" s="80">
        <v>3.0710981597E10</v>
      </c>
      <c r="D1526" s="79" t="s">
        <v>264</v>
      </c>
      <c r="E1526" s="77" t="s">
        <v>7999</v>
      </c>
      <c r="F1526" s="44">
        <v>1253.0</v>
      </c>
      <c r="G1526" s="79" t="s">
        <v>269</v>
      </c>
      <c r="H1526" s="80">
        <v>1682.0</v>
      </c>
      <c r="I1526" s="79">
        <v>310020.0</v>
      </c>
      <c r="J1526" s="74" t="s">
        <v>313</v>
      </c>
      <c r="K1526" s="79" t="s">
        <v>3277</v>
      </c>
      <c r="L1526" s="79" t="s">
        <v>1122</v>
      </c>
      <c r="M1526" s="79"/>
      <c r="N1526" s="79">
        <v>3.0</v>
      </c>
      <c r="O1526" s="74"/>
      <c r="P1526" s="80"/>
      <c r="Q1526" s="79"/>
      <c r="R1526" s="80"/>
      <c r="S1526" s="80" t="s">
        <v>9931</v>
      </c>
      <c r="T1526" s="101" t="s">
        <v>332</v>
      </c>
      <c r="U1526" s="80" t="s">
        <v>332</v>
      </c>
      <c r="V1526" s="102" t="s">
        <v>429</v>
      </c>
      <c r="W1526" s="79" t="s">
        <v>306</v>
      </c>
      <c r="X1526" s="79" t="s">
        <v>306</v>
      </c>
      <c r="Y1526" s="79"/>
      <c r="Z1526" s="79"/>
    </row>
    <row r="1527" ht="15.75" customHeight="1">
      <c r="A1527" s="76" t="s">
        <v>247</v>
      </c>
      <c r="B1527" s="77" t="s">
        <v>2336</v>
      </c>
      <c r="C1527" s="80">
        <v>3.0708443251E10</v>
      </c>
      <c r="D1527" s="119" t="s">
        <v>264</v>
      </c>
      <c r="E1527" s="77" t="s">
        <v>591</v>
      </c>
      <c r="F1527" s="44">
        <v>614.0</v>
      </c>
      <c r="G1527" s="79" t="s">
        <v>68</v>
      </c>
      <c r="H1527" s="80">
        <v>1702.0</v>
      </c>
      <c r="I1527" s="79">
        <v>108000.0</v>
      </c>
      <c r="J1527" s="74" t="s">
        <v>22</v>
      </c>
      <c r="K1527" s="79" t="s">
        <v>5983</v>
      </c>
      <c r="L1527" s="79"/>
      <c r="M1527" s="77" t="s">
        <v>9933</v>
      </c>
      <c r="N1527" s="79">
        <v>15.0</v>
      </c>
      <c r="O1527" s="74" t="s">
        <v>9935</v>
      </c>
      <c r="P1527" s="78" t="s">
        <v>9936</v>
      </c>
      <c r="Q1527" s="79"/>
      <c r="R1527" s="80"/>
      <c r="S1527" s="80" t="s">
        <v>9937</v>
      </c>
      <c r="T1527" s="101" t="s">
        <v>9938</v>
      </c>
      <c r="U1527" s="78" t="s">
        <v>9939</v>
      </c>
      <c r="V1527" s="102" t="s">
        <v>9940</v>
      </c>
      <c r="W1527" s="79" t="s">
        <v>309</v>
      </c>
      <c r="X1527" s="79" t="s">
        <v>309</v>
      </c>
      <c r="Y1527" s="79" t="s">
        <v>309</v>
      </c>
      <c r="Z1527" s="79"/>
    </row>
    <row r="1528" ht="15.75" customHeight="1">
      <c r="A1528" s="103" t="s">
        <v>24</v>
      </c>
      <c r="B1528" s="77" t="s">
        <v>9942</v>
      </c>
      <c r="C1528" s="80">
        <v>3.0573784061E10</v>
      </c>
      <c r="D1528" s="119" t="s">
        <v>264</v>
      </c>
      <c r="E1528" s="79" t="s">
        <v>9943</v>
      </c>
      <c r="F1528" s="44">
        <v>4477.0</v>
      </c>
      <c r="G1528" s="79" t="s">
        <v>15</v>
      </c>
      <c r="H1528" s="80">
        <v>1678.0</v>
      </c>
      <c r="I1528" s="79">
        <v>293010.0</v>
      </c>
      <c r="J1528" s="74" t="s">
        <v>347</v>
      </c>
      <c r="K1528" s="79" t="s">
        <v>9944</v>
      </c>
      <c r="L1528" s="79"/>
      <c r="M1528" s="79"/>
      <c r="N1528" s="79">
        <v>0.0</v>
      </c>
      <c r="O1528" s="74"/>
      <c r="P1528" s="80"/>
      <c r="Q1528" s="79"/>
      <c r="R1528" s="80"/>
      <c r="S1528" s="80" t="s">
        <v>9945</v>
      </c>
      <c r="T1528" s="101" t="s">
        <v>332</v>
      </c>
      <c r="U1528" s="80" t="s">
        <v>332</v>
      </c>
      <c r="V1528" s="102" t="s">
        <v>429</v>
      </c>
      <c r="W1528" s="79" t="s">
        <v>309</v>
      </c>
      <c r="X1528" s="79" t="s">
        <v>309</v>
      </c>
      <c r="Y1528" s="79"/>
      <c r="Z1528" s="79"/>
    </row>
    <row r="1529" ht="15.0" customHeight="1">
      <c r="A1529" s="76" t="s">
        <v>247</v>
      </c>
      <c r="B1529" s="77" t="s">
        <v>8066</v>
      </c>
      <c r="C1529" s="80">
        <v>3.0711899126E10</v>
      </c>
      <c r="D1529" s="119" t="s">
        <v>264</v>
      </c>
      <c r="E1529" s="79" t="s">
        <v>314</v>
      </c>
      <c r="F1529" s="44">
        <v>4787.0</v>
      </c>
      <c r="G1529" s="79" t="s">
        <v>15</v>
      </c>
      <c r="H1529" s="80">
        <v>1678.0</v>
      </c>
      <c r="I1529" s="79">
        <v>222090.0</v>
      </c>
      <c r="J1529" s="83" t="s">
        <v>568</v>
      </c>
      <c r="K1529" s="77" t="s">
        <v>569</v>
      </c>
      <c r="L1529" s="79" t="s">
        <v>453</v>
      </c>
      <c r="M1529" s="79" t="s">
        <v>9947</v>
      </c>
      <c r="N1529" s="79">
        <v>4.0</v>
      </c>
      <c r="O1529" s="74" t="s">
        <v>9948</v>
      </c>
      <c r="P1529" s="80"/>
      <c r="Q1529" s="79" t="s">
        <v>1667</v>
      </c>
      <c r="R1529" s="80"/>
      <c r="S1529" s="78" t="s">
        <v>9949</v>
      </c>
      <c r="T1529" s="101" t="s">
        <v>332</v>
      </c>
      <c r="U1529" s="80"/>
      <c r="V1529" s="102" t="s">
        <v>429</v>
      </c>
      <c r="W1529" s="79" t="s">
        <v>306</v>
      </c>
      <c r="X1529" s="79" t="s">
        <v>306</v>
      </c>
      <c r="Y1529" s="79" t="s">
        <v>309</v>
      </c>
      <c r="Z1529" s="79"/>
    </row>
    <row r="1530" ht="15.75" customHeight="1">
      <c r="A1530" s="76" t="s">
        <v>247</v>
      </c>
      <c r="B1530" s="77" t="s">
        <v>8069</v>
      </c>
      <c r="C1530" s="80">
        <v>3.0654096267E10</v>
      </c>
      <c r="D1530" s="119" t="s">
        <v>264</v>
      </c>
      <c r="E1530" s="79" t="s">
        <v>8846</v>
      </c>
      <c r="F1530" s="44">
        <v>964.0</v>
      </c>
      <c r="G1530" s="79" t="s">
        <v>269</v>
      </c>
      <c r="H1530" s="80">
        <v>1682.0</v>
      </c>
      <c r="I1530" s="79">
        <v>432190.0</v>
      </c>
      <c r="J1530" s="74" t="s">
        <v>433</v>
      </c>
      <c r="K1530" s="77" t="s">
        <v>9951</v>
      </c>
      <c r="L1530" s="79"/>
      <c r="M1530" s="79" t="s">
        <v>9952</v>
      </c>
      <c r="N1530" s="79">
        <v>7.0</v>
      </c>
      <c r="O1530" s="129" t="s">
        <v>9953</v>
      </c>
      <c r="P1530" s="85" t="s">
        <v>9954</v>
      </c>
      <c r="Q1530" s="79"/>
      <c r="R1530" s="80"/>
      <c r="S1530" s="85" t="s">
        <v>9955</v>
      </c>
      <c r="T1530" s="85" t="s">
        <v>9957</v>
      </c>
      <c r="U1530" s="80"/>
      <c r="V1530" s="102" t="s">
        <v>9958</v>
      </c>
      <c r="W1530" s="79" t="s">
        <v>309</v>
      </c>
      <c r="X1530" s="79" t="s">
        <v>309</v>
      </c>
      <c r="Y1530" s="79" t="s">
        <v>309</v>
      </c>
      <c r="Z1530" s="79"/>
    </row>
    <row r="1531" ht="15.75" customHeight="1">
      <c r="A1531" s="76" t="s">
        <v>247</v>
      </c>
      <c r="B1531" s="77" t="s">
        <v>8077</v>
      </c>
      <c r="C1531" s="80">
        <v>3.0712119663E10</v>
      </c>
      <c r="D1531" s="119" t="s">
        <v>264</v>
      </c>
      <c r="E1531" s="79" t="s">
        <v>1810</v>
      </c>
      <c r="F1531" s="44">
        <v>2620.0</v>
      </c>
      <c r="G1531" s="79" t="s">
        <v>15</v>
      </c>
      <c r="H1531" s="80">
        <v>1678.0</v>
      </c>
      <c r="I1531" s="79">
        <v>410011.0</v>
      </c>
      <c r="J1531" s="74" t="s">
        <v>125</v>
      </c>
      <c r="K1531" s="77" t="s">
        <v>6387</v>
      </c>
      <c r="L1531" s="79" t="s">
        <v>453</v>
      </c>
      <c r="M1531" s="77" t="s">
        <v>9959</v>
      </c>
      <c r="N1531" s="79">
        <v>1.0</v>
      </c>
      <c r="O1531" s="74"/>
      <c r="P1531" s="80"/>
      <c r="Q1531" s="79"/>
      <c r="R1531" s="80"/>
      <c r="S1531" s="78" t="s">
        <v>9961</v>
      </c>
      <c r="T1531" s="101" t="s">
        <v>332</v>
      </c>
      <c r="U1531" s="80" t="s">
        <v>332</v>
      </c>
      <c r="V1531" s="102" t="s">
        <v>9962</v>
      </c>
      <c r="W1531" s="79" t="s">
        <v>306</v>
      </c>
      <c r="X1531" s="79" t="s">
        <v>306</v>
      </c>
      <c r="Y1531" s="79"/>
      <c r="Z1531" s="79"/>
    </row>
    <row r="1532" ht="15.0" customHeight="1">
      <c r="A1532" s="103" t="s">
        <v>24</v>
      </c>
      <c r="B1532" s="77" t="s">
        <v>8080</v>
      </c>
      <c r="C1532" s="79">
        <v>3.0711737789E10</v>
      </c>
      <c r="D1532" s="77" t="s">
        <v>264</v>
      </c>
      <c r="E1532" s="77" t="s">
        <v>2646</v>
      </c>
      <c r="F1532" s="44">
        <v>3626.0</v>
      </c>
      <c r="G1532" s="79" t="s">
        <v>68</v>
      </c>
      <c r="H1532" s="80">
        <v>1702.0</v>
      </c>
      <c r="I1532" s="79">
        <v>152011.0</v>
      </c>
      <c r="J1532" s="74" t="s">
        <v>73</v>
      </c>
      <c r="K1532" s="79" t="s">
        <v>1471</v>
      </c>
      <c r="L1532" s="79"/>
      <c r="M1532" s="79"/>
      <c r="N1532" s="79">
        <v>0.0</v>
      </c>
      <c r="O1532" s="74"/>
      <c r="P1532" s="80"/>
      <c r="Q1532" s="79"/>
      <c r="R1532" s="80"/>
      <c r="S1532" s="80"/>
      <c r="T1532" s="101" t="s">
        <v>332</v>
      </c>
      <c r="U1532" s="80" t="s">
        <v>332</v>
      </c>
      <c r="V1532" s="102" t="s">
        <v>429</v>
      </c>
      <c r="W1532" s="79" t="s">
        <v>306</v>
      </c>
      <c r="X1532" s="79" t="s">
        <v>306</v>
      </c>
      <c r="Y1532" s="79"/>
      <c r="Z1532" s="79"/>
    </row>
    <row r="1533" ht="15.75" customHeight="1">
      <c r="A1533" s="76" t="s">
        <v>247</v>
      </c>
      <c r="B1533" s="77" t="s">
        <v>9965</v>
      </c>
      <c r="C1533" s="80">
        <v>3.0582495218E10</v>
      </c>
      <c r="D1533" s="119" t="s">
        <v>264</v>
      </c>
      <c r="E1533" s="79" t="s">
        <v>1369</v>
      </c>
      <c r="F1533" s="44">
        <v>914.0</v>
      </c>
      <c r="G1533" s="79" t="s">
        <v>68</v>
      </c>
      <c r="H1533" s="80">
        <v>1702.0</v>
      </c>
      <c r="I1533" s="79">
        <v>210990.0</v>
      </c>
      <c r="J1533" s="74" t="s">
        <v>283</v>
      </c>
      <c r="K1533" s="77" t="s">
        <v>284</v>
      </c>
      <c r="L1533" s="79"/>
      <c r="M1533" s="79"/>
      <c r="N1533" s="79">
        <v>0.0</v>
      </c>
      <c r="O1533" s="74"/>
      <c r="P1533" s="80"/>
      <c r="Q1533" s="79"/>
      <c r="R1533" s="80"/>
      <c r="S1533" s="80" t="s">
        <v>9966</v>
      </c>
      <c r="T1533" s="101" t="s">
        <v>332</v>
      </c>
      <c r="U1533" s="80"/>
      <c r="V1533" s="102" t="s">
        <v>429</v>
      </c>
      <c r="W1533" s="79" t="s">
        <v>309</v>
      </c>
      <c r="X1533" s="79" t="s">
        <v>309</v>
      </c>
      <c r="Y1533" s="79" t="s">
        <v>309</v>
      </c>
      <c r="Z1533" s="77"/>
    </row>
    <row r="1534" ht="15.75" customHeight="1">
      <c r="A1534" s="76" t="s">
        <v>247</v>
      </c>
      <c r="B1534" s="77" t="s">
        <v>8086</v>
      </c>
      <c r="C1534" s="80">
        <v>3.0714112216E10</v>
      </c>
      <c r="D1534" s="79" t="s">
        <v>264</v>
      </c>
      <c r="E1534" s="79" t="s">
        <v>3130</v>
      </c>
      <c r="F1534" s="44">
        <v>6050.0</v>
      </c>
      <c r="G1534" s="79" t="s">
        <v>134</v>
      </c>
      <c r="H1534" s="80">
        <v>1682.0</v>
      </c>
      <c r="I1534" s="79">
        <v>259999.0</v>
      </c>
      <c r="J1534" s="74" t="s">
        <v>337</v>
      </c>
      <c r="K1534" s="77" t="s">
        <v>839</v>
      </c>
      <c r="L1534" s="79" t="s">
        <v>453</v>
      </c>
      <c r="M1534" s="79"/>
      <c r="N1534" s="79"/>
      <c r="O1534" s="74"/>
      <c r="P1534" s="80"/>
      <c r="Q1534" s="79"/>
      <c r="R1534" s="80"/>
      <c r="S1534" s="80" t="s">
        <v>9969</v>
      </c>
      <c r="T1534" s="101"/>
      <c r="U1534" s="80"/>
      <c r="V1534" s="102" t="s">
        <v>9970</v>
      </c>
      <c r="W1534" s="79"/>
      <c r="X1534" s="79"/>
      <c r="Y1534" s="79"/>
      <c r="Z1534" s="79"/>
    </row>
    <row r="1535" ht="15.75" customHeight="1">
      <c r="A1535" s="76" t="s">
        <v>247</v>
      </c>
      <c r="B1535" s="77" t="s">
        <v>8088</v>
      </c>
      <c r="C1535" s="80">
        <v>3.0522020342E10</v>
      </c>
      <c r="D1535" s="79" t="s">
        <v>264</v>
      </c>
      <c r="E1535" s="77" t="s">
        <v>943</v>
      </c>
      <c r="F1535" s="44">
        <v>4734.0</v>
      </c>
      <c r="G1535" s="79" t="s">
        <v>68</v>
      </c>
      <c r="H1535" s="80">
        <v>1702.0</v>
      </c>
      <c r="I1535" s="79">
        <v>202101.0</v>
      </c>
      <c r="J1535" s="74" t="s">
        <v>316</v>
      </c>
      <c r="K1535" s="79" t="s">
        <v>4183</v>
      </c>
      <c r="L1535" s="79"/>
      <c r="M1535" s="79" t="s">
        <v>9972</v>
      </c>
      <c r="N1535" s="79">
        <v>36.0</v>
      </c>
      <c r="O1535" s="74" t="s">
        <v>9973</v>
      </c>
      <c r="P1535" s="80"/>
      <c r="Q1535" s="79"/>
      <c r="R1535" s="80"/>
      <c r="S1535" s="80" t="s">
        <v>9974</v>
      </c>
      <c r="T1535" s="101" t="s">
        <v>9975</v>
      </c>
      <c r="U1535" s="80" t="s">
        <v>9976</v>
      </c>
      <c r="V1535" s="102" t="s">
        <v>9977</v>
      </c>
      <c r="W1535" s="79" t="s">
        <v>309</v>
      </c>
      <c r="X1535" s="79" t="s">
        <v>309</v>
      </c>
      <c r="Y1535" s="79" t="s">
        <v>309</v>
      </c>
      <c r="Z1535" s="79"/>
    </row>
    <row r="1536" ht="15.0" customHeight="1">
      <c r="A1536" s="103" t="s">
        <v>24</v>
      </c>
      <c r="B1536" s="77" t="s">
        <v>9978</v>
      </c>
      <c r="C1536" s="80">
        <v>3.0715135767E10</v>
      </c>
      <c r="D1536" s="119" t="s">
        <v>264</v>
      </c>
      <c r="E1536" s="77" t="s">
        <v>266</v>
      </c>
      <c r="F1536" s="44">
        <v>2928.0</v>
      </c>
      <c r="G1536" s="79" t="s">
        <v>15</v>
      </c>
      <c r="H1536" s="80">
        <v>1678.0</v>
      </c>
      <c r="I1536" s="79">
        <v>281900.0</v>
      </c>
      <c r="J1536" s="74" t="s">
        <v>347</v>
      </c>
      <c r="K1536" s="77" t="s">
        <v>2217</v>
      </c>
      <c r="L1536" s="79" t="s">
        <v>662</v>
      </c>
      <c r="M1536" s="79"/>
      <c r="N1536" s="79">
        <v>0.0</v>
      </c>
      <c r="O1536" s="74"/>
      <c r="P1536" s="80"/>
      <c r="Q1536" s="79"/>
      <c r="R1536" s="80"/>
      <c r="S1536" s="101" t="s">
        <v>3627</v>
      </c>
      <c r="T1536" s="101" t="s">
        <v>332</v>
      </c>
      <c r="U1536" s="80" t="s">
        <v>332</v>
      </c>
      <c r="V1536" s="102" t="s">
        <v>429</v>
      </c>
      <c r="W1536" s="79" t="s">
        <v>306</v>
      </c>
      <c r="X1536" s="79" t="s">
        <v>306</v>
      </c>
      <c r="Y1536" s="79"/>
      <c r="Z1536" s="79"/>
    </row>
    <row r="1537" ht="15.0" customHeight="1">
      <c r="A1537" s="76" t="s">
        <v>247</v>
      </c>
      <c r="B1537" s="119" t="s">
        <v>8092</v>
      </c>
      <c r="C1537" s="80">
        <v>2.0169739073E10</v>
      </c>
      <c r="D1537" s="77" t="s">
        <v>631</v>
      </c>
      <c r="E1537" s="77" t="s">
        <v>5790</v>
      </c>
      <c r="F1537" s="128">
        <v>3748.0</v>
      </c>
      <c r="G1537" s="79" t="s">
        <v>15</v>
      </c>
      <c r="H1537" s="80">
        <v>1678.0</v>
      </c>
      <c r="I1537" s="79">
        <v>310020.0</v>
      </c>
      <c r="J1537" s="83" t="s">
        <v>313</v>
      </c>
      <c r="K1537" s="77" t="s">
        <v>3277</v>
      </c>
      <c r="L1537" s="79"/>
      <c r="M1537" s="79"/>
      <c r="N1537" s="79"/>
      <c r="O1537" s="79" t="s">
        <v>9981</v>
      </c>
      <c r="P1537" s="78" t="s">
        <v>9982</v>
      </c>
      <c r="Q1537" s="79"/>
      <c r="R1537" s="80"/>
      <c r="S1537" s="78" t="s">
        <v>9983</v>
      </c>
      <c r="T1537" s="101"/>
      <c r="U1537" s="80"/>
      <c r="V1537" s="102" t="s">
        <v>9984</v>
      </c>
      <c r="W1537" s="79"/>
      <c r="X1537" s="79"/>
      <c r="Y1537" s="79"/>
      <c r="Z1537" s="79"/>
    </row>
    <row r="1538" ht="15.75" customHeight="1">
      <c r="A1538" s="103" t="s">
        <v>24</v>
      </c>
      <c r="B1538" s="77" t="s">
        <v>9985</v>
      </c>
      <c r="C1538" s="80">
        <v>3.3638535799E10</v>
      </c>
      <c r="D1538" s="119" t="s">
        <v>264</v>
      </c>
      <c r="E1538" s="77" t="s">
        <v>7633</v>
      </c>
      <c r="F1538" s="44">
        <v>8211.0</v>
      </c>
      <c r="G1538" s="79" t="s">
        <v>119</v>
      </c>
      <c r="H1538" s="80">
        <v>1657.0</v>
      </c>
      <c r="I1538" s="79">
        <v>151320.0</v>
      </c>
      <c r="J1538" s="74" t="s">
        <v>57</v>
      </c>
      <c r="K1538" s="79" t="s">
        <v>6241</v>
      </c>
      <c r="L1538" s="79"/>
      <c r="M1538" s="79"/>
      <c r="N1538" s="79">
        <v>0.0</v>
      </c>
      <c r="O1538" s="74"/>
      <c r="P1538" s="80"/>
      <c r="Q1538" s="79"/>
      <c r="R1538" s="80"/>
      <c r="S1538" s="80" t="s">
        <v>9986</v>
      </c>
      <c r="T1538" s="101"/>
      <c r="U1538" s="80" t="s">
        <v>332</v>
      </c>
      <c r="V1538" s="102" t="s">
        <v>429</v>
      </c>
      <c r="W1538" s="79" t="s">
        <v>309</v>
      </c>
      <c r="X1538" s="79" t="s">
        <v>309</v>
      </c>
      <c r="Y1538" s="79"/>
      <c r="Z1538" s="79"/>
    </row>
    <row r="1539" ht="15.75" customHeight="1">
      <c r="A1539" s="76" t="s">
        <v>247</v>
      </c>
      <c r="B1539" s="77" t="s">
        <v>2338</v>
      </c>
      <c r="C1539" s="80">
        <v>3.0593166488E10</v>
      </c>
      <c r="D1539" s="79" t="s">
        <v>264</v>
      </c>
      <c r="E1539" s="79" t="s">
        <v>2400</v>
      </c>
      <c r="F1539" s="44">
        <v>8940.0</v>
      </c>
      <c r="G1539" s="79" t="s">
        <v>175</v>
      </c>
      <c r="H1539" s="80">
        <v>1657.0</v>
      </c>
      <c r="I1539" s="79">
        <v>222090.0</v>
      </c>
      <c r="J1539" s="83" t="s">
        <v>568</v>
      </c>
      <c r="K1539" s="77" t="s">
        <v>9989</v>
      </c>
      <c r="L1539" s="79" t="s">
        <v>453</v>
      </c>
      <c r="M1539" s="79"/>
      <c r="N1539" s="79">
        <v>199.0</v>
      </c>
      <c r="O1539" s="126" t="s">
        <v>9990</v>
      </c>
      <c r="P1539" s="78" t="s">
        <v>9991</v>
      </c>
      <c r="Q1539" s="77" t="s">
        <v>9992</v>
      </c>
      <c r="R1539" s="80" t="s">
        <v>9993</v>
      </c>
      <c r="S1539" s="78" t="s">
        <v>9994</v>
      </c>
      <c r="T1539" s="85" t="s">
        <v>9995</v>
      </c>
      <c r="U1539" s="80"/>
      <c r="V1539" s="102" t="s">
        <v>9996</v>
      </c>
      <c r="W1539" s="79" t="s">
        <v>309</v>
      </c>
      <c r="X1539" s="79" t="s">
        <v>309</v>
      </c>
      <c r="Y1539" s="79" t="s">
        <v>309</v>
      </c>
      <c r="Z1539" s="79"/>
    </row>
    <row r="1540" ht="15.75" customHeight="1">
      <c r="A1540" s="76" t="s">
        <v>247</v>
      </c>
      <c r="B1540" s="77" t="s">
        <v>8103</v>
      </c>
      <c r="C1540" s="80">
        <v>3.0691692074E10</v>
      </c>
      <c r="D1540" s="79" t="s">
        <v>264</v>
      </c>
      <c r="E1540" s="79" t="s">
        <v>660</v>
      </c>
      <c r="F1540" s="44">
        <v>5240.0</v>
      </c>
      <c r="G1540" s="79" t="s">
        <v>15</v>
      </c>
      <c r="H1540" s="80">
        <v>1678.0</v>
      </c>
      <c r="I1540" s="79">
        <v>181109.0</v>
      </c>
      <c r="J1540" s="74" t="s">
        <v>238</v>
      </c>
      <c r="K1540" s="77" t="s">
        <v>1545</v>
      </c>
      <c r="L1540" s="79" t="s">
        <v>453</v>
      </c>
      <c r="M1540" s="79" t="s">
        <v>7122</v>
      </c>
      <c r="N1540" s="79">
        <v>103.0</v>
      </c>
      <c r="O1540" s="129" t="s">
        <v>9999</v>
      </c>
      <c r="P1540" s="78" t="s">
        <v>10000</v>
      </c>
      <c r="Q1540" s="79" t="s">
        <v>10001</v>
      </c>
      <c r="R1540" s="80"/>
      <c r="S1540" s="80" t="s">
        <v>10002</v>
      </c>
      <c r="T1540" s="101" t="s">
        <v>332</v>
      </c>
      <c r="U1540" s="80" t="s">
        <v>332</v>
      </c>
      <c r="V1540" s="102" t="s">
        <v>10003</v>
      </c>
      <c r="W1540" s="79" t="s">
        <v>309</v>
      </c>
      <c r="X1540" s="79" t="s">
        <v>309</v>
      </c>
      <c r="Y1540" s="79" t="s">
        <v>309</v>
      </c>
      <c r="Z1540" s="79"/>
    </row>
    <row r="1541" ht="15.75" customHeight="1">
      <c r="A1541" s="76" t="s">
        <v>247</v>
      </c>
      <c r="B1541" s="77" t="s">
        <v>8109</v>
      </c>
      <c r="C1541" s="80">
        <v>3.055459482E10</v>
      </c>
      <c r="D1541" s="119" t="s">
        <v>264</v>
      </c>
      <c r="E1541" s="79" t="s">
        <v>7702</v>
      </c>
      <c r="F1541" s="44">
        <v>3161.0</v>
      </c>
      <c r="G1541" s="79" t="s">
        <v>15</v>
      </c>
      <c r="H1541" s="80">
        <v>1678.0</v>
      </c>
      <c r="I1541" s="79">
        <v>202200.0</v>
      </c>
      <c r="J1541" s="74" t="s">
        <v>316</v>
      </c>
      <c r="K1541" s="79" t="s">
        <v>2635</v>
      </c>
      <c r="L1541" s="79"/>
      <c r="M1541" s="79"/>
      <c r="N1541" s="79">
        <v>4.0</v>
      </c>
      <c r="O1541" s="74"/>
      <c r="P1541" s="80"/>
      <c r="Q1541" s="79" t="s">
        <v>10005</v>
      </c>
      <c r="R1541" s="80"/>
      <c r="S1541" s="78" t="s">
        <v>10006</v>
      </c>
      <c r="T1541" s="101" t="s">
        <v>332</v>
      </c>
      <c r="U1541" s="80" t="s">
        <v>332</v>
      </c>
      <c r="V1541" s="102" t="s">
        <v>429</v>
      </c>
      <c r="W1541" s="79" t="s">
        <v>309</v>
      </c>
      <c r="X1541" s="79" t="s">
        <v>309</v>
      </c>
      <c r="Y1541" s="79" t="s">
        <v>309</v>
      </c>
      <c r="Z1541" s="79"/>
    </row>
    <row r="1542" ht="15.75" customHeight="1">
      <c r="A1542" s="103" t="s">
        <v>24</v>
      </c>
      <c r="B1542" s="77" t="s">
        <v>10008</v>
      </c>
      <c r="C1542" s="80">
        <v>3.070906508E10</v>
      </c>
      <c r="D1542" s="79" t="s">
        <v>264</v>
      </c>
      <c r="E1542" s="79" t="s">
        <v>2400</v>
      </c>
      <c r="F1542" s="44">
        <v>9347.0</v>
      </c>
      <c r="G1542" s="79" t="s">
        <v>175</v>
      </c>
      <c r="H1542" s="80">
        <v>1657.0</v>
      </c>
      <c r="I1542" s="79">
        <v>869090.0</v>
      </c>
      <c r="J1542" s="74" t="s">
        <v>433</v>
      </c>
      <c r="K1542" s="77" t="s">
        <v>4018</v>
      </c>
      <c r="L1542" s="79"/>
      <c r="M1542" s="79"/>
      <c r="N1542" s="79">
        <v>28.0</v>
      </c>
      <c r="O1542" s="74"/>
      <c r="P1542" s="80"/>
      <c r="Q1542" s="79"/>
      <c r="R1542" s="80"/>
      <c r="S1542" s="80" t="s">
        <v>10010</v>
      </c>
      <c r="T1542" s="80" t="s">
        <v>332</v>
      </c>
      <c r="U1542" s="80" t="s">
        <v>332</v>
      </c>
      <c r="V1542" s="102" t="s">
        <v>429</v>
      </c>
      <c r="W1542" s="79" t="s">
        <v>306</v>
      </c>
      <c r="X1542" s="79" t="s">
        <v>306</v>
      </c>
      <c r="Y1542" s="79"/>
      <c r="Z1542" s="79"/>
    </row>
    <row r="1543" ht="15.75" customHeight="1">
      <c r="A1543" s="76" t="s">
        <v>247</v>
      </c>
      <c r="B1543" s="77" t="s">
        <v>8113</v>
      </c>
      <c r="C1543" s="80">
        <v>3.062022981E10</v>
      </c>
      <c r="D1543" s="79" t="s">
        <v>264</v>
      </c>
      <c r="E1543" s="79" t="s">
        <v>1088</v>
      </c>
      <c r="F1543" s="44">
        <v>5331.0</v>
      </c>
      <c r="G1543" s="79" t="s">
        <v>15</v>
      </c>
      <c r="H1543" s="80">
        <v>1678.0</v>
      </c>
      <c r="I1543" s="79">
        <v>202907.0</v>
      </c>
      <c r="J1543" s="74" t="s">
        <v>316</v>
      </c>
      <c r="K1543" s="79" t="s">
        <v>318</v>
      </c>
      <c r="L1543" s="79"/>
      <c r="M1543" s="79"/>
      <c r="N1543" s="79">
        <v>7.0</v>
      </c>
      <c r="O1543" s="74"/>
      <c r="P1543" s="80"/>
      <c r="Q1543" s="77" t="s">
        <v>10012</v>
      </c>
      <c r="R1543" s="80"/>
      <c r="S1543" s="80" t="s">
        <v>10013</v>
      </c>
      <c r="T1543" s="101" t="s">
        <v>10014</v>
      </c>
      <c r="U1543" s="80" t="s">
        <v>332</v>
      </c>
      <c r="V1543" s="102" t="s">
        <v>429</v>
      </c>
      <c r="W1543" s="79" t="s">
        <v>309</v>
      </c>
      <c r="X1543" s="79" t="s">
        <v>309</v>
      </c>
      <c r="Y1543" s="79" t="s">
        <v>309</v>
      </c>
      <c r="Z1543" s="79"/>
    </row>
    <row r="1544">
      <c r="A1544" s="103" t="s">
        <v>24</v>
      </c>
      <c r="B1544" s="77" t="s">
        <v>10015</v>
      </c>
      <c r="C1544" s="80">
        <v>3.0550409298E10</v>
      </c>
      <c r="D1544" s="79" t="s">
        <v>264</v>
      </c>
      <c r="E1544" s="79" t="s">
        <v>314</v>
      </c>
      <c r="F1544" s="44">
        <v>4736.0</v>
      </c>
      <c r="G1544" s="79" t="s">
        <v>15</v>
      </c>
      <c r="H1544" s="80">
        <v>1678.0</v>
      </c>
      <c r="I1544" s="79">
        <v>242903.0</v>
      </c>
      <c r="J1544" s="74" t="s">
        <v>316</v>
      </c>
      <c r="K1544" s="79" t="s">
        <v>10017</v>
      </c>
      <c r="L1544" s="79"/>
      <c r="M1544" s="79"/>
      <c r="N1544" s="79">
        <v>0.0</v>
      </c>
      <c r="O1544" s="74"/>
      <c r="P1544" s="80"/>
      <c r="Q1544" s="79"/>
      <c r="R1544" s="80"/>
      <c r="S1544" s="80" t="s">
        <v>10018</v>
      </c>
      <c r="T1544" s="101" t="s">
        <v>10019</v>
      </c>
      <c r="U1544" s="80" t="s">
        <v>332</v>
      </c>
      <c r="V1544" s="102" t="s">
        <v>429</v>
      </c>
      <c r="W1544" s="79" t="s">
        <v>309</v>
      </c>
      <c r="X1544" s="79" t="s">
        <v>306</v>
      </c>
      <c r="Y1544" s="79"/>
      <c r="Z1544" s="79"/>
    </row>
    <row r="1545">
      <c r="A1545" s="76" t="s">
        <v>247</v>
      </c>
      <c r="B1545" s="77" t="s">
        <v>8116</v>
      </c>
      <c r="C1545" s="80">
        <v>3.0708393211E10</v>
      </c>
      <c r="D1545" s="79" t="s">
        <v>264</v>
      </c>
      <c r="E1545" s="77" t="s">
        <v>503</v>
      </c>
      <c r="F1545" s="44">
        <v>3031.0</v>
      </c>
      <c r="G1545" s="79" t="s">
        <v>68</v>
      </c>
      <c r="H1545" s="80">
        <v>1702.0</v>
      </c>
      <c r="I1545" s="79">
        <v>202908.0</v>
      </c>
      <c r="J1545" s="74" t="s">
        <v>316</v>
      </c>
      <c r="K1545" s="77" t="s">
        <v>1153</v>
      </c>
      <c r="L1545" s="79"/>
      <c r="M1545" s="79"/>
      <c r="N1545" s="79">
        <v>12.0</v>
      </c>
      <c r="O1545" s="126" t="s">
        <v>10021</v>
      </c>
      <c r="P1545" s="78" t="s">
        <v>10022</v>
      </c>
      <c r="Q1545" s="79" t="s">
        <v>10023</v>
      </c>
      <c r="R1545" s="78" t="s">
        <v>10024</v>
      </c>
      <c r="S1545" s="80" t="s">
        <v>10025</v>
      </c>
      <c r="T1545" s="85" t="s">
        <v>10026</v>
      </c>
      <c r="U1545" s="80"/>
      <c r="V1545" s="102" t="s">
        <v>10028</v>
      </c>
      <c r="W1545" s="79" t="s">
        <v>306</v>
      </c>
      <c r="X1545" s="79" t="s">
        <v>306</v>
      </c>
      <c r="Y1545" s="79" t="s">
        <v>309</v>
      </c>
      <c r="Z1545" s="79"/>
    </row>
    <row r="1546">
      <c r="A1546" s="103" t="s">
        <v>24</v>
      </c>
      <c r="B1546" s="79" t="s">
        <v>10029</v>
      </c>
      <c r="C1546" s="80">
        <v>3.3638426299E10</v>
      </c>
      <c r="D1546" s="119" t="s">
        <v>264</v>
      </c>
      <c r="E1546" s="79" t="s">
        <v>1607</v>
      </c>
      <c r="F1546" s="44">
        <v>5630.0</v>
      </c>
      <c r="G1546" s="79" t="s">
        <v>15</v>
      </c>
      <c r="H1546" s="80">
        <v>1678.0</v>
      </c>
      <c r="I1546" s="79">
        <v>242909.0</v>
      </c>
      <c r="J1546" s="74" t="s">
        <v>316</v>
      </c>
      <c r="K1546" s="77" t="s">
        <v>9772</v>
      </c>
      <c r="L1546" s="79"/>
      <c r="M1546" s="79"/>
      <c r="N1546" s="79">
        <v>0.0</v>
      </c>
      <c r="O1546" s="42"/>
      <c r="P1546" s="80"/>
      <c r="Q1546" s="79"/>
      <c r="R1546" s="80"/>
      <c r="S1546" s="80" t="s">
        <v>10031</v>
      </c>
      <c r="T1546" s="101" t="s">
        <v>10032</v>
      </c>
      <c r="U1546" s="80" t="s">
        <v>332</v>
      </c>
      <c r="V1546" s="102" t="s">
        <v>429</v>
      </c>
      <c r="W1546" s="79" t="s">
        <v>309</v>
      </c>
      <c r="X1546" s="79" t="s">
        <v>309</v>
      </c>
      <c r="Y1546" s="79"/>
      <c r="Z1546" s="79"/>
    </row>
    <row r="1547" ht="15.75" customHeight="1">
      <c r="A1547" s="103" t="s">
        <v>24</v>
      </c>
      <c r="B1547" s="77" t="s">
        <v>10033</v>
      </c>
      <c r="C1547" s="80">
        <v>3.0709459437E10</v>
      </c>
      <c r="D1547" s="119" t="s">
        <v>264</v>
      </c>
      <c r="E1547" s="79" t="s">
        <v>3962</v>
      </c>
      <c r="F1547" s="44">
        <v>3483.0</v>
      </c>
      <c r="G1547" s="79" t="s">
        <v>68</v>
      </c>
      <c r="H1547" s="80">
        <v>1702.0</v>
      </c>
      <c r="I1547" s="79">
        <v>242909.0</v>
      </c>
      <c r="J1547" s="74" t="s">
        <v>316</v>
      </c>
      <c r="K1547" s="77" t="s">
        <v>10034</v>
      </c>
      <c r="L1547" s="79"/>
      <c r="M1547" s="79"/>
      <c r="N1547" s="79">
        <v>0.0</v>
      </c>
      <c r="O1547" s="74"/>
      <c r="P1547" s="80"/>
      <c r="Q1547" s="79"/>
      <c r="R1547" s="80"/>
      <c r="S1547" s="80" t="s">
        <v>10036</v>
      </c>
      <c r="T1547" s="101" t="s">
        <v>332</v>
      </c>
      <c r="U1547" s="80" t="s">
        <v>332</v>
      </c>
      <c r="V1547" s="102" t="s">
        <v>429</v>
      </c>
      <c r="W1547" s="79" t="s">
        <v>306</v>
      </c>
      <c r="X1547" s="79" t="s">
        <v>306</v>
      </c>
      <c r="Y1547" s="79"/>
      <c r="Z1547" s="79"/>
    </row>
    <row r="1548" ht="15.75" customHeight="1">
      <c r="A1548" s="103" t="s">
        <v>24</v>
      </c>
      <c r="B1548" s="79" t="s">
        <v>10037</v>
      </c>
      <c r="C1548" s="80">
        <v>2.016793238E10</v>
      </c>
      <c r="D1548" s="77" t="s">
        <v>631</v>
      </c>
      <c r="E1548" s="77" t="s">
        <v>7999</v>
      </c>
      <c r="F1548" s="44">
        <v>2236.0</v>
      </c>
      <c r="G1548" s="79" t="s">
        <v>134</v>
      </c>
      <c r="H1548" s="78">
        <v>1682.0</v>
      </c>
      <c r="I1548" s="77">
        <v>432190.0</v>
      </c>
      <c r="J1548" s="83" t="s">
        <v>207</v>
      </c>
      <c r="K1548" s="77" t="s">
        <v>2541</v>
      </c>
      <c r="L1548" s="79" t="s">
        <v>453</v>
      </c>
      <c r="M1548" s="79"/>
      <c r="N1548" s="79"/>
      <c r="O1548" s="74"/>
      <c r="P1548" s="80"/>
      <c r="Q1548" s="79"/>
      <c r="R1548" s="80"/>
      <c r="S1548" s="78" t="s">
        <v>10039</v>
      </c>
      <c r="T1548" s="101"/>
      <c r="U1548" s="80"/>
      <c r="V1548" s="102" t="s">
        <v>429</v>
      </c>
      <c r="W1548" s="79"/>
      <c r="X1548" s="79"/>
      <c r="Y1548" s="79"/>
      <c r="Z1548" s="79"/>
    </row>
    <row r="1549" ht="15.75" customHeight="1">
      <c r="A1549" s="76" t="s">
        <v>247</v>
      </c>
      <c r="B1549" s="77" t="s">
        <v>8121</v>
      </c>
      <c r="C1549" s="80">
        <v>3.0647246636E10</v>
      </c>
      <c r="D1549" s="119" t="s">
        <v>264</v>
      </c>
      <c r="E1549" s="126" t="s">
        <v>985</v>
      </c>
      <c r="F1549" s="44">
        <v>3981.0</v>
      </c>
      <c r="G1549" s="79" t="s">
        <v>15</v>
      </c>
      <c r="H1549" s="80">
        <v>1678.0</v>
      </c>
      <c r="I1549" s="79">
        <v>259309.0</v>
      </c>
      <c r="J1549" s="74" t="s">
        <v>347</v>
      </c>
      <c r="K1549" s="77" t="s">
        <v>1121</v>
      </c>
      <c r="L1549" s="79"/>
      <c r="M1549" s="79" t="s">
        <v>7429</v>
      </c>
      <c r="N1549" s="79">
        <v>3.0</v>
      </c>
      <c r="O1549" s="300" t="s">
        <v>10041</v>
      </c>
      <c r="P1549" s="80"/>
      <c r="Q1549" s="300" t="s">
        <v>10042</v>
      </c>
      <c r="R1549" s="80"/>
      <c r="S1549" s="80" t="s">
        <v>10043</v>
      </c>
      <c r="T1549" s="101" t="s">
        <v>10044</v>
      </c>
      <c r="U1549" s="80" t="s">
        <v>332</v>
      </c>
      <c r="V1549" s="102" t="s">
        <v>2971</v>
      </c>
      <c r="W1549" s="79" t="s">
        <v>309</v>
      </c>
      <c r="X1549" s="79" t="s">
        <v>309</v>
      </c>
      <c r="Y1549" s="79" t="s">
        <v>309</v>
      </c>
      <c r="Z1549" s="79"/>
    </row>
    <row r="1550" ht="15.75" customHeight="1">
      <c r="A1550" s="103" t="s">
        <v>24</v>
      </c>
      <c r="B1550" s="77" t="s">
        <v>8128</v>
      </c>
      <c r="C1550" s="80">
        <v>3.0695475043E10</v>
      </c>
      <c r="D1550" s="79" t="s">
        <v>264</v>
      </c>
      <c r="E1550" s="79" t="s">
        <v>1475</v>
      </c>
      <c r="F1550" s="44">
        <v>795.0</v>
      </c>
      <c r="G1550" s="79" t="s">
        <v>68</v>
      </c>
      <c r="H1550" s="80">
        <v>1702.0</v>
      </c>
      <c r="I1550" s="79">
        <v>343000.0</v>
      </c>
      <c r="J1550" s="74" t="s">
        <v>337</v>
      </c>
      <c r="K1550" s="79" t="s">
        <v>2104</v>
      </c>
      <c r="L1550" s="79"/>
      <c r="M1550" s="79"/>
      <c r="N1550" s="79">
        <v>0.0</v>
      </c>
      <c r="O1550" s="74"/>
      <c r="P1550" s="80"/>
      <c r="Q1550" s="79"/>
      <c r="R1550" s="80"/>
      <c r="S1550" s="80"/>
      <c r="T1550" s="101" t="s">
        <v>332</v>
      </c>
      <c r="U1550" s="80" t="s">
        <v>332</v>
      </c>
      <c r="V1550" s="102" t="s">
        <v>429</v>
      </c>
      <c r="W1550" s="79" t="s">
        <v>309</v>
      </c>
      <c r="X1550" s="79" t="s">
        <v>309</v>
      </c>
      <c r="Y1550" s="79" t="s">
        <v>309</v>
      </c>
      <c r="Z1550" s="79"/>
    </row>
    <row r="1551" ht="15.75" customHeight="1">
      <c r="A1551" s="103" t="s">
        <v>24</v>
      </c>
      <c r="B1551" s="77" t="s">
        <v>10047</v>
      </c>
      <c r="C1551" s="80">
        <v>3.066117728E10</v>
      </c>
      <c r="D1551" s="79" t="s">
        <v>264</v>
      </c>
      <c r="E1551" s="79" t="s">
        <v>2491</v>
      </c>
      <c r="F1551" s="44">
        <v>1337.0</v>
      </c>
      <c r="G1551" s="79" t="s">
        <v>249</v>
      </c>
      <c r="H1551" s="80">
        <v>1676.0</v>
      </c>
      <c r="I1551" s="79">
        <v>242903.0</v>
      </c>
      <c r="J1551" s="74" t="s">
        <v>316</v>
      </c>
      <c r="K1551" s="79" t="s">
        <v>10017</v>
      </c>
      <c r="L1551" s="79"/>
      <c r="M1551" s="79"/>
      <c r="N1551" s="79">
        <v>0.0</v>
      </c>
      <c r="O1551" s="74"/>
      <c r="P1551" s="80"/>
      <c r="Q1551" s="79"/>
      <c r="R1551" s="80"/>
      <c r="S1551" s="80" t="s">
        <v>10048</v>
      </c>
      <c r="T1551" s="101" t="s">
        <v>10049</v>
      </c>
      <c r="U1551" s="80" t="s">
        <v>332</v>
      </c>
      <c r="V1551" s="102" t="s">
        <v>429</v>
      </c>
      <c r="W1551" s="79" t="s">
        <v>309</v>
      </c>
      <c r="X1551" s="79" t="s">
        <v>309</v>
      </c>
      <c r="Y1551" s="79"/>
      <c r="Z1551" s="79"/>
    </row>
    <row r="1552" ht="15.75" customHeight="1">
      <c r="A1552" s="76" t="s">
        <v>247</v>
      </c>
      <c r="B1552" s="77" t="s">
        <v>8135</v>
      </c>
      <c r="C1552" s="80">
        <v>3.0709526452E10</v>
      </c>
      <c r="D1552" s="79" t="s">
        <v>264</v>
      </c>
      <c r="E1552" s="79" t="s">
        <v>2997</v>
      </c>
      <c r="F1552" s="44">
        <v>4727.0</v>
      </c>
      <c r="G1552" s="79" t="s">
        <v>15</v>
      </c>
      <c r="H1552" s="80">
        <v>1678.0</v>
      </c>
      <c r="I1552" s="79">
        <v>221909.0</v>
      </c>
      <c r="J1552" s="74" t="s">
        <v>88</v>
      </c>
      <c r="K1552" s="82" t="s">
        <v>2473</v>
      </c>
      <c r="L1552" s="79"/>
      <c r="M1552" s="79"/>
      <c r="N1552" s="79">
        <v>9.0</v>
      </c>
      <c r="O1552" s="74"/>
      <c r="P1552" s="80"/>
      <c r="Q1552" s="79"/>
      <c r="R1552" s="80"/>
      <c r="S1552" s="80" t="s">
        <v>10050</v>
      </c>
      <c r="T1552" s="101" t="s">
        <v>332</v>
      </c>
      <c r="U1552" s="80" t="s">
        <v>332</v>
      </c>
      <c r="V1552" s="102" t="s">
        <v>10052</v>
      </c>
      <c r="W1552" s="79" t="s">
        <v>306</v>
      </c>
      <c r="X1552" s="79" t="s">
        <v>306</v>
      </c>
      <c r="Y1552" s="79" t="s">
        <v>309</v>
      </c>
      <c r="Z1552" s="79"/>
    </row>
    <row r="1553" ht="15.75" customHeight="1">
      <c r="A1553" s="76" t="s">
        <v>247</v>
      </c>
      <c r="B1553" s="79" t="s">
        <v>10053</v>
      </c>
      <c r="C1553" s="80">
        <v>3.07151978E10</v>
      </c>
      <c r="D1553" s="79" t="s">
        <v>264</v>
      </c>
      <c r="E1553" s="79" t="s">
        <v>1095</v>
      </c>
      <c r="F1553" s="44">
        <v>3175.0</v>
      </c>
      <c r="G1553" s="79" t="s">
        <v>15</v>
      </c>
      <c r="H1553" s="80">
        <v>1678.0</v>
      </c>
      <c r="I1553" s="77">
        <v>960300.0</v>
      </c>
      <c r="J1553" s="74" t="s">
        <v>433</v>
      </c>
      <c r="K1553" s="77" t="s">
        <v>10054</v>
      </c>
      <c r="L1553" s="79"/>
      <c r="M1553" s="79"/>
      <c r="N1553" s="79"/>
      <c r="O1553" s="74"/>
      <c r="P1553" s="80"/>
      <c r="Q1553" s="79"/>
      <c r="R1553" s="80"/>
      <c r="S1553" s="78" t="s">
        <v>9705</v>
      </c>
      <c r="T1553" s="101"/>
      <c r="U1553" s="80"/>
      <c r="V1553" s="102" t="s">
        <v>429</v>
      </c>
      <c r="W1553" s="79"/>
      <c r="X1553" s="79"/>
      <c r="Y1553" s="79"/>
      <c r="Z1553" s="79"/>
    </row>
    <row r="1554" ht="15.75" customHeight="1">
      <c r="A1554" s="103" t="s">
        <v>24</v>
      </c>
      <c r="B1554" s="77" t="s">
        <v>10056</v>
      </c>
      <c r="C1554" s="80">
        <v>3.0707291628E10</v>
      </c>
      <c r="D1554" s="79" t="s">
        <v>264</v>
      </c>
      <c r="E1554" s="79" t="s">
        <v>3198</v>
      </c>
      <c r="F1554" s="44">
        <v>7010.0</v>
      </c>
      <c r="G1554" s="79" t="s">
        <v>269</v>
      </c>
      <c r="H1554" s="80">
        <v>1682.0</v>
      </c>
      <c r="I1554" s="79">
        <v>221909.0</v>
      </c>
      <c r="J1554" s="74" t="s">
        <v>88</v>
      </c>
      <c r="K1554" s="82" t="s">
        <v>2473</v>
      </c>
      <c r="L1554" s="79"/>
      <c r="M1554" s="79"/>
      <c r="N1554" s="79">
        <v>14.0</v>
      </c>
      <c r="O1554" s="74"/>
      <c r="P1554" s="80"/>
      <c r="Q1554" s="79"/>
      <c r="R1554" s="80"/>
      <c r="S1554" s="78" t="s">
        <v>10057</v>
      </c>
      <c r="T1554" s="101"/>
      <c r="U1554" s="80" t="s">
        <v>332</v>
      </c>
      <c r="V1554" s="102" t="s">
        <v>429</v>
      </c>
      <c r="W1554" s="79" t="s">
        <v>309</v>
      </c>
      <c r="X1554" s="79" t="s">
        <v>309</v>
      </c>
      <c r="Y1554" s="79" t="s">
        <v>309</v>
      </c>
      <c r="Z1554" s="79"/>
    </row>
    <row r="1555" ht="15.75" customHeight="1">
      <c r="A1555" s="76" t="s">
        <v>247</v>
      </c>
      <c r="B1555" s="79" t="s">
        <v>8139</v>
      </c>
      <c r="C1555" s="80">
        <v>3.0560671292E10</v>
      </c>
      <c r="D1555" s="144" t="s">
        <v>631</v>
      </c>
      <c r="E1555" s="77" t="s">
        <v>503</v>
      </c>
      <c r="F1555" s="44">
        <v>3636.0</v>
      </c>
      <c r="G1555" s="79" t="s">
        <v>68</v>
      </c>
      <c r="H1555" s="80">
        <v>1702.0</v>
      </c>
      <c r="I1555" s="79">
        <v>222010.0</v>
      </c>
      <c r="J1555" s="83" t="s">
        <v>568</v>
      </c>
      <c r="K1555" s="79" t="s">
        <v>1170</v>
      </c>
      <c r="L1555" s="79" t="s">
        <v>453</v>
      </c>
      <c r="M1555" s="79"/>
      <c r="N1555" s="79">
        <v>9.0</v>
      </c>
      <c r="O1555" s="74"/>
      <c r="P1555" s="80"/>
      <c r="Q1555" s="79"/>
      <c r="R1555" s="80"/>
      <c r="S1555" s="80" t="s">
        <v>10059</v>
      </c>
      <c r="T1555" s="101" t="s">
        <v>10060</v>
      </c>
      <c r="U1555" s="80" t="s">
        <v>10061</v>
      </c>
      <c r="V1555" s="102" t="s">
        <v>429</v>
      </c>
      <c r="W1555" s="79" t="s">
        <v>309</v>
      </c>
      <c r="X1555" s="79" t="s">
        <v>309</v>
      </c>
      <c r="Y1555" s="79" t="s">
        <v>309</v>
      </c>
      <c r="Z1555" s="79"/>
    </row>
    <row r="1556" ht="15.75" customHeight="1">
      <c r="A1556" s="76" t="s">
        <v>247</v>
      </c>
      <c r="B1556" s="77" t="s">
        <v>2346</v>
      </c>
      <c r="C1556" s="101">
        <v>3.0623356856E10</v>
      </c>
      <c r="D1556" s="79" t="s">
        <v>264</v>
      </c>
      <c r="E1556" s="79" t="s">
        <v>1801</v>
      </c>
      <c r="F1556" s="44">
        <v>4460.0</v>
      </c>
      <c r="G1556" s="79" t="s">
        <v>68</v>
      </c>
      <c r="H1556" s="80">
        <v>1702.0</v>
      </c>
      <c r="I1556" s="80">
        <v>530010.0</v>
      </c>
      <c r="J1556" s="74" t="s">
        <v>433</v>
      </c>
      <c r="K1556" s="77" t="s">
        <v>10063</v>
      </c>
      <c r="L1556" s="79"/>
      <c r="M1556" s="79" t="s">
        <v>10064</v>
      </c>
      <c r="N1556" s="79"/>
      <c r="O1556" s="79" t="s">
        <v>10065</v>
      </c>
      <c r="P1556" s="78" t="s">
        <v>10066</v>
      </c>
      <c r="Q1556" s="77" t="s">
        <v>10067</v>
      </c>
      <c r="R1556" s="78">
        <v>1.166541479E9</v>
      </c>
      <c r="S1556" s="78" t="s">
        <v>10068</v>
      </c>
      <c r="T1556" s="101"/>
      <c r="U1556" s="80"/>
      <c r="V1556" s="102" t="s">
        <v>10069</v>
      </c>
      <c r="W1556" s="79"/>
      <c r="X1556" s="79"/>
      <c r="Y1556" s="79"/>
      <c r="Z1556" s="79"/>
    </row>
    <row r="1557" ht="15.75" customHeight="1">
      <c r="A1557" s="76" t="s">
        <v>247</v>
      </c>
      <c r="B1557" s="77" t="s">
        <v>2349</v>
      </c>
      <c r="C1557" s="80">
        <v>3.3610921189E10</v>
      </c>
      <c r="D1557" s="79" t="s">
        <v>264</v>
      </c>
      <c r="E1557" s="79" t="s">
        <v>1114</v>
      </c>
      <c r="F1557" s="44">
        <v>4385.0</v>
      </c>
      <c r="G1557" s="79" t="s">
        <v>68</v>
      </c>
      <c r="H1557" s="80">
        <v>1702.0</v>
      </c>
      <c r="I1557" s="77">
        <v>469090.0</v>
      </c>
      <c r="J1557" s="74" t="s">
        <v>347</v>
      </c>
      <c r="K1557" s="77" t="s">
        <v>4007</v>
      </c>
      <c r="L1557" s="79" t="s">
        <v>453</v>
      </c>
      <c r="M1557" s="79" t="s">
        <v>10072</v>
      </c>
      <c r="N1557" s="79">
        <v>6.0</v>
      </c>
      <c r="O1557" s="126" t="s">
        <v>10073</v>
      </c>
      <c r="P1557" s="78" t="s">
        <v>10074</v>
      </c>
      <c r="Q1557" s="79"/>
      <c r="R1557" s="80"/>
      <c r="S1557" s="80" t="s">
        <v>10075</v>
      </c>
      <c r="T1557" s="101" t="s">
        <v>10076</v>
      </c>
      <c r="U1557" s="80" t="s">
        <v>332</v>
      </c>
      <c r="V1557" s="102" t="s">
        <v>10077</v>
      </c>
      <c r="W1557" s="79" t="s">
        <v>309</v>
      </c>
      <c r="X1557" s="79" t="s">
        <v>309</v>
      </c>
      <c r="Y1557" s="79" t="s">
        <v>309</v>
      </c>
      <c r="Z1557" s="79"/>
    </row>
    <row r="1558" ht="15.75" customHeight="1">
      <c r="A1558" s="76" t="s">
        <v>247</v>
      </c>
      <c r="B1558" s="77" t="s">
        <v>8148</v>
      </c>
      <c r="C1558" s="80">
        <v>3.0714664758E10</v>
      </c>
      <c r="D1558" s="79" t="s">
        <v>264</v>
      </c>
      <c r="E1558" s="79" t="s">
        <v>8146</v>
      </c>
      <c r="F1558" s="44">
        <v>1433.0</v>
      </c>
      <c r="G1558" s="79" t="s">
        <v>119</v>
      </c>
      <c r="H1558" s="80">
        <v>1657.0</v>
      </c>
      <c r="I1558" s="79">
        <v>181109.0</v>
      </c>
      <c r="J1558" s="74" t="s">
        <v>238</v>
      </c>
      <c r="K1558" s="77" t="s">
        <v>1545</v>
      </c>
      <c r="L1558" s="79"/>
      <c r="M1558" s="79"/>
      <c r="N1558" s="79">
        <v>5.0</v>
      </c>
      <c r="O1558" s="74"/>
      <c r="P1558" s="80"/>
      <c r="Q1558" s="79"/>
      <c r="R1558" s="80"/>
      <c r="S1558" s="78" t="s">
        <v>10079</v>
      </c>
      <c r="T1558" s="85" t="s">
        <v>10080</v>
      </c>
      <c r="U1558" s="80"/>
      <c r="V1558" s="102" t="s">
        <v>10081</v>
      </c>
      <c r="W1558" s="79" t="s">
        <v>309</v>
      </c>
      <c r="X1558" s="79" t="s">
        <v>309</v>
      </c>
      <c r="Y1558" s="79"/>
      <c r="Z1558" s="79"/>
    </row>
    <row r="1559" ht="15.75" customHeight="1">
      <c r="A1559" s="76" t="s">
        <v>247</v>
      </c>
      <c r="B1559" s="77" t="s">
        <v>8153</v>
      </c>
      <c r="C1559" s="80">
        <v>2.0921028297E10</v>
      </c>
      <c r="D1559" s="77" t="s">
        <v>631</v>
      </c>
      <c r="E1559" s="79" t="s">
        <v>2938</v>
      </c>
      <c r="F1559" s="44">
        <v>1647.0</v>
      </c>
      <c r="G1559" s="79" t="s">
        <v>68</v>
      </c>
      <c r="H1559" s="80">
        <v>1702.0</v>
      </c>
      <c r="I1559" s="79">
        <v>702092.0</v>
      </c>
      <c r="J1559" s="74" t="s">
        <v>313</v>
      </c>
      <c r="K1559" s="77" t="s">
        <v>1177</v>
      </c>
      <c r="L1559" s="79"/>
      <c r="M1559" s="79" t="s">
        <v>10082</v>
      </c>
      <c r="N1559" s="79"/>
      <c r="O1559" s="74"/>
      <c r="P1559" s="80"/>
      <c r="Q1559" s="79"/>
      <c r="R1559" s="80"/>
      <c r="S1559" s="80" t="s">
        <v>10084</v>
      </c>
      <c r="T1559" s="80" t="s">
        <v>10085</v>
      </c>
      <c r="U1559" s="80"/>
      <c r="V1559" s="102" t="s">
        <v>429</v>
      </c>
      <c r="W1559" s="79"/>
      <c r="X1559" s="79"/>
      <c r="Y1559" s="79"/>
      <c r="Z1559" s="79"/>
    </row>
    <row r="1560" ht="15.75" customHeight="1">
      <c r="A1560" s="103" t="s">
        <v>24</v>
      </c>
      <c r="B1560" s="77" t="s">
        <v>10086</v>
      </c>
      <c r="C1560" s="80">
        <v>3.0709473081E10</v>
      </c>
      <c r="D1560" s="119" t="s">
        <v>264</v>
      </c>
      <c r="E1560" s="126" t="s">
        <v>985</v>
      </c>
      <c r="F1560" s="44">
        <v>3569.0</v>
      </c>
      <c r="G1560" s="79" t="s">
        <v>15</v>
      </c>
      <c r="H1560" s="80">
        <v>1678.0</v>
      </c>
      <c r="I1560" s="79">
        <v>141130.0</v>
      </c>
      <c r="J1560" s="74" t="s">
        <v>448</v>
      </c>
      <c r="K1560" s="79" t="s">
        <v>1564</v>
      </c>
      <c r="L1560" s="79" t="s">
        <v>1122</v>
      </c>
      <c r="M1560" s="79"/>
      <c r="N1560" s="79">
        <v>5.0</v>
      </c>
      <c r="O1560" s="74"/>
      <c r="P1560" s="80"/>
      <c r="Q1560" s="79"/>
      <c r="R1560" s="80"/>
      <c r="S1560" s="80" t="s">
        <v>10088</v>
      </c>
      <c r="T1560" s="85" t="s">
        <v>10089</v>
      </c>
      <c r="U1560" s="80" t="s">
        <v>332</v>
      </c>
      <c r="V1560" s="102" t="s">
        <v>429</v>
      </c>
      <c r="W1560" s="79" t="s">
        <v>306</v>
      </c>
      <c r="X1560" s="79" t="s">
        <v>306</v>
      </c>
      <c r="Y1560" s="79" t="s">
        <v>309</v>
      </c>
      <c r="Z1560" s="79"/>
    </row>
    <row r="1561" ht="15.75" customHeight="1">
      <c r="A1561" s="76" t="s">
        <v>247</v>
      </c>
      <c r="B1561" s="77" t="s">
        <v>8156</v>
      </c>
      <c r="C1561" s="80">
        <v>3.0663735973E10</v>
      </c>
      <c r="D1561" s="79" t="s">
        <v>264</v>
      </c>
      <c r="E1561" s="79" t="s">
        <v>1810</v>
      </c>
      <c r="F1561" s="44">
        <v>3207.0</v>
      </c>
      <c r="G1561" s="79" t="s">
        <v>15</v>
      </c>
      <c r="H1561" s="80">
        <v>1678.0</v>
      </c>
      <c r="I1561" s="79">
        <v>310010.0</v>
      </c>
      <c r="J1561" s="74" t="s">
        <v>313</v>
      </c>
      <c r="K1561" s="79" t="s">
        <v>1438</v>
      </c>
      <c r="L1561" s="79" t="s">
        <v>1122</v>
      </c>
      <c r="M1561" s="79"/>
      <c r="N1561" s="79">
        <v>6.0</v>
      </c>
      <c r="O1561" s="74"/>
      <c r="P1561" s="80"/>
      <c r="Q1561" s="79"/>
      <c r="R1561" s="80"/>
      <c r="S1561" s="80" t="s">
        <v>10091</v>
      </c>
      <c r="T1561" s="101" t="s">
        <v>10092</v>
      </c>
      <c r="U1561" s="80" t="s">
        <v>332</v>
      </c>
      <c r="V1561" s="102" t="s">
        <v>429</v>
      </c>
      <c r="W1561" s="79" t="s">
        <v>309</v>
      </c>
      <c r="X1561" s="79" t="s">
        <v>309</v>
      </c>
      <c r="Y1561" s="79" t="s">
        <v>309</v>
      </c>
      <c r="Z1561" s="79"/>
    </row>
    <row r="1562" ht="15.75" customHeight="1">
      <c r="A1562" s="103" t="s">
        <v>24</v>
      </c>
      <c r="B1562" s="79" t="s">
        <v>10094</v>
      </c>
      <c r="C1562" s="80">
        <v>3.0521540695E10</v>
      </c>
      <c r="D1562" s="119" t="s">
        <v>264</v>
      </c>
      <c r="E1562" s="77" t="s">
        <v>3029</v>
      </c>
      <c r="F1562" s="44">
        <v>4420.0</v>
      </c>
      <c r="G1562" s="79" t="s">
        <v>15</v>
      </c>
      <c r="H1562" s="80">
        <v>1678.0</v>
      </c>
      <c r="I1562" s="77">
        <v>477330.0</v>
      </c>
      <c r="J1562" s="74" t="s">
        <v>433</v>
      </c>
      <c r="K1562" s="77" t="s">
        <v>2614</v>
      </c>
      <c r="L1562" s="79"/>
      <c r="M1562" s="79"/>
      <c r="N1562" s="79">
        <v>1.0</v>
      </c>
      <c r="O1562" s="74"/>
      <c r="P1562" s="80"/>
      <c r="Q1562" s="79"/>
      <c r="R1562" s="80"/>
      <c r="S1562" s="80" t="s">
        <v>10095</v>
      </c>
      <c r="T1562" s="85" t="s">
        <v>10096</v>
      </c>
      <c r="U1562" s="80" t="s">
        <v>332</v>
      </c>
      <c r="V1562" s="102" t="s">
        <v>10098</v>
      </c>
      <c r="W1562" s="79" t="s">
        <v>309</v>
      </c>
      <c r="X1562" s="79" t="s">
        <v>309</v>
      </c>
      <c r="Y1562" s="79"/>
      <c r="Z1562" s="79"/>
    </row>
    <row r="1563" ht="15.75" customHeight="1">
      <c r="A1563" s="76" t="s">
        <v>247</v>
      </c>
      <c r="B1563" s="77" t="s">
        <v>2352</v>
      </c>
      <c r="C1563" s="80">
        <v>2.0215484794E10</v>
      </c>
      <c r="D1563" s="77" t="s">
        <v>631</v>
      </c>
      <c r="E1563" s="129" t="s">
        <v>10099</v>
      </c>
      <c r="F1563" s="128" t="s">
        <v>10100</v>
      </c>
      <c r="G1563" s="79" t="s">
        <v>68</v>
      </c>
      <c r="H1563" s="80">
        <v>1702.0</v>
      </c>
      <c r="I1563" s="77">
        <v>202908.0</v>
      </c>
      <c r="J1563" s="74" t="s">
        <v>316</v>
      </c>
      <c r="K1563" s="77" t="s">
        <v>7516</v>
      </c>
      <c r="L1563" s="79"/>
      <c r="M1563" s="77" t="s">
        <v>10101</v>
      </c>
      <c r="N1563" s="79"/>
      <c r="O1563" s="79" t="s">
        <v>10102</v>
      </c>
      <c r="P1563" s="78" t="s">
        <v>10104</v>
      </c>
      <c r="Q1563" s="79"/>
      <c r="R1563" s="80"/>
      <c r="S1563" s="78" t="s">
        <v>10105</v>
      </c>
      <c r="T1563" s="101"/>
      <c r="U1563" s="80"/>
      <c r="V1563" s="98" t="s">
        <v>10106</v>
      </c>
      <c r="W1563" s="79"/>
      <c r="X1563" s="79"/>
      <c r="Y1563" s="79"/>
      <c r="Z1563" s="79"/>
    </row>
    <row r="1564" ht="15.75" customHeight="1">
      <c r="A1564" s="76" t="s">
        <v>247</v>
      </c>
      <c r="B1564" s="77" t="s">
        <v>10108</v>
      </c>
      <c r="C1564" s="80">
        <v>3.3522494599E10</v>
      </c>
      <c r="D1564" s="119" t="s">
        <v>264</v>
      </c>
      <c r="E1564" s="79" t="s">
        <v>359</v>
      </c>
      <c r="F1564" s="44">
        <v>5048.0</v>
      </c>
      <c r="G1564" s="79" t="s">
        <v>15</v>
      </c>
      <c r="H1564" s="80">
        <v>1678.0</v>
      </c>
      <c r="I1564" s="79">
        <v>154301.0</v>
      </c>
      <c r="J1564" s="74" t="s">
        <v>22</v>
      </c>
      <c r="K1564" s="79" t="s">
        <v>10109</v>
      </c>
      <c r="L1564" s="79"/>
      <c r="M1564" s="79"/>
      <c r="N1564" s="79">
        <v>0.0</v>
      </c>
      <c r="O1564" s="74"/>
      <c r="P1564" s="80"/>
      <c r="Q1564" s="79"/>
      <c r="R1564" s="80"/>
      <c r="S1564" s="80" t="s">
        <v>10110</v>
      </c>
      <c r="T1564" s="101" t="s">
        <v>332</v>
      </c>
      <c r="U1564" s="80" t="s">
        <v>332</v>
      </c>
      <c r="V1564" s="102" t="s">
        <v>429</v>
      </c>
      <c r="W1564" s="79" t="s">
        <v>309</v>
      </c>
      <c r="X1564" s="79" t="s">
        <v>309</v>
      </c>
      <c r="Y1564" s="79"/>
      <c r="Z1564" s="79"/>
    </row>
    <row r="1565" ht="15.75" customHeight="1">
      <c r="A1565" s="352" t="s">
        <v>247</v>
      </c>
      <c r="B1565" s="353" t="s">
        <v>2357</v>
      </c>
      <c r="C1565" s="354">
        <v>3.0716120372E10</v>
      </c>
      <c r="D1565" s="355" t="s">
        <v>264</v>
      </c>
      <c r="E1565" s="355" t="s">
        <v>1369</v>
      </c>
      <c r="F1565" s="356">
        <v>1265.0</v>
      </c>
      <c r="G1565" s="353" t="s">
        <v>10112</v>
      </c>
      <c r="H1565" s="354">
        <v>1702.0</v>
      </c>
      <c r="I1565" s="356">
        <v>107500.0</v>
      </c>
      <c r="J1565" s="357" t="s">
        <v>22</v>
      </c>
      <c r="K1565" s="353" t="s">
        <v>10113</v>
      </c>
      <c r="L1565" s="355"/>
      <c r="M1565" s="355"/>
      <c r="N1565" s="355"/>
      <c r="O1565" s="355" t="s">
        <v>10115</v>
      </c>
      <c r="P1565" s="358" t="s">
        <v>10116</v>
      </c>
      <c r="Q1565" s="355"/>
      <c r="R1565" s="358" t="s">
        <v>10117</v>
      </c>
      <c r="S1565" s="354"/>
      <c r="T1565" s="354"/>
      <c r="U1565" s="354"/>
      <c r="V1565" s="359" t="s">
        <v>10118</v>
      </c>
      <c r="W1565" s="355" t="s">
        <v>10119</v>
      </c>
      <c r="X1565" s="355"/>
      <c r="Y1565" s="355"/>
      <c r="Z1565" s="355"/>
    </row>
    <row r="1566" ht="15.75" customHeight="1">
      <c r="A1566" s="76" t="s">
        <v>247</v>
      </c>
      <c r="B1566" s="77" t="s">
        <v>2361</v>
      </c>
      <c r="C1566" s="80">
        <v>3.070958589E10</v>
      </c>
      <c r="D1566" s="79" t="s">
        <v>264</v>
      </c>
      <c r="E1566" s="77" t="s">
        <v>4857</v>
      </c>
      <c r="F1566" s="44">
        <v>8605.0</v>
      </c>
      <c r="G1566" s="79" t="s">
        <v>175</v>
      </c>
      <c r="H1566" s="80">
        <v>1657.0</v>
      </c>
      <c r="I1566" s="77">
        <v>161002.0</v>
      </c>
      <c r="J1566" s="74" t="s">
        <v>313</v>
      </c>
      <c r="K1566" s="77" t="s">
        <v>5189</v>
      </c>
      <c r="L1566" s="79" t="s">
        <v>453</v>
      </c>
      <c r="M1566" s="79" t="s">
        <v>10121</v>
      </c>
      <c r="N1566" s="79">
        <v>17.0</v>
      </c>
      <c r="O1566" s="74" t="s">
        <v>10122</v>
      </c>
      <c r="P1566" s="78" t="s">
        <v>10123</v>
      </c>
      <c r="Q1566" s="77" t="s">
        <v>10124</v>
      </c>
      <c r="R1566" s="78"/>
      <c r="S1566" s="78" t="s">
        <v>10125</v>
      </c>
      <c r="T1566" s="114" t="s">
        <v>10126</v>
      </c>
      <c r="U1566" s="101" t="s">
        <v>10127</v>
      </c>
      <c r="V1566" s="102" t="s">
        <v>10128</v>
      </c>
      <c r="W1566" s="79" t="s">
        <v>309</v>
      </c>
      <c r="X1566" s="79" t="s">
        <v>309</v>
      </c>
      <c r="Y1566" s="79" t="s">
        <v>309</v>
      </c>
      <c r="Z1566" s="79"/>
    </row>
    <row r="1567" ht="15.75" customHeight="1">
      <c r="A1567" s="76" t="s">
        <v>247</v>
      </c>
      <c r="B1567" s="77" t="s">
        <v>8167</v>
      </c>
      <c r="C1567" s="80">
        <v>3.0711134057E10</v>
      </c>
      <c r="D1567" s="79" t="s">
        <v>264</v>
      </c>
      <c r="E1567" s="79" t="s">
        <v>2348</v>
      </c>
      <c r="F1567" s="44">
        <v>1842.0</v>
      </c>
      <c r="G1567" s="79" t="s">
        <v>68</v>
      </c>
      <c r="H1567" s="80">
        <v>1702.0</v>
      </c>
      <c r="I1567" s="79">
        <v>222090.0</v>
      </c>
      <c r="J1567" s="83" t="s">
        <v>568</v>
      </c>
      <c r="K1567" s="77" t="s">
        <v>10130</v>
      </c>
      <c r="L1567" s="79" t="s">
        <v>453</v>
      </c>
      <c r="M1567" s="79"/>
      <c r="N1567" s="79">
        <v>9.0</v>
      </c>
      <c r="O1567" s="129" t="s">
        <v>10131</v>
      </c>
      <c r="P1567" s="80"/>
      <c r="Q1567" s="79" t="s">
        <v>10132</v>
      </c>
      <c r="R1567" s="80"/>
      <c r="S1567" s="80" t="s">
        <v>10133</v>
      </c>
      <c r="T1567" s="101" t="s">
        <v>10134</v>
      </c>
      <c r="U1567" s="80" t="s">
        <v>10136</v>
      </c>
      <c r="V1567" s="102" t="s">
        <v>10137</v>
      </c>
      <c r="W1567" s="79"/>
      <c r="X1567" s="79"/>
      <c r="Y1567" s="79" t="s">
        <v>309</v>
      </c>
      <c r="Z1567" s="79"/>
    </row>
    <row r="1568" ht="15.75" customHeight="1">
      <c r="A1568" s="103" t="s">
        <v>24</v>
      </c>
      <c r="B1568" s="77" t="s">
        <v>10138</v>
      </c>
      <c r="C1568" s="79">
        <v>3.0710472226E10</v>
      </c>
      <c r="D1568" s="77" t="s">
        <v>264</v>
      </c>
      <c r="E1568" s="79" t="s">
        <v>1314</v>
      </c>
      <c r="F1568" s="44">
        <v>4961.0</v>
      </c>
      <c r="G1568" s="79" t="s">
        <v>15</v>
      </c>
      <c r="H1568" s="80">
        <v>1678.0</v>
      </c>
      <c r="I1568" s="79">
        <v>452990.0</v>
      </c>
      <c r="J1568" s="74" t="s">
        <v>433</v>
      </c>
      <c r="K1568" s="77" t="s">
        <v>6318</v>
      </c>
      <c r="L1568" s="79"/>
      <c r="M1568" s="79"/>
      <c r="N1568" s="79">
        <v>1.0</v>
      </c>
      <c r="O1568" s="74"/>
      <c r="P1568" s="80"/>
      <c r="Q1568" s="79"/>
      <c r="R1568" s="80"/>
      <c r="S1568" s="101" t="s">
        <v>10140</v>
      </c>
      <c r="T1568" s="101" t="s">
        <v>332</v>
      </c>
      <c r="U1568" s="80" t="s">
        <v>332</v>
      </c>
      <c r="V1568" s="102" t="s">
        <v>429</v>
      </c>
      <c r="W1568" s="79" t="s">
        <v>306</v>
      </c>
      <c r="X1568" s="79" t="s">
        <v>306</v>
      </c>
      <c r="Y1568" s="79"/>
      <c r="Z1568" s="79"/>
    </row>
    <row r="1569" ht="15.75" customHeight="1">
      <c r="A1569" s="76" t="s">
        <v>247</v>
      </c>
      <c r="B1569" s="77" t="s">
        <v>2364</v>
      </c>
      <c r="C1569" s="80">
        <v>3.0689670624E10</v>
      </c>
      <c r="D1569" s="79" t="s">
        <v>264</v>
      </c>
      <c r="E1569" s="77" t="s">
        <v>1070</v>
      </c>
      <c r="F1569" s="44">
        <v>556.0</v>
      </c>
      <c r="G1569" s="79" t="s">
        <v>68</v>
      </c>
      <c r="H1569" s="80">
        <v>1702.0</v>
      </c>
      <c r="I1569" s="79">
        <v>181109.0</v>
      </c>
      <c r="J1569" s="74" t="s">
        <v>283</v>
      </c>
      <c r="K1569" s="77" t="s">
        <v>1545</v>
      </c>
      <c r="L1569" s="79" t="s">
        <v>453</v>
      </c>
      <c r="M1569" s="77" t="s">
        <v>10142</v>
      </c>
      <c r="N1569" s="79"/>
      <c r="O1569" s="74" t="s">
        <v>10143</v>
      </c>
      <c r="P1569" s="78" t="s">
        <v>10144</v>
      </c>
      <c r="Q1569" s="77" t="s">
        <v>10145</v>
      </c>
      <c r="R1569" s="78" t="s">
        <v>10146</v>
      </c>
      <c r="S1569" s="80" t="s">
        <v>10147</v>
      </c>
      <c r="T1569" s="101" t="s">
        <v>10148</v>
      </c>
      <c r="U1569" s="80" t="s">
        <v>332</v>
      </c>
      <c r="V1569" s="102" t="s">
        <v>10149</v>
      </c>
      <c r="W1569" s="79" t="s">
        <v>309</v>
      </c>
      <c r="X1569" s="79" t="s">
        <v>309</v>
      </c>
      <c r="Y1569" s="79"/>
      <c r="Z1569" s="79"/>
    </row>
    <row r="1570" ht="15.75" customHeight="1">
      <c r="A1570" s="103" t="s">
        <v>24</v>
      </c>
      <c r="B1570" s="77" t="s">
        <v>10151</v>
      </c>
      <c r="C1570" s="80">
        <v>3.0707021892E10</v>
      </c>
      <c r="D1570" s="119" t="s">
        <v>264</v>
      </c>
      <c r="E1570" s="77" t="s">
        <v>2748</v>
      </c>
      <c r="F1570" s="44">
        <v>5547.0</v>
      </c>
      <c r="G1570" s="77" t="s">
        <v>15</v>
      </c>
      <c r="H1570" s="78">
        <v>1678.0</v>
      </c>
      <c r="I1570" s="79">
        <v>293092.0</v>
      </c>
      <c r="J1570" s="83" t="s">
        <v>207</v>
      </c>
      <c r="K1570" s="77" t="s">
        <v>5615</v>
      </c>
      <c r="L1570" s="79"/>
      <c r="M1570" s="79"/>
      <c r="N1570" s="79">
        <v>1.0</v>
      </c>
      <c r="O1570" s="74"/>
      <c r="P1570" s="80"/>
      <c r="Q1570" s="79"/>
      <c r="R1570" s="80"/>
      <c r="S1570" s="78" t="s">
        <v>10152</v>
      </c>
      <c r="T1570" s="101" t="s">
        <v>332</v>
      </c>
      <c r="U1570" s="80" t="s">
        <v>332</v>
      </c>
      <c r="V1570" s="102" t="s">
        <v>10153</v>
      </c>
      <c r="W1570" s="79" t="s">
        <v>306</v>
      </c>
      <c r="X1570" s="79" t="s">
        <v>306</v>
      </c>
      <c r="Y1570" s="79"/>
      <c r="Z1570" s="77"/>
    </row>
    <row r="1571" ht="15.75" customHeight="1">
      <c r="A1571" s="76" t="s">
        <v>247</v>
      </c>
      <c r="B1571" s="77" t="s">
        <v>2372</v>
      </c>
      <c r="C1571" s="80">
        <v>3.0631963516E10</v>
      </c>
      <c r="D1571" s="79" t="s">
        <v>264</v>
      </c>
      <c r="E1571" s="79" t="s">
        <v>1212</v>
      </c>
      <c r="F1571" s="44">
        <v>4515.0</v>
      </c>
      <c r="G1571" s="79" t="s">
        <v>68</v>
      </c>
      <c r="H1571" s="80">
        <v>1702.0</v>
      </c>
      <c r="I1571" s="79">
        <v>259999.0</v>
      </c>
      <c r="J1571" s="74" t="s">
        <v>347</v>
      </c>
      <c r="K1571" s="77" t="s">
        <v>839</v>
      </c>
      <c r="L1571" s="79" t="s">
        <v>453</v>
      </c>
      <c r="M1571" s="79"/>
      <c r="N1571" s="79">
        <v>9.0</v>
      </c>
      <c r="O1571" s="74" t="s">
        <v>10156</v>
      </c>
      <c r="P1571" s="80"/>
      <c r="Q1571" s="79"/>
      <c r="R1571" s="80"/>
      <c r="S1571" s="78" t="s">
        <v>10157</v>
      </c>
      <c r="T1571" s="85" t="s">
        <v>10158</v>
      </c>
      <c r="U1571" s="78" t="s">
        <v>10159</v>
      </c>
      <c r="V1571" s="102" t="s">
        <v>429</v>
      </c>
      <c r="W1571" s="79" t="s">
        <v>309</v>
      </c>
      <c r="X1571" s="79" t="s">
        <v>309</v>
      </c>
      <c r="Y1571" s="79" t="s">
        <v>309</v>
      </c>
      <c r="Z1571" s="79"/>
    </row>
    <row r="1572" ht="15.75" customHeight="1">
      <c r="A1572" s="76" t="s">
        <v>247</v>
      </c>
      <c r="B1572" s="191" t="s">
        <v>2372</v>
      </c>
      <c r="C1572" s="192">
        <v>3.0631963516E10</v>
      </c>
      <c r="D1572" s="194" t="s">
        <v>264</v>
      </c>
      <c r="E1572" s="194" t="s">
        <v>1212</v>
      </c>
      <c r="F1572" s="193">
        <v>4515.0</v>
      </c>
      <c r="G1572" s="194" t="s">
        <v>68</v>
      </c>
      <c r="H1572" s="192">
        <v>1702.0</v>
      </c>
      <c r="I1572" s="192">
        <v>259999.0</v>
      </c>
      <c r="J1572" s="74" t="s">
        <v>337</v>
      </c>
      <c r="K1572" s="191" t="s">
        <v>839</v>
      </c>
      <c r="L1572" s="194" t="s">
        <v>453</v>
      </c>
      <c r="M1572" s="191" t="s">
        <v>10161</v>
      </c>
      <c r="N1572" s="192">
        <v>9.0</v>
      </c>
      <c r="O1572" s="194" t="s">
        <v>10156</v>
      </c>
      <c r="P1572" s="194"/>
      <c r="Q1572" s="360" t="s">
        <v>10163</v>
      </c>
      <c r="R1572" s="361" t="s">
        <v>10164</v>
      </c>
      <c r="S1572" s="196" t="s">
        <v>10165</v>
      </c>
      <c r="T1572" s="286" t="s">
        <v>10166</v>
      </c>
      <c r="U1572" s="196" t="s">
        <v>10167</v>
      </c>
      <c r="V1572" s="225" t="s">
        <v>10168</v>
      </c>
      <c r="W1572" s="191" t="s">
        <v>309</v>
      </c>
      <c r="X1572" s="191" t="s">
        <v>309</v>
      </c>
      <c r="Y1572" s="77" t="s">
        <v>309</v>
      </c>
      <c r="Z1572" s="79"/>
    </row>
    <row r="1573" ht="15.75" customHeight="1">
      <c r="A1573" s="103" t="s">
        <v>24</v>
      </c>
      <c r="B1573" s="77" t="s">
        <v>10170</v>
      </c>
      <c r="C1573" s="80">
        <v>3.0655978867E10</v>
      </c>
      <c r="D1573" s="79" t="s">
        <v>264</v>
      </c>
      <c r="E1573" s="77" t="s">
        <v>1765</v>
      </c>
      <c r="F1573" s="44">
        <v>3670.0</v>
      </c>
      <c r="G1573" s="79" t="s">
        <v>15</v>
      </c>
      <c r="H1573" s="80">
        <v>1678.0</v>
      </c>
      <c r="I1573" s="77">
        <v>310010.0</v>
      </c>
      <c r="J1573" s="74" t="s">
        <v>313</v>
      </c>
      <c r="K1573" s="79" t="s">
        <v>2534</v>
      </c>
      <c r="L1573" s="79" t="s">
        <v>1122</v>
      </c>
      <c r="M1573" s="79"/>
      <c r="N1573" s="79">
        <v>0.0</v>
      </c>
      <c r="O1573" s="74"/>
      <c r="P1573" s="80"/>
      <c r="Q1573" s="79"/>
      <c r="R1573" s="80"/>
      <c r="S1573" s="80" t="s">
        <v>10172</v>
      </c>
      <c r="T1573" s="101" t="s">
        <v>332</v>
      </c>
      <c r="U1573" s="80" t="s">
        <v>332</v>
      </c>
      <c r="V1573" s="102" t="s">
        <v>429</v>
      </c>
      <c r="W1573" s="79" t="s">
        <v>309</v>
      </c>
      <c r="X1573" s="79" t="s">
        <v>309</v>
      </c>
      <c r="Y1573" s="79"/>
      <c r="Z1573" s="79"/>
    </row>
    <row r="1574" ht="15.75" customHeight="1">
      <c r="A1574" s="103" t="s">
        <v>24</v>
      </c>
      <c r="B1574" s="77" t="s">
        <v>10173</v>
      </c>
      <c r="C1574" s="80">
        <v>3.0661804277E10</v>
      </c>
      <c r="D1574" s="119" t="s">
        <v>264</v>
      </c>
      <c r="E1574" s="79" t="s">
        <v>1049</v>
      </c>
      <c r="F1574" s="44">
        <v>7821.0</v>
      </c>
      <c r="G1574" s="79" t="s">
        <v>269</v>
      </c>
      <c r="H1574" s="80">
        <v>1682.0</v>
      </c>
      <c r="I1574" s="79">
        <v>452200.0</v>
      </c>
      <c r="J1574" s="74" t="s">
        <v>125</v>
      </c>
      <c r="K1574" s="79" t="s">
        <v>3902</v>
      </c>
      <c r="L1574" s="79" t="s">
        <v>453</v>
      </c>
      <c r="M1574" s="79"/>
      <c r="N1574" s="79">
        <v>0.0</v>
      </c>
      <c r="O1574" s="74"/>
      <c r="P1574" s="80"/>
      <c r="Q1574" s="79"/>
      <c r="R1574" s="80"/>
      <c r="S1574" s="80" t="s">
        <v>10175</v>
      </c>
      <c r="T1574" s="101" t="s">
        <v>332</v>
      </c>
      <c r="U1574" s="80" t="s">
        <v>332</v>
      </c>
      <c r="V1574" s="102" t="s">
        <v>429</v>
      </c>
      <c r="W1574" s="79" t="s">
        <v>306</v>
      </c>
      <c r="X1574" s="79" t="s">
        <v>306</v>
      </c>
      <c r="Y1574" s="79"/>
      <c r="Z1574" s="79"/>
    </row>
    <row r="1575" ht="15.75" customHeight="1">
      <c r="A1575" s="76" t="s">
        <v>247</v>
      </c>
      <c r="B1575" s="77" t="s">
        <v>10176</v>
      </c>
      <c r="C1575" s="79">
        <v>3.0502058823E10</v>
      </c>
      <c r="D1575" s="77" t="s">
        <v>264</v>
      </c>
      <c r="E1575" s="79" t="s">
        <v>1442</v>
      </c>
      <c r="F1575" s="44">
        <v>3935.0</v>
      </c>
      <c r="G1575" s="79" t="s">
        <v>68</v>
      </c>
      <c r="H1575" s="80">
        <v>1702.0</v>
      </c>
      <c r="I1575" s="79">
        <v>324019.0</v>
      </c>
      <c r="J1575" s="74" t="s">
        <v>73</v>
      </c>
      <c r="K1575" s="77" t="s">
        <v>10178</v>
      </c>
      <c r="L1575" s="79"/>
      <c r="M1575" s="79"/>
      <c r="N1575" s="79">
        <v>0.0</v>
      </c>
      <c r="O1575" s="74"/>
      <c r="P1575" s="80"/>
      <c r="Q1575" s="79"/>
      <c r="R1575" s="80"/>
      <c r="S1575" s="80" t="s">
        <v>10179</v>
      </c>
      <c r="T1575" s="101" t="s">
        <v>10180</v>
      </c>
      <c r="U1575" s="80"/>
      <c r="V1575" s="102" t="s">
        <v>429</v>
      </c>
      <c r="W1575" s="79" t="s">
        <v>309</v>
      </c>
      <c r="X1575" s="79" t="s">
        <v>309</v>
      </c>
      <c r="Y1575" s="79"/>
      <c r="Z1575" s="79"/>
    </row>
    <row r="1576" ht="15.75" customHeight="1">
      <c r="A1576" s="76" t="s">
        <v>247</v>
      </c>
      <c r="B1576" s="77" t="s">
        <v>8174</v>
      </c>
      <c r="C1576" s="80">
        <v>3.0707425454E10</v>
      </c>
      <c r="D1576" s="119" t="s">
        <v>264</v>
      </c>
      <c r="E1576" s="79" t="s">
        <v>1143</v>
      </c>
      <c r="F1576" s="44">
        <v>3545.0</v>
      </c>
      <c r="G1576" s="79" t="s">
        <v>15</v>
      </c>
      <c r="H1576" s="80">
        <v>1678.0</v>
      </c>
      <c r="I1576" s="79">
        <v>331900.0</v>
      </c>
      <c r="J1576" s="74" t="s">
        <v>433</v>
      </c>
      <c r="K1576" s="77" t="s">
        <v>6590</v>
      </c>
      <c r="L1576" s="79"/>
      <c r="M1576" s="79"/>
      <c r="N1576" s="79">
        <v>20.0</v>
      </c>
      <c r="O1576" s="74"/>
      <c r="P1576" s="114"/>
      <c r="Q1576" s="79"/>
      <c r="R1576" s="80"/>
      <c r="S1576" s="80" t="s">
        <v>10182</v>
      </c>
      <c r="T1576" s="101" t="s">
        <v>10183</v>
      </c>
      <c r="U1576" s="78" t="s">
        <v>10184</v>
      </c>
      <c r="V1576" s="102" t="s">
        <v>10185</v>
      </c>
      <c r="W1576" s="79" t="s">
        <v>309</v>
      </c>
      <c r="X1576" s="79" t="s">
        <v>309</v>
      </c>
      <c r="Y1576" s="79" t="s">
        <v>309</v>
      </c>
      <c r="Z1576" s="79"/>
    </row>
    <row r="1577" ht="15.75" customHeight="1">
      <c r="A1577" s="76" t="s">
        <v>247</v>
      </c>
      <c r="B1577" s="79" t="s">
        <v>8177</v>
      </c>
      <c r="C1577" s="80">
        <v>3.0708964707E10</v>
      </c>
      <c r="D1577" s="79" t="s">
        <v>264</v>
      </c>
      <c r="E1577" s="77" t="s">
        <v>4481</v>
      </c>
      <c r="F1577" s="44">
        <v>2837.0</v>
      </c>
      <c r="G1577" s="79" t="s">
        <v>15</v>
      </c>
      <c r="H1577" s="80">
        <v>1678.0</v>
      </c>
      <c r="I1577" s="79">
        <v>259309.0</v>
      </c>
      <c r="J1577" s="74" t="s">
        <v>347</v>
      </c>
      <c r="K1577" s="144" t="s">
        <v>1121</v>
      </c>
      <c r="L1577" s="79"/>
      <c r="M1577" s="79"/>
      <c r="N1577" s="79"/>
      <c r="O1577" s="79"/>
      <c r="P1577" s="80"/>
      <c r="Q1577" s="79"/>
      <c r="R1577" s="80"/>
      <c r="S1577" s="78" t="s">
        <v>10187</v>
      </c>
      <c r="T1577" s="85" t="s">
        <v>10188</v>
      </c>
      <c r="U1577" s="80"/>
      <c r="V1577" s="102" t="s">
        <v>10189</v>
      </c>
      <c r="W1577" s="79"/>
      <c r="X1577" s="79"/>
      <c r="Y1577" s="79"/>
      <c r="Z1577" s="79"/>
    </row>
    <row r="1578" ht="15.75" customHeight="1">
      <c r="A1578" s="76" t="s">
        <v>247</v>
      </c>
      <c r="B1578" s="77" t="s">
        <v>2374</v>
      </c>
      <c r="C1578" s="80">
        <v>3.0596296633E10</v>
      </c>
      <c r="D1578" s="79" t="s">
        <v>264</v>
      </c>
      <c r="E1578" s="79" t="s">
        <v>1323</v>
      </c>
      <c r="F1578" s="44">
        <v>4135.0</v>
      </c>
      <c r="G1578" s="79" t="s">
        <v>15</v>
      </c>
      <c r="H1578" s="80">
        <v>1678.0</v>
      </c>
      <c r="I1578" s="79">
        <v>259999.0</v>
      </c>
      <c r="J1578" s="74" t="s">
        <v>347</v>
      </c>
      <c r="K1578" s="77" t="s">
        <v>839</v>
      </c>
      <c r="L1578" s="79" t="s">
        <v>453</v>
      </c>
      <c r="M1578" s="79"/>
      <c r="N1578" s="79">
        <v>10.0</v>
      </c>
      <c r="O1578" s="74" t="s">
        <v>10192</v>
      </c>
      <c r="P1578" s="78" t="s">
        <v>10193</v>
      </c>
      <c r="Q1578" s="77" t="s">
        <v>10194</v>
      </c>
      <c r="R1578" s="80"/>
      <c r="S1578" s="80" t="s">
        <v>10195</v>
      </c>
      <c r="T1578" s="101"/>
      <c r="U1578" s="80" t="s">
        <v>332</v>
      </c>
      <c r="V1578" s="102" t="s">
        <v>10196</v>
      </c>
      <c r="W1578" s="79" t="s">
        <v>309</v>
      </c>
      <c r="X1578" s="79" t="s">
        <v>309</v>
      </c>
      <c r="Y1578" s="79" t="s">
        <v>309</v>
      </c>
      <c r="Z1578" s="79"/>
    </row>
    <row r="1579" ht="15.75" customHeight="1">
      <c r="A1579" s="76" t="s">
        <v>247</v>
      </c>
      <c r="B1579" s="77" t="s">
        <v>8186</v>
      </c>
      <c r="C1579" s="80">
        <v>3.3643430849E10</v>
      </c>
      <c r="D1579" s="79" t="s">
        <v>264</v>
      </c>
      <c r="E1579" s="77" t="s">
        <v>1109</v>
      </c>
      <c r="F1579" s="44">
        <v>4243.0</v>
      </c>
      <c r="G1579" s="79" t="s">
        <v>68</v>
      </c>
      <c r="H1579" s="80">
        <v>1702.0</v>
      </c>
      <c r="I1579" s="79">
        <v>293090.0</v>
      </c>
      <c r="J1579" s="74" t="s">
        <v>337</v>
      </c>
      <c r="K1579" s="77" t="s">
        <v>407</v>
      </c>
      <c r="L1579" s="79"/>
      <c r="M1579" s="79"/>
      <c r="N1579" s="79">
        <v>8.0</v>
      </c>
      <c r="O1579" s="74" t="s">
        <v>10198</v>
      </c>
      <c r="P1579" s="80"/>
      <c r="Q1579" s="79"/>
      <c r="R1579" s="80"/>
      <c r="S1579" s="78" t="s">
        <v>10199</v>
      </c>
      <c r="T1579" s="101" t="s">
        <v>10200</v>
      </c>
      <c r="U1579" s="80" t="s">
        <v>332</v>
      </c>
      <c r="V1579" s="102" t="s">
        <v>10201</v>
      </c>
      <c r="W1579" s="79" t="s">
        <v>309</v>
      </c>
      <c r="X1579" s="79" t="s">
        <v>309</v>
      </c>
      <c r="Y1579" s="79" t="s">
        <v>309</v>
      </c>
      <c r="Z1579" s="79"/>
    </row>
    <row r="1580" ht="15.75" customHeight="1">
      <c r="A1580" s="76" t="s">
        <v>247</v>
      </c>
      <c r="B1580" s="77" t="s">
        <v>8191</v>
      </c>
      <c r="C1580" s="80">
        <v>2.0186281919E10</v>
      </c>
      <c r="D1580" s="144" t="s">
        <v>631</v>
      </c>
      <c r="E1580" s="79" t="s">
        <v>6255</v>
      </c>
      <c r="F1580" s="44">
        <v>10027.0</v>
      </c>
      <c r="G1580" s="79" t="s">
        <v>119</v>
      </c>
      <c r="H1580" s="80">
        <v>1657.0</v>
      </c>
      <c r="I1580" s="79">
        <v>282300.0</v>
      </c>
      <c r="J1580" s="74" t="s">
        <v>347</v>
      </c>
      <c r="K1580" s="77" t="s">
        <v>4825</v>
      </c>
      <c r="L1580" s="79" t="s">
        <v>662</v>
      </c>
      <c r="M1580" s="79" t="s">
        <v>10203</v>
      </c>
      <c r="N1580" s="79"/>
      <c r="O1580" s="74"/>
      <c r="P1580" s="80"/>
      <c r="Q1580" s="79"/>
      <c r="R1580" s="80"/>
      <c r="S1580" s="78" t="s">
        <v>10205</v>
      </c>
      <c r="T1580" s="101"/>
      <c r="U1580" s="80"/>
      <c r="V1580" s="102" t="s">
        <v>10206</v>
      </c>
      <c r="W1580" s="79"/>
      <c r="X1580" s="79"/>
      <c r="Y1580" s="79"/>
      <c r="Z1580" s="79"/>
    </row>
    <row r="1581" ht="15.75" customHeight="1">
      <c r="A1581" s="76" t="s">
        <v>247</v>
      </c>
      <c r="B1581" s="77" t="s">
        <v>8195</v>
      </c>
      <c r="C1581" s="80">
        <v>2.0315505691E10</v>
      </c>
      <c r="D1581" s="144" t="s">
        <v>631</v>
      </c>
      <c r="E1581" s="79" t="s">
        <v>1152</v>
      </c>
      <c r="F1581" s="44">
        <v>3045.0</v>
      </c>
      <c r="G1581" s="79" t="s">
        <v>15</v>
      </c>
      <c r="H1581" s="80">
        <v>1678.0</v>
      </c>
      <c r="I1581" s="79">
        <v>259999.0</v>
      </c>
      <c r="J1581" s="74" t="s">
        <v>347</v>
      </c>
      <c r="K1581" s="77" t="s">
        <v>839</v>
      </c>
      <c r="L1581" s="79" t="s">
        <v>453</v>
      </c>
      <c r="M1581" s="79"/>
      <c r="N1581" s="79"/>
      <c r="O1581" s="79"/>
      <c r="P1581" s="80"/>
      <c r="Q1581" s="79"/>
      <c r="R1581" s="80"/>
      <c r="S1581" s="78" t="s">
        <v>10208</v>
      </c>
      <c r="T1581" s="85" t="s">
        <v>10209</v>
      </c>
      <c r="U1581" s="80"/>
      <c r="V1581" s="102" t="s">
        <v>10210</v>
      </c>
      <c r="W1581" s="79"/>
      <c r="X1581" s="79"/>
      <c r="Y1581" s="79"/>
      <c r="Z1581" s="79"/>
    </row>
    <row r="1582" ht="15.75" customHeight="1">
      <c r="A1582" s="76" t="s">
        <v>247</v>
      </c>
      <c r="B1582" s="77" t="s">
        <v>2380</v>
      </c>
      <c r="C1582" s="80">
        <v>3.0709089583E10</v>
      </c>
      <c r="D1582" s="119" t="s">
        <v>264</v>
      </c>
      <c r="E1582" s="79" t="s">
        <v>7734</v>
      </c>
      <c r="F1582" s="44">
        <v>5140.0</v>
      </c>
      <c r="G1582" s="79" t="s">
        <v>15</v>
      </c>
      <c r="H1582" s="80">
        <v>1678.0</v>
      </c>
      <c r="I1582" s="79">
        <v>259910.0</v>
      </c>
      <c r="J1582" s="74" t="s">
        <v>347</v>
      </c>
      <c r="K1582" s="79" t="s">
        <v>4990</v>
      </c>
      <c r="L1582" s="79" t="s">
        <v>453</v>
      </c>
      <c r="M1582" s="77" t="s">
        <v>10212</v>
      </c>
      <c r="N1582" s="79">
        <v>8.0</v>
      </c>
      <c r="O1582" s="83" t="s">
        <v>10213</v>
      </c>
      <c r="P1582" s="78" t="s">
        <v>10214</v>
      </c>
      <c r="Q1582" s="79"/>
      <c r="R1582" s="80"/>
      <c r="S1582" s="78" t="s">
        <v>10215</v>
      </c>
      <c r="T1582" s="85" t="s">
        <v>10216</v>
      </c>
      <c r="U1582" s="78" t="s">
        <v>10217</v>
      </c>
      <c r="V1582" s="102" t="s">
        <v>10218</v>
      </c>
      <c r="W1582" s="79" t="s">
        <v>309</v>
      </c>
      <c r="X1582" s="79" t="s">
        <v>309</v>
      </c>
      <c r="Y1582" s="79" t="s">
        <v>309</v>
      </c>
      <c r="Z1582" s="79"/>
    </row>
    <row r="1583" ht="15.75" customHeight="1">
      <c r="A1583" s="76" t="s">
        <v>247</v>
      </c>
      <c r="B1583" s="77" t="s">
        <v>8204</v>
      </c>
      <c r="C1583" s="80">
        <v>3.0712272372E10</v>
      </c>
      <c r="D1583" s="79" t="s">
        <v>264</v>
      </c>
      <c r="E1583" s="79" t="s">
        <v>10220</v>
      </c>
      <c r="F1583" s="44">
        <v>741.0</v>
      </c>
      <c r="G1583" s="79" t="s">
        <v>269</v>
      </c>
      <c r="H1583" s="80">
        <v>1682.0</v>
      </c>
      <c r="I1583" s="79">
        <v>259993.0</v>
      </c>
      <c r="J1583" s="74" t="s">
        <v>347</v>
      </c>
      <c r="K1583" s="77" t="s">
        <v>839</v>
      </c>
      <c r="L1583" s="79" t="s">
        <v>453</v>
      </c>
      <c r="M1583" s="79"/>
      <c r="N1583" s="79">
        <v>6.0</v>
      </c>
      <c r="O1583" s="74"/>
      <c r="P1583" s="80"/>
      <c r="Q1583" s="79"/>
      <c r="R1583" s="80"/>
      <c r="S1583" s="80" t="s">
        <v>10222</v>
      </c>
      <c r="T1583" s="85" t="s">
        <v>10223</v>
      </c>
      <c r="U1583" s="78" t="s">
        <v>10224</v>
      </c>
      <c r="V1583" s="102" t="s">
        <v>10225</v>
      </c>
      <c r="W1583" s="79" t="s">
        <v>306</v>
      </c>
      <c r="X1583" s="79" t="s">
        <v>306</v>
      </c>
      <c r="Y1583" s="79" t="s">
        <v>309</v>
      </c>
      <c r="Z1583" s="79"/>
    </row>
    <row r="1584" ht="15.75" customHeight="1">
      <c r="A1584" s="76" t="s">
        <v>247</v>
      </c>
      <c r="B1584" s="77" t="s">
        <v>2384</v>
      </c>
      <c r="C1584" s="80">
        <v>3.0707522557E10</v>
      </c>
      <c r="D1584" s="119" t="s">
        <v>264</v>
      </c>
      <c r="E1584" s="79" t="s">
        <v>7101</v>
      </c>
      <c r="F1584" s="44">
        <v>1468.0</v>
      </c>
      <c r="G1584" s="79" t="s">
        <v>285</v>
      </c>
      <c r="H1584" s="80">
        <v>1675.0</v>
      </c>
      <c r="I1584" s="79">
        <v>141191.0</v>
      </c>
      <c r="J1584" s="74" t="s">
        <v>448</v>
      </c>
      <c r="K1584" s="77" t="s">
        <v>5097</v>
      </c>
      <c r="L1584" s="79" t="s">
        <v>1122</v>
      </c>
      <c r="M1584" s="79" t="s">
        <v>10228</v>
      </c>
      <c r="N1584" s="79">
        <v>40.0</v>
      </c>
      <c r="O1584" s="83" t="s">
        <v>10229</v>
      </c>
      <c r="P1584" s="85" t="s">
        <v>10230</v>
      </c>
      <c r="Q1584" s="77" t="s">
        <v>10231</v>
      </c>
      <c r="R1584" s="78" t="s">
        <v>10232</v>
      </c>
      <c r="S1584" s="78" t="s">
        <v>10233</v>
      </c>
      <c r="T1584" s="80" t="s">
        <v>10234</v>
      </c>
      <c r="U1584" s="78" t="s">
        <v>10235</v>
      </c>
      <c r="V1584" s="102" t="s">
        <v>10236</v>
      </c>
      <c r="W1584" s="79" t="s">
        <v>309</v>
      </c>
      <c r="X1584" s="79" t="s">
        <v>309</v>
      </c>
      <c r="Y1584" s="79" t="s">
        <v>309</v>
      </c>
      <c r="Z1584" s="79"/>
    </row>
    <row r="1585" ht="15.75" customHeight="1">
      <c r="A1585" s="76" t="s">
        <v>247</v>
      </c>
      <c r="B1585" s="77" t="s">
        <v>2389</v>
      </c>
      <c r="C1585" s="80">
        <v>2.016929285E10</v>
      </c>
      <c r="D1585" s="77" t="s">
        <v>631</v>
      </c>
      <c r="E1585" s="77" t="s">
        <v>314</v>
      </c>
      <c r="F1585" s="44">
        <v>4720.0</v>
      </c>
      <c r="G1585" s="79" t="s">
        <v>15</v>
      </c>
      <c r="H1585" s="80">
        <v>1678.0</v>
      </c>
      <c r="I1585" s="79">
        <v>282909.0</v>
      </c>
      <c r="J1585" s="74" t="s">
        <v>347</v>
      </c>
      <c r="K1585" s="77" t="s">
        <v>10238</v>
      </c>
      <c r="L1585" s="79" t="s">
        <v>1122</v>
      </c>
      <c r="M1585" s="79" t="s">
        <v>10239</v>
      </c>
      <c r="N1585" s="79"/>
      <c r="O1585" s="79" t="s">
        <v>10241</v>
      </c>
      <c r="P1585" s="78" t="s">
        <v>10242</v>
      </c>
      <c r="Q1585" s="79"/>
      <c r="R1585" s="80"/>
      <c r="S1585" s="78" t="s">
        <v>10243</v>
      </c>
      <c r="T1585" s="101"/>
      <c r="U1585" s="80"/>
      <c r="V1585" s="102" t="s">
        <v>429</v>
      </c>
      <c r="W1585" s="79"/>
      <c r="X1585" s="79"/>
      <c r="Y1585" s="79" t="s">
        <v>309</v>
      </c>
      <c r="Z1585" s="79"/>
    </row>
    <row r="1586" ht="15.75" customHeight="1">
      <c r="A1586" s="76" t="s">
        <v>247</v>
      </c>
      <c r="B1586" s="77" t="s">
        <v>2393</v>
      </c>
      <c r="C1586" s="80">
        <v>3.0682593101E10</v>
      </c>
      <c r="D1586" s="79" t="s">
        <v>264</v>
      </c>
      <c r="E1586" s="77" t="s">
        <v>10244</v>
      </c>
      <c r="F1586" s="44">
        <v>1432.0</v>
      </c>
      <c r="G1586" s="79" t="s">
        <v>68</v>
      </c>
      <c r="H1586" s="80">
        <v>1702.0</v>
      </c>
      <c r="I1586" s="79">
        <v>210010.0</v>
      </c>
      <c r="J1586" s="74" t="s">
        <v>316</v>
      </c>
      <c r="K1586" s="79" t="s">
        <v>7487</v>
      </c>
      <c r="L1586" s="79"/>
      <c r="M1586" s="79"/>
      <c r="N1586" s="79">
        <v>60.0</v>
      </c>
      <c r="O1586" s="126" t="s">
        <v>10246</v>
      </c>
      <c r="P1586" s="78" t="s">
        <v>10247</v>
      </c>
      <c r="Q1586" s="77" t="s">
        <v>10248</v>
      </c>
      <c r="R1586" s="80"/>
      <c r="S1586" s="80" t="s">
        <v>10249</v>
      </c>
      <c r="T1586" s="85" t="s">
        <v>10250</v>
      </c>
      <c r="U1586" s="80" t="s">
        <v>10251</v>
      </c>
      <c r="V1586" s="102" t="s">
        <v>10252</v>
      </c>
      <c r="W1586" s="79" t="s">
        <v>309</v>
      </c>
      <c r="X1586" s="79" t="s">
        <v>309</v>
      </c>
      <c r="Y1586" s="79" t="s">
        <v>309</v>
      </c>
      <c r="Z1586" s="79"/>
    </row>
    <row r="1587" ht="15.75" customHeight="1">
      <c r="A1587" s="76" t="s">
        <v>247</v>
      </c>
      <c r="B1587" s="77" t="s">
        <v>8215</v>
      </c>
      <c r="C1587" s="80">
        <v>3.0708614269E10</v>
      </c>
      <c r="D1587" s="79" t="s">
        <v>264</v>
      </c>
      <c r="E1587" s="79" t="s">
        <v>1095</v>
      </c>
      <c r="F1587" s="44">
        <v>4235.0</v>
      </c>
      <c r="G1587" s="79" t="s">
        <v>15</v>
      </c>
      <c r="H1587" s="80">
        <v>1678.0</v>
      </c>
      <c r="I1587" s="79">
        <v>293090.0</v>
      </c>
      <c r="J1587" s="74" t="s">
        <v>337</v>
      </c>
      <c r="K1587" s="77" t="s">
        <v>407</v>
      </c>
      <c r="L1587" s="79" t="s">
        <v>453</v>
      </c>
      <c r="M1587" s="79" t="s">
        <v>4430</v>
      </c>
      <c r="N1587" s="79">
        <v>20.0</v>
      </c>
      <c r="O1587" s="74"/>
      <c r="P1587" s="80"/>
      <c r="Q1587" s="79"/>
      <c r="R1587" s="80"/>
      <c r="S1587" s="78" t="s">
        <v>10254</v>
      </c>
      <c r="T1587" s="85" t="s">
        <v>8355</v>
      </c>
      <c r="U1587" s="80" t="s">
        <v>332</v>
      </c>
      <c r="V1587" s="102" t="s">
        <v>10255</v>
      </c>
      <c r="W1587" s="79" t="s">
        <v>309</v>
      </c>
      <c r="X1587" s="79" t="s">
        <v>309</v>
      </c>
      <c r="Y1587" s="79" t="s">
        <v>309</v>
      </c>
      <c r="Z1587" s="79"/>
    </row>
    <row r="1588" ht="15.75" customHeight="1">
      <c r="A1588" s="103" t="s">
        <v>24</v>
      </c>
      <c r="B1588" s="79" t="s">
        <v>10257</v>
      </c>
      <c r="C1588" s="80">
        <v>3.068530701E10</v>
      </c>
      <c r="D1588" s="144" t="s">
        <v>631</v>
      </c>
      <c r="E1588" s="79" t="s">
        <v>2938</v>
      </c>
      <c r="F1588" s="44">
        <v>673.0</v>
      </c>
      <c r="G1588" s="79" t="s">
        <v>68</v>
      </c>
      <c r="H1588" s="80">
        <v>1702.0</v>
      </c>
      <c r="I1588" s="79">
        <v>711009.0</v>
      </c>
      <c r="J1588" s="74" t="s">
        <v>433</v>
      </c>
      <c r="K1588" s="77" t="s">
        <v>2325</v>
      </c>
      <c r="L1588" s="79"/>
      <c r="M1588" s="79"/>
      <c r="N1588" s="79">
        <v>0.0</v>
      </c>
      <c r="O1588" s="74"/>
      <c r="P1588" s="80"/>
      <c r="Q1588" s="79"/>
      <c r="R1588" s="80"/>
      <c r="S1588" s="78" t="s">
        <v>10259</v>
      </c>
      <c r="T1588" s="85" t="s">
        <v>10260</v>
      </c>
      <c r="U1588" s="80" t="s">
        <v>332</v>
      </c>
      <c r="V1588" s="102" t="s">
        <v>429</v>
      </c>
      <c r="W1588" s="79" t="s">
        <v>306</v>
      </c>
      <c r="X1588" s="79" t="s">
        <v>306</v>
      </c>
      <c r="Y1588" s="79"/>
      <c r="Z1588" s="79"/>
    </row>
    <row r="1589" ht="15.75" customHeight="1">
      <c r="A1589" s="103" t="s">
        <v>24</v>
      </c>
      <c r="B1589" s="79" t="s">
        <v>4331</v>
      </c>
      <c r="C1589" s="80">
        <v>3.0715222449E10</v>
      </c>
      <c r="D1589" s="79" t="s">
        <v>264</v>
      </c>
      <c r="E1589" s="79" t="s">
        <v>10262</v>
      </c>
      <c r="F1589" s="44">
        <v>2107.0</v>
      </c>
      <c r="G1589" s="79" t="s">
        <v>175</v>
      </c>
      <c r="H1589" s="80">
        <v>1657.0</v>
      </c>
      <c r="I1589" s="79">
        <v>259999.0</v>
      </c>
      <c r="J1589" s="74" t="s">
        <v>347</v>
      </c>
      <c r="K1589" s="77" t="s">
        <v>839</v>
      </c>
      <c r="L1589" s="79" t="s">
        <v>453</v>
      </c>
      <c r="M1589" s="79"/>
      <c r="N1589" s="79">
        <v>0.0</v>
      </c>
      <c r="O1589" s="74"/>
      <c r="P1589" s="80"/>
      <c r="Q1589" s="79"/>
      <c r="R1589" s="80"/>
      <c r="S1589" s="78" t="s">
        <v>10265</v>
      </c>
      <c r="T1589" s="85" t="s">
        <v>10266</v>
      </c>
      <c r="U1589" s="80" t="s">
        <v>332</v>
      </c>
      <c r="V1589" s="102" t="s">
        <v>429</v>
      </c>
      <c r="W1589" s="79" t="s">
        <v>306</v>
      </c>
      <c r="X1589" s="79" t="s">
        <v>306</v>
      </c>
      <c r="Y1589" s="79"/>
      <c r="Z1589" s="79"/>
    </row>
    <row r="1590" ht="15.75" customHeight="1">
      <c r="A1590" s="103" t="s">
        <v>24</v>
      </c>
      <c r="B1590" s="77" t="s">
        <v>10267</v>
      </c>
      <c r="C1590" s="80">
        <v>3.0691004887E10</v>
      </c>
      <c r="D1590" s="119" t="s">
        <v>264</v>
      </c>
      <c r="E1590" s="79" t="s">
        <v>898</v>
      </c>
      <c r="F1590" s="44">
        <v>3863.0</v>
      </c>
      <c r="G1590" s="79" t="s">
        <v>68</v>
      </c>
      <c r="H1590" s="80">
        <v>1702.0</v>
      </c>
      <c r="I1590" s="79">
        <v>742103.0</v>
      </c>
      <c r="J1590" s="74" t="s">
        <v>433</v>
      </c>
      <c r="K1590" s="79" t="s">
        <v>9297</v>
      </c>
      <c r="L1590" s="79"/>
      <c r="M1590" s="79"/>
      <c r="N1590" s="79">
        <v>0.0</v>
      </c>
      <c r="O1590" s="74"/>
      <c r="P1590" s="80"/>
      <c r="Q1590" s="79"/>
      <c r="R1590" s="80"/>
      <c r="S1590" s="78" t="s">
        <v>10269</v>
      </c>
      <c r="T1590" s="101" t="s">
        <v>332</v>
      </c>
      <c r="U1590" s="114" t="s">
        <v>332</v>
      </c>
      <c r="V1590" s="102" t="s">
        <v>429</v>
      </c>
      <c r="W1590" s="79" t="s">
        <v>306</v>
      </c>
      <c r="X1590" s="79" t="s">
        <v>306</v>
      </c>
      <c r="Y1590" s="79"/>
      <c r="Z1590" s="79"/>
    </row>
    <row r="1591" ht="15.75" customHeight="1">
      <c r="A1591" s="76" t="s">
        <v>247</v>
      </c>
      <c r="B1591" s="79" t="s">
        <v>8219</v>
      </c>
      <c r="C1591" s="80">
        <v>2.0172311017E10</v>
      </c>
      <c r="D1591" s="77" t="s">
        <v>631</v>
      </c>
      <c r="E1591" s="79" t="s">
        <v>1095</v>
      </c>
      <c r="F1591" s="128">
        <v>1286.0</v>
      </c>
      <c r="G1591" s="79" t="s">
        <v>249</v>
      </c>
      <c r="H1591" s="80">
        <v>1676.0</v>
      </c>
      <c r="I1591" s="79">
        <v>271010.0</v>
      </c>
      <c r="J1591" s="74" t="s">
        <v>207</v>
      </c>
      <c r="K1591" s="77" t="s">
        <v>661</v>
      </c>
      <c r="L1591" s="79"/>
      <c r="M1591" s="79"/>
      <c r="N1591" s="79">
        <v>2.0</v>
      </c>
      <c r="O1591" s="74" t="s">
        <v>10271</v>
      </c>
      <c r="P1591" s="80"/>
      <c r="Q1591" s="79"/>
      <c r="R1591" s="80"/>
      <c r="S1591" s="78" t="s">
        <v>10272</v>
      </c>
      <c r="T1591" s="85" t="s">
        <v>10273</v>
      </c>
      <c r="U1591" s="80"/>
      <c r="V1591" s="102" t="s">
        <v>10274</v>
      </c>
      <c r="W1591" s="79" t="s">
        <v>306</v>
      </c>
      <c r="X1591" s="79" t="s">
        <v>306</v>
      </c>
      <c r="Y1591" s="79" t="s">
        <v>309</v>
      </c>
      <c r="Z1591" s="79"/>
    </row>
    <row r="1592" ht="15.75" customHeight="1">
      <c r="A1592" s="76" t="s">
        <v>247</v>
      </c>
      <c r="B1592" s="77" t="s">
        <v>8226</v>
      </c>
      <c r="C1592" s="80">
        <v>3.0709310603E10</v>
      </c>
      <c r="D1592" s="119" t="s">
        <v>264</v>
      </c>
      <c r="E1592" s="79" t="s">
        <v>1705</v>
      </c>
      <c r="F1592" s="44">
        <v>470.0</v>
      </c>
      <c r="G1592" s="79" t="s">
        <v>68</v>
      </c>
      <c r="H1592" s="80">
        <v>1702.0</v>
      </c>
      <c r="I1592" s="79">
        <v>141199.0</v>
      </c>
      <c r="J1592" s="74" t="s">
        <v>448</v>
      </c>
      <c r="K1592" s="77" t="s">
        <v>2765</v>
      </c>
      <c r="L1592" s="79" t="s">
        <v>1122</v>
      </c>
      <c r="M1592" s="79"/>
      <c r="N1592" s="79">
        <v>24.0</v>
      </c>
      <c r="O1592" s="74"/>
      <c r="P1592" s="80"/>
      <c r="Q1592" s="79"/>
      <c r="R1592" s="80"/>
      <c r="S1592" s="80" t="s">
        <v>10276</v>
      </c>
      <c r="T1592" s="101" t="s">
        <v>10277</v>
      </c>
      <c r="U1592" s="80" t="s">
        <v>332</v>
      </c>
      <c r="V1592" s="102" t="s">
        <v>429</v>
      </c>
      <c r="W1592" s="79" t="s">
        <v>309</v>
      </c>
      <c r="X1592" s="79" t="s">
        <v>309</v>
      </c>
      <c r="Y1592" s="79" t="s">
        <v>309</v>
      </c>
      <c r="Z1592" s="79"/>
    </row>
    <row r="1593" ht="15.75" customHeight="1">
      <c r="A1593" s="76" t="s">
        <v>247</v>
      </c>
      <c r="B1593" s="77" t="s">
        <v>4335</v>
      </c>
      <c r="C1593" s="80">
        <v>3.0584722513E10</v>
      </c>
      <c r="D1593" s="119" t="s">
        <v>264</v>
      </c>
      <c r="E1593" s="77" t="s">
        <v>943</v>
      </c>
      <c r="F1593" s="44">
        <v>4266.0</v>
      </c>
      <c r="G1593" s="79" t="s">
        <v>68</v>
      </c>
      <c r="H1593" s="80">
        <v>1702.0</v>
      </c>
      <c r="I1593" s="79">
        <v>222090.0</v>
      </c>
      <c r="J1593" s="83" t="s">
        <v>568</v>
      </c>
      <c r="K1593" s="77" t="s">
        <v>569</v>
      </c>
      <c r="L1593" s="79" t="s">
        <v>453</v>
      </c>
      <c r="M1593" s="79"/>
      <c r="N1593" s="79">
        <v>0.0</v>
      </c>
      <c r="O1593" s="74" t="s">
        <v>10280</v>
      </c>
      <c r="P1593" s="78" t="s">
        <v>10282</v>
      </c>
      <c r="Q1593" s="79" t="s">
        <v>6749</v>
      </c>
      <c r="R1593" s="80"/>
      <c r="S1593" s="78" t="s">
        <v>6821</v>
      </c>
      <c r="T1593" s="85" t="s">
        <v>6821</v>
      </c>
      <c r="U1593" s="85" t="s">
        <v>10283</v>
      </c>
      <c r="V1593" s="102" t="s">
        <v>6823</v>
      </c>
      <c r="W1593" s="79"/>
      <c r="X1593" s="79"/>
      <c r="Y1593" s="79" t="s">
        <v>309</v>
      </c>
      <c r="Z1593" s="79"/>
    </row>
    <row r="1594" ht="15.75" customHeight="1">
      <c r="A1594" s="76" t="s">
        <v>247</v>
      </c>
      <c r="B1594" s="77" t="s">
        <v>8231</v>
      </c>
      <c r="C1594" s="80">
        <v>3.0502183326E10</v>
      </c>
      <c r="D1594" s="119" t="s">
        <v>264</v>
      </c>
      <c r="E1594" s="79" t="s">
        <v>1904</v>
      </c>
      <c r="F1594" s="44">
        <v>3131.0</v>
      </c>
      <c r="G1594" s="79" t="s">
        <v>15</v>
      </c>
      <c r="H1594" s="80">
        <v>1678.0</v>
      </c>
      <c r="I1594" s="77">
        <v>681098.0</v>
      </c>
      <c r="J1594" s="74" t="s">
        <v>347</v>
      </c>
      <c r="K1594" s="77" t="s">
        <v>3489</v>
      </c>
      <c r="L1594" s="79" t="s">
        <v>453</v>
      </c>
      <c r="M1594" s="79"/>
      <c r="N1594" s="79">
        <v>3.0</v>
      </c>
      <c r="O1594" s="74"/>
      <c r="P1594" s="80"/>
      <c r="Q1594" s="79"/>
      <c r="R1594" s="80"/>
      <c r="S1594" s="78" t="s">
        <v>10285</v>
      </c>
      <c r="T1594" s="101" t="s">
        <v>332</v>
      </c>
      <c r="U1594" s="80" t="s">
        <v>332</v>
      </c>
      <c r="V1594" s="102" t="s">
        <v>429</v>
      </c>
      <c r="W1594" s="79" t="s">
        <v>309</v>
      </c>
      <c r="X1594" s="79" t="s">
        <v>309</v>
      </c>
      <c r="Y1594" s="79" t="s">
        <v>309</v>
      </c>
      <c r="Z1594" s="79"/>
    </row>
    <row r="1595" ht="15.75" customHeight="1">
      <c r="A1595" s="103" t="s">
        <v>24</v>
      </c>
      <c r="B1595" s="77" t="s">
        <v>10287</v>
      </c>
      <c r="C1595" s="80">
        <v>3.0506208633E10</v>
      </c>
      <c r="D1595" s="79" t="s">
        <v>264</v>
      </c>
      <c r="E1595" s="79" t="s">
        <v>1246</v>
      </c>
      <c r="F1595" s="44">
        <v>1560.0</v>
      </c>
      <c r="G1595" s="79" t="s">
        <v>68</v>
      </c>
      <c r="H1595" s="80">
        <v>1702.0</v>
      </c>
      <c r="I1595" s="79">
        <v>289993.0</v>
      </c>
      <c r="J1595" s="74" t="s">
        <v>347</v>
      </c>
      <c r="K1595" s="129" t="s">
        <v>638</v>
      </c>
      <c r="L1595" s="79" t="s">
        <v>453</v>
      </c>
      <c r="M1595" s="79"/>
      <c r="N1595" s="79">
        <v>0.0</v>
      </c>
      <c r="O1595" s="74"/>
      <c r="P1595" s="80"/>
      <c r="Q1595" s="79"/>
      <c r="R1595" s="80"/>
      <c r="S1595" s="80" t="s">
        <v>10288</v>
      </c>
      <c r="T1595" s="101" t="s">
        <v>332</v>
      </c>
      <c r="U1595" s="80" t="s">
        <v>332</v>
      </c>
      <c r="V1595" s="102" t="s">
        <v>429</v>
      </c>
      <c r="W1595" s="79" t="s">
        <v>309</v>
      </c>
      <c r="X1595" s="79" t="s">
        <v>309</v>
      </c>
      <c r="Y1595" s="79"/>
      <c r="Z1595" s="79"/>
    </row>
    <row r="1596" ht="15.75" customHeight="1">
      <c r="A1596" s="76" t="s">
        <v>247</v>
      </c>
      <c r="B1596" s="77" t="s">
        <v>2398</v>
      </c>
      <c r="C1596" s="80">
        <v>3.3504596309E10</v>
      </c>
      <c r="D1596" s="119" t="s">
        <v>264</v>
      </c>
      <c r="E1596" s="79" t="s">
        <v>4571</v>
      </c>
      <c r="F1596" s="44">
        <v>431.0</v>
      </c>
      <c r="G1596" s="79" t="s">
        <v>68</v>
      </c>
      <c r="H1596" s="80">
        <v>1702.0</v>
      </c>
      <c r="I1596" s="79">
        <v>282909.0</v>
      </c>
      <c r="J1596" s="74" t="s">
        <v>347</v>
      </c>
      <c r="K1596" s="77" t="s">
        <v>2642</v>
      </c>
      <c r="L1596" s="79" t="s">
        <v>662</v>
      </c>
      <c r="M1596" s="79"/>
      <c r="N1596" s="79">
        <v>59.0</v>
      </c>
      <c r="O1596" s="74" t="s">
        <v>10290</v>
      </c>
      <c r="P1596" s="80"/>
      <c r="Q1596" s="79"/>
      <c r="R1596" s="80"/>
      <c r="S1596" s="80" t="s">
        <v>10292</v>
      </c>
      <c r="T1596" s="101" t="s">
        <v>10293</v>
      </c>
      <c r="U1596" s="80" t="s">
        <v>10294</v>
      </c>
      <c r="V1596" s="102" t="s">
        <v>429</v>
      </c>
      <c r="W1596" s="79" t="s">
        <v>309</v>
      </c>
      <c r="X1596" s="79" t="s">
        <v>309</v>
      </c>
      <c r="Y1596" s="79" t="s">
        <v>309</v>
      </c>
      <c r="Z1596" s="79"/>
    </row>
    <row r="1597" ht="15.75" customHeight="1">
      <c r="A1597" s="103" t="s">
        <v>24</v>
      </c>
      <c r="B1597" s="79" t="s">
        <v>10295</v>
      </c>
      <c r="C1597" s="80">
        <v>3.0709569798E10</v>
      </c>
      <c r="D1597" s="144" t="s">
        <v>631</v>
      </c>
      <c r="E1597" s="77" t="s">
        <v>1765</v>
      </c>
      <c r="F1597" s="44">
        <v>3746.0</v>
      </c>
      <c r="G1597" s="79" t="s">
        <v>15</v>
      </c>
      <c r="H1597" s="80">
        <v>1678.0</v>
      </c>
      <c r="I1597" s="79">
        <v>331210.0</v>
      </c>
      <c r="J1597" s="74" t="s">
        <v>433</v>
      </c>
      <c r="K1597" s="79" t="s">
        <v>5543</v>
      </c>
      <c r="L1597" s="79"/>
      <c r="M1597" s="79"/>
      <c r="N1597" s="79">
        <v>0.0</v>
      </c>
      <c r="O1597" s="74"/>
      <c r="P1597" s="80"/>
      <c r="Q1597" s="79"/>
      <c r="R1597" s="80"/>
      <c r="S1597" s="80" t="s">
        <v>8812</v>
      </c>
      <c r="T1597" s="101" t="s">
        <v>332</v>
      </c>
      <c r="U1597" s="80" t="s">
        <v>332</v>
      </c>
      <c r="V1597" s="102" t="s">
        <v>429</v>
      </c>
      <c r="W1597" s="79" t="s">
        <v>306</v>
      </c>
      <c r="X1597" s="79" t="s">
        <v>306</v>
      </c>
      <c r="Y1597" s="79" t="s">
        <v>309</v>
      </c>
      <c r="Z1597" s="79"/>
    </row>
    <row r="1598" ht="15.75" customHeight="1">
      <c r="A1598" s="76" t="s">
        <v>247</v>
      </c>
      <c r="B1598" s="79" t="s">
        <v>10297</v>
      </c>
      <c r="C1598" s="80">
        <v>3.0620416769E10</v>
      </c>
      <c r="D1598" s="79" t="s">
        <v>264</v>
      </c>
      <c r="E1598" s="77" t="s">
        <v>1596</v>
      </c>
      <c r="F1598" s="44">
        <v>4420.0</v>
      </c>
      <c r="G1598" s="79" t="s">
        <v>15</v>
      </c>
      <c r="H1598" s="80">
        <v>1678.0</v>
      </c>
      <c r="I1598" s="77">
        <v>310010.0</v>
      </c>
      <c r="J1598" s="74" t="s">
        <v>313</v>
      </c>
      <c r="K1598" s="79" t="s">
        <v>2534</v>
      </c>
      <c r="L1598" s="79" t="s">
        <v>1122</v>
      </c>
      <c r="M1598" s="79"/>
      <c r="N1598" s="79">
        <v>0.0</v>
      </c>
      <c r="O1598" s="74" t="s">
        <v>10299</v>
      </c>
      <c r="P1598" s="78" t="s">
        <v>10300</v>
      </c>
      <c r="Q1598" s="79"/>
      <c r="R1598" s="80"/>
      <c r="S1598" s="80"/>
      <c r="T1598" s="101" t="s">
        <v>332</v>
      </c>
      <c r="U1598" s="80" t="s">
        <v>332</v>
      </c>
      <c r="V1598" s="102" t="s">
        <v>10301</v>
      </c>
      <c r="W1598" s="79" t="s">
        <v>306</v>
      </c>
      <c r="X1598" s="79" t="s">
        <v>306</v>
      </c>
      <c r="Y1598" s="79"/>
      <c r="Z1598" s="79"/>
    </row>
    <row r="1599" ht="15.75" customHeight="1">
      <c r="A1599" s="103" t="s">
        <v>24</v>
      </c>
      <c r="B1599" s="77" t="s">
        <v>8236</v>
      </c>
      <c r="C1599" s="80">
        <v>3.0709779741E10</v>
      </c>
      <c r="D1599" s="119" t="s">
        <v>264</v>
      </c>
      <c r="E1599" s="79" t="s">
        <v>5291</v>
      </c>
      <c r="F1599" s="128">
        <v>2257.0</v>
      </c>
      <c r="G1599" s="79" t="s">
        <v>175</v>
      </c>
      <c r="H1599" s="80">
        <v>1657.0</v>
      </c>
      <c r="I1599" s="79">
        <v>602180.0</v>
      </c>
      <c r="J1599" s="74" t="s">
        <v>433</v>
      </c>
      <c r="K1599" s="77" t="s">
        <v>10303</v>
      </c>
      <c r="L1599" s="79"/>
      <c r="M1599" s="79"/>
      <c r="N1599" s="79">
        <v>0.0</v>
      </c>
      <c r="O1599" s="74"/>
      <c r="P1599" s="78"/>
      <c r="Q1599" s="79"/>
      <c r="R1599" s="80"/>
      <c r="S1599" s="78">
        <v>4.9974078E7</v>
      </c>
      <c r="T1599" s="101" t="s">
        <v>332</v>
      </c>
      <c r="U1599" s="80" t="s">
        <v>332</v>
      </c>
      <c r="V1599" s="102" t="s">
        <v>10305</v>
      </c>
      <c r="W1599" s="79" t="s">
        <v>306</v>
      </c>
      <c r="X1599" s="79" t="s">
        <v>306</v>
      </c>
      <c r="Y1599" s="79"/>
      <c r="Z1599" s="79"/>
    </row>
    <row r="1600" ht="15.75" customHeight="1">
      <c r="A1600" s="103" t="s">
        <v>24</v>
      </c>
      <c r="B1600" s="79" t="s">
        <v>10306</v>
      </c>
      <c r="C1600" s="80">
        <v>3.0629157464E10</v>
      </c>
      <c r="D1600" s="119" t="s">
        <v>264</v>
      </c>
      <c r="E1600" s="79" t="s">
        <v>1607</v>
      </c>
      <c r="F1600" s="44">
        <v>5099.0</v>
      </c>
      <c r="G1600" s="79" t="s">
        <v>15</v>
      </c>
      <c r="H1600" s="80">
        <v>1678.0</v>
      </c>
      <c r="I1600" s="79">
        <v>502500.0</v>
      </c>
      <c r="J1600" s="74" t="s">
        <v>433</v>
      </c>
      <c r="K1600" s="79" t="s">
        <v>10308</v>
      </c>
      <c r="L1600" s="79"/>
      <c r="M1600" s="79"/>
      <c r="N1600" s="79">
        <v>0.0</v>
      </c>
      <c r="O1600" s="74"/>
      <c r="P1600" s="80"/>
      <c r="Q1600" s="79"/>
      <c r="R1600" s="80"/>
      <c r="S1600" s="80" t="s">
        <v>10309</v>
      </c>
      <c r="T1600" s="101" t="s">
        <v>332</v>
      </c>
      <c r="U1600" s="80" t="s">
        <v>332</v>
      </c>
      <c r="V1600" s="102" t="s">
        <v>429</v>
      </c>
      <c r="W1600" s="79" t="s">
        <v>306</v>
      </c>
      <c r="X1600" s="79" t="s">
        <v>306</v>
      </c>
      <c r="Y1600" s="79"/>
      <c r="Z1600" s="79"/>
    </row>
    <row r="1601" ht="15.75" customHeight="1">
      <c r="A1601" s="103" t="s">
        <v>24</v>
      </c>
      <c r="B1601" s="77" t="s">
        <v>10311</v>
      </c>
      <c r="C1601" s="364">
        <v>2.0108321254E10</v>
      </c>
      <c r="D1601" s="144" t="s">
        <v>631</v>
      </c>
      <c r="E1601" s="77" t="s">
        <v>943</v>
      </c>
      <c r="F1601" s="44">
        <v>2907.0</v>
      </c>
      <c r="G1601" s="79" t="s">
        <v>15</v>
      </c>
      <c r="H1601" s="78">
        <v>1678.0</v>
      </c>
      <c r="I1601" s="77">
        <v>222090.0</v>
      </c>
      <c r="J1601" s="83" t="s">
        <v>568</v>
      </c>
      <c r="K1601" s="77" t="s">
        <v>10312</v>
      </c>
      <c r="L1601" s="79" t="s">
        <v>453</v>
      </c>
      <c r="M1601" s="79"/>
      <c r="N1601" s="79"/>
      <c r="O1601" s="83" t="s">
        <v>10313</v>
      </c>
      <c r="P1601" s="78" t="s">
        <v>10314</v>
      </c>
      <c r="Q1601" s="79"/>
      <c r="R1601" s="80"/>
      <c r="S1601" s="80" t="s">
        <v>10315</v>
      </c>
      <c r="T1601" s="101"/>
      <c r="U1601" s="80"/>
      <c r="V1601" s="102" t="s">
        <v>429</v>
      </c>
      <c r="W1601" s="79"/>
      <c r="X1601" s="79"/>
      <c r="Y1601" s="79" t="s">
        <v>309</v>
      </c>
      <c r="Z1601" s="79"/>
    </row>
    <row r="1602" ht="15.75" customHeight="1">
      <c r="A1602" s="103" t="s">
        <v>24</v>
      </c>
      <c r="B1602" s="79" t="s">
        <v>10317</v>
      </c>
      <c r="C1602" s="80">
        <v>2.0184781604E10</v>
      </c>
      <c r="D1602" s="77" t="s">
        <v>631</v>
      </c>
      <c r="E1602" s="77" t="s">
        <v>1255</v>
      </c>
      <c r="F1602" s="44">
        <v>9552.0</v>
      </c>
      <c r="G1602" s="79" t="s">
        <v>119</v>
      </c>
      <c r="H1602" s="80">
        <v>1657.0</v>
      </c>
      <c r="I1602" s="79">
        <v>259999.0</v>
      </c>
      <c r="J1602" s="74" t="s">
        <v>261</v>
      </c>
      <c r="K1602" s="77" t="s">
        <v>839</v>
      </c>
      <c r="L1602" s="79"/>
      <c r="M1602" s="79"/>
      <c r="N1602" s="79"/>
      <c r="O1602" s="74"/>
      <c r="P1602" s="80"/>
      <c r="Q1602" s="79"/>
      <c r="R1602" s="80"/>
      <c r="S1602" s="78" t="s">
        <v>10318</v>
      </c>
      <c r="T1602" s="101"/>
      <c r="U1602" s="80"/>
      <c r="V1602" s="102" t="s">
        <v>429</v>
      </c>
      <c r="W1602" s="79"/>
      <c r="X1602" s="79"/>
      <c r="Y1602" s="79"/>
      <c r="Z1602" s="79"/>
    </row>
    <row r="1603" ht="15.75" customHeight="1">
      <c r="A1603" s="103" t="s">
        <v>24</v>
      </c>
      <c r="B1603" s="77" t="s">
        <v>10320</v>
      </c>
      <c r="C1603" s="80">
        <v>3.0602423928E10</v>
      </c>
      <c r="D1603" s="119" t="s">
        <v>264</v>
      </c>
      <c r="E1603" s="77" t="s">
        <v>2048</v>
      </c>
      <c r="F1603" s="44">
        <v>8725.0</v>
      </c>
      <c r="G1603" s="79" t="s">
        <v>119</v>
      </c>
      <c r="H1603" s="80">
        <v>1657.0</v>
      </c>
      <c r="I1603" s="79">
        <v>289999.0</v>
      </c>
      <c r="J1603" s="74" t="s">
        <v>347</v>
      </c>
      <c r="K1603" s="77" t="s">
        <v>1901</v>
      </c>
      <c r="L1603" s="79" t="s">
        <v>453</v>
      </c>
      <c r="M1603" s="79"/>
      <c r="N1603" s="79">
        <v>0.0</v>
      </c>
      <c r="O1603" s="74"/>
      <c r="P1603" s="80"/>
      <c r="Q1603" s="79"/>
      <c r="R1603" s="80"/>
      <c r="S1603" s="80" t="s">
        <v>10322</v>
      </c>
      <c r="T1603" s="101" t="s">
        <v>332</v>
      </c>
      <c r="U1603" s="80" t="s">
        <v>332</v>
      </c>
      <c r="V1603" s="102" t="s">
        <v>10323</v>
      </c>
      <c r="W1603" s="79" t="s">
        <v>309</v>
      </c>
      <c r="X1603" s="79" t="s">
        <v>309</v>
      </c>
      <c r="Y1603" s="79" t="s">
        <v>309</v>
      </c>
      <c r="Z1603" s="79"/>
    </row>
    <row r="1604" ht="15.75" customHeight="1">
      <c r="A1604" s="76" t="s">
        <v>247</v>
      </c>
      <c r="B1604" s="77" t="s">
        <v>4339</v>
      </c>
      <c r="C1604" s="80">
        <v>3.0709702285E10</v>
      </c>
      <c r="D1604" s="79" t="s">
        <v>264</v>
      </c>
      <c r="E1604" s="77" t="s">
        <v>2678</v>
      </c>
      <c r="F1604" s="44">
        <v>8180.0</v>
      </c>
      <c r="G1604" s="79" t="s">
        <v>119</v>
      </c>
      <c r="H1604" s="80">
        <v>1657.0</v>
      </c>
      <c r="I1604" s="79">
        <v>259999.0</v>
      </c>
      <c r="J1604" s="74" t="s">
        <v>347</v>
      </c>
      <c r="K1604" s="77" t="s">
        <v>839</v>
      </c>
      <c r="L1604" s="79" t="s">
        <v>453</v>
      </c>
      <c r="M1604" s="77" t="s">
        <v>10325</v>
      </c>
      <c r="N1604" s="79">
        <v>19.0</v>
      </c>
      <c r="O1604" s="74" t="s">
        <v>10326</v>
      </c>
      <c r="P1604" s="78" t="s">
        <v>10327</v>
      </c>
      <c r="Q1604" s="79" t="s">
        <v>8072</v>
      </c>
      <c r="R1604" s="80"/>
      <c r="S1604" s="78" t="s">
        <v>10328</v>
      </c>
      <c r="T1604" s="101" t="s">
        <v>10329</v>
      </c>
      <c r="U1604" s="101" t="s">
        <v>10330</v>
      </c>
      <c r="V1604" s="102" t="s">
        <v>10323</v>
      </c>
      <c r="W1604" s="79" t="s">
        <v>309</v>
      </c>
      <c r="X1604" s="79" t="s">
        <v>309</v>
      </c>
      <c r="Y1604" s="79" t="s">
        <v>309</v>
      </c>
      <c r="Z1604" s="79"/>
    </row>
    <row r="1605" ht="15.75" customHeight="1">
      <c r="A1605" s="103" t="s">
        <v>24</v>
      </c>
      <c r="B1605" s="79" t="s">
        <v>10332</v>
      </c>
      <c r="C1605" s="80">
        <v>3.0573871835E10</v>
      </c>
      <c r="D1605" s="79" t="s">
        <v>264</v>
      </c>
      <c r="E1605" s="79" t="s">
        <v>3198</v>
      </c>
      <c r="F1605" s="44">
        <v>7763.0</v>
      </c>
      <c r="G1605" s="79" t="s">
        <v>269</v>
      </c>
      <c r="H1605" s="80">
        <v>1682.0</v>
      </c>
      <c r="I1605" s="79">
        <v>310010.0</v>
      </c>
      <c r="J1605" s="74" t="s">
        <v>313</v>
      </c>
      <c r="K1605" s="79" t="s">
        <v>1438</v>
      </c>
      <c r="L1605" s="79" t="s">
        <v>1122</v>
      </c>
      <c r="M1605" s="79"/>
      <c r="N1605" s="79">
        <v>0.0</v>
      </c>
      <c r="O1605" s="74"/>
      <c r="P1605" s="80"/>
      <c r="Q1605" s="79"/>
      <c r="R1605" s="80"/>
      <c r="S1605" s="78" t="s">
        <v>10333</v>
      </c>
      <c r="T1605" s="101" t="s">
        <v>332</v>
      </c>
      <c r="U1605" s="80" t="s">
        <v>332</v>
      </c>
      <c r="V1605" s="102" t="s">
        <v>429</v>
      </c>
      <c r="W1605" s="79" t="s">
        <v>306</v>
      </c>
      <c r="X1605" s="79" t="s">
        <v>306</v>
      </c>
      <c r="Y1605" s="79"/>
      <c r="Z1605" s="79"/>
    </row>
    <row r="1606" ht="15.75" customHeight="1">
      <c r="A1606" s="103" t="s">
        <v>24</v>
      </c>
      <c r="B1606" s="77" t="s">
        <v>10335</v>
      </c>
      <c r="C1606" s="80">
        <v>3.3707003249E10</v>
      </c>
      <c r="D1606" s="119" t="s">
        <v>264</v>
      </c>
      <c r="E1606" s="77" t="s">
        <v>10336</v>
      </c>
      <c r="F1606" s="128">
        <v>333.0</v>
      </c>
      <c r="G1606" s="77" t="s">
        <v>8499</v>
      </c>
      <c r="H1606" s="78">
        <v>1704.0</v>
      </c>
      <c r="I1606" s="79">
        <v>202320.0</v>
      </c>
      <c r="J1606" s="74" t="s">
        <v>316</v>
      </c>
      <c r="K1606" s="77" t="s">
        <v>3585</v>
      </c>
      <c r="L1606" s="79" t="s">
        <v>453</v>
      </c>
      <c r="M1606" s="79" t="s">
        <v>10337</v>
      </c>
      <c r="N1606" s="79">
        <v>0.0</v>
      </c>
      <c r="O1606" s="74" t="s">
        <v>10339</v>
      </c>
      <c r="P1606" s="80"/>
      <c r="Q1606" s="79"/>
      <c r="R1606" s="78" t="s">
        <v>10340</v>
      </c>
      <c r="S1606" s="80"/>
      <c r="T1606" s="101" t="s">
        <v>332</v>
      </c>
      <c r="U1606" s="80" t="s">
        <v>332</v>
      </c>
      <c r="V1606" s="102" t="s">
        <v>10341</v>
      </c>
      <c r="W1606" s="79" t="s">
        <v>309</v>
      </c>
      <c r="X1606" s="79" t="s">
        <v>309</v>
      </c>
      <c r="Y1606" s="79"/>
      <c r="Z1606" s="79"/>
    </row>
    <row r="1607" ht="15.75" customHeight="1">
      <c r="A1607" s="76" t="s">
        <v>247</v>
      </c>
      <c r="B1607" s="79" t="s">
        <v>2411</v>
      </c>
      <c r="C1607" s="80">
        <v>2.0251287881E10</v>
      </c>
      <c r="D1607" s="77" t="s">
        <v>631</v>
      </c>
      <c r="E1607" s="79" t="s">
        <v>1079</v>
      </c>
      <c r="F1607" s="128">
        <v>5839.0</v>
      </c>
      <c r="G1607" s="79" t="s">
        <v>15</v>
      </c>
      <c r="H1607" s="80">
        <v>1648.0</v>
      </c>
      <c r="I1607" s="79">
        <v>259999.0</v>
      </c>
      <c r="J1607" s="74" t="s">
        <v>347</v>
      </c>
      <c r="K1607" s="77" t="s">
        <v>839</v>
      </c>
      <c r="L1607" s="79" t="s">
        <v>369</v>
      </c>
      <c r="M1607" s="79" t="s">
        <v>10343</v>
      </c>
      <c r="N1607" s="79"/>
      <c r="O1607" s="74" t="s">
        <v>10344</v>
      </c>
      <c r="P1607" s="80"/>
      <c r="Q1607" s="79"/>
      <c r="R1607" s="80"/>
      <c r="S1607" s="78" t="s">
        <v>10345</v>
      </c>
      <c r="T1607" s="85" t="s">
        <v>10346</v>
      </c>
      <c r="U1607" s="78" t="s">
        <v>10347</v>
      </c>
      <c r="V1607" s="102" t="s">
        <v>10348</v>
      </c>
      <c r="W1607" s="79"/>
      <c r="X1607" s="79"/>
      <c r="Y1607" s="79" t="s">
        <v>309</v>
      </c>
      <c r="Z1607" s="79"/>
    </row>
    <row r="1608" ht="15.75" customHeight="1">
      <c r="A1608" s="103" t="s">
        <v>24</v>
      </c>
      <c r="B1608" s="79" t="s">
        <v>10349</v>
      </c>
      <c r="C1608" s="80">
        <v>3.058142684E10</v>
      </c>
      <c r="D1608" s="119" t="s">
        <v>264</v>
      </c>
      <c r="E1608" s="79" t="s">
        <v>10351</v>
      </c>
      <c r="F1608" s="44">
        <v>3330.0</v>
      </c>
      <c r="G1608" s="79" t="s">
        <v>119</v>
      </c>
      <c r="H1608" s="80">
        <v>1657.0</v>
      </c>
      <c r="I1608" s="79">
        <v>951315.0</v>
      </c>
      <c r="J1608" s="74" t="s">
        <v>433</v>
      </c>
      <c r="K1608" s="79" t="s">
        <v>9163</v>
      </c>
      <c r="L1608" s="79"/>
      <c r="M1608" s="79"/>
      <c r="N1608" s="79">
        <v>0.0</v>
      </c>
      <c r="O1608" s="74"/>
      <c r="P1608" s="80"/>
      <c r="Q1608" s="79"/>
      <c r="R1608" s="80"/>
      <c r="S1608" s="80" t="s">
        <v>10352</v>
      </c>
      <c r="T1608" s="101" t="s">
        <v>332</v>
      </c>
      <c r="U1608" s="80" t="s">
        <v>332</v>
      </c>
      <c r="V1608" s="102" t="s">
        <v>429</v>
      </c>
      <c r="W1608" s="79" t="s">
        <v>306</v>
      </c>
      <c r="X1608" s="79" t="s">
        <v>306</v>
      </c>
      <c r="Y1608" s="79"/>
      <c r="Z1608" s="79"/>
    </row>
    <row r="1609" ht="15.75" customHeight="1">
      <c r="A1609" s="76" t="s">
        <v>247</v>
      </c>
      <c r="B1609" s="79" t="s">
        <v>8252</v>
      </c>
      <c r="C1609" s="80">
        <v>2.0238028869E10</v>
      </c>
      <c r="D1609" s="77" t="s">
        <v>631</v>
      </c>
      <c r="E1609" s="79" t="s">
        <v>2079</v>
      </c>
      <c r="F1609" s="44">
        <v>1585.0</v>
      </c>
      <c r="G1609" s="79" t="s">
        <v>119</v>
      </c>
      <c r="H1609" s="80">
        <v>1657.0</v>
      </c>
      <c r="I1609" s="119">
        <v>323001.0</v>
      </c>
      <c r="J1609" s="74" t="s">
        <v>347</v>
      </c>
      <c r="K1609" s="129" t="s">
        <v>10354</v>
      </c>
      <c r="L1609" s="325"/>
      <c r="M1609" s="79" t="s">
        <v>10355</v>
      </c>
      <c r="N1609" s="79"/>
      <c r="O1609" s="77" t="s">
        <v>10356</v>
      </c>
      <c r="P1609" s="80"/>
      <c r="Q1609" s="79"/>
      <c r="R1609" s="78" t="s">
        <v>10357</v>
      </c>
      <c r="S1609" s="78" t="s">
        <v>10358</v>
      </c>
      <c r="T1609" s="85" t="s">
        <v>10357</v>
      </c>
      <c r="U1609" s="80"/>
      <c r="V1609" s="102" t="s">
        <v>10360</v>
      </c>
      <c r="W1609" s="79"/>
      <c r="X1609" s="79"/>
      <c r="Y1609" s="79"/>
      <c r="Z1609" s="79"/>
    </row>
    <row r="1610" ht="15.75" customHeight="1">
      <c r="A1610" s="103" t="s">
        <v>24</v>
      </c>
      <c r="B1610" s="77" t="s">
        <v>10361</v>
      </c>
      <c r="C1610" s="80">
        <v>3.0597417361E10</v>
      </c>
      <c r="D1610" s="119" t="s">
        <v>264</v>
      </c>
      <c r="E1610" s="79" t="s">
        <v>8918</v>
      </c>
      <c r="F1610" s="44">
        <v>1466.0</v>
      </c>
      <c r="G1610" s="79" t="s">
        <v>68</v>
      </c>
      <c r="H1610" s="80">
        <v>1702.0</v>
      </c>
      <c r="I1610" s="79">
        <v>273100.0</v>
      </c>
      <c r="J1610" s="74" t="s">
        <v>347</v>
      </c>
      <c r="K1610" s="77" t="s">
        <v>5693</v>
      </c>
      <c r="L1610" s="79" t="s">
        <v>453</v>
      </c>
      <c r="M1610" s="79"/>
      <c r="N1610" s="79">
        <v>0.0</v>
      </c>
      <c r="O1610" s="74"/>
      <c r="P1610" s="80"/>
      <c r="Q1610" s="79"/>
      <c r="R1610" s="80"/>
      <c r="S1610" s="78" t="s">
        <v>10363</v>
      </c>
      <c r="T1610" s="101" t="s">
        <v>332</v>
      </c>
      <c r="U1610" s="80" t="s">
        <v>332</v>
      </c>
      <c r="V1610" s="102" t="s">
        <v>429</v>
      </c>
      <c r="W1610" s="79" t="s">
        <v>306</v>
      </c>
      <c r="X1610" s="79" t="s">
        <v>306</v>
      </c>
      <c r="Y1610" s="79"/>
      <c r="Z1610" s="79"/>
    </row>
    <row r="1611" ht="15.75" customHeight="1">
      <c r="A1611" s="76" t="s">
        <v>247</v>
      </c>
      <c r="B1611" s="77" t="s">
        <v>2420</v>
      </c>
      <c r="C1611" s="80">
        <v>3.055766232E10</v>
      </c>
      <c r="D1611" s="79" t="s">
        <v>264</v>
      </c>
      <c r="E1611" s="77" t="s">
        <v>1458</v>
      </c>
      <c r="F1611" s="44">
        <v>5530.0</v>
      </c>
      <c r="G1611" s="79" t="s">
        <v>15</v>
      </c>
      <c r="H1611" s="80">
        <v>1678.0</v>
      </c>
      <c r="I1611" s="79">
        <v>259999.0</v>
      </c>
      <c r="J1611" s="74" t="s">
        <v>347</v>
      </c>
      <c r="K1611" s="77" t="s">
        <v>839</v>
      </c>
      <c r="L1611" s="79" t="s">
        <v>453</v>
      </c>
      <c r="M1611" s="79" t="s">
        <v>10365</v>
      </c>
      <c r="N1611" s="79">
        <v>62.0</v>
      </c>
      <c r="O1611" s="74" t="s">
        <v>10366</v>
      </c>
      <c r="P1611" s="78" t="s">
        <v>10368</v>
      </c>
      <c r="Q1611" s="144" t="s">
        <v>10369</v>
      </c>
      <c r="R1611" s="78" t="s">
        <v>10370</v>
      </c>
      <c r="S1611" s="80"/>
      <c r="T1611" s="101" t="s">
        <v>332</v>
      </c>
      <c r="U1611" s="80" t="s">
        <v>332</v>
      </c>
      <c r="V1611" s="102" t="s">
        <v>10371</v>
      </c>
      <c r="W1611" s="79" t="s">
        <v>309</v>
      </c>
      <c r="X1611" s="79" t="s">
        <v>309</v>
      </c>
      <c r="Y1611" s="79" t="s">
        <v>309</v>
      </c>
      <c r="Z1611" s="79"/>
    </row>
    <row r="1612" ht="15.75" customHeight="1">
      <c r="A1612" s="103" t="s">
        <v>24</v>
      </c>
      <c r="B1612" s="79" t="s">
        <v>10372</v>
      </c>
      <c r="C1612" s="80">
        <v>2.0133402021E10</v>
      </c>
      <c r="D1612" s="77" t="s">
        <v>631</v>
      </c>
      <c r="E1612" s="79" t="s">
        <v>1314</v>
      </c>
      <c r="F1612" s="44">
        <v>4661.0</v>
      </c>
      <c r="G1612" s="77" t="s">
        <v>15</v>
      </c>
      <c r="H1612" s="80">
        <v>1678.0</v>
      </c>
      <c r="I1612" s="79">
        <v>321020.0</v>
      </c>
      <c r="J1612" s="83" t="s">
        <v>375</v>
      </c>
      <c r="K1612" s="77" t="s">
        <v>10374</v>
      </c>
      <c r="L1612" s="79"/>
      <c r="M1612" s="79"/>
      <c r="N1612" s="79"/>
      <c r="O1612" s="74"/>
      <c r="P1612" s="80"/>
      <c r="Q1612" s="79"/>
      <c r="R1612" s="80"/>
      <c r="S1612" s="78" t="s">
        <v>10375</v>
      </c>
      <c r="T1612" s="101"/>
      <c r="U1612" s="80"/>
      <c r="V1612" s="102" t="s">
        <v>429</v>
      </c>
      <c r="W1612" s="79"/>
      <c r="X1612" s="79"/>
      <c r="Y1612" s="79"/>
      <c r="Z1612" s="79"/>
    </row>
    <row r="1613" ht="15.75" customHeight="1">
      <c r="A1613" s="103" t="s">
        <v>24</v>
      </c>
      <c r="B1613" s="77" t="s">
        <v>10376</v>
      </c>
      <c r="C1613" s="80">
        <v>3.0505102092E10</v>
      </c>
      <c r="D1613" s="79" t="s">
        <v>264</v>
      </c>
      <c r="E1613" s="79" t="s">
        <v>723</v>
      </c>
      <c r="F1613" s="44">
        <v>4930.0</v>
      </c>
      <c r="G1613" s="79" t="s">
        <v>15</v>
      </c>
      <c r="H1613" s="80">
        <v>1678.0</v>
      </c>
      <c r="I1613" s="79">
        <v>361010.0</v>
      </c>
      <c r="J1613" s="74" t="s">
        <v>313</v>
      </c>
      <c r="K1613" s="79" t="s">
        <v>2534</v>
      </c>
      <c r="L1613" s="79" t="s">
        <v>1122</v>
      </c>
      <c r="M1613" s="79"/>
      <c r="N1613" s="79">
        <v>0.0</v>
      </c>
      <c r="O1613" s="74"/>
      <c r="P1613" s="80"/>
      <c r="Q1613" s="79"/>
      <c r="R1613" s="80"/>
      <c r="S1613" s="80" t="s">
        <v>10378</v>
      </c>
      <c r="T1613" s="101" t="s">
        <v>10379</v>
      </c>
      <c r="U1613" s="80" t="s">
        <v>332</v>
      </c>
      <c r="V1613" s="102" t="s">
        <v>429</v>
      </c>
      <c r="W1613" s="79" t="s">
        <v>309</v>
      </c>
      <c r="X1613" s="79" t="s">
        <v>309</v>
      </c>
      <c r="Y1613" s="79"/>
      <c r="Z1613" s="79"/>
    </row>
    <row r="1614" ht="15.75" customHeight="1">
      <c r="A1614" s="76" t="s">
        <v>247</v>
      </c>
      <c r="B1614" s="77" t="s">
        <v>10264</v>
      </c>
      <c r="C1614" s="79">
        <v>3.0708490497E10</v>
      </c>
      <c r="D1614" s="77" t="s">
        <v>264</v>
      </c>
      <c r="E1614" s="79" t="s">
        <v>564</v>
      </c>
      <c r="F1614" s="44">
        <v>4652.0</v>
      </c>
      <c r="G1614" s="79" t="s">
        <v>68</v>
      </c>
      <c r="H1614" s="80">
        <v>1702.0</v>
      </c>
      <c r="I1614" s="79">
        <v>181109.0</v>
      </c>
      <c r="J1614" s="74" t="s">
        <v>238</v>
      </c>
      <c r="K1614" s="77" t="s">
        <v>1545</v>
      </c>
      <c r="L1614" s="79"/>
      <c r="M1614" s="77" t="s">
        <v>10381</v>
      </c>
      <c r="N1614" s="79">
        <v>6.0</v>
      </c>
      <c r="O1614" s="74"/>
      <c r="P1614" s="78" t="s">
        <v>10382</v>
      </c>
      <c r="Q1614" s="79"/>
      <c r="R1614" s="80"/>
      <c r="S1614" s="78" t="s">
        <v>10383</v>
      </c>
      <c r="T1614" s="85" t="s">
        <v>10384</v>
      </c>
      <c r="U1614" s="78" t="s">
        <v>10382</v>
      </c>
      <c r="V1614" s="102" t="s">
        <v>10385</v>
      </c>
      <c r="W1614" s="79" t="s">
        <v>306</v>
      </c>
      <c r="X1614" s="79" t="s">
        <v>306</v>
      </c>
      <c r="Y1614" s="79" t="s">
        <v>309</v>
      </c>
      <c r="Z1614" s="79"/>
    </row>
    <row r="1615" ht="15.75" customHeight="1">
      <c r="A1615" s="76" t="s">
        <v>247</v>
      </c>
      <c r="B1615" s="144" t="s">
        <v>8264</v>
      </c>
      <c r="C1615" s="80">
        <v>2.016252593E10</v>
      </c>
      <c r="D1615" s="144" t="s">
        <v>631</v>
      </c>
      <c r="E1615" s="79" t="s">
        <v>4928</v>
      </c>
      <c r="F1615" s="44">
        <v>1114.0</v>
      </c>
      <c r="G1615" s="79" t="s">
        <v>15</v>
      </c>
      <c r="H1615" s="80">
        <v>1678.0</v>
      </c>
      <c r="I1615" s="119">
        <v>829900.0</v>
      </c>
      <c r="J1615" s="74" t="s">
        <v>347</v>
      </c>
      <c r="K1615" s="74" t="s">
        <v>10387</v>
      </c>
      <c r="L1615" s="79" t="s">
        <v>453</v>
      </c>
      <c r="M1615" s="79" t="s">
        <v>10388</v>
      </c>
      <c r="N1615" s="79"/>
      <c r="O1615" s="79"/>
      <c r="P1615" s="80"/>
      <c r="Q1615" s="79"/>
      <c r="R1615" s="80"/>
      <c r="S1615" s="80" t="s">
        <v>10389</v>
      </c>
      <c r="T1615" s="101"/>
      <c r="U1615" s="101"/>
      <c r="V1615" s="102" t="s">
        <v>10390</v>
      </c>
      <c r="W1615" s="79"/>
      <c r="X1615" s="79"/>
      <c r="Y1615" s="79"/>
      <c r="Z1615" s="79"/>
    </row>
    <row r="1616" ht="15.75" customHeight="1">
      <c r="A1616" s="76" t="s">
        <v>247</v>
      </c>
      <c r="B1616" s="77" t="s">
        <v>8266</v>
      </c>
      <c r="C1616" s="80">
        <v>3.3643652809E10</v>
      </c>
      <c r="D1616" s="119" t="s">
        <v>264</v>
      </c>
      <c r="E1616" s="79" t="s">
        <v>2312</v>
      </c>
      <c r="F1616" s="44">
        <v>4284.0</v>
      </c>
      <c r="G1616" s="79" t="s">
        <v>15</v>
      </c>
      <c r="H1616" s="80">
        <v>1678.0</v>
      </c>
      <c r="I1616" s="79">
        <v>222010.0</v>
      </c>
      <c r="J1616" s="83" t="s">
        <v>568</v>
      </c>
      <c r="K1616" s="79" t="s">
        <v>1170</v>
      </c>
      <c r="L1616" s="79" t="s">
        <v>453</v>
      </c>
      <c r="M1616" s="77" t="s">
        <v>10392</v>
      </c>
      <c r="N1616" s="79">
        <v>7.0</v>
      </c>
      <c r="O1616" s="74" t="s">
        <v>10393</v>
      </c>
      <c r="P1616" s="78" t="s">
        <v>10394</v>
      </c>
      <c r="Q1616" s="79"/>
      <c r="R1616" s="80"/>
      <c r="S1616" s="85" t="s">
        <v>10395</v>
      </c>
      <c r="T1616" s="85" t="s">
        <v>10396</v>
      </c>
      <c r="U1616" s="78" t="s">
        <v>10397</v>
      </c>
      <c r="V1616" s="98" t="s">
        <v>10398</v>
      </c>
      <c r="W1616" s="79" t="s">
        <v>306</v>
      </c>
      <c r="X1616" s="79" t="s">
        <v>306</v>
      </c>
      <c r="Y1616" s="79" t="s">
        <v>309</v>
      </c>
      <c r="Z1616" s="79"/>
    </row>
    <row r="1617" ht="15.75" customHeight="1">
      <c r="A1617" s="103" t="s">
        <v>24</v>
      </c>
      <c r="B1617" s="77" t="s">
        <v>10400</v>
      </c>
      <c r="C1617" s="79">
        <v>3.0585963824E10</v>
      </c>
      <c r="D1617" s="77" t="s">
        <v>264</v>
      </c>
      <c r="E1617" s="79" t="s">
        <v>6437</v>
      </c>
      <c r="F1617" s="44">
        <v>6246.0</v>
      </c>
      <c r="G1617" s="79" t="s">
        <v>119</v>
      </c>
      <c r="H1617" s="80">
        <v>1657.0</v>
      </c>
      <c r="I1617" s="79">
        <v>22010.0</v>
      </c>
      <c r="J1617" s="74" t="s">
        <v>313</v>
      </c>
      <c r="K1617" s="79" t="s">
        <v>10401</v>
      </c>
      <c r="L1617" s="79" t="s">
        <v>1122</v>
      </c>
      <c r="M1617" s="79"/>
      <c r="N1617" s="79">
        <v>1.0</v>
      </c>
      <c r="O1617" s="74"/>
      <c r="P1617" s="80"/>
      <c r="Q1617" s="79"/>
      <c r="R1617" s="80"/>
      <c r="S1617" s="80" t="s">
        <v>10402</v>
      </c>
      <c r="T1617" s="101" t="s">
        <v>332</v>
      </c>
      <c r="U1617" s="80" t="s">
        <v>332</v>
      </c>
      <c r="V1617" s="102" t="s">
        <v>429</v>
      </c>
      <c r="W1617" s="79" t="s">
        <v>309</v>
      </c>
      <c r="X1617" s="79" t="s">
        <v>309</v>
      </c>
      <c r="Y1617" s="79"/>
      <c r="Z1617" s="79"/>
    </row>
    <row r="1618" ht="15.75" customHeight="1">
      <c r="A1618" s="103" t="s">
        <v>24</v>
      </c>
      <c r="B1618" s="77" t="s">
        <v>10404</v>
      </c>
      <c r="C1618" s="80">
        <v>3.071122599E10</v>
      </c>
      <c r="D1618" s="119" t="s">
        <v>264</v>
      </c>
      <c r="E1618" s="79" t="s">
        <v>826</v>
      </c>
      <c r="F1618" s="44">
        <v>5521.0</v>
      </c>
      <c r="G1618" s="79" t="s">
        <v>15</v>
      </c>
      <c r="H1618" s="80">
        <v>1678.0</v>
      </c>
      <c r="I1618" s="79">
        <v>282200.0</v>
      </c>
      <c r="J1618" s="74" t="s">
        <v>347</v>
      </c>
      <c r="K1618" s="79" t="s">
        <v>5178</v>
      </c>
      <c r="L1618" s="79"/>
      <c r="M1618" s="79"/>
      <c r="N1618" s="79">
        <v>2.0</v>
      </c>
      <c r="O1618" s="74"/>
      <c r="P1618" s="80"/>
      <c r="Q1618" s="79"/>
      <c r="R1618" s="80"/>
      <c r="S1618" s="365" t="s">
        <v>10406</v>
      </c>
      <c r="T1618" s="101" t="s">
        <v>332</v>
      </c>
      <c r="U1618" s="80" t="s">
        <v>332</v>
      </c>
      <c r="V1618" s="102" t="s">
        <v>429</v>
      </c>
      <c r="W1618" s="79" t="s">
        <v>306</v>
      </c>
      <c r="X1618" s="79" t="s">
        <v>306</v>
      </c>
      <c r="Y1618" s="79"/>
      <c r="Z1618" s="79"/>
    </row>
    <row r="1619" ht="15.75" customHeight="1">
      <c r="A1619" s="76" t="s">
        <v>247</v>
      </c>
      <c r="B1619" s="77" t="s">
        <v>8268</v>
      </c>
      <c r="C1619" s="80">
        <v>3.0605457815E10</v>
      </c>
      <c r="D1619" s="119" t="s">
        <v>264</v>
      </c>
      <c r="E1619" s="79" t="s">
        <v>1525</v>
      </c>
      <c r="F1619" s="44">
        <v>4585.0</v>
      </c>
      <c r="G1619" s="79" t="s">
        <v>68</v>
      </c>
      <c r="H1619" s="80">
        <v>1702.0</v>
      </c>
      <c r="I1619" s="79">
        <v>202908.0</v>
      </c>
      <c r="J1619" s="74" t="s">
        <v>316</v>
      </c>
      <c r="K1619" s="77" t="s">
        <v>1153</v>
      </c>
      <c r="L1619" s="79"/>
      <c r="M1619" s="79"/>
      <c r="N1619" s="79">
        <v>14.0</v>
      </c>
      <c r="O1619" s="74"/>
      <c r="P1619" s="80"/>
      <c r="Q1619" s="79"/>
      <c r="R1619" s="80"/>
      <c r="S1619" s="80" t="s">
        <v>10408</v>
      </c>
      <c r="T1619" s="366" t="s">
        <v>332</v>
      </c>
      <c r="U1619" s="80" t="s">
        <v>332</v>
      </c>
      <c r="V1619" s="102" t="s">
        <v>10409</v>
      </c>
      <c r="W1619" s="79" t="s">
        <v>309</v>
      </c>
      <c r="X1619" s="79" t="s">
        <v>309</v>
      </c>
      <c r="Y1619" s="79" t="s">
        <v>309</v>
      </c>
      <c r="Z1619" s="79"/>
    </row>
    <row r="1620" ht="15.75" customHeight="1">
      <c r="A1620" s="76" t="s">
        <v>247</v>
      </c>
      <c r="B1620" s="77" t="s">
        <v>8274</v>
      </c>
      <c r="C1620" s="80">
        <v>3.0683637234E10</v>
      </c>
      <c r="D1620" s="119" t="s">
        <v>264</v>
      </c>
      <c r="E1620" s="79" t="s">
        <v>2177</v>
      </c>
      <c r="F1620" s="128">
        <v>3399.0</v>
      </c>
      <c r="G1620" s="79" t="s">
        <v>15</v>
      </c>
      <c r="H1620" s="80">
        <v>1678.0</v>
      </c>
      <c r="I1620" s="79">
        <v>251102.0</v>
      </c>
      <c r="J1620" s="74" t="s">
        <v>347</v>
      </c>
      <c r="K1620" s="79" t="s">
        <v>1611</v>
      </c>
      <c r="L1620" s="79" t="s">
        <v>453</v>
      </c>
      <c r="M1620" s="79"/>
      <c r="N1620" s="79">
        <v>8.0</v>
      </c>
      <c r="O1620" s="74"/>
      <c r="P1620" s="80"/>
      <c r="Q1620" s="79"/>
      <c r="R1620" s="80"/>
      <c r="S1620" s="367" t="s">
        <v>10411</v>
      </c>
      <c r="T1620" s="85" t="s">
        <v>10412</v>
      </c>
      <c r="U1620" s="78" t="s">
        <v>10413</v>
      </c>
      <c r="V1620" s="102" t="s">
        <v>10414</v>
      </c>
      <c r="W1620" s="79" t="s">
        <v>309</v>
      </c>
      <c r="X1620" s="79" t="s">
        <v>309</v>
      </c>
      <c r="Y1620" s="79" t="s">
        <v>309</v>
      </c>
      <c r="Z1620" s="79"/>
    </row>
    <row r="1621" ht="15.75" customHeight="1">
      <c r="A1621" s="103" t="s">
        <v>24</v>
      </c>
      <c r="B1621" s="77" t="s">
        <v>10415</v>
      </c>
      <c r="C1621" s="80">
        <v>3.3636516169E10</v>
      </c>
      <c r="D1621" s="77" t="s">
        <v>631</v>
      </c>
      <c r="E1621" s="79" t="s">
        <v>7734</v>
      </c>
      <c r="F1621" s="44">
        <v>4984.0</v>
      </c>
      <c r="G1621" s="79" t="s">
        <v>15</v>
      </c>
      <c r="H1621" s="80">
        <v>1678.0</v>
      </c>
      <c r="I1621" s="79">
        <v>202907.0</v>
      </c>
      <c r="J1621" s="74" t="s">
        <v>316</v>
      </c>
      <c r="K1621" s="79" t="s">
        <v>318</v>
      </c>
      <c r="L1621" s="79"/>
      <c r="M1621" s="79"/>
      <c r="N1621" s="79">
        <v>0.0</v>
      </c>
      <c r="O1621" s="74"/>
      <c r="P1621" s="80"/>
      <c r="Q1621" s="79"/>
      <c r="R1621" s="80"/>
      <c r="S1621" s="80" t="s">
        <v>10417</v>
      </c>
      <c r="T1621" s="101" t="s">
        <v>332</v>
      </c>
      <c r="U1621" s="80" t="s">
        <v>332</v>
      </c>
      <c r="V1621" s="102" t="s">
        <v>429</v>
      </c>
      <c r="W1621" s="79" t="s">
        <v>306</v>
      </c>
      <c r="X1621" s="79" t="s">
        <v>306</v>
      </c>
      <c r="Y1621" s="79"/>
      <c r="Z1621" s="79"/>
    </row>
    <row r="1622" ht="15.75" customHeight="1">
      <c r="A1622" s="103" t="s">
        <v>24</v>
      </c>
      <c r="B1622" s="77" t="s">
        <v>10418</v>
      </c>
      <c r="C1622" s="80">
        <v>3.0685235877E10</v>
      </c>
      <c r="D1622" s="79" t="s">
        <v>264</v>
      </c>
      <c r="E1622" s="79" t="s">
        <v>2246</v>
      </c>
      <c r="F1622" s="44">
        <v>4141.0</v>
      </c>
      <c r="G1622" s="79" t="s">
        <v>15</v>
      </c>
      <c r="H1622" s="80">
        <v>1678.0</v>
      </c>
      <c r="I1622" s="79">
        <v>343000.0</v>
      </c>
      <c r="J1622" s="74" t="s">
        <v>337</v>
      </c>
      <c r="K1622" s="79" t="s">
        <v>2104</v>
      </c>
      <c r="L1622" s="79"/>
      <c r="M1622" s="79"/>
      <c r="N1622" s="79">
        <v>1.0</v>
      </c>
      <c r="O1622" s="74"/>
      <c r="P1622" s="80"/>
      <c r="Q1622" s="79"/>
      <c r="R1622" s="80"/>
      <c r="S1622" s="80" t="s">
        <v>10420</v>
      </c>
      <c r="T1622" s="101" t="s">
        <v>332</v>
      </c>
      <c r="U1622" s="80" t="s">
        <v>332</v>
      </c>
      <c r="V1622" s="102" t="s">
        <v>429</v>
      </c>
      <c r="W1622" s="79" t="s">
        <v>309</v>
      </c>
      <c r="X1622" s="79" t="s">
        <v>309</v>
      </c>
      <c r="Y1622" s="79"/>
      <c r="Z1622" s="79"/>
    </row>
    <row r="1623" ht="15.75" customHeight="1">
      <c r="A1623" s="103" t="s">
        <v>24</v>
      </c>
      <c r="B1623" s="77" t="s">
        <v>10421</v>
      </c>
      <c r="C1623" s="80">
        <v>3.0631220793E10</v>
      </c>
      <c r="D1623" s="79" t="s">
        <v>264</v>
      </c>
      <c r="E1623" s="79" t="s">
        <v>1801</v>
      </c>
      <c r="F1623" s="44">
        <v>4444.0</v>
      </c>
      <c r="G1623" s="79" t="s">
        <v>68</v>
      </c>
      <c r="H1623" s="80">
        <v>1702.0</v>
      </c>
      <c r="I1623" s="79">
        <v>289993.0</v>
      </c>
      <c r="J1623" s="74" t="s">
        <v>347</v>
      </c>
      <c r="K1623" s="129" t="s">
        <v>638</v>
      </c>
      <c r="L1623" s="79" t="s">
        <v>453</v>
      </c>
      <c r="M1623" s="79"/>
      <c r="N1623" s="79">
        <v>0.0</v>
      </c>
      <c r="O1623" s="74"/>
      <c r="P1623" s="80"/>
      <c r="Q1623" s="79"/>
      <c r="R1623" s="80"/>
      <c r="S1623" s="80" t="s">
        <v>10424</v>
      </c>
      <c r="T1623" s="101" t="s">
        <v>332</v>
      </c>
      <c r="U1623" s="80" t="s">
        <v>332</v>
      </c>
      <c r="V1623" s="102" t="s">
        <v>429</v>
      </c>
      <c r="W1623" s="79" t="s">
        <v>306</v>
      </c>
      <c r="X1623" s="79" t="s">
        <v>306</v>
      </c>
      <c r="Y1623" s="79"/>
      <c r="Z1623" s="79"/>
    </row>
    <row r="1624">
      <c r="A1624" s="76" t="s">
        <v>247</v>
      </c>
      <c r="B1624" s="77" t="s">
        <v>2430</v>
      </c>
      <c r="C1624" s="80">
        <v>3.071116334E10</v>
      </c>
      <c r="D1624" s="79" t="s">
        <v>264</v>
      </c>
      <c r="E1624" s="126" t="s">
        <v>696</v>
      </c>
      <c r="F1624" s="44">
        <v>5716.0</v>
      </c>
      <c r="G1624" s="79" t="s">
        <v>15</v>
      </c>
      <c r="H1624" s="80">
        <v>1678.0</v>
      </c>
      <c r="I1624" s="79">
        <v>259999.0</v>
      </c>
      <c r="J1624" s="74" t="s">
        <v>347</v>
      </c>
      <c r="K1624" s="77" t="s">
        <v>839</v>
      </c>
      <c r="L1624" s="79" t="s">
        <v>453</v>
      </c>
      <c r="M1624" s="79" t="s">
        <v>10425</v>
      </c>
      <c r="N1624" s="79">
        <v>4.0</v>
      </c>
      <c r="O1624" s="74" t="s">
        <v>10426</v>
      </c>
      <c r="P1624" s="78" t="s">
        <v>10427</v>
      </c>
      <c r="Q1624" s="79"/>
      <c r="R1624" s="80"/>
      <c r="S1624" s="85" t="s">
        <v>10411</v>
      </c>
      <c r="T1624" s="101"/>
      <c r="U1624" s="80" t="s">
        <v>332</v>
      </c>
      <c r="V1624" s="102" t="s">
        <v>10429</v>
      </c>
      <c r="W1624" s="79" t="s">
        <v>309</v>
      </c>
      <c r="X1624" s="79" t="s">
        <v>309</v>
      </c>
      <c r="Y1624" s="79" t="s">
        <v>309</v>
      </c>
      <c r="Z1624" s="79"/>
    </row>
    <row r="1625" ht="15.75" customHeight="1">
      <c r="A1625" s="103" t="s">
        <v>24</v>
      </c>
      <c r="B1625" s="77" t="s">
        <v>10430</v>
      </c>
      <c r="C1625" s="80">
        <v>3.0709094803E10</v>
      </c>
      <c r="D1625" s="119" t="s">
        <v>264</v>
      </c>
      <c r="E1625" s="79" t="s">
        <v>2831</v>
      </c>
      <c r="F1625" s="44">
        <v>6709.0</v>
      </c>
      <c r="G1625" s="79" t="s">
        <v>119</v>
      </c>
      <c r="H1625" s="80">
        <v>1657.0</v>
      </c>
      <c r="I1625" s="79">
        <v>222090.0</v>
      </c>
      <c r="J1625" s="83" t="s">
        <v>568</v>
      </c>
      <c r="K1625" s="77" t="s">
        <v>569</v>
      </c>
      <c r="L1625" s="79" t="s">
        <v>453</v>
      </c>
      <c r="M1625" s="79"/>
      <c r="N1625" s="79">
        <v>0.0</v>
      </c>
      <c r="O1625" s="74"/>
      <c r="P1625" s="80"/>
      <c r="Q1625" s="79"/>
      <c r="R1625" s="80"/>
      <c r="S1625" s="78" t="s">
        <v>9291</v>
      </c>
      <c r="T1625" s="101" t="s">
        <v>332</v>
      </c>
      <c r="U1625" s="80" t="s">
        <v>332</v>
      </c>
      <c r="V1625" s="102" t="s">
        <v>429</v>
      </c>
      <c r="W1625" s="79" t="s">
        <v>306</v>
      </c>
      <c r="X1625" s="79" t="s">
        <v>306</v>
      </c>
      <c r="Y1625" s="79"/>
      <c r="Z1625" s="79"/>
    </row>
    <row r="1626" ht="15.75" customHeight="1">
      <c r="A1626" s="103" t="s">
        <v>24</v>
      </c>
      <c r="B1626" s="77" t="s">
        <v>10432</v>
      </c>
      <c r="C1626" s="80">
        <v>3.0710172028E10</v>
      </c>
      <c r="D1626" s="119" t="s">
        <v>264</v>
      </c>
      <c r="E1626" s="77" t="s">
        <v>5869</v>
      </c>
      <c r="F1626" s="44">
        <v>3392.0</v>
      </c>
      <c r="G1626" s="79" t="s">
        <v>249</v>
      </c>
      <c r="H1626" s="80">
        <v>1676.0</v>
      </c>
      <c r="I1626" s="79">
        <v>410011.0</v>
      </c>
      <c r="J1626" s="74" t="s">
        <v>125</v>
      </c>
      <c r="K1626" s="79" t="s">
        <v>1829</v>
      </c>
      <c r="L1626" s="79" t="s">
        <v>453</v>
      </c>
      <c r="M1626" s="79"/>
      <c r="N1626" s="79">
        <v>1.0</v>
      </c>
      <c r="O1626" s="74"/>
      <c r="P1626" s="80"/>
      <c r="Q1626" s="79"/>
      <c r="R1626" s="80"/>
      <c r="S1626" s="78" t="s">
        <v>10433</v>
      </c>
      <c r="T1626" s="101" t="s">
        <v>332</v>
      </c>
      <c r="U1626" s="80" t="s">
        <v>332</v>
      </c>
      <c r="V1626" s="102" t="s">
        <v>429</v>
      </c>
      <c r="W1626" s="79" t="s">
        <v>306</v>
      </c>
      <c r="X1626" s="79" t="s">
        <v>306</v>
      </c>
      <c r="Y1626" s="79"/>
      <c r="Z1626" s="79"/>
    </row>
    <row r="1627" ht="15.75" customHeight="1">
      <c r="A1627" s="103" t="s">
        <v>24</v>
      </c>
      <c r="B1627" s="77" t="s">
        <v>10435</v>
      </c>
      <c r="C1627" s="80">
        <v>3.0708579552E10</v>
      </c>
      <c r="D1627" s="119" t="s">
        <v>264</v>
      </c>
      <c r="E1627" s="79" t="s">
        <v>3091</v>
      </c>
      <c r="F1627" s="44">
        <v>3283.0</v>
      </c>
      <c r="G1627" s="79" t="s">
        <v>68</v>
      </c>
      <c r="H1627" s="80">
        <v>1702.0</v>
      </c>
      <c r="I1627" s="79">
        <v>829900.0</v>
      </c>
      <c r="J1627" s="74" t="s">
        <v>433</v>
      </c>
      <c r="K1627" s="77" t="s">
        <v>2924</v>
      </c>
      <c r="L1627" s="79"/>
      <c r="M1627" s="79"/>
      <c r="N1627" s="79">
        <v>1.0</v>
      </c>
      <c r="O1627" s="74"/>
      <c r="P1627" s="80"/>
      <c r="Q1627" s="79"/>
      <c r="R1627" s="80"/>
      <c r="S1627" s="80"/>
      <c r="T1627" s="101" t="s">
        <v>332</v>
      </c>
      <c r="U1627" s="80" t="s">
        <v>332</v>
      </c>
      <c r="V1627" s="102" t="s">
        <v>429</v>
      </c>
      <c r="W1627" s="79" t="s">
        <v>306</v>
      </c>
      <c r="X1627" s="79" t="s">
        <v>306</v>
      </c>
      <c r="Y1627" s="79" t="s">
        <v>309</v>
      </c>
      <c r="Z1627" s="79"/>
    </row>
    <row r="1628" ht="15.75" customHeight="1">
      <c r="A1628" s="76" t="s">
        <v>247</v>
      </c>
      <c r="B1628" s="77" t="s">
        <v>8277</v>
      </c>
      <c r="C1628" s="80">
        <v>3.0711977917E10</v>
      </c>
      <c r="D1628" s="79" t="s">
        <v>264</v>
      </c>
      <c r="E1628" s="79" t="s">
        <v>10436</v>
      </c>
      <c r="F1628" s="44">
        <v>5860.0</v>
      </c>
      <c r="G1628" s="79" t="s">
        <v>269</v>
      </c>
      <c r="H1628" s="80">
        <v>1682.0</v>
      </c>
      <c r="I1628" s="79">
        <v>259999.0</v>
      </c>
      <c r="J1628" s="74" t="s">
        <v>347</v>
      </c>
      <c r="K1628" s="77" t="s">
        <v>839</v>
      </c>
      <c r="L1628" s="79" t="s">
        <v>453</v>
      </c>
      <c r="M1628" s="79"/>
      <c r="N1628" s="79">
        <v>6.0</v>
      </c>
      <c r="O1628" s="74"/>
      <c r="P1628" s="80"/>
      <c r="Q1628" s="79"/>
      <c r="R1628" s="80"/>
      <c r="S1628" s="78" t="s">
        <v>10438</v>
      </c>
      <c r="T1628" s="85" t="s">
        <v>10439</v>
      </c>
      <c r="U1628" s="80" t="s">
        <v>332</v>
      </c>
      <c r="V1628" s="102" t="s">
        <v>10440</v>
      </c>
      <c r="W1628" s="79" t="s">
        <v>309</v>
      </c>
      <c r="X1628" s="79" t="s">
        <v>309</v>
      </c>
      <c r="Y1628" s="79" t="s">
        <v>309</v>
      </c>
      <c r="Z1628" s="79"/>
    </row>
    <row r="1629" ht="15.75" customHeight="1">
      <c r="A1629" s="76" t="s">
        <v>247</v>
      </c>
      <c r="B1629" s="79" t="s">
        <v>2435</v>
      </c>
      <c r="C1629" s="80">
        <v>3.0599132453E10</v>
      </c>
      <c r="D1629" s="119" t="s">
        <v>264</v>
      </c>
      <c r="E1629" s="79" t="s">
        <v>1336</v>
      </c>
      <c r="F1629" s="44">
        <v>1618.0</v>
      </c>
      <c r="G1629" s="79" t="s">
        <v>68</v>
      </c>
      <c r="H1629" s="80">
        <v>1702.0</v>
      </c>
      <c r="I1629" s="79">
        <v>289993.0</v>
      </c>
      <c r="J1629" s="74" t="s">
        <v>347</v>
      </c>
      <c r="K1629" s="129" t="s">
        <v>638</v>
      </c>
      <c r="L1629" s="79" t="s">
        <v>453</v>
      </c>
      <c r="M1629" s="79"/>
      <c r="N1629" s="79">
        <v>1.0</v>
      </c>
      <c r="O1629" s="74" t="s">
        <v>8129</v>
      </c>
      <c r="P1629" s="78" t="s">
        <v>10441</v>
      </c>
      <c r="Q1629" s="77" t="s">
        <v>10442</v>
      </c>
      <c r="R1629" s="78" t="s">
        <v>1342</v>
      </c>
      <c r="S1629" s="80" t="s">
        <v>10443</v>
      </c>
      <c r="T1629" s="101" t="s">
        <v>10444</v>
      </c>
      <c r="U1629" s="80" t="s">
        <v>1355</v>
      </c>
      <c r="V1629" s="102" t="s">
        <v>1344</v>
      </c>
      <c r="W1629" s="79" t="s">
        <v>24</v>
      </c>
      <c r="X1629" s="79" t="s">
        <v>309</v>
      </c>
      <c r="Y1629" s="79" t="s">
        <v>309</v>
      </c>
      <c r="Z1629" s="79"/>
    </row>
    <row r="1630" ht="15.75" customHeight="1">
      <c r="A1630" s="76" t="s">
        <v>247</v>
      </c>
      <c r="B1630" s="77" t="s">
        <v>2441</v>
      </c>
      <c r="C1630" s="80">
        <v>3.0714941263E10</v>
      </c>
      <c r="D1630" s="119" t="s">
        <v>264</v>
      </c>
      <c r="E1630" s="79" t="s">
        <v>1164</v>
      </c>
      <c r="F1630" s="44">
        <v>310.0</v>
      </c>
      <c r="G1630" s="79" t="s">
        <v>68</v>
      </c>
      <c r="H1630" s="80">
        <v>1702.0</v>
      </c>
      <c r="I1630" s="79">
        <v>864000.0</v>
      </c>
      <c r="J1630" s="74" t="s">
        <v>433</v>
      </c>
      <c r="K1630" s="79" t="s">
        <v>9856</v>
      </c>
      <c r="L1630" s="79"/>
      <c r="M1630" s="79"/>
      <c r="N1630" s="79">
        <v>0.0</v>
      </c>
      <c r="O1630" s="74" t="s">
        <v>10446</v>
      </c>
      <c r="P1630" s="78" t="s">
        <v>10447</v>
      </c>
      <c r="Q1630" s="119" t="s">
        <v>10448</v>
      </c>
      <c r="R1630" s="78" t="s">
        <v>10449</v>
      </c>
      <c r="S1630" s="80"/>
      <c r="T1630" s="101" t="s">
        <v>332</v>
      </c>
      <c r="U1630" s="80" t="s">
        <v>332</v>
      </c>
      <c r="V1630" s="102" t="s">
        <v>429</v>
      </c>
      <c r="W1630" s="79" t="s">
        <v>306</v>
      </c>
      <c r="X1630" s="79" t="s">
        <v>306</v>
      </c>
      <c r="Y1630" s="79"/>
      <c r="Z1630" s="79"/>
    </row>
    <row r="1631" ht="15.75" customHeight="1">
      <c r="A1631" s="76" t="s">
        <v>247</v>
      </c>
      <c r="B1631" s="77" t="s">
        <v>8285</v>
      </c>
      <c r="C1631" s="80">
        <v>3.3501088469E10</v>
      </c>
      <c r="D1631" s="119" t="s">
        <v>264</v>
      </c>
      <c r="E1631" s="79" t="s">
        <v>1801</v>
      </c>
      <c r="F1631" s="44">
        <v>4141.0</v>
      </c>
      <c r="G1631" s="79" t="s">
        <v>68</v>
      </c>
      <c r="H1631" s="80">
        <v>1702.0</v>
      </c>
      <c r="I1631" s="79">
        <v>110290.0</v>
      </c>
      <c r="J1631" s="74" t="s">
        <v>57</v>
      </c>
      <c r="K1631" s="79" t="s">
        <v>10451</v>
      </c>
      <c r="L1631" s="79"/>
      <c r="M1631" s="79"/>
      <c r="N1631" s="79">
        <v>219.0</v>
      </c>
      <c r="O1631" s="74" t="s">
        <v>10452</v>
      </c>
      <c r="P1631" s="78" t="s">
        <v>10453</v>
      </c>
      <c r="Q1631" s="144" t="s">
        <v>10454</v>
      </c>
      <c r="R1631" s="80"/>
      <c r="S1631" s="101" t="s">
        <v>10455</v>
      </c>
      <c r="T1631" s="101"/>
      <c r="U1631" s="80"/>
      <c r="V1631" s="102" t="s">
        <v>10456</v>
      </c>
      <c r="W1631" s="79" t="s">
        <v>309</v>
      </c>
      <c r="X1631" s="79" t="s">
        <v>309</v>
      </c>
      <c r="Y1631" s="79" t="s">
        <v>309</v>
      </c>
      <c r="Z1631" s="79"/>
    </row>
    <row r="1632" ht="15.75" customHeight="1">
      <c r="A1632" s="76" t="s">
        <v>247</v>
      </c>
      <c r="B1632" s="77" t="s">
        <v>8289</v>
      </c>
      <c r="C1632" s="80">
        <v>3.0712456163E10</v>
      </c>
      <c r="D1632" s="119" t="s">
        <v>264</v>
      </c>
      <c r="E1632" s="79" t="s">
        <v>8124</v>
      </c>
      <c r="F1632" s="128">
        <v>4973.0</v>
      </c>
      <c r="G1632" s="79" t="s">
        <v>15</v>
      </c>
      <c r="H1632" s="80">
        <v>1678.0</v>
      </c>
      <c r="I1632" s="79">
        <v>222090.0</v>
      </c>
      <c r="J1632" s="83" t="s">
        <v>568</v>
      </c>
      <c r="K1632" s="77" t="s">
        <v>569</v>
      </c>
      <c r="L1632" s="79" t="s">
        <v>453</v>
      </c>
      <c r="M1632" s="79"/>
      <c r="N1632" s="79">
        <v>0.0</v>
      </c>
      <c r="O1632" s="74"/>
      <c r="P1632" s="80"/>
      <c r="Q1632" s="79"/>
      <c r="R1632" s="80"/>
      <c r="S1632" s="80" t="s">
        <v>10458</v>
      </c>
      <c r="T1632" s="101" t="s">
        <v>332</v>
      </c>
      <c r="U1632" s="80" t="s">
        <v>332</v>
      </c>
      <c r="V1632" s="102" t="s">
        <v>429</v>
      </c>
      <c r="W1632" s="79" t="s">
        <v>306</v>
      </c>
      <c r="X1632" s="79" t="s">
        <v>306</v>
      </c>
      <c r="Y1632" s="79" t="s">
        <v>309</v>
      </c>
      <c r="Z1632" s="79"/>
    </row>
    <row r="1633" ht="15.75" customHeight="1">
      <c r="A1633" s="103" t="s">
        <v>24</v>
      </c>
      <c r="B1633" s="77" t="s">
        <v>10459</v>
      </c>
      <c r="C1633" s="80">
        <v>3.0708374691E10</v>
      </c>
      <c r="D1633" s="79" t="s">
        <v>264</v>
      </c>
      <c r="E1633" s="77" t="s">
        <v>3068</v>
      </c>
      <c r="F1633" s="128">
        <v>6948.0</v>
      </c>
      <c r="G1633" s="79" t="s">
        <v>119</v>
      </c>
      <c r="H1633" s="80">
        <v>1657.0</v>
      </c>
      <c r="I1633" s="79">
        <v>151200.0</v>
      </c>
      <c r="J1633" s="74" t="s">
        <v>163</v>
      </c>
      <c r="K1633" s="77" t="s">
        <v>749</v>
      </c>
      <c r="L1633" s="79"/>
      <c r="M1633" s="79"/>
      <c r="N1633" s="79">
        <v>9.0</v>
      </c>
      <c r="O1633" s="74"/>
      <c r="P1633" s="80"/>
      <c r="Q1633" s="79"/>
      <c r="R1633" s="80"/>
      <c r="S1633" s="80" t="s">
        <v>10462</v>
      </c>
      <c r="T1633" s="101" t="s">
        <v>332</v>
      </c>
      <c r="U1633" s="80" t="s">
        <v>332</v>
      </c>
      <c r="V1633" s="102" t="s">
        <v>429</v>
      </c>
      <c r="W1633" s="79" t="s">
        <v>309</v>
      </c>
      <c r="X1633" s="79" t="s">
        <v>309</v>
      </c>
      <c r="Y1633" s="79"/>
      <c r="Z1633" s="79"/>
    </row>
    <row r="1634" ht="15.75" customHeight="1">
      <c r="A1634" s="103" t="s">
        <v>24</v>
      </c>
      <c r="B1634" s="77" t="s">
        <v>10463</v>
      </c>
      <c r="C1634" s="80">
        <v>3.0712027718E10</v>
      </c>
      <c r="D1634" s="79" t="s">
        <v>264</v>
      </c>
      <c r="E1634" s="79" t="s">
        <v>1726</v>
      </c>
      <c r="F1634" s="44">
        <v>3754.0</v>
      </c>
      <c r="G1634" s="79" t="s">
        <v>15</v>
      </c>
      <c r="H1634" s="80">
        <v>1678.0</v>
      </c>
      <c r="I1634" s="79">
        <v>293090.0</v>
      </c>
      <c r="J1634" s="74" t="s">
        <v>337</v>
      </c>
      <c r="K1634" s="77" t="s">
        <v>407</v>
      </c>
      <c r="L1634" s="79"/>
      <c r="M1634" s="79"/>
      <c r="N1634" s="79">
        <v>4.0</v>
      </c>
      <c r="O1634" s="74"/>
      <c r="P1634" s="80"/>
      <c r="Q1634" s="79"/>
      <c r="R1634" s="80"/>
      <c r="S1634" s="78" t="s">
        <v>10464</v>
      </c>
      <c r="T1634" s="101" t="s">
        <v>332</v>
      </c>
      <c r="U1634" s="80" t="s">
        <v>332</v>
      </c>
      <c r="V1634" s="102" t="s">
        <v>429</v>
      </c>
      <c r="W1634" s="79" t="s">
        <v>306</v>
      </c>
      <c r="X1634" s="79" t="s">
        <v>306</v>
      </c>
      <c r="Y1634" s="79"/>
      <c r="Z1634" s="79"/>
    </row>
    <row r="1635" ht="15.75" customHeight="1">
      <c r="A1635" s="76" t="s">
        <v>247</v>
      </c>
      <c r="B1635" s="79" t="s">
        <v>10279</v>
      </c>
      <c r="C1635" s="80">
        <v>2.0236977111E10</v>
      </c>
      <c r="D1635" s="77" t="s">
        <v>631</v>
      </c>
      <c r="E1635" s="79" t="s">
        <v>2333</v>
      </c>
      <c r="F1635" s="44">
        <v>2778.0</v>
      </c>
      <c r="G1635" s="79" t="s">
        <v>68</v>
      </c>
      <c r="H1635" s="80">
        <v>1702.0</v>
      </c>
      <c r="I1635" s="79">
        <v>251101.0</v>
      </c>
      <c r="J1635" s="74" t="s">
        <v>337</v>
      </c>
      <c r="K1635" s="77" t="s">
        <v>1486</v>
      </c>
      <c r="L1635" s="79" t="s">
        <v>369</v>
      </c>
      <c r="M1635" s="79"/>
      <c r="N1635" s="79"/>
      <c r="O1635" s="74" t="s">
        <v>6749</v>
      </c>
      <c r="P1635" s="80"/>
      <c r="Q1635" s="79"/>
      <c r="R1635" s="80"/>
      <c r="S1635" s="78" t="s">
        <v>10466</v>
      </c>
      <c r="T1635" s="85" t="s">
        <v>10467</v>
      </c>
      <c r="U1635" s="80" t="s">
        <v>10468</v>
      </c>
      <c r="V1635" s="102" t="s">
        <v>10469</v>
      </c>
      <c r="W1635" s="79"/>
      <c r="X1635" s="79"/>
      <c r="Y1635" s="79"/>
      <c r="Z1635" s="79"/>
    </row>
    <row r="1636" ht="15.75" customHeight="1">
      <c r="A1636" s="103" t="s">
        <v>24</v>
      </c>
      <c r="B1636" s="77" t="s">
        <v>10472</v>
      </c>
      <c r="C1636" s="80">
        <v>3.070826321E10</v>
      </c>
      <c r="D1636" s="119" t="s">
        <v>264</v>
      </c>
      <c r="E1636" s="77" t="s">
        <v>1176</v>
      </c>
      <c r="F1636" s="44">
        <v>3950.0</v>
      </c>
      <c r="G1636" s="79" t="s">
        <v>68</v>
      </c>
      <c r="H1636" s="80">
        <v>1702.0</v>
      </c>
      <c r="I1636" s="79">
        <v>851900.0</v>
      </c>
      <c r="J1636" s="74" t="s">
        <v>433</v>
      </c>
      <c r="K1636" s="77" t="s">
        <v>10473</v>
      </c>
      <c r="L1636" s="79"/>
      <c r="M1636" s="79"/>
      <c r="N1636" s="79">
        <v>0.0</v>
      </c>
      <c r="O1636" s="74"/>
      <c r="P1636" s="80"/>
      <c r="Q1636" s="79"/>
      <c r="R1636" s="80"/>
      <c r="S1636" s="80" t="s">
        <v>10474</v>
      </c>
      <c r="T1636" s="101" t="s">
        <v>10475</v>
      </c>
      <c r="U1636" s="80" t="s">
        <v>10476</v>
      </c>
      <c r="V1636" s="102" t="s">
        <v>429</v>
      </c>
      <c r="W1636" s="79" t="s">
        <v>306</v>
      </c>
      <c r="X1636" s="79" t="s">
        <v>306</v>
      </c>
      <c r="Y1636" s="79"/>
      <c r="Z1636" s="79"/>
    </row>
    <row r="1637" ht="15.75" customHeight="1">
      <c r="A1637" s="76" t="s">
        <v>247</v>
      </c>
      <c r="B1637" s="77" t="s">
        <v>8292</v>
      </c>
      <c r="C1637" s="80">
        <v>3.071139872E10</v>
      </c>
      <c r="D1637" s="119" t="s">
        <v>264</v>
      </c>
      <c r="E1637" s="126" t="s">
        <v>985</v>
      </c>
      <c r="F1637" s="44">
        <v>5012.0</v>
      </c>
      <c r="G1637" s="79" t="s">
        <v>15</v>
      </c>
      <c r="H1637" s="80">
        <v>1678.0</v>
      </c>
      <c r="I1637" s="79">
        <v>139900.0</v>
      </c>
      <c r="J1637" s="74" t="s">
        <v>448</v>
      </c>
      <c r="K1637" s="77" t="s">
        <v>1760</v>
      </c>
      <c r="L1637" s="79"/>
      <c r="M1637" s="79"/>
      <c r="N1637" s="79">
        <v>6.0</v>
      </c>
      <c r="O1637" s="74" t="s">
        <v>10478</v>
      </c>
      <c r="P1637" s="80"/>
      <c r="Q1637" s="79"/>
      <c r="R1637" s="80"/>
      <c r="S1637" s="78" t="s">
        <v>10479</v>
      </c>
      <c r="T1637" s="101" t="s">
        <v>332</v>
      </c>
      <c r="U1637" s="80" t="s">
        <v>332</v>
      </c>
      <c r="V1637" s="102" t="s">
        <v>429</v>
      </c>
      <c r="W1637" s="79" t="s">
        <v>309</v>
      </c>
      <c r="X1637" s="79" t="s">
        <v>309</v>
      </c>
      <c r="Y1637" s="79"/>
      <c r="Z1637" s="79"/>
    </row>
    <row r="1638" ht="15.75" customHeight="1">
      <c r="A1638" s="103" t="s">
        <v>24</v>
      </c>
      <c r="B1638" s="77" t="s">
        <v>10481</v>
      </c>
      <c r="C1638" s="80">
        <v>3.0555832865E10</v>
      </c>
      <c r="D1638" s="119" t="s">
        <v>264</v>
      </c>
      <c r="E1638" s="79" t="s">
        <v>3466</v>
      </c>
      <c r="F1638" s="44">
        <v>3737.0</v>
      </c>
      <c r="G1638" s="79" t="s">
        <v>68</v>
      </c>
      <c r="H1638" s="80">
        <v>1702.0</v>
      </c>
      <c r="I1638" s="79">
        <v>381993.0</v>
      </c>
      <c r="J1638" s="74" t="s">
        <v>347</v>
      </c>
      <c r="K1638" s="79" t="s">
        <v>2090</v>
      </c>
      <c r="L1638" s="79" t="s">
        <v>453</v>
      </c>
      <c r="M1638" s="79"/>
      <c r="N1638" s="79">
        <v>0.0</v>
      </c>
      <c r="O1638" s="74"/>
      <c r="P1638" s="80"/>
      <c r="Q1638" s="79"/>
      <c r="R1638" s="80"/>
      <c r="S1638" s="80" t="s">
        <v>10483</v>
      </c>
      <c r="T1638" s="101" t="s">
        <v>10484</v>
      </c>
      <c r="U1638" s="80" t="s">
        <v>332</v>
      </c>
      <c r="V1638" s="102" t="s">
        <v>429</v>
      </c>
      <c r="W1638" s="79" t="s">
        <v>306</v>
      </c>
      <c r="X1638" s="79" t="s">
        <v>306</v>
      </c>
      <c r="Y1638" s="79"/>
      <c r="Z1638" s="79"/>
    </row>
    <row r="1639" ht="15.75" customHeight="1">
      <c r="A1639" s="103" t="s">
        <v>24</v>
      </c>
      <c r="B1639" s="77" t="s">
        <v>10485</v>
      </c>
      <c r="C1639" s="80">
        <v>3.0685266233E10</v>
      </c>
      <c r="D1639" s="119" t="s">
        <v>264</v>
      </c>
      <c r="E1639" s="79" t="s">
        <v>1622</v>
      </c>
      <c r="F1639" s="44">
        <v>677.0</v>
      </c>
      <c r="G1639" s="79" t="s">
        <v>68</v>
      </c>
      <c r="H1639" s="80">
        <v>1702.0</v>
      </c>
      <c r="I1639" s="79">
        <v>383929.0</v>
      </c>
      <c r="J1639" s="83" t="s">
        <v>207</v>
      </c>
      <c r="K1639" s="79" t="s">
        <v>10487</v>
      </c>
      <c r="L1639" s="79"/>
      <c r="M1639" s="79"/>
      <c r="N1639" s="79">
        <v>0.0</v>
      </c>
      <c r="O1639" s="74"/>
      <c r="P1639" s="80"/>
      <c r="Q1639" s="79"/>
      <c r="R1639" s="80"/>
      <c r="S1639" s="80" t="s">
        <v>10488</v>
      </c>
      <c r="T1639" s="101" t="s">
        <v>10489</v>
      </c>
      <c r="U1639" s="80" t="s">
        <v>332</v>
      </c>
      <c r="V1639" s="102" t="s">
        <v>429</v>
      </c>
      <c r="W1639" s="79" t="s">
        <v>306</v>
      </c>
      <c r="X1639" s="79" t="s">
        <v>306</v>
      </c>
      <c r="Y1639" s="79"/>
      <c r="Z1639" s="79"/>
    </row>
    <row r="1640" ht="15.75" customHeight="1">
      <c r="A1640" s="76" t="s">
        <v>247</v>
      </c>
      <c r="B1640" s="79" t="s">
        <v>8298</v>
      </c>
      <c r="C1640" s="80">
        <v>3.0715322974E10</v>
      </c>
      <c r="D1640" s="79" t="s">
        <v>264</v>
      </c>
      <c r="E1640" s="79" t="s">
        <v>10491</v>
      </c>
      <c r="F1640" s="44">
        <v>19.0</v>
      </c>
      <c r="G1640" s="79" t="s">
        <v>68</v>
      </c>
      <c r="H1640" s="80">
        <v>1702.0</v>
      </c>
      <c r="I1640" s="79">
        <v>141199.0</v>
      </c>
      <c r="J1640" s="74" t="s">
        <v>448</v>
      </c>
      <c r="K1640" s="77" t="s">
        <v>2765</v>
      </c>
      <c r="L1640" s="79"/>
      <c r="M1640" s="79"/>
      <c r="N1640" s="79"/>
      <c r="O1640" s="74"/>
      <c r="P1640" s="80"/>
      <c r="Q1640" s="79"/>
      <c r="R1640" s="80"/>
      <c r="S1640" s="85" t="s">
        <v>10492</v>
      </c>
      <c r="T1640" s="101"/>
      <c r="U1640" s="80"/>
      <c r="V1640" s="102" t="s">
        <v>429</v>
      </c>
      <c r="W1640" s="79"/>
      <c r="X1640" s="79"/>
      <c r="Y1640" s="79"/>
      <c r="Z1640" s="79"/>
    </row>
    <row r="1641" ht="15.75" customHeight="1">
      <c r="A1641" s="76" t="s">
        <v>247</v>
      </c>
      <c r="B1641" s="77" t="s">
        <v>8303</v>
      </c>
      <c r="C1641" s="80">
        <v>3.0688340329E10</v>
      </c>
      <c r="D1641" s="119" t="s">
        <v>264</v>
      </c>
      <c r="E1641" s="77" t="s">
        <v>2136</v>
      </c>
      <c r="F1641" s="128">
        <v>9769.0</v>
      </c>
      <c r="G1641" s="79" t="s">
        <v>119</v>
      </c>
      <c r="H1641" s="80">
        <v>1657.0</v>
      </c>
      <c r="I1641" s="79">
        <v>282909.0</v>
      </c>
      <c r="J1641" s="74" t="s">
        <v>347</v>
      </c>
      <c r="K1641" s="77" t="s">
        <v>2642</v>
      </c>
      <c r="L1641" s="79" t="s">
        <v>662</v>
      </c>
      <c r="M1641" s="77" t="s">
        <v>10494</v>
      </c>
      <c r="N1641" s="79">
        <v>4.0</v>
      </c>
      <c r="O1641" s="74"/>
      <c r="P1641" s="80"/>
      <c r="Q1641" s="79"/>
      <c r="R1641" s="80"/>
      <c r="S1641" s="78" t="s">
        <v>10495</v>
      </c>
      <c r="T1641" s="85" t="s">
        <v>10496</v>
      </c>
      <c r="U1641" s="80" t="s">
        <v>332</v>
      </c>
      <c r="V1641" s="102" t="s">
        <v>10497</v>
      </c>
      <c r="W1641" s="79" t="s">
        <v>309</v>
      </c>
      <c r="X1641" s="79" t="s">
        <v>309</v>
      </c>
      <c r="Y1641" s="79" t="s">
        <v>309</v>
      </c>
      <c r="Z1641" s="79"/>
    </row>
    <row r="1642" ht="15.75" customHeight="1">
      <c r="A1642" s="103" t="s">
        <v>24</v>
      </c>
      <c r="B1642" s="77" t="s">
        <v>10499</v>
      </c>
      <c r="C1642" s="114">
        <v>3.0521133453E10</v>
      </c>
      <c r="D1642" s="119" t="s">
        <v>264</v>
      </c>
      <c r="E1642" s="77" t="s">
        <v>7928</v>
      </c>
      <c r="F1642" s="44">
        <v>1741.0</v>
      </c>
      <c r="G1642" s="79" t="s">
        <v>249</v>
      </c>
      <c r="H1642" s="80">
        <v>1676.0</v>
      </c>
      <c r="I1642" s="176">
        <v>171142.0</v>
      </c>
      <c r="J1642" s="74" t="s">
        <v>448</v>
      </c>
      <c r="K1642" s="176" t="s">
        <v>10501</v>
      </c>
      <c r="L1642" s="79"/>
      <c r="M1642" s="79"/>
      <c r="N1642" s="79">
        <v>0.0</v>
      </c>
      <c r="O1642" s="74"/>
      <c r="P1642" s="80"/>
      <c r="Q1642" s="79"/>
      <c r="R1642" s="80"/>
      <c r="S1642" s="80" t="s">
        <v>10502</v>
      </c>
      <c r="T1642" s="101" t="s">
        <v>332</v>
      </c>
      <c r="U1642" s="80" t="s">
        <v>332</v>
      </c>
      <c r="V1642" s="102" t="s">
        <v>429</v>
      </c>
      <c r="W1642" s="79" t="s">
        <v>306</v>
      </c>
      <c r="X1642" s="79" t="s">
        <v>306</v>
      </c>
      <c r="Y1642" s="79"/>
      <c r="Z1642" s="79"/>
    </row>
    <row r="1643" ht="15.75" customHeight="1">
      <c r="A1643" s="103" t="s">
        <v>24</v>
      </c>
      <c r="B1643" s="79" t="s">
        <v>10503</v>
      </c>
      <c r="C1643" s="80">
        <v>3.0505447472E10</v>
      </c>
      <c r="D1643" s="119" t="s">
        <v>264</v>
      </c>
      <c r="E1643" s="79" t="s">
        <v>7535</v>
      </c>
      <c r="F1643" s="44">
        <v>3275.0</v>
      </c>
      <c r="G1643" s="79" t="s">
        <v>15</v>
      </c>
      <c r="H1643" s="80">
        <v>1678.0</v>
      </c>
      <c r="I1643" s="79">
        <v>289200.0</v>
      </c>
      <c r="J1643" s="74" t="s">
        <v>347</v>
      </c>
      <c r="K1643" s="79" t="s">
        <v>2529</v>
      </c>
      <c r="L1643" s="79" t="s">
        <v>453</v>
      </c>
      <c r="M1643" s="79"/>
      <c r="N1643" s="79">
        <v>1.0</v>
      </c>
      <c r="O1643" s="74"/>
      <c r="P1643" s="80"/>
      <c r="Q1643" s="79"/>
      <c r="R1643" s="80"/>
      <c r="S1643" s="101" t="s">
        <v>10505</v>
      </c>
      <c r="T1643" s="101" t="s">
        <v>332</v>
      </c>
      <c r="U1643" s="80" t="s">
        <v>332</v>
      </c>
      <c r="V1643" s="102" t="s">
        <v>429</v>
      </c>
      <c r="W1643" s="79" t="s">
        <v>309</v>
      </c>
      <c r="X1643" s="79" t="s">
        <v>309</v>
      </c>
      <c r="Y1643" s="79"/>
      <c r="Z1643" s="79"/>
    </row>
    <row r="1644" ht="15.75" customHeight="1">
      <c r="A1644" s="103" t="s">
        <v>24</v>
      </c>
      <c r="B1644" s="79" t="s">
        <v>8307</v>
      </c>
      <c r="C1644" s="80">
        <v>2.3937282079E10</v>
      </c>
      <c r="D1644" s="77" t="s">
        <v>631</v>
      </c>
      <c r="E1644" s="79" t="s">
        <v>826</v>
      </c>
      <c r="F1644" s="44" t="s">
        <v>10507</v>
      </c>
      <c r="G1644" s="77" t="s">
        <v>33</v>
      </c>
      <c r="H1644" s="80">
        <v>1657.0</v>
      </c>
      <c r="I1644" s="79">
        <v>329090.0</v>
      </c>
      <c r="J1644" s="83" t="s">
        <v>327</v>
      </c>
      <c r="K1644" s="77" t="s">
        <v>4140</v>
      </c>
      <c r="L1644" s="79"/>
      <c r="M1644" s="79"/>
      <c r="N1644" s="79"/>
      <c r="O1644" s="74" t="s">
        <v>10508</v>
      </c>
      <c r="P1644" s="80"/>
      <c r="Q1644" s="79"/>
      <c r="R1644" s="80"/>
      <c r="S1644" s="80"/>
      <c r="T1644" s="101"/>
      <c r="U1644" s="80"/>
      <c r="V1644" s="102" t="s">
        <v>429</v>
      </c>
      <c r="W1644" s="79"/>
      <c r="X1644" s="79"/>
      <c r="Y1644" s="79"/>
      <c r="Z1644" s="79"/>
    </row>
    <row r="1645" ht="15.75" customHeight="1">
      <c r="A1645" s="76" t="s">
        <v>247</v>
      </c>
      <c r="B1645" s="79" t="s">
        <v>8313</v>
      </c>
      <c r="C1645" s="80">
        <v>3.3685306889E10</v>
      </c>
      <c r="D1645" s="77" t="s">
        <v>631</v>
      </c>
      <c r="E1645" s="77" t="s">
        <v>1070</v>
      </c>
      <c r="F1645" s="44">
        <v>252.0</v>
      </c>
      <c r="G1645" s="79" t="s">
        <v>68</v>
      </c>
      <c r="H1645" s="80">
        <v>1702.0</v>
      </c>
      <c r="I1645" s="79">
        <v>259999.0</v>
      </c>
      <c r="J1645" s="74" t="s">
        <v>347</v>
      </c>
      <c r="K1645" s="77" t="s">
        <v>839</v>
      </c>
      <c r="L1645" s="79" t="s">
        <v>453</v>
      </c>
      <c r="M1645" s="79"/>
      <c r="N1645" s="79">
        <v>7.0</v>
      </c>
      <c r="O1645" s="74"/>
      <c r="P1645" s="114"/>
      <c r="Q1645" s="79"/>
      <c r="R1645" s="80"/>
      <c r="S1645" s="80" t="s">
        <v>10510</v>
      </c>
      <c r="T1645" s="101" t="s">
        <v>332</v>
      </c>
      <c r="U1645" s="80" t="s">
        <v>332</v>
      </c>
      <c r="V1645" s="102" t="s">
        <v>429</v>
      </c>
      <c r="W1645" s="79" t="s">
        <v>309</v>
      </c>
      <c r="X1645" s="79" t="s">
        <v>309</v>
      </c>
      <c r="Y1645" s="79" t="s">
        <v>309</v>
      </c>
      <c r="Z1645" s="79"/>
    </row>
    <row r="1646" ht="15.75" customHeight="1">
      <c r="A1646" s="103" t="s">
        <v>24</v>
      </c>
      <c r="B1646" s="79" t="s">
        <v>10511</v>
      </c>
      <c r="C1646" s="80">
        <v>2.3937149999E10</v>
      </c>
      <c r="D1646" s="77" t="s">
        <v>631</v>
      </c>
      <c r="E1646" s="79" t="s">
        <v>2003</v>
      </c>
      <c r="F1646" s="44">
        <v>4036.0</v>
      </c>
      <c r="G1646" s="79" t="s">
        <v>68</v>
      </c>
      <c r="H1646" s="80">
        <v>1702.0</v>
      </c>
      <c r="I1646" s="77">
        <v>259993.0</v>
      </c>
      <c r="J1646" s="83" t="s">
        <v>347</v>
      </c>
      <c r="K1646" s="129" t="s">
        <v>638</v>
      </c>
      <c r="L1646" s="79"/>
      <c r="M1646" s="79"/>
      <c r="N1646" s="79"/>
      <c r="O1646" s="74"/>
      <c r="P1646" s="80"/>
      <c r="Q1646" s="79"/>
      <c r="R1646" s="80"/>
      <c r="S1646" s="101" t="s">
        <v>10513</v>
      </c>
      <c r="T1646" s="101"/>
      <c r="U1646" s="80"/>
      <c r="V1646" s="102" t="s">
        <v>429</v>
      </c>
      <c r="W1646" s="79"/>
      <c r="X1646" s="79"/>
      <c r="Y1646" s="79"/>
      <c r="Z1646" s="79"/>
    </row>
    <row r="1647" ht="15.75" customHeight="1">
      <c r="A1647" s="76" t="s">
        <v>247</v>
      </c>
      <c r="B1647" s="77" t="s">
        <v>8317</v>
      </c>
      <c r="C1647" s="80">
        <v>3.0711449988E10</v>
      </c>
      <c r="D1647" s="79" t="s">
        <v>264</v>
      </c>
      <c r="E1647" s="79" t="s">
        <v>1045</v>
      </c>
      <c r="F1647" s="44">
        <v>5766.0</v>
      </c>
      <c r="G1647" s="79" t="s">
        <v>15</v>
      </c>
      <c r="H1647" s="80">
        <v>1678.0</v>
      </c>
      <c r="I1647" s="79">
        <v>170990.0</v>
      </c>
      <c r="J1647" s="74" t="s">
        <v>283</v>
      </c>
      <c r="K1647" s="77" t="s">
        <v>2385</v>
      </c>
      <c r="L1647" s="79"/>
      <c r="M1647" s="79"/>
      <c r="N1647" s="79">
        <v>5.0</v>
      </c>
      <c r="O1647" s="74"/>
      <c r="P1647" s="80"/>
      <c r="Q1647" s="79"/>
      <c r="R1647" s="80"/>
      <c r="S1647" s="80" t="s">
        <v>10515</v>
      </c>
      <c r="T1647" s="101" t="s">
        <v>10516</v>
      </c>
      <c r="U1647" s="80" t="s">
        <v>332</v>
      </c>
      <c r="V1647" s="102" t="s">
        <v>10517</v>
      </c>
      <c r="W1647" s="79" t="s">
        <v>306</v>
      </c>
      <c r="X1647" s="79" t="s">
        <v>306</v>
      </c>
      <c r="Y1647" s="79" t="s">
        <v>309</v>
      </c>
      <c r="Z1647" s="79"/>
    </row>
    <row r="1648" ht="15.75" customHeight="1">
      <c r="A1648" s="76" t="s">
        <v>247</v>
      </c>
      <c r="B1648" s="77" t="s">
        <v>10518</v>
      </c>
      <c r="C1648" s="79">
        <v>2.0220811582E10</v>
      </c>
      <c r="D1648" s="144" t="s">
        <v>631</v>
      </c>
      <c r="E1648" s="77" t="s">
        <v>943</v>
      </c>
      <c r="F1648" s="44">
        <v>4018.0</v>
      </c>
      <c r="G1648" s="79" t="s">
        <v>68</v>
      </c>
      <c r="H1648" s="80">
        <v>1702.0</v>
      </c>
      <c r="I1648" s="79">
        <v>259999.0</v>
      </c>
      <c r="J1648" s="83" t="s">
        <v>347</v>
      </c>
      <c r="K1648" s="77" t="s">
        <v>839</v>
      </c>
      <c r="L1648" s="79"/>
      <c r="M1648" s="77" t="s">
        <v>10520</v>
      </c>
      <c r="N1648" s="79"/>
      <c r="O1648" s="74"/>
      <c r="P1648" s="80"/>
      <c r="Q1648" s="79"/>
      <c r="R1648" s="80"/>
      <c r="S1648" s="78" t="s">
        <v>10522</v>
      </c>
      <c r="T1648" s="101" t="s">
        <v>9429</v>
      </c>
      <c r="U1648" s="80"/>
      <c r="V1648" s="102" t="s">
        <v>10523</v>
      </c>
      <c r="W1648" s="79"/>
      <c r="X1648" s="79"/>
      <c r="Y1648" s="79"/>
      <c r="Z1648" s="79"/>
    </row>
    <row r="1649" ht="15.75" customHeight="1">
      <c r="A1649" s="103" t="s">
        <v>24</v>
      </c>
      <c r="B1649" s="77" t="s">
        <v>10525</v>
      </c>
      <c r="C1649" s="79">
        <v>2.0179771765E10</v>
      </c>
      <c r="D1649" s="144" t="s">
        <v>631</v>
      </c>
      <c r="E1649" s="77" t="s">
        <v>10526</v>
      </c>
      <c r="F1649" s="128">
        <v>3562.0</v>
      </c>
      <c r="G1649" s="79" t="s">
        <v>249</v>
      </c>
      <c r="H1649" s="80">
        <v>1676.0</v>
      </c>
      <c r="I1649" s="79">
        <v>139900.0</v>
      </c>
      <c r="J1649" s="83" t="s">
        <v>448</v>
      </c>
      <c r="K1649" s="129" t="s">
        <v>1760</v>
      </c>
      <c r="L1649" s="79" t="s">
        <v>453</v>
      </c>
      <c r="M1649" s="79" t="s">
        <v>10527</v>
      </c>
      <c r="N1649" s="79"/>
      <c r="O1649" s="74"/>
      <c r="P1649" s="80"/>
      <c r="Q1649" s="79"/>
      <c r="R1649" s="80"/>
      <c r="S1649" s="85" t="s">
        <v>10530</v>
      </c>
      <c r="T1649" s="101"/>
      <c r="U1649" s="80"/>
      <c r="V1649" s="102" t="s">
        <v>429</v>
      </c>
      <c r="W1649" s="79"/>
      <c r="X1649" s="79"/>
      <c r="Y1649" s="79"/>
      <c r="Z1649" s="79"/>
    </row>
    <row r="1650" ht="15.75" customHeight="1">
      <c r="A1650" s="76" t="s">
        <v>247</v>
      </c>
      <c r="B1650" s="77" t="s">
        <v>8322</v>
      </c>
      <c r="C1650" s="80">
        <v>2.0049263598E10</v>
      </c>
      <c r="D1650" s="77" t="s">
        <v>631</v>
      </c>
      <c r="E1650" s="79" t="s">
        <v>1079</v>
      </c>
      <c r="F1650" s="44">
        <v>5825.0</v>
      </c>
      <c r="G1650" s="77" t="s">
        <v>15</v>
      </c>
      <c r="H1650" s="78">
        <v>1678.0</v>
      </c>
      <c r="I1650" s="77">
        <v>107999.0</v>
      </c>
      <c r="J1650" s="83" t="s">
        <v>22</v>
      </c>
      <c r="K1650" s="77" t="s">
        <v>7034</v>
      </c>
      <c r="L1650" s="79"/>
      <c r="M1650" s="79"/>
      <c r="N1650" s="79"/>
      <c r="O1650" s="74"/>
      <c r="P1650" s="80"/>
      <c r="Q1650" s="79"/>
      <c r="R1650" s="80"/>
      <c r="S1650" s="80" t="s">
        <v>10532</v>
      </c>
      <c r="T1650" s="101" t="s">
        <v>10533</v>
      </c>
      <c r="U1650" s="80"/>
      <c r="V1650" s="102" t="s">
        <v>10534</v>
      </c>
      <c r="W1650" s="79"/>
      <c r="X1650" s="79"/>
      <c r="Y1650" s="79"/>
      <c r="Z1650" s="79"/>
    </row>
    <row r="1651" ht="15.75" customHeight="1">
      <c r="A1651" s="103" t="s">
        <v>24</v>
      </c>
      <c r="B1651" s="77" t="s">
        <v>10536</v>
      </c>
      <c r="C1651" s="80">
        <v>2.016689736E10</v>
      </c>
      <c r="D1651" s="144" t="s">
        <v>631</v>
      </c>
      <c r="E1651" s="77" t="s">
        <v>10537</v>
      </c>
      <c r="F1651" s="128">
        <v>1517.0</v>
      </c>
      <c r="G1651" s="79" t="s">
        <v>134</v>
      </c>
      <c r="H1651" s="80">
        <v>1678.0</v>
      </c>
      <c r="I1651" s="77">
        <v>681098.0</v>
      </c>
      <c r="J1651" s="83" t="s">
        <v>433</v>
      </c>
      <c r="K1651" s="77" t="s">
        <v>3489</v>
      </c>
      <c r="L1651" s="79"/>
      <c r="M1651" s="79"/>
      <c r="N1651" s="79">
        <v>10.0</v>
      </c>
      <c r="O1651" s="74"/>
      <c r="P1651" s="80"/>
      <c r="Q1651" s="79"/>
      <c r="R1651" s="80"/>
      <c r="S1651" s="114" t="s">
        <v>10539</v>
      </c>
      <c r="T1651" s="101"/>
      <c r="U1651" s="80"/>
      <c r="V1651" s="102" t="s">
        <v>429</v>
      </c>
      <c r="W1651" s="79"/>
      <c r="X1651" s="79"/>
      <c r="Y1651" s="79" t="s">
        <v>309</v>
      </c>
      <c r="Z1651" s="79"/>
    </row>
    <row r="1652" ht="15.75" customHeight="1">
      <c r="A1652" s="103" t="s">
        <v>24</v>
      </c>
      <c r="B1652" s="77" t="s">
        <v>10540</v>
      </c>
      <c r="C1652" s="80">
        <v>3.0711836744E10</v>
      </c>
      <c r="D1652" s="119" t="s">
        <v>264</v>
      </c>
      <c r="E1652" s="79" t="s">
        <v>9236</v>
      </c>
      <c r="F1652" s="44">
        <v>5119.0</v>
      </c>
      <c r="G1652" s="79" t="s">
        <v>15</v>
      </c>
      <c r="H1652" s="80">
        <v>1678.0</v>
      </c>
      <c r="I1652" s="79">
        <v>139900.0</v>
      </c>
      <c r="J1652" s="74" t="s">
        <v>448</v>
      </c>
      <c r="K1652" s="77" t="s">
        <v>1760</v>
      </c>
      <c r="L1652" s="79"/>
      <c r="M1652" s="79"/>
      <c r="N1652" s="79">
        <v>8.0</v>
      </c>
      <c r="O1652" s="74"/>
      <c r="P1652" s="80"/>
      <c r="Q1652" s="79"/>
      <c r="R1652" s="80"/>
      <c r="S1652" s="101" t="s">
        <v>10541</v>
      </c>
      <c r="T1652" s="101" t="s">
        <v>332</v>
      </c>
      <c r="U1652" s="80" t="s">
        <v>332</v>
      </c>
      <c r="V1652" s="102" t="s">
        <v>429</v>
      </c>
      <c r="W1652" s="79" t="s">
        <v>306</v>
      </c>
      <c r="X1652" s="79" t="s">
        <v>306</v>
      </c>
      <c r="Y1652" s="79"/>
      <c r="Z1652" s="79"/>
    </row>
    <row r="1653" ht="15.75" customHeight="1">
      <c r="A1653" s="103" t="s">
        <v>24</v>
      </c>
      <c r="B1653" s="77" t="s">
        <v>10542</v>
      </c>
      <c r="C1653" s="80">
        <v>3.0654289391E10</v>
      </c>
      <c r="D1653" s="119" t="s">
        <v>264</v>
      </c>
      <c r="E1653" s="77" t="s">
        <v>10543</v>
      </c>
      <c r="F1653" s="44">
        <v>1161.0</v>
      </c>
      <c r="G1653" s="79" t="s">
        <v>269</v>
      </c>
      <c r="H1653" s="80">
        <v>1682.0</v>
      </c>
      <c r="I1653" s="79">
        <v>500038.0</v>
      </c>
      <c r="J1653" s="74" t="s">
        <v>125</v>
      </c>
      <c r="K1653" s="79" t="s">
        <v>7407</v>
      </c>
      <c r="L1653" s="79" t="s">
        <v>453</v>
      </c>
      <c r="M1653" s="79"/>
      <c r="N1653" s="79">
        <v>0.0</v>
      </c>
      <c r="O1653" s="74"/>
      <c r="P1653" s="80"/>
      <c r="Q1653" s="79"/>
      <c r="R1653" s="80"/>
      <c r="S1653" s="80" t="s">
        <v>10544</v>
      </c>
      <c r="T1653" s="101" t="s">
        <v>332</v>
      </c>
      <c r="U1653" s="80" t="s">
        <v>332</v>
      </c>
      <c r="V1653" s="102" t="s">
        <v>429</v>
      </c>
      <c r="W1653" s="79" t="s">
        <v>306</v>
      </c>
      <c r="X1653" s="79" t="s">
        <v>306</v>
      </c>
      <c r="Y1653" s="79"/>
      <c r="Z1653" s="79"/>
    </row>
    <row r="1654" ht="15.75" customHeight="1">
      <c r="A1654" s="103" t="s">
        <v>24</v>
      </c>
      <c r="B1654" s="77" t="s">
        <v>10545</v>
      </c>
      <c r="C1654" s="80">
        <v>3.0502487791E10</v>
      </c>
      <c r="D1654" s="119" t="s">
        <v>264</v>
      </c>
      <c r="E1654" s="79" t="s">
        <v>3552</v>
      </c>
      <c r="F1654" s="44">
        <v>3142.0</v>
      </c>
      <c r="G1654" s="79" t="s">
        <v>15</v>
      </c>
      <c r="H1654" s="80">
        <v>1678.0</v>
      </c>
      <c r="I1654" s="79">
        <v>381993.0</v>
      </c>
      <c r="J1654" s="74" t="s">
        <v>347</v>
      </c>
      <c r="K1654" s="79" t="s">
        <v>2090</v>
      </c>
      <c r="L1654" s="79" t="s">
        <v>453</v>
      </c>
      <c r="M1654" s="79"/>
      <c r="N1654" s="79">
        <v>0.0</v>
      </c>
      <c r="O1654" s="42"/>
      <c r="P1654" s="114"/>
      <c r="Q1654" s="79"/>
      <c r="R1654" s="80"/>
      <c r="S1654" s="80" t="s">
        <v>10546</v>
      </c>
      <c r="T1654" s="101" t="s">
        <v>10547</v>
      </c>
      <c r="U1654" s="80" t="s">
        <v>332</v>
      </c>
      <c r="V1654" s="102" t="s">
        <v>429</v>
      </c>
      <c r="W1654" s="79" t="s">
        <v>309</v>
      </c>
      <c r="X1654" s="79" t="s">
        <v>309</v>
      </c>
      <c r="Y1654" s="79"/>
      <c r="Z1654" s="79"/>
    </row>
    <row r="1655" ht="15.75" customHeight="1">
      <c r="A1655" s="76" t="s">
        <v>247</v>
      </c>
      <c r="B1655" s="77" t="s">
        <v>8325</v>
      </c>
      <c r="C1655" s="80">
        <v>3.3626217139E10</v>
      </c>
      <c r="D1655" s="79" t="s">
        <v>264</v>
      </c>
      <c r="E1655" s="79" t="s">
        <v>3256</v>
      </c>
      <c r="F1655" s="44">
        <v>957.0</v>
      </c>
      <c r="G1655" s="79" t="s">
        <v>269</v>
      </c>
      <c r="H1655" s="80">
        <v>1682.0</v>
      </c>
      <c r="I1655" s="79">
        <v>162100.0</v>
      </c>
      <c r="J1655" s="74" t="s">
        <v>313</v>
      </c>
      <c r="K1655" s="77" t="s">
        <v>10548</v>
      </c>
      <c r="L1655" s="79" t="s">
        <v>1122</v>
      </c>
      <c r="M1655" s="79"/>
      <c r="N1655" s="79">
        <v>3.0</v>
      </c>
      <c r="O1655" s="74"/>
      <c r="P1655" s="80"/>
      <c r="Q1655" s="79"/>
      <c r="R1655" s="80"/>
      <c r="S1655" s="80" t="s">
        <v>10549</v>
      </c>
      <c r="T1655" s="101" t="s">
        <v>332</v>
      </c>
      <c r="U1655" s="80" t="s">
        <v>332</v>
      </c>
      <c r="V1655" s="102" t="s">
        <v>429</v>
      </c>
      <c r="W1655" s="79" t="s">
        <v>309</v>
      </c>
      <c r="X1655" s="79" t="s">
        <v>309</v>
      </c>
      <c r="Y1655" s="79" t="s">
        <v>309</v>
      </c>
      <c r="Z1655" s="79"/>
    </row>
    <row r="1656" ht="15.75" customHeight="1">
      <c r="A1656" s="76" t="s">
        <v>247</v>
      </c>
      <c r="B1656" s="77" t="s">
        <v>10550</v>
      </c>
      <c r="C1656" s="78">
        <v>3.071428797E10</v>
      </c>
      <c r="D1656" s="119" t="s">
        <v>264</v>
      </c>
      <c r="E1656" s="77" t="s">
        <v>2048</v>
      </c>
      <c r="F1656" s="44">
        <v>8557.0</v>
      </c>
      <c r="G1656" s="77" t="s">
        <v>119</v>
      </c>
      <c r="H1656" s="80">
        <v>1657.0</v>
      </c>
      <c r="I1656" s="79">
        <v>103012.0</v>
      </c>
      <c r="J1656" s="74" t="s">
        <v>22</v>
      </c>
      <c r="K1656" s="79" t="s">
        <v>7525</v>
      </c>
      <c r="L1656" s="79"/>
      <c r="M1656" s="79" t="s">
        <v>10551</v>
      </c>
      <c r="N1656" s="79">
        <v>3.0</v>
      </c>
      <c r="O1656" s="74" t="s">
        <v>10552</v>
      </c>
      <c r="P1656" s="78" t="s">
        <v>10553</v>
      </c>
      <c r="Q1656" s="79"/>
      <c r="R1656" s="80"/>
      <c r="S1656" s="78" t="s">
        <v>8216</v>
      </c>
      <c r="T1656" s="85" t="s">
        <v>10554</v>
      </c>
      <c r="U1656" s="78" t="s">
        <v>10555</v>
      </c>
      <c r="V1656" s="102" t="s">
        <v>8217</v>
      </c>
      <c r="W1656" s="79" t="s">
        <v>306</v>
      </c>
      <c r="X1656" s="79" t="s">
        <v>306</v>
      </c>
      <c r="Y1656" s="79"/>
      <c r="Z1656" s="79"/>
    </row>
    <row r="1657" ht="15.75" customHeight="1">
      <c r="A1657" s="76" t="s">
        <v>247</v>
      </c>
      <c r="B1657" s="77" t="s">
        <v>8329</v>
      </c>
      <c r="C1657" s="80">
        <v>3.0643843958E10</v>
      </c>
      <c r="D1657" s="79" t="s">
        <v>264</v>
      </c>
      <c r="E1657" s="79" t="s">
        <v>1079</v>
      </c>
      <c r="F1657" s="44">
        <v>5725.0</v>
      </c>
      <c r="G1657" s="79" t="s">
        <v>15</v>
      </c>
      <c r="H1657" s="80">
        <v>1678.0</v>
      </c>
      <c r="I1657" s="79">
        <v>361010.0</v>
      </c>
      <c r="J1657" s="74" t="s">
        <v>313</v>
      </c>
      <c r="K1657" s="79" t="s">
        <v>2534</v>
      </c>
      <c r="L1657" s="79" t="s">
        <v>1122</v>
      </c>
      <c r="M1657" s="79"/>
      <c r="N1657" s="79">
        <v>3.0</v>
      </c>
      <c r="O1657" s="74"/>
      <c r="P1657" s="80"/>
      <c r="Q1657" s="79"/>
      <c r="R1657" s="80"/>
      <c r="S1657" s="80" t="s">
        <v>10556</v>
      </c>
      <c r="T1657" s="101" t="s">
        <v>10557</v>
      </c>
      <c r="U1657" s="80" t="s">
        <v>10558</v>
      </c>
      <c r="V1657" s="102" t="s">
        <v>429</v>
      </c>
      <c r="W1657" s="79" t="s">
        <v>309</v>
      </c>
      <c r="X1657" s="79" t="s">
        <v>309</v>
      </c>
      <c r="Y1657" s="79"/>
      <c r="Z1657" s="79"/>
    </row>
    <row r="1658" ht="15.75" customHeight="1">
      <c r="A1658" s="103" t="s">
        <v>24</v>
      </c>
      <c r="B1658" s="77" t="s">
        <v>10559</v>
      </c>
      <c r="C1658" s="79">
        <v>3.0680687729E10</v>
      </c>
      <c r="D1658" s="77" t="s">
        <v>264</v>
      </c>
      <c r="E1658" s="77" t="s">
        <v>266</v>
      </c>
      <c r="F1658" s="44">
        <v>3612.0</v>
      </c>
      <c r="G1658" s="79" t="s">
        <v>15</v>
      </c>
      <c r="H1658" s="80">
        <v>1678.0</v>
      </c>
      <c r="I1658" s="79">
        <v>155412.0</v>
      </c>
      <c r="J1658" s="74" t="s">
        <v>57</v>
      </c>
      <c r="K1658" s="79" t="s">
        <v>4764</v>
      </c>
      <c r="L1658" s="79"/>
      <c r="M1658" s="79"/>
      <c r="N1658" s="79">
        <v>5.0</v>
      </c>
      <c r="O1658" s="83" t="s">
        <v>10561</v>
      </c>
      <c r="P1658" s="80"/>
      <c r="Q1658" s="77" t="s">
        <v>10562</v>
      </c>
      <c r="R1658" s="78">
        <v>1.150133662E9</v>
      </c>
      <c r="S1658" s="80" t="s">
        <v>10563</v>
      </c>
      <c r="T1658" s="101" t="s">
        <v>10564</v>
      </c>
      <c r="U1658" s="80" t="s">
        <v>10565</v>
      </c>
      <c r="V1658" s="102" t="s">
        <v>10566</v>
      </c>
      <c r="W1658" s="79" t="s">
        <v>306</v>
      </c>
      <c r="X1658" s="79" t="s">
        <v>306</v>
      </c>
      <c r="Y1658" s="79"/>
      <c r="Z1658" s="79"/>
    </row>
    <row r="1659" ht="15.75" customHeight="1">
      <c r="A1659" s="76" t="s">
        <v>247</v>
      </c>
      <c r="B1659" s="79" t="s">
        <v>10568</v>
      </c>
      <c r="C1659" s="80">
        <v>2.0101197612E10</v>
      </c>
      <c r="D1659" s="77" t="s">
        <v>631</v>
      </c>
      <c r="E1659" s="79" t="s">
        <v>2938</v>
      </c>
      <c r="F1659" s="44">
        <v>2071.0</v>
      </c>
      <c r="G1659" s="79" t="s">
        <v>68</v>
      </c>
      <c r="H1659" s="80">
        <v>1702.0</v>
      </c>
      <c r="I1659" s="79">
        <v>251102.0</v>
      </c>
      <c r="J1659" s="74" t="s">
        <v>347</v>
      </c>
      <c r="K1659" s="144" t="s">
        <v>1611</v>
      </c>
      <c r="L1659" s="79"/>
      <c r="M1659" s="79" t="s">
        <v>10570</v>
      </c>
      <c r="N1659" s="79"/>
      <c r="O1659" s="74"/>
      <c r="P1659" s="80"/>
      <c r="Q1659" s="79"/>
      <c r="R1659" s="80"/>
      <c r="S1659" s="101" t="s">
        <v>10571</v>
      </c>
      <c r="T1659" s="101" t="s">
        <v>10572</v>
      </c>
      <c r="U1659" s="80"/>
      <c r="V1659" s="102" t="s">
        <v>429</v>
      </c>
      <c r="W1659" s="79"/>
      <c r="X1659" s="79"/>
      <c r="Y1659" s="79"/>
      <c r="Z1659" s="79"/>
    </row>
    <row r="1660" ht="15.75" customHeight="1">
      <c r="A1660" s="76" t="s">
        <v>247</v>
      </c>
      <c r="B1660" s="144" t="s">
        <v>8336</v>
      </c>
      <c r="C1660" s="80">
        <v>2.026000557E10</v>
      </c>
      <c r="D1660" s="77" t="s">
        <v>631</v>
      </c>
      <c r="E1660" s="77" t="s">
        <v>8460</v>
      </c>
      <c r="F1660" s="128">
        <v>2875.0</v>
      </c>
      <c r="G1660" s="79" t="s">
        <v>15</v>
      </c>
      <c r="H1660" s="80">
        <v>1678.0</v>
      </c>
      <c r="I1660" s="79">
        <v>829900.0</v>
      </c>
      <c r="J1660" s="83" t="s">
        <v>22</v>
      </c>
      <c r="K1660" s="77" t="s">
        <v>2924</v>
      </c>
      <c r="L1660" s="79" t="s">
        <v>369</v>
      </c>
      <c r="M1660" s="79" t="s">
        <v>10574</v>
      </c>
      <c r="N1660" s="79"/>
      <c r="O1660" s="79"/>
      <c r="P1660" s="78" t="s">
        <v>10575</v>
      </c>
      <c r="Q1660" s="79"/>
      <c r="R1660" s="369" t="s">
        <v>10576</v>
      </c>
      <c r="S1660" s="80"/>
      <c r="T1660" s="101"/>
      <c r="U1660" s="80"/>
      <c r="V1660" s="102" t="s">
        <v>10577</v>
      </c>
      <c r="W1660" s="79"/>
      <c r="X1660" s="79"/>
      <c r="Y1660" s="79"/>
      <c r="Z1660" s="79"/>
    </row>
    <row r="1661" ht="15.75" customHeight="1">
      <c r="A1661" s="76" t="s">
        <v>247</v>
      </c>
      <c r="B1661" s="79" t="s">
        <v>8342</v>
      </c>
      <c r="C1661" s="80">
        <v>2.0171216053E10</v>
      </c>
      <c r="D1661" s="77" t="s">
        <v>631</v>
      </c>
      <c r="E1661" s="77" t="s">
        <v>3068</v>
      </c>
      <c r="F1661" s="44">
        <v>8946.0</v>
      </c>
      <c r="G1661" s="79" t="s">
        <v>119</v>
      </c>
      <c r="H1661" s="80">
        <v>1657.0</v>
      </c>
      <c r="I1661" s="79">
        <v>259993.0</v>
      </c>
      <c r="J1661" s="74" t="s">
        <v>337</v>
      </c>
      <c r="K1661" s="77" t="s">
        <v>638</v>
      </c>
      <c r="L1661" s="79" t="s">
        <v>453</v>
      </c>
      <c r="M1661" s="79" t="s">
        <v>10579</v>
      </c>
      <c r="N1661" s="79"/>
      <c r="O1661" s="74"/>
      <c r="P1661" s="80"/>
      <c r="Q1661" s="79"/>
      <c r="R1661" s="80"/>
      <c r="S1661" s="78" t="s">
        <v>10580</v>
      </c>
      <c r="T1661" s="101"/>
      <c r="U1661" s="80"/>
      <c r="V1661" s="102" t="s">
        <v>10581</v>
      </c>
      <c r="W1661" s="79"/>
      <c r="X1661" s="79"/>
      <c r="Y1661" s="79"/>
      <c r="Z1661" s="79"/>
    </row>
    <row r="1662" ht="15.75" customHeight="1">
      <c r="A1662" s="103" t="s">
        <v>24</v>
      </c>
      <c r="B1662" s="77" t="s">
        <v>10582</v>
      </c>
      <c r="C1662" s="80">
        <v>3.050395161E10</v>
      </c>
      <c r="D1662" s="119" t="s">
        <v>264</v>
      </c>
      <c r="E1662" s="79" t="s">
        <v>8146</v>
      </c>
      <c r="F1662" s="44">
        <v>1493.0</v>
      </c>
      <c r="G1662" s="79" t="s">
        <v>119</v>
      </c>
      <c r="H1662" s="80">
        <v>1657.0</v>
      </c>
      <c r="I1662" s="79">
        <v>242200.0</v>
      </c>
      <c r="J1662" s="74" t="s">
        <v>316</v>
      </c>
      <c r="K1662" s="79" t="s">
        <v>3468</v>
      </c>
      <c r="L1662" s="79"/>
      <c r="M1662" s="79"/>
      <c r="N1662" s="79">
        <v>0.0</v>
      </c>
      <c r="O1662" s="74"/>
      <c r="P1662" s="80"/>
      <c r="Q1662" s="79"/>
      <c r="R1662" s="80"/>
      <c r="S1662" s="80" t="s">
        <v>10583</v>
      </c>
      <c r="T1662" s="101" t="s">
        <v>10584</v>
      </c>
      <c r="U1662" s="80" t="s">
        <v>10585</v>
      </c>
      <c r="V1662" s="102" t="s">
        <v>429</v>
      </c>
      <c r="W1662" s="79" t="s">
        <v>309</v>
      </c>
      <c r="X1662" s="79" t="s">
        <v>309</v>
      </c>
      <c r="Y1662" s="79"/>
      <c r="Z1662" s="79"/>
    </row>
    <row r="1663" ht="15.75" customHeight="1">
      <c r="A1663" s="103" t="s">
        <v>24</v>
      </c>
      <c r="B1663" s="79" t="s">
        <v>10586</v>
      </c>
      <c r="C1663" s="79">
        <v>2.0295314681E10</v>
      </c>
      <c r="D1663" s="144" t="s">
        <v>631</v>
      </c>
      <c r="E1663" s="79" t="s">
        <v>3405</v>
      </c>
      <c r="F1663" s="44">
        <v>7862.0</v>
      </c>
      <c r="G1663" s="79" t="s">
        <v>269</v>
      </c>
      <c r="H1663" s="80">
        <v>1682.0</v>
      </c>
      <c r="I1663" s="77">
        <v>492280.0</v>
      </c>
      <c r="J1663" s="74" t="s">
        <v>433</v>
      </c>
      <c r="K1663" s="77" t="s">
        <v>10587</v>
      </c>
      <c r="L1663" s="79"/>
      <c r="M1663" s="79"/>
      <c r="N1663" s="79"/>
      <c r="O1663" s="74"/>
      <c r="P1663" s="80"/>
      <c r="Q1663" s="79"/>
      <c r="R1663" s="80"/>
      <c r="S1663" s="78" t="s">
        <v>10588</v>
      </c>
      <c r="T1663" s="101"/>
      <c r="U1663" s="80"/>
      <c r="V1663" s="102" t="s">
        <v>429</v>
      </c>
      <c r="W1663" s="79"/>
      <c r="X1663" s="79"/>
      <c r="Y1663" s="79"/>
      <c r="Z1663" s="79"/>
    </row>
    <row r="1664" ht="15.75" customHeight="1">
      <c r="A1664" s="76" t="s">
        <v>247</v>
      </c>
      <c r="B1664" s="77" t="s">
        <v>8347</v>
      </c>
      <c r="C1664" s="80">
        <v>3.0613593388E10</v>
      </c>
      <c r="D1664" s="79" t="s">
        <v>264</v>
      </c>
      <c r="E1664" s="79" t="s">
        <v>4371</v>
      </c>
      <c r="F1664" s="44">
        <v>3053.0</v>
      </c>
      <c r="G1664" s="79" t="s">
        <v>15</v>
      </c>
      <c r="H1664" s="80">
        <v>1678.0</v>
      </c>
      <c r="I1664" s="79">
        <v>259993.0</v>
      </c>
      <c r="J1664" s="74" t="s">
        <v>337</v>
      </c>
      <c r="K1664" s="77" t="s">
        <v>638</v>
      </c>
      <c r="L1664" s="79" t="s">
        <v>453</v>
      </c>
      <c r="M1664" s="79" t="s">
        <v>10589</v>
      </c>
      <c r="N1664" s="79"/>
      <c r="O1664" s="83" t="s">
        <v>10590</v>
      </c>
      <c r="P1664" s="80"/>
      <c r="Q1664" s="79"/>
      <c r="R1664" s="80"/>
      <c r="S1664" s="78" t="s">
        <v>10591</v>
      </c>
      <c r="T1664" s="101"/>
      <c r="U1664" s="80"/>
      <c r="V1664" s="102" t="s">
        <v>10592</v>
      </c>
      <c r="W1664" s="79"/>
      <c r="X1664" s="79"/>
      <c r="Y1664" s="79"/>
      <c r="Z1664" s="79"/>
    </row>
    <row r="1665" ht="15.75" customHeight="1">
      <c r="A1665" s="76" t="s">
        <v>247</v>
      </c>
      <c r="B1665" s="79" t="s">
        <v>2447</v>
      </c>
      <c r="C1665" s="80">
        <v>2.3141630709E10</v>
      </c>
      <c r="D1665" s="77" t="s">
        <v>631</v>
      </c>
      <c r="E1665" s="79" t="s">
        <v>1896</v>
      </c>
      <c r="F1665" s="44">
        <v>761.0</v>
      </c>
      <c r="G1665" s="79" t="s">
        <v>119</v>
      </c>
      <c r="H1665" s="80">
        <v>1657.0</v>
      </c>
      <c r="I1665" s="79">
        <v>432190.0</v>
      </c>
      <c r="J1665" s="74" t="s">
        <v>261</v>
      </c>
      <c r="K1665" s="77" t="s">
        <v>2541</v>
      </c>
      <c r="L1665" s="79"/>
      <c r="M1665" s="79" t="s">
        <v>10593</v>
      </c>
      <c r="N1665" s="79"/>
      <c r="O1665" s="74" t="s">
        <v>10594</v>
      </c>
      <c r="P1665" s="78" t="s">
        <v>10595</v>
      </c>
      <c r="Q1665" s="79"/>
      <c r="R1665" s="80"/>
      <c r="S1665" s="101" t="s">
        <v>10596</v>
      </c>
      <c r="T1665" s="101"/>
      <c r="U1665" s="80"/>
      <c r="V1665" s="102" t="s">
        <v>429</v>
      </c>
      <c r="W1665" s="79"/>
      <c r="X1665" s="79"/>
      <c r="Y1665" s="79"/>
      <c r="Z1665" s="79"/>
    </row>
    <row r="1666" ht="15.75" customHeight="1">
      <c r="A1666" s="103" t="s">
        <v>24</v>
      </c>
      <c r="B1666" s="77" t="s">
        <v>10597</v>
      </c>
      <c r="C1666" s="80">
        <v>3.0712259465E10</v>
      </c>
      <c r="D1666" s="119" t="s">
        <v>264</v>
      </c>
      <c r="E1666" s="79" t="s">
        <v>1246</v>
      </c>
      <c r="F1666" s="44">
        <v>940.0</v>
      </c>
      <c r="G1666" s="79" t="s">
        <v>68</v>
      </c>
      <c r="H1666" s="80">
        <v>1702.0</v>
      </c>
      <c r="I1666" s="79">
        <v>139900.0</v>
      </c>
      <c r="J1666" s="74" t="s">
        <v>448</v>
      </c>
      <c r="K1666" s="77" t="s">
        <v>1760</v>
      </c>
      <c r="L1666" s="79"/>
      <c r="M1666" s="79"/>
      <c r="N1666" s="79">
        <v>19.0</v>
      </c>
      <c r="O1666" s="74"/>
      <c r="P1666" s="80"/>
      <c r="Q1666" s="79"/>
      <c r="R1666" s="80"/>
      <c r="S1666" s="101" t="s">
        <v>10598</v>
      </c>
      <c r="T1666" s="101" t="s">
        <v>332</v>
      </c>
      <c r="U1666" s="80" t="s">
        <v>332</v>
      </c>
      <c r="V1666" s="102" t="s">
        <v>429</v>
      </c>
      <c r="W1666" s="79" t="s">
        <v>306</v>
      </c>
      <c r="X1666" s="79" t="s">
        <v>306</v>
      </c>
      <c r="Y1666" s="79"/>
      <c r="Z1666" s="79"/>
    </row>
    <row r="1667" ht="15.75" customHeight="1">
      <c r="A1667" s="76" t="s">
        <v>247</v>
      </c>
      <c r="B1667" s="77" t="s">
        <v>2449</v>
      </c>
      <c r="C1667" s="80">
        <v>3.0648888283E10</v>
      </c>
      <c r="D1667" s="79" t="s">
        <v>264</v>
      </c>
      <c r="E1667" s="79" t="s">
        <v>5790</v>
      </c>
      <c r="F1667" s="44">
        <v>3548.0</v>
      </c>
      <c r="G1667" s="79" t="s">
        <v>15</v>
      </c>
      <c r="H1667" s="80">
        <v>1678.0</v>
      </c>
      <c r="I1667" s="79">
        <v>202320.0</v>
      </c>
      <c r="J1667" s="74" t="s">
        <v>316</v>
      </c>
      <c r="K1667" s="79" t="s">
        <v>3585</v>
      </c>
      <c r="L1667" s="79"/>
      <c r="M1667" s="77" t="s">
        <v>10599</v>
      </c>
      <c r="N1667" s="79">
        <v>6.0</v>
      </c>
      <c r="O1667" s="83" t="s">
        <v>10600</v>
      </c>
      <c r="P1667" s="78" t="s">
        <v>10601</v>
      </c>
      <c r="Q1667" s="79"/>
      <c r="R1667" s="80"/>
      <c r="S1667" s="80" t="s">
        <v>10602</v>
      </c>
      <c r="T1667" s="85" t="s">
        <v>10603</v>
      </c>
      <c r="U1667" s="80" t="s">
        <v>332</v>
      </c>
      <c r="V1667" s="102" t="s">
        <v>10604</v>
      </c>
      <c r="W1667" s="79" t="s">
        <v>309</v>
      </c>
      <c r="X1667" s="79" t="s">
        <v>309</v>
      </c>
      <c r="Y1667" s="79" t="s">
        <v>309</v>
      </c>
      <c r="Z1667" s="79"/>
    </row>
    <row r="1668" ht="15.75" customHeight="1">
      <c r="A1668" s="103" t="s">
        <v>24</v>
      </c>
      <c r="B1668" s="77" t="s">
        <v>10605</v>
      </c>
      <c r="C1668" s="80">
        <v>3.0707999884E10</v>
      </c>
      <c r="D1668" s="119" t="s">
        <v>264</v>
      </c>
      <c r="E1668" s="79" t="s">
        <v>1095</v>
      </c>
      <c r="F1668" s="44">
        <v>3113.0</v>
      </c>
      <c r="G1668" s="79" t="s">
        <v>15</v>
      </c>
      <c r="H1668" s="80">
        <v>1678.0</v>
      </c>
      <c r="I1668" s="79">
        <v>801090.0</v>
      </c>
      <c r="J1668" s="74" t="s">
        <v>433</v>
      </c>
      <c r="K1668" s="77" t="s">
        <v>484</v>
      </c>
      <c r="L1668" s="79"/>
      <c r="M1668" s="79"/>
      <c r="N1668" s="79">
        <v>26.0</v>
      </c>
      <c r="O1668" s="74"/>
      <c r="P1668" s="114"/>
      <c r="Q1668" s="79"/>
      <c r="R1668" s="80"/>
      <c r="S1668" s="78" t="s">
        <v>10606</v>
      </c>
      <c r="T1668" s="101" t="s">
        <v>332</v>
      </c>
      <c r="U1668" s="80" t="s">
        <v>332</v>
      </c>
      <c r="V1668" s="102" t="s">
        <v>429</v>
      </c>
      <c r="W1668" s="79" t="s">
        <v>306</v>
      </c>
      <c r="X1668" s="79" t="s">
        <v>306</v>
      </c>
      <c r="Y1668" s="79"/>
      <c r="Z1668" s="79"/>
    </row>
    <row r="1669" ht="15.75" customHeight="1">
      <c r="A1669" s="103" t="s">
        <v>24</v>
      </c>
      <c r="B1669" s="77" t="s">
        <v>10607</v>
      </c>
      <c r="C1669" s="80">
        <v>3.0598958773E10</v>
      </c>
      <c r="D1669" s="119" t="s">
        <v>264</v>
      </c>
      <c r="E1669" s="79" t="s">
        <v>1095</v>
      </c>
      <c r="F1669" s="44">
        <v>2692.0</v>
      </c>
      <c r="G1669" s="79" t="s">
        <v>15</v>
      </c>
      <c r="H1669" s="80">
        <v>1678.0</v>
      </c>
      <c r="I1669" s="79">
        <v>832979.0</v>
      </c>
      <c r="J1669" s="74" t="s">
        <v>433</v>
      </c>
      <c r="K1669" s="79" t="s">
        <v>10608</v>
      </c>
      <c r="L1669" s="79"/>
      <c r="M1669" s="79"/>
      <c r="N1669" s="79">
        <v>0.0</v>
      </c>
      <c r="O1669" s="74"/>
      <c r="P1669" s="80"/>
      <c r="Q1669" s="79"/>
      <c r="R1669" s="80"/>
      <c r="S1669" s="78" t="s">
        <v>10609</v>
      </c>
      <c r="T1669" s="101" t="s">
        <v>332</v>
      </c>
      <c r="U1669" s="80" t="s">
        <v>332</v>
      </c>
      <c r="V1669" s="102" t="s">
        <v>429</v>
      </c>
      <c r="W1669" s="79" t="s">
        <v>306</v>
      </c>
      <c r="X1669" s="79" t="s">
        <v>306</v>
      </c>
      <c r="Y1669" s="79"/>
      <c r="Z1669" s="79"/>
    </row>
    <row r="1670" ht="15.75" customHeight="1">
      <c r="A1670" s="76" t="s">
        <v>247</v>
      </c>
      <c r="B1670" s="77" t="s">
        <v>4357</v>
      </c>
      <c r="C1670" s="80">
        <v>3.070564011E10</v>
      </c>
      <c r="D1670" s="119" t="s">
        <v>264</v>
      </c>
      <c r="E1670" s="79" t="s">
        <v>9395</v>
      </c>
      <c r="F1670" s="44">
        <v>857.0</v>
      </c>
      <c r="G1670" s="79" t="s">
        <v>68</v>
      </c>
      <c r="H1670" s="80">
        <v>1702.0</v>
      </c>
      <c r="I1670" s="77">
        <v>259999.0</v>
      </c>
      <c r="J1670" s="74" t="s">
        <v>347</v>
      </c>
      <c r="K1670" s="77" t="s">
        <v>839</v>
      </c>
      <c r="L1670" s="79" t="s">
        <v>453</v>
      </c>
      <c r="M1670" s="79"/>
      <c r="N1670" s="79">
        <v>1.0</v>
      </c>
      <c r="O1670" s="126" t="s">
        <v>10610</v>
      </c>
      <c r="P1670" s="80"/>
      <c r="Q1670" s="79"/>
      <c r="R1670" s="80"/>
      <c r="S1670" s="80" t="s">
        <v>10611</v>
      </c>
      <c r="T1670" s="101" t="s">
        <v>332</v>
      </c>
      <c r="U1670" s="80" t="s">
        <v>332</v>
      </c>
      <c r="V1670" s="102" t="s">
        <v>10612</v>
      </c>
      <c r="W1670" s="79" t="s">
        <v>309</v>
      </c>
      <c r="X1670" s="79" t="s">
        <v>309</v>
      </c>
      <c r="Y1670" s="79"/>
      <c r="Z1670" s="79"/>
    </row>
    <row r="1671" ht="15.75" customHeight="1">
      <c r="A1671" s="76" t="s">
        <v>247</v>
      </c>
      <c r="B1671" s="79" t="s">
        <v>8352</v>
      </c>
      <c r="C1671" s="79">
        <v>2.7223172682E10</v>
      </c>
      <c r="D1671" s="77" t="s">
        <v>631</v>
      </c>
      <c r="E1671" s="77" t="s">
        <v>5948</v>
      </c>
      <c r="F1671" s="44">
        <v>6420.0</v>
      </c>
      <c r="G1671" s="79" t="s">
        <v>134</v>
      </c>
      <c r="H1671" s="80">
        <v>1682.0</v>
      </c>
      <c r="I1671" s="79">
        <v>562010.0</v>
      </c>
      <c r="J1671" s="74" t="s">
        <v>22</v>
      </c>
      <c r="K1671" s="77" t="s">
        <v>10613</v>
      </c>
      <c r="L1671" s="79" t="s">
        <v>453</v>
      </c>
      <c r="M1671" s="79" t="s">
        <v>10614</v>
      </c>
      <c r="N1671" s="79">
        <v>8.0</v>
      </c>
      <c r="O1671" s="74"/>
      <c r="P1671" s="80"/>
      <c r="Q1671" s="79"/>
      <c r="R1671" s="80"/>
      <c r="S1671" s="80" t="s">
        <v>10615</v>
      </c>
      <c r="T1671" s="101"/>
      <c r="U1671" s="80"/>
      <c r="V1671" s="102" t="s">
        <v>10616</v>
      </c>
      <c r="W1671" s="79"/>
      <c r="X1671" s="79"/>
      <c r="Y1671" s="79"/>
      <c r="Z1671" s="79"/>
    </row>
    <row r="1672" ht="15.75" customHeight="1">
      <c r="A1672" s="103" t="s">
        <v>24</v>
      </c>
      <c r="B1672" s="77" t="s">
        <v>10617</v>
      </c>
      <c r="C1672" s="80">
        <v>3.0707204601E10</v>
      </c>
      <c r="D1672" s="77" t="s">
        <v>631</v>
      </c>
      <c r="E1672" s="77" t="s">
        <v>2383</v>
      </c>
      <c r="F1672" s="44">
        <v>9430.0</v>
      </c>
      <c r="G1672" s="79" t="s">
        <v>119</v>
      </c>
      <c r="H1672" s="80">
        <v>1657.0</v>
      </c>
      <c r="I1672" s="79">
        <v>281400.0</v>
      </c>
      <c r="J1672" s="74" t="s">
        <v>347</v>
      </c>
      <c r="K1672" s="79" t="s">
        <v>10618</v>
      </c>
      <c r="L1672" s="79"/>
      <c r="M1672" s="79"/>
      <c r="N1672" s="79">
        <v>1.0</v>
      </c>
      <c r="O1672" s="74"/>
      <c r="P1672" s="80"/>
      <c r="Q1672" s="79"/>
      <c r="R1672" s="80"/>
      <c r="S1672" s="80" t="s">
        <v>10619</v>
      </c>
      <c r="T1672" s="101" t="s">
        <v>332</v>
      </c>
      <c r="U1672" s="80" t="s">
        <v>332</v>
      </c>
      <c r="V1672" s="102" t="s">
        <v>429</v>
      </c>
      <c r="W1672" s="79" t="s">
        <v>306</v>
      </c>
      <c r="X1672" s="79" t="s">
        <v>306</v>
      </c>
      <c r="Y1672" s="79"/>
      <c r="Z1672" s="79"/>
    </row>
    <row r="1673" ht="15.75" customHeight="1">
      <c r="A1673" s="76" t="s">
        <v>247</v>
      </c>
      <c r="B1673" s="77" t="s">
        <v>10620</v>
      </c>
      <c r="C1673" s="80">
        <v>3.0697710082E10</v>
      </c>
      <c r="D1673" s="119" t="s">
        <v>264</v>
      </c>
      <c r="E1673" s="79" t="s">
        <v>10621</v>
      </c>
      <c r="F1673" s="44">
        <v>1579.0</v>
      </c>
      <c r="G1673" s="79" t="s">
        <v>249</v>
      </c>
      <c r="H1673" s="80">
        <v>1676.0</v>
      </c>
      <c r="I1673" s="79">
        <v>105030.0</v>
      </c>
      <c r="J1673" s="74" t="s">
        <v>22</v>
      </c>
      <c r="K1673" s="79" t="s">
        <v>1052</v>
      </c>
      <c r="L1673" s="79"/>
      <c r="M1673" s="79"/>
      <c r="N1673" s="79">
        <v>100.0</v>
      </c>
      <c r="O1673" s="126" t="s">
        <v>10622</v>
      </c>
      <c r="P1673" s="85" t="s">
        <v>10623</v>
      </c>
      <c r="Q1673" s="79" t="s">
        <v>10624</v>
      </c>
      <c r="R1673" s="78" t="s">
        <v>10625</v>
      </c>
      <c r="S1673" s="101" t="s">
        <v>10626</v>
      </c>
      <c r="T1673" s="101" t="s">
        <v>10627</v>
      </c>
      <c r="U1673" s="101" t="s">
        <v>10628</v>
      </c>
      <c r="V1673" s="102" t="s">
        <v>10629</v>
      </c>
      <c r="W1673" s="79" t="s">
        <v>309</v>
      </c>
      <c r="X1673" s="79" t="s">
        <v>309</v>
      </c>
      <c r="Y1673" s="79" t="s">
        <v>309</v>
      </c>
      <c r="Z1673" s="79"/>
    </row>
    <row r="1674" ht="15.75" customHeight="1">
      <c r="A1674" s="103" t="s">
        <v>24</v>
      </c>
      <c r="B1674" s="77" t="s">
        <v>10630</v>
      </c>
      <c r="C1674" s="80">
        <v>3.3503839429E10</v>
      </c>
      <c r="D1674" s="79" t="s">
        <v>264</v>
      </c>
      <c r="E1674" s="79" t="s">
        <v>15</v>
      </c>
      <c r="F1674" s="44">
        <v>2790.0</v>
      </c>
      <c r="G1674" s="79" t="s">
        <v>15</v>
      </c>
      <c r="H1674" s="80">
        <v>1678.0</v>
      </c>
      <c r="I1674" s="79">
        <v>289993.0</v>
      </c>
      <c r="J1674" s="74" t="s">
        <v>347</v>
      </c>
      <c r="K1674" s="129" t="s">
        <v>638</v>
      </c>
      <c r="L1674" s="79" t="s">
        <v>453</v>
      </c>
      <c r="M1674" s="79"/>
      <c r="N1674" s="79">
        <v>0.0</v>
      </c>
      <c r="O1674" s="74"/>
      <c r="P1674" s="80"/>
      <c r="Q1674" s="79"/>
      <c r="R1674" s="80"/>
      <c r="S1674" s="80" t="s">
        <v>10631</v>
      </c>
      <c r="T1674" s="101" t="s">
        <v>332</v>
      </c>
      <c r="U1674" s="80" t="s">
        <v>332</v>
      </c>
      <c r="V1674" s="102" t="s">
        <v>429</v>
      </c>
      <c r="W1674" s="79" t="s">
        <v>306</v>
      </c>
      <c r="X1674" s="79" t="s">
        <v>306</v>
      </c>
      <c r="Y1674" s="79"/>
      <c r="Z1674" s="79"/>
    </row>
    <row r="1675" ht="15.75" customHeight="1">
      <c r="A1675" s="76" t="s">
        <v>247</v>
      </c>
      <c r="B1675" s="77" t="s">
        <v>8356</v>
      </c>
      <c r="C1675" s="80">
        <v>3.0708541385E10</v>
      </c>
      <c r="D1675" s="79" t="s">
        <v>264</v>
      </c>
      <c r="E1675" s="79" t="s">
        <v>1810</v>
      </c>
      <c r="F1675" s="44">
        <v>4051.0</v>
      </c>
      <c r="G1675" s="79" t="s">
        <v>15</v>
      </c>
      <c r="H1675" s="80">
        <v>1678.0</v>
      </c>
      <c r="I1675" s="79">
        <v>202908.0</v>
      </c>
      <c r="J1675" s="74" t="s">
        <v>316</v>
      </c>
      <c r="K1675" s="77" t="s">
        <v>1153</v>
      </c>
      <c r="L1675" s="79"/>
      <c r="M1675" s="77" t="s">
        <v>10632</v>
      </c>
      <c r="N1675" s="79">
        <v>14.0</v>
      </c>
      <c r="O1675" s="74"/>
      <c r="P1675" s="80"/>
      <c r="Q1675" s="79"/>
      <c r="R1675" s="80"/>
      <c r="S1675" s="78" t="s">
        <v>10633</v>
      </c>
      <c r="T1675" s="85" t="s">
        <v>10634</v>
      </c>
      <c r="U1675" s="78" t="s">
        <v>10635</v>
      </c>
      <c r="V1675" s="102" t="s">
        <v>10636</v>
      </c>
      <c r="W1675" s="79" t="s">
        <v>309</v>
      </c>
      <c r="X1675" s="79" t="s">
        <v>309</v>
      </c>
      <c r="Y1675" s="79" t="s">
        <v>309</v>
      </c>
      <c r="Z1675" s="79"/>
    </row>
    <row r="1676" ht="15.75" customHeight="1">
      <c r="A1676" s="103" t="s">
        <v>24</v>
      </c>
      <c r="B1676" s="77" t="s">
        <v>10638</v>
      </c>
      <c r="C1676" s="80">
        <v>3.0707121749E10</v>
      </c>
      <c r="D1676" s="119" t="s">
        <v>264</v>
      </c>
      <c r="E1676" s="79" t="s">
        <v>4223</v>
      </c>
      <c r="F1676" s="44">
        <v>1353.0</v>
      </c>
      <c r="G1676" s="79" t="s">
        <v>269</v>
      </c>
      <c r="H1676" s="80">
        <v>1682.0</v>
      </c>
      <c r="I1676" s="77">
        <v>432190.0</v>
      </c>
      <c r="J1676" s="83" t="s">
        <v>433</v>
      </c>
      <c r="K1676" s="77" t="s">
        <v>2541</v>
      </c>
      <c r="L1676" s="79" t="s">
        <v>453</v>
      </c>
      <c r="M1676" s="79"/>
      <c r="N1676" s="79">
        <v>9.0</v>
      </c>
      <c r="O1676" s="74"/>
      <c r="P1676" s="80"/>
      <c r="Q1676" s="79"/>
      <c r="R1676" s="80"/>
      <c r="S1676" s="80" t="s">
        <v>10639</v>
      </c>
      <c r="T1676" s="101" t="s">
        <v>332</v>
      </c>
      <c r="U1676" s="80" t="s">
        <v>332</v>
      </c>
      <c r="V1676" s="102" t="s">
        <v>429</v>
      </c>
      <c r="W1676" s="79" t="s">
        <v>306</v>
      </c>
      <c r="X1676" s="79" t="s">
        <v>306</v>
      </c>
      <c r="Y1676" s="79" t="s">
        <v>309</v>
      </c>
      <c r="Z1676" s="79"/>
    </row>
    <row r="1677" ht="15.75" customHeight="1">
      <c r="A1677" s="76" t="s">
        <v>247</v>
      </c>
      <c r="B1677" s="77" t="s">
        <v>10640</v>
      </c>
      <c r="C1677" s="80">
        <v>3.0707504834E10</v>
      </c>
      <c r="D1677" s="119" t="s">
        <v>264</v>
      </c>
      <c r="E1677" s="77" t="s">
        <v>10641</v>
      </c>
      <c r="F1677" s="44">
        <v>2384.0</v>
      </c>
      <c r="G1677" s="79" t="s">
        <v>175</v>
      </c>
      <c r="H1677" s="80">
        <v>1657.0</v>
      </c>
      <c r="I1677" s="77">
        <v>139209.0</v>
      </c>
      <c r="J1677" s="74" t="s">
        <v>448</v>
      </c>
      <c r="K1677" s="77" t="s">
        <v>539</v>
      </c>
      <c r="L1677" s="79" t="s">
        <v>1122</v>
      </c>
      <c r="M1677" s="79"/>
      <c r="N1677" s="79">
        <v>3.0</v>
      </c>
      <c r="O1677" s="74"/>
      <c r="P1677" s="80"/>
      <c r="Q1677" s="79"/>
      <c r="R1677" s="80"/>
      <c r="S1677" s="80" t="s">
        <v>10643</v>
      </c>
      <c r="T1677" s="101" t="s">
        <v>10644</v>
      </c>
      <c r="U1677" s="80"/>
      <c r="V1677" s="102" t="s">
        <v>429</v>
      </c>
      <c r="W1677" s="79" t="s">
        <v>309</v>
      </c>
      <c r="X1677" s="79" t="s">
        <v>309</v>
      </c>
      <c r="Y1677" s="79" t="s">
        <v>309</v>
      </c>
      <c r="Z1677" s="79"/>
    </row>
    <row r="1678" ht="15.75" customHeight="1">
      <c r="A1678" s="76" t="s">
        <v>247</v>
      </c>
      <c r="B1678" s="77" t="s">
        <v>8361</v>
      </c>
      <c r="C1678" s="80">
        <v>3.071253578E10</v>
      </c>
      <c r="D1678" s="119" t="s">
        <v>264</v>
      </c>
      <c r="E1678" s="79" t="s">
        <v>2177</v>
      </c>
      <c r="F1678" s="44">
        <v>3121.0</v>
      </c>
      <c r="G1678" s="79" t="s">
        <v>15</v>
      </c>
      <c r="H1678" s="80">
        <v>1678.0</v>
      </c>
      <c r="I1678" s="79">
        <v>107999.0</v>
      </c>
      <c r="J1678" s="74" t="s">
        <v>22</v>
      </c>
      <c r="K1678" s="77" t="s">
        <v>1384</v>
      </c>
      <c r="L1678" s="79"/>
      <c r="M1678" s="79"/>
      <c r="N1678" s="79">
        <v>2.0</v>
      </c>
      <c r="O1678" s="74" t="s">
        <v>10645</v>
      </c>
      <c r="P1678" s="78" t="s">
        <v>10646</v>
      </c>
      <c r="Q1678" s="79"/>
      <c r="R1678" s="80"/>
      <c r="S1678" s="78" t="s">
        <v>10647</v>
      </c>
      <c r="T1678" s="101" t="s">
        <v>10648</v>
      </c>
      <c r="U1678" s="78"/>
      <c r="V1678" s="102" t="s">
        <v>10649</v>
      </c>
      <c r="W1678" s="79" t="s">
        <v>306</v>
      </c>
      <c r="X1678" s="79" t="s">
        <v>306</v>
      </c>
      <c r="Y1678" s="79" t="s">
        <v>309</v>
      </c>
      <c r="Z1678" s="79"/>
    </row>
    <row r="1679" ht="15.75" customHeight="1">
      <c r="A1679" s="76" t="s">
        <v>247</v>
      </c>
      <c r="B1679" s="77" t="s">
        <v>8365</v>
      </c>
      <c r="C1679" s="80">
        <v>3.0710059787E10</v>
      </c>
      <c r="D1679" s="79" t="s">
        <v>264</v>
      </c>
      <c r="E1679" s="77" t="s">
        <v>3506</v>
      </c>
      <c r="F1679" s="44">
        <v>5220.0</v>
      </c>
      <c r="G1679" s="79" t="s">
        <v>15</v>
      </c>
      <c r="H1679" s="80">
        <v>1678.0</v>
      </c>
      <c r="I1679" s="79">
        <v>141199.0</v>
      </c>
      <c r="J1679" s="74" t="s">
        <v>448</v>
      </c>
      <c r="K1679" s="77" t="s">
        <v>10651</v>
      </c>
      <c r="L1679" s="79" t="s">
        <v>1122</v>
      </c>
      <c r="M1679" s="79"/>
      <c r="N1679" s="79">
        <v>2.0</v>
      </c>
      <c r="O1679" s="126" t="s">
        <v>10652</v>
      </c>
      <c r="P1679" s="80"/>
      <c r="Q1679" s="79"/>
      <c r="R1679" s="80"/>
      <c r="S1679" s="80" t="s">
        <v>10653</v>
      </c>
      <c r="T1679" s="85" t="s">
        <v>10654</v>
      </c>
      <c r="U1679" s="78" t="s">
        <v>10655</v>
      </c>
      <c r="V1679" s="102" t="s">
        <v>10657</v>
      </c>
      <c r="W1679" s="79"/>
      <c r="X1679" s="79"/>
      <c r="Y1679" s="79" t="s">
        <v>309</v>
      </c>
      <c r="Z1679" s="79"/>
    </row>
    <row r="1680" ht="15.75" customHeight="1">
      <c r="A1680" s="76" t="s">
        <v>247</v>
      </c>
      <c r="B1680" s="79" t="s">
        <v>8371</v>
      </c>
      <c r="C1680" s="80">
        <v>2.0049834811E10</v>
      </c>
      <c r="D1680" s="144" t="s">
        <v>631</v>
      </c>
      <c r="E1680" s="119" t="s">
        <v>1422</v>
      </c>
      <c r="F1680" s="44">
        <v>1152.0</v>
      </c>
      <c r="G1680" s="79" t="s">
        <v>269</v>
      </c>
      <c r="H1680" s="80">
        <v>1682.0</v>
      </c>
      <c r="I1680" s="79">
        <v>101030.0</v>
      </c>
      <c r="J1680" s="74" t="s">
        <v>22</v>
      </c>
      <c r="K1680" s="77" t="s">
        <v>3365</v>
      </c>
      <c r="L1680" s="79" t="s">
        <v>369</v>
      </c>
      <c r="M1680" s="79" t="s">
        <v>10658</v>
      </c>
      <c r="N1680" s="79">
        <v>15.0</v>
      </c>
      <c r="O1680" s="126" t="s">
        <v>10659</v>
      </c>
      <c r="P1680" s="85" t="s">
        <v>10660</v>
      </c>
      <c r="Q1680" s="79"/>
      <c r="R1680" s="80"/>
      <c r="S1680" s="101" t="s">
        <v>10662</v>
      </c>
      <c r="T1680" s="85" t="s">
        <v>10663</v>
      </c>
      <c r="U1680" s="101"/>
      <c r="V1680" s="102" t="s">
        <v>429</v>
      </c>
      <c r="W1680" s="79"/>
      <c r="X1680" s="79"/>
      <c r="Y1680" s="79" t="s">
        <v>309</v>
      </c>
      <c r="Z1680" s="79"/>
    </row>
    <row r="1681" ht="15.75" customHeight="1">
      <c r="A1681" s="103" t="s">
        <v>24</v>
      </c>
      <c r="B1681" s="77" t="s">
        <v>10664</v>
      </c>
      <c r="C1681" s="80">
        <v>3.0711084009E10</v>
      </c>
      <c r="D1681" s="119" t="s">
        <v>264</v>
      </c>
      <c r="E1681" s="126" t="s">
        <v>985</v>
      </c>
      <c r="F1681" s="44">
        <v>5158.0</v>
      </c>
      <c r="G1681" s="79" t="s">
        <v>15</v>
      </c>
      <c r="H1681" s="80">
        <v>1678.0</v>
      </c>
      <c r="I1681" s="79">
        <v>259200.0</v>
      </c>
      <c r="J1681" s="74" t="s">
        <v>347</v>
      </c>
      <c r="K1681" s="79" t="s">
        <v>1324</v>
      </c>
      <c r="L1681" s="79" t="s">
        <v>453</v>
      </c>
      <c r="M1681" s="79"/>
      <c r="N1681" s="79">
        <v>3.0</v>
      </c>
      <c r="O1681" s="74"/>
      <c r="P1681" s="80"/>
      <c r="Q1681" s="79"/>
      <c r="R1681" s="80"/>
      <c r="S1681" s="101" t="s">
        <v>10666</v>
      </c>
      <c r="T1681" s="101" t="s">
        <v>332</v>
      </c>
      <c r="U1681" s="80" t="s">
        <v>332</v>
      </c>
      <c r="V1681" s="102" t="s">
        <v>429</v>
      </c>
      <c r="W1681" s="79" t="s">
        <v>306</v>
      </c>
      <c r="X1681" s="79" t="s">
        <v>306</v>
      </c>
      <c r="Y1681" s="79"/>
      <c r="Z1681" s="79"/>
    </row>
    <row r="1682" ht="15.75" customHeight="1">
      <c r="A1682" s="76" t="s">
        <v>247</v>
      </c>
      <c r="B1682" s="77" t="s">
        <v>2452</v>
      </c>
      <c r="C1682" s="80">
        <v>3.3710012259E10</v>
      </c>
      <c r="D1682" s="79" t="s">
        <v>264</v>
      </c>
      <c r="E1682" s="77" t="s">
        <v>10667</v>
      </c>
      <c r="F1682" s="128">
        <v>4442.0</v>
      </c>
      <c r="G1682" s="79" t="s">
        <v>15</v>
      </c>
      <c r="H1682" s="80">
        <v>1678.0</v>
      </c>
      <c r="I1682" s="79">
        <v>259999.0</v>
      </c>
      <c r="J1682" s="74" t="s">
        <v>347</v>
      </c>
      <c r="K1682" s="77" t="s">
        <v>839</v>
      </c>
      <c r="L1682" s="79" t="s">
        <v>453</v>
      </c>
      <c r="M1682" s="79"/>
      <c r="N1682" s="79">
        <v>8.0</v>
      </c>
      <c r="O1682" s="129" t="s">
        <v>10669</v>
      </c>
      <c r="P1682" s="85" t="s">
        <v>10670</v>
      </c>
      <c r="Q1682" s="79"/>
      <c r="R1682" s="80"/>
      <c r="S1682" s="78" t="s">
        <v>10671</v>
      </c>
      <c r="T1682" s="85" t="s">
        <v>10672</v>
      </c>
      <c r="U1682" s="80" t="s">
        <v>332</v>
      </c>
      <c r="V1682" s="102" t="s">
        <v>10673</v>
      </c>
      <c r="W1682" s="79" t="s">
        <v>309</v>
      </c>
      <c r="X1682" s="79" t="s">
        <v>309</v>
      </c>
      <c r="Y1682" s="79" t="s">
        <v>309</v>
      </c>
      <c r="Z1682" s="79"/>
    </row>
    <row r="1683" ht="15.75" customHeight="1">
      <c r="A1683" s="103" t="s">
        <v>24</v>
      </c>
      <c r="B1683" s="77" t="s">
        <v>10675</v>
      </c>
      <c r="C1683" s="80">
        <v>3.0710193084E10</v>
      </c>
      <c r="D1683" s="119" t="s">
        <v>264</v>
      </c>
      <c r="E1683" s="79" t="s">
        <v>826</v>
      </c>
      <c r="F1683" s="44">
        <v>7805.0</v>
      </c>
      <c r="G1683" s="79" t="s">
        <v>134</v>
      </c>
      <c r="H1683" s="80">
        <v>1682.0</v>
      </c>
      <c r="I1683" s="77">
        <v>331290.0</v>
      </c>
      <c r="J1683" s="74" t="s">
        <v>433</v>
      </c>
      <c r="K1683" s="77" t="s">
        <v>7343</v>
      </c>
      <c r="L1683" s="79"/>
      <c r="M1683" s="79"/>
      <c r="N1683" s="79">
        <v>4.0</v>
      </c>
      <c r="O1683" s="74"/>
      <c r="P1683" s="80"/>
      <c r="Q1683" s="79"/>
      <c r="R1683" s="80"/>
      <c r="S1683" s="78" t="s">
        <v>10676</v>
      </c>
      <c r="T1683" s="101" t="s">
        <v>332</v>
      </c>
      <c r="U1683" s="80" t="s">
        <v>332</v>
      </c>
      <c r="V1683" s="102" t="s">
        <v>429</v>
      </c>
      <c r="W1683" s="79" t="s">
        <v>306</v>
      </c>
      <c r="X1683" s="79" t="s">
        <v>306</v>
      </c>
      <c r="Y1683" s="79"/>
      <c r="Z1683" s="79"/>
    </row>
    <row r="1684" ht="15.75" customHeight="1">
      <c r="A1684" s="76" t="s">
        <v>247</v>
      </c>
      <c r="B1684" s="77" t="s">
        <v>8378</v>
      </c>
      <c r="C1684" s="80">
        <v>3.0708938242E10</v>
      </c>
      <c r="D1684" s="79" t="s">
        <v>264</v>
      </c>
      <c r="E1684" s="79" t="s">
        <v>2781</v>
      </c>
      <c r="F1684" s="44">
        <v>5184.0</v>
      </c>
      <c r="G1684" s="79" t="s">
        <v>15</v>
      </c>
      <c r="H1684" s="80">
        <v>1678.0</v>
      </c>
      <c r="I1684" s="79">
        <v>202311.0</v>
      </c>
      <c r="J1684" s="74" t="s">
        <v>316</v>
      </c>
      <c r="K1684" s="79" t="s">
        <v>4406</v>
      </c>
      <c r="L1684" s="79"/>
      <c r="M1684" s="79"/>
      <c r="N1684" s="79">
        <v>1.0</v>
      </c>
      <c r="O1684" s="74"/>
      <c r="P1684" s="80"/>
      <c r="Q1684" s="79"/>
      <c r="R1684" s="80"/>
      <c r="S1684" s="80" t="s">
        <v>10678</v>
      </c>
      <c r="T1684" s="101" t="s">
        <v>10679</v>
      </c>
      <c r="U1684" s="80" t="s">
        <v>332</v>
      </c>
      <c r="V1684" s="102" t="s">
        <v>10680</v>
      </c>
      <c r="W1684" s="79" t="s">
        <v>306</v>
      </c>
      <c r="X1684" s="79" t="s">
        <v>306</v>
      </c>
      <c r="Y1684" s="79" t="s">
        <v>309</v>
      </c>
      <c r="Z1684" s="79"/>
    </row>
    <row r="1685" ht="15.75" customHeight="1">
      <c r="A1685" s="76" t="s">
        <v>247</v>
      </c>
      <c r="B1685" s="77" t="s">
        <v>8382</v>
      </c>
      <c r="C1685" s="80">
        <v>3.3711503299E10</v>
      </c>
      <c r="D1685" s="79" t="s">
        <v>264</v>
      </c>
      <c r="E1685" s="79" t="s">
        <v>2312</v>
      </c>
      <c r="F1685" s="44">
        <v>5249.0</v>
      </c>
      <c r="G1685" s="79" t="s">
        <v>15</v>
      </c>
      <c r="H1685" s="80">
        <v>1678.0</v>
      </c>
      <c r="I1685" s="79">
        <v>259999.0</v>
      </c>
      <c r="J1685" s="74" t="s">
        <v>347</v>
      </c>
      <c r="K1685" s="77" t="s">
        <v>839</v>
      </c>
      <c r="L1685" s="77"/>
      <c r="M1685" s="79"/>
      <c r="N1685" s="79">
        <v>9.0</v>
      </c>
      <c r="O1685" s="74"/>
      <c r="P1685" s="80"/>
      <c r="Q1685" s="79" t="s">
        <v>10682</v>
      </c>
      <c r="R1685" s="80"/>
      <c r="S1685" s="80" t="s">
        <v>7323</v>
      </c>
      <c r="T1685" s="101" t="s">
        <v>332</v>
      </c>
      <c r="U1685" s="80" t="s">
        <v>332</v>
      </c>
      <c r="V1685" s="102" t="s">
        <v>429</v>
      </c>
      <c r="W1685" s="79" t="s">
        <v>306</v>
      </c>
      <c r="X1685" s="79" t="s">
        <v>306</v>
      </c>
      <c r="Y1685" s="79" t="s">
        <v>309</v>
      </c>
      <c r="Z1685" s="79"/>
    </row>
    <row r="1686" ht="15.75" customHeight="1">
      <c r="A1686" s="103" t="s">
        <v>24</v>
      </c>
      <c r="B1686" s="77" t="s">
        <v>10683</v>
      </c>
      <c r="C1686" s="80">
        <v>3.07011478E10</v>
      </c>
      <c r="D1686" s="79" t="s">
        <v>264</v>
      </c>
      <c r="E1686" s="77" t="s">
        <v>10685</v>
      </c>
      <c r="F1686" s="44">
        <v>9886.0</v>
      </c>
      <c r="G1686" s="79" t="s">
        <v>119</v>
      </c>
      <c r="H1686" s="80">
        <v>1657.0</v>
      </c>
      <c r="I1686" s="79">
        <v>241009.0</v>
      </c>
      <c r="J1686" s="74" t="s">
        <v>347</v>
      </c>
      <c r="K1686" s="77" t="s">
        <v>5011</v>
      </c>
      <c r="L1686" s="79"/>
      <c r="M1686" s="79"/>
      <c r="N1686" s="79">
        <v>19.0</v>
      </c>
      <c r="O1686" s="74"/>
      <c r="P1686" s="80"/>
      <c r="Q1686" s="79"/>
      <c r="R1686" s="80"/>
      <c r="S1686" s="80" t="s">
        <v>10686</v>
      </c>
      <c r="T1686" s="101" t="s">
        <v>332</v>
      </c>
      <c r="U1686" s="80" t="s">
        <v>332</v>
      </c>
      <c r="V1686" s="102" t="s">
        <v>429</v>
      </c>
      <c r="W1686" s="79" t="s">
        <v>306</v>
      </c>
      <c r="X1686" s="79" t="s">
        <v>306</v>
      </c>
      <c r="Y1686" s="79"/>
      <c r="Z1686" s="79"/>
    </row>
    <row r="1687" ht="15.75" customHeight="1">
      <c r="A1687" s="103" t="s">
        <v>24</v>
      </c>
      <c r="B1687" s="77" t="s">
        <v>10687</v>
      </c>
      <c r="C1687" s="80">
        <v>3.3663827869E10</v>
      </c>
      <c r="D1687" s="79" t="s">
        <v>264</v>
      </c>
      <c r="E1687" s="77" t="s">
        <v>1806</v>
      </c>
      <c r="F1687" s="44">
        <v>3915.0</v>
      </c>
      <c r="G1687" s="79" t="s">
        <v>15</v>
      </c>
      <c r="H1687" s="80">
        <v>1678.0</v>
      </c>
      <c r="I1687" s="77">
        <v>141191.0</v>
      </c>
      <c r="J1687" s="74" t="s">
        <v>448</v>
      </c>
      <c r="K1687" s="79" t="s">
        <v>7940</v>
      </c>
      <c r="L1687" s="79"/>
      <c r="M1687" s="79"/>
      <c r="N1687" s="79">
        <v>12.0</v>
      </c>
      <c r="O1687" s="74"/>
      <c r="P1687" s="80"/>
      <c r="Q1687" s="79"/>
      <c r="R1687" s="80"/>
      <c r="S1687" s="80" t="s">
        <v>10688</v>
      </c>
      <c r="T1687" s="101" t="s">
        <v>332</v>
      </c>
      <c r="U1687" s="80" t="s">
        <v>332</v>
      </c>
      <c r="V1687" s="102" t="s">
        <v>429</v>
      </c>
      <c r="W1687" s="79" t="s">
        <v>309</v>
      </c>
      <c r="X1687" s="79" t="s">
        <v>309</v>
      </c>
      <c r="Y1687" s="79"/>
      <c r="Z1687" s="79"/>
    </row>
    <row r="1688" ht="15.75" customHeight="1">
      <c r="A1688" s="103" t="s">
        <v>24</v>
      </c>
      <c r="B1688" s="79" t="s">
        <v>10690</v>
      </c>
      <c r="C1688" s="80">
        <v>3.0663770876E10</v>
      </c>
      <c r="D1688" s="144" t="s">
        <v>631</v>
      </c>
      <c r="E1688" s="79" t="s">
        <v>3833</v>
      </c>
      <c r="F1688" s="44">
        <v>4995.0</v>
      </c>
      <c r="G1688" s="79" t="s">
        <v>15</v>
      </c>
      <c r="H1688" s="80">
        <v>1678.0</v>
      </c>
      <c r="I1688" s="79">
        <v>851400.0</v>
      </c>
      <c r="J1688" s="74" t="s">
        <v>433</v>
      </c>
      <c r="K1688" s="79" t="s">
        <v>10692</v>
      </c>
      <c r="L1688" s="79"/>
      <c r="M1688" s="79"/>
      <c r="N1688" s="79">
        <v>0.0</v>
      </c>
      <c r="O1688" s="74"/>
      <c r="P1688" s="80"/>
      <c r="Q1688" s="79"/>
      <c r="R1688" s="80"/>
      <c r="S1688" s="80" t="s">
        <v>10693</v>
      </c>
      <c r="T1688" s="101" t="s">
        <v>332</v>
      </c>
      <c r="U1688" s="80" t="s">
        <v>332</v>
      </c>
      <c r="V1688" s="102" t="s">
        <v>429</v>
      </c>
      <c r="W1688" s="79" t="s">
        <v>306</v>
      </c>
      <c r="X1688" s="79" t="s">
        <v>306</v>
      </c>
      <c r="Y1688" s="79"/>
      <c r="Z1688" s="79"/>
    </row>
    <row r="1689" ht="15.75" customHeight="1">
      <c r="A1689" s="76" t="s">
        <v>247</v>
      </c>
      <c r="B1689" s="77" t="s">
        <v>2458</v>
      </c>
      <c r="C1689" s="80">
        <v>3.0500719687E10</v>
      </c>
      <c r="D1689" s="119" t="s">
        <v>264</v>
      </c>
      <c r="E1689" s="79" t="s">
        <v>1944</v>
      </c>
      <c r="F1689" s="44">
        <v>1579.0</v>
      </c>
      <c r="G1689" s="79" t="s">
        <v>68</v>
      </c>
      <c r="H1689" s="80">
        <v>1702.0</v>
      </c>
      <c r="I1689" s="79">
        <v>202200.0</v>
      </c>
      <c r="J1689" s="74" t="s">
        <v>316</v>
      </c>
      <c r="K1689" s="79" t="s">
        <v>2635</v>
      </c>
      <c r="L1689" s="79"/>
      <c r="M1689" s="79"/>
      <c r="N1689" s="79">
        <v>356.0</v>
      </c>
      <c r="O1689" s="74" t="s">
        <v>10694</v>
      </c>
      <c r="P1689" s="78" t="s">
        <v>10695</v>
      </c>
      <c r="Q1689" s="79" t="s">
        <v>10696</v>
      </c>
      <c r="R1689" s="78" t="s">
        <v>10697</v>
      </c>
      <c r="S1689" s="78" t="s">
        <v>10698</v>
      </c>
      <c r="T1689" s="85" t="s">
        <v>10699</v>
      </c>
      <c r="U1689" s="78" t="s">
        <v>10700</v>
      </c>
      <c r="V1689" s="102" t="s">
        <v>10701</v>
      </c>
      <c r="W1689" s="79" t="s">
        <v>309</v>
      </c>
      <c r="X1689" s="79" t="s">
        <v>309</v>
      </c>
      <c r="Y1689" s="79" t="s">
        <v>309</v>
      </c>
      <c r="Z1689" s="79"/>
    </row>
    <row r="1690">
      <c r="A1690" s="76" t="s">
        <v>247</v>
      </c>
      <c r="B1690" s="77" t="s">
        <v>2465</v>
      </c>
      <c r="C1690" s="80">
        <v>3.0624140148E10</v>
      </c>
      <c r="D1690" s="119" t="s">
        <v>264</v>
      </c>
      <c r="E1690" s="126" t="s">
        <v>696</v>
      </c>
      <c r="F1690" s="44">
        <v>3839.0</v>
      </c>
      <c r="G1690" s="79" t="s">
        <v>15</v>
      </c>
      <c r="H1690" s="80">
        <v>1678.0</v>
      </c>
      <c r="I1690" s="79">
        <v>181199.0</v>
      </c>
      <c r="J1690" s="74" t="s">
        <v>448</v>
      </c>
      <c r="K1690" s="77" t="s">
        <v>10703</v>
      </c>
      <c r="L1690" s="79" t="s">
        <v>1122</v>
      </c>
      <c r="M1690" s="79"/>
      <c r="N1690" s="79">
        <v>0.0</v>
      </c>
      <c r="O1690" s="74" t="s">
        <v>10704</v>
      </c>
      <c r="P1690" s="78" t="s">
        <v>10705</v>
      </c>
      <c r="Q1690" s="79"/>
      <c r="R1690" s="80"/>
      <c r="S1690" s="80" t="s">
        <v>10706</v>
      </c>
      <c r="T1690" s="101" t="s">
        <v>332</v>
      </c>
      <c r="U1690" s="80" t="s">
        <v>332</v>
      </c>
      <c r="V1690" s="102" t="s">
        <v>10708</v>
      </c>
      <c r="W1690" s="79" t="s">
        <v>309</v>
      </c>
      <c r="X1690" s="79" t="s">
        <v>309</v>
      </c>
      <c r="Y1690" s="79" t="s">
        <v>309</v>
      </c>
      <c r="Z1690" s="79"/>
    </row>
    <row r="1691">
      <c r="A1691" s="76" t="s">
        <v>247</v>
      </c>
      <c r="B1691" s="79" t="s">
        <v>8391</v>
      </c>
      <c r="C1691" s="78" t="s">
        <v>2517</v>
      </c>
      <c r="D1691" s="79" t="s">
        <v>264</v>
      </c>
      <c r="E1691" s="79" t="s">
        <v>10710</v>
      </c>
      <c r="F1691" s="44">
        <v>950.0</v>
      </c>
      <c r="G1691" s="77" t="s">
        <v>226</v>
      </c>
      <c r="H1691" s="80">
        <v>1674.0</v>
      </c>
      <c r="I1691" s="78" t="s">
        <v>2519</v>
      </c>
      <c r="J1691" s="83" t="s">
        <v>207</v>
      </c>
      <c r="K1691" s="79"/>
      <c r="L1691" s="79"/>
      <c r="M1691" s="79"/>
      <c r="N1691" s="79"/>
      <c r="O1691" s="74"/>
      <c r="P1691" s="80"/>
      <c r="Q1691" s="79"/>
      <c r="R1691" s="80"/>
      <c r="S1691" s="78" t="s">
        <v>10711</v>
      </c>
      <c r="T1691" s="85" t="s">
        <v>10712</v>
      </c>
      <c r="U1691" s="80"/>
      <c r="V1691" s="102" t="s">
        <v>10713</v>
      </c>
      <c r="W1691" s="79"/>
      <c r="X1691" s="79"/>
      <c r="Y1691" s="79" t="s">
        <v>309</v>
      </c>
      <c r="Z1691" s="79"/>
    </row>
    <row r="1692">
      <c r="A1692" s="76" t="s">
        <v>247</v>
      </c>
      <c r="B1692" s="77" t="s">
        <v>2469</v>
      </c>
      <c r="C1692" s="80">
        <v>3.0712117903E10</v>
      </c>
      <c r="D1692" s="79" t="s">
        <v>264</v>
      </c>
      <c r="E1692" s="126" t="s">
        <v>985</v>
      </c>
      <c r="F1692" s="128">
        <v>3044.0</v>
      </c>
      <c r="G1692" s="79" t="s">
        <v>15</v>
      </c>
      <c r="H1692" s="80">
        <v>1678.0</v>
      </c>
      <c r="I1692" s="79">
        <v>139209.0</v>
      </c>
      <c r="J1692" s="74" t="s">
        <v>448</v>
      </c>
      <c r="K1692" s="77" t="s">
        <v>539</v>
      </c>
      <c r="L1692" s="79" t="s">
        <v>1122</v>
      </c>
      <c r="M1692" s="79" t="s">
        <v>10715</v>
      </c>
      <c r="N1692" s="79">
        <v>35.0</v>
      </c>
      <c r="O1692" s="83" t="s">
        <v>10716</v>
      </c>
      <c r="P1692" s="78" t="s">
        <v>10717</v>
      </c>
      <c r="Q1692" s="79" t="s">
        <v>10718</v>
      </c>
      <c r="R1692" s="78" t="s">
        <v>10719</v>
      </c>
      <c r="S1692" s="80" t="s">
        <v>10721</v>
      </c>
      <c r="T1692" s="101" t="s">
        <v>10722</v>
      </c>
      <c r="U1692" s="80"/>
      <c r="V1692" s="102" t="s">
        <v>10723</v>
      </c>
      <c r="W1692" s="79" t="s">
        <v>309</v>
      </c>
      <c r="X1692" s="79" t="s">
        <v>309</v>
      </c>
      <c r="Y1692" s="79" t="s">
        <v>309</v>
      </c>
      <c r="Z1692" s="79"/>
    </row>
    <row r="1693" ht="15.0" customHeight="1">
      <c r="A1693" s="76" t="s">
        <v>247</v>
      </c>
      <c r="B1693" s="77" t="s">
        <v>8396</v>
      </c>
      <c r="C1693" s="80">
        <v>3.0710632177E10</v>
      </c>
      <c r="D1693" s="119" t="s">
        <v>264</v>
      </c>
      <c r="E1693" s="77" t="s">
        <v>1109</v>
      </c>
      <c r="F1693" s="128">
        <v>3865.0</v>
      </c>
      <c r="G1693" s="79" t="s">
        <v>68</v>
      </c>
      <c r="H1693" s="80">
        <v>1702.0</v>
      </c>
      <c r="I1693" s="79">
        <v>181200.0</v>
      </c>
      <c r="J1693" s="74" t="s">
        <v>433</v>
      </c>
      <c r="K1693" s="79" t="s">
        <v>1833</v>
      </c>
      <c r="L1693" s="79"/>
      <c r="M1693" s="79"/>
      <c r="N1693" s="79">
        <v>35.0</v>
      </c>
      <c r="O1693" s="74"/>
      <c r="P1693" s="80"/>
      <c r="Q1693" s="79"/>
      <c r="R1693" s="80"/>
      <c r="S1693" s="78" t="s">
        <v>10725</v>
      </c>
      <c r="T1693" s="101" t="s">
        <v>332</v>
      </c>
      <c r="U1693" s="80" t="s">
        <v>332</v>
      </c>
      <c r="V1693" s="102" t="s">
        <v>10726</v>
      </c>
      <c r="W1693" s="79" t="s">
        <v>306</v>
      </c>
      <c r="X1693" s="79" t="s">
        <v>306</v>
      </c>
      <c r="Y1693" s="79" t="s">
        <v>309</v>
      </c>
      <c r="Z1693" s="79"/>
    </row>
    <row r="1694" ht="15.0" customHeight="1">
      <c r="A1694" s="76" t="s">
        <v>247</v>
      </c>
      <c r="B1694" s="77" t="s">
        <v>2475</v>
      </c>
      <c r="C1694" s="80">
        <v>3.3501880049E10</v>
      </c>
      <c r="D1694" s="119" t="s">
        <v>264</v>
      </c>
      <c r="E1694" s="79" t="s">
        <v>3833</v>
      </c>
      <c r="F1694" s="44">
        <v>5250.0</v>
      </c>
      <c r="G1694" s="79" t="s">
        <v>15</v>
      </c>
      <c r="H1694" s="80">
        <v>1678.0</v>
      </c>
      <c r="I1694" s="79">
        <v>202908.0</v>
      </c>
      <c r="J1694" s="74" t="s">
        <v>316</v>
      </c>
      <c r="K1694" s="77" t="s">
        <v>10727</v>
      </c>
      <c r="L1694" s="79"/>
      <c r="M1694" s="79"/>
      <c r="N1694" s="79">
        <v>201.0</v>
      </c>
      <c r="O1694" s="83" t="s">
        <v>10728</v>
      </c>
      <c r="P1694" s="78" t="s">
        <v>10730</v>
      </c>
      <c r="Q1694" s="79" t="s">
        <v>10731</v>
      </c>
      <c r="R1694" s="80"/>
      <c r="S1694" s="78" t="s">
        <v>10732</v>
      </c>
      <c r="T1694" s="101" t="s">
        <v>10733</v>
      </c>
      <c r="U1694" s="80" t="s">
        <v>10734</v>
      </c>
      <c r="V1694" s="102" t="s">
        <v>10735</v>
      </c>
      <c r="W1694" s="79" t="s">
        <v>309</v>
      </c>
      <c r="X1694" s="79" t="s">
        <v>309</v>
      </c>
      <c r="Y1694" s="79" t="s">
        <v>309</v>
      </c>
      <c r="Z1694" s="79"/>
    </row>
    <row r="1695" ht="15.75" customHeight="1">
      <c r="A1695" s="103" t="s">
        <v>24</v>
      </c>
      <c r="B1695" s="77" t="s">
        <v>10736</v>
      </c>
      <c r="C1695" s="80">
        <v>3.0587758594E10</v>
      </c>
      <c r="D1695" s="79" t="s">
        <v>264</v>
      </c>
      <c r="E1695" s="77" t="s">
        <v>6900</v>
      </c>
      <c r="F1695" s="44">
        <v>1081.0</v>
      </c>
      <c r="G1695" s="79" t="s">
        <v>269</v>
      </c>
      <c r="H1695" s="80">
        <v>1682.0</v>
      </c>
      <c r="I1695" s="79">
        <v>361010.0</v>
      </c>
      <c r="J1695" s="74" t="s">
        <v>313</v>
      </c>
      <c r="K1695" s="79" t="s">
        <v>2534</v>
      </c>
      <c r="L1695" s="79" t="s">
        <v>1122</v>
      </c>
      <c r="M1695" s="79"/>
      <c r="N1695" s="79">
        <v>0.0</v>
      </c>
      <c r="O1695" s="74"/>
      <c r="P1695" s="80"/>
      <c r="Q1695" s="79"/>
      <c r="R1695" s="80"/>
      <c r="S1695" s="80" t="s">
        <v>10737</v>
      </c>
      <c r="T1695" s="200"/>
      <c r="U1695" s="80" t="s">
        <v>332</v>
      </c>
      <c r="V1695" s="102" t="s">
        <v>10738</v>
      </c>
      <c r="W1695" s="79" t="s">
        <v>306</v>
      </c>
      <c r="X1695" s="79" t="s">
        <v>306</v>
      </c>
      <c r="Y1695" s="79"/>
      <c r="Z1695" s="79"/>
    </row>
    <row r="1696" ht="15.75" customHeight="1">
      <c r="A1696" s="76" t="s">
        <v>247</v>
      </c>
      <c r="B1696" s="77" t="s">
        <v>2482</v>
      </c>
      <c r="C1696" s="80">
        <v>3.0648203094E10</v>
      </c>
      <c r="D1696" s="79" t="s">
        <v>264</v>
      </c>
      <c r="E1696" s="77" t="s">
        <v>943</v>
      </c>
      <c r="F1696" s="44" t="s">
        <v>10740</v>
      </c>
      <c r="G1696" s="79" t="s">
        <v>68</v>
      </c>
      <c r="H1696" s="80">
        <v>1702.0</v>
      </c>
      <c r="I1696" s="79">
        <v>242090.0</v>
      </c>
      <c r="J1696" s="74" t="s">
        <v>347</v>
      </c>
      <c r="K1696" s="77" t="s">
        <v>2714</v>
      </c>
      <c r="L1696" s="79" t="s">
        <v>286</v>
      </c>
      <c r="M1696" s="77" t="s">
        <v>10741</v>
      </c>
      <c r="N1696" s="79">
        <v>82.0</v>
      </c>
      <c r="O1696" s="126" t="s">
        <v>10742</v>
      </c>
      <c r="P1696" s="78" t="s">
        <v>10743</v>
      </c>
      <c r="Q1696" s="119" t="s">
        <v>10744</v>
      </c>
      <c r="R1696" s="78" t="s">
        <v>10746</v>
      </c>
      <c r="S1696" s="78" t="s">
        <v>10747</v>
      </c>
      <c r="T1696" s="85" t="s">
        <v>10748</v>
      </c>
      <c r="U1696" s="78" t="s">
        <v>10749</v>
      </c>
      <c r="V1696" s="102" t="s">
        <v>10750</v>
      </c>
      <c r="W1696" s="79"/>
      <c r="X1696" s="79"/>
      <c r="Y1696" s="79" t="s">
        <v>309</v>
      </c>
      <c r="Z1696" s="79"/>
    </row>
    <row r="1697" ht="15.75" customHeight="1">
      <c r="A1697" s="103" t="s">
        <v>24</v>
      </c>
      <c r="B1697" s="77" t="s">
        <v>10751</v>
      </c>
      <c r="C1697" s="80">
        <v>3.0707016902E10</v>
      </c>
      <c r="D1697" s="77" t="s">
        <v>264</v>
      </c>
      <c r="E1697" s="77" t="s">
        <v>943</v>
      </c>
      <c r="F1697" s="44">
        <v>3527.0</v>
      </c>
      <c r="G1697" s="79" t="s">
        <v>15</v>
      </c>
      <c r="H1697" s="80">
        <v>1678.0</v>
      </c>
      <c r="I1697" s="79">
        <v>289999.0</v>
      </c>
      <c r="J1697" s="74" t="s">
        <v>347</v>
      </c>
      <c r="K1697" s="77" t="s">
        <v>1901</v>
      </c>
      <c r="L1697" s="79" t="s">
        <v>453</v>
      </c>
      <c r="M1697" s="79"/>
      <c r="N1697" s="79">
        <v>0.0</v>
      </c>
      <c r="O1697" s="74"/>
      <c r="P1697" s="80"/>
      <c r="Q1697" s="79"/>
      <c r="R1697" s="80"/>
      <c r="S1697" s="80" t="s">
        <v>10753</v>
      </c>
      <c r="T1697" s="374"/>
      <c r="U1697" s="80" t="s">
        <v>332</v>
      </c>
      <c r="V1697" s="102" t="s">
        <v>429</v>
      </c>
      <c r="W1697" s="79" t="s">
        <v>309</v>
      </c>
      <c r="X1697" s="79" t="s">
        <v>309</v>
      </c>
      <c r="Y1697" s="79"/>
      <c r="Z1697" s="79"/>
    </row>
    <row r="1698" ht="15.75" customHeight="1">
      <c r="A1698" s="103" t="s">
        <v>24</v>
      </c>
      <c r="B1698" s="79" t="s">
        <v>10754</v>
      </c>
      <c r="C1698" s="80">
        <v>2.0178680219E10</v>
      </c>
      <c r="D1698" s="77" t="s">
        <v>631</v>
      </c>
      <c r="E1698" s="77" t="s">
        <v>10755</v>
      </c>
      <c r="F1698" s="44">
        <v>6865.0</v>
      </c>
      <c r="G1698" s="79" t="s">
        <v>119</v>
      </c>
      <c r="H1698" s="80">
        <v>1657.0</v>
      </c>
      <c r="I1698" s="77">
        <v>259993.0</v>
      </c>
      <c r="J1698" s="83" t="s">
        <v>347</v>
      </c>
      <c r="K1698" s="129" t="s">
        <v>638</v>
      </c>
      <c r="L1698" s="79"/>
      <c r="M1698" s="79"/>
      <c r="N1698" s="79"/>
      <c r="O1698" s="74"/>
      <c r="P1698" s="80"/>
      <c r="Q1698" s="79"/>
      <c r="R1698" s="80"/>
      <c r="S1698" s="85" t="s">
        <v>10757</v>
      </c>
      <c r="T1698" s="101"/>
      <c r="U1698" s="80"/>
      <c r="V1698" s="102" t="s">
        <v>429</v>
      </c>
      <c r="W1698" s="79"/>
      <c r="X1698" s="79"/>
      <c r="Y1698" s="79"/>
      <c r="Z1698" s="79"/>
    </row>
    <row r="1699" ht="15.75" customHeight="1">
      <c r="A1699" s="76" t="s">
        <v>247</v>
      </c>
      <c r="B1699" s="77" t="s">
        <v>8408</v>
      </c>
      <c r="C1699" s="80">
        <v>3.0708492945E10</v>
      </c>
      <c r="D1699" s="119" t="s">
        <v>264</v>
      </c>
      <c r="E1699" s="77" t="s">
        <v>10759</v>
      </c>
      <c r="F1699" s="128">
        <v>4456.0</v>
      </c>
      <c r="G1699" s="79" t="s">
        <v>15</v>
      </c>
      <c r="H1699" s="80">
        <v>1678.0</v>
      </c>
      <c r="I1699" s="77">
        <v>465990.0</v>
      </c>
      <c r="J1699" s="74" t="s">
        <v>433</v>
      </c>
      <c r="K1699" s="77" t="s">
        <v>10760</v>
      </c>
      <c r="L1699" s="79"/>
      <c r="M1699" s="79"/>
      <c r="N1699" s="79">
        <v>8.0</v>
      </c>
      <c r="O1699" s="74"/>
      <c r="P1699" s="80"/>
      <c r="Q1699" s="79"/>
      <c r="R1699" s="80"/>
      <c r="S1699" s="80" t="s">
        <v>10761</v>
      </c>
      <c r="T1699" s="101" t="s">
        <v>10762</v>
      </c>
      <c r="U1699" s="80" t="s">
        <v>10763</v>
      </c>
      <c r="V1699" s="102" t="s">
        <v>10764</v>
      </c>
      <c r="W1699" s="79" t="s">
        <v>309</v>
      </c>
      <c r="X1699" s="79" t="s">
        <v>309</v>
      </c>
      <c r="Y1699" s="79" t="s">
        <v>309</v>
      </c>
      <c r="Z1699" s="79"/>
    </row>
    <row r="1700" ht="15.75" customHeight="1">
      <c r="A1700" s="76" t="s">
        <v>247</v>
      </c>
      <c r="B1700" s="77" t="s">
        <v>8412</v>
      </c>
      <c r="C1700" s="78">
        <v>3.0712537767E10</v>
      </c>
      <c r="D1700" s="119" t="s">
        <v>264</v>
      </c>
      <c r="E1700" s="79" t="s">
        <v>15</v>
      </c>
      <c r="F1700" s="44">
        <v>3493.0</v>
      </c>
      <c r="G1700" s="79" t="s">
        <v>15</v>
      </c>
      <c r="H1700" s="80">
        <v>1678.0</v>
      </c>
      <c r="I1700" s="77">
        <v>310010.0</v>
      </c>
      <c r="J1700" s="83" t="s">
        <v>313</v>
      </c>
      <c r="K1700" s="77" t="s">
        <v>1438</v>
      </c>
      <c r="L1700" s="79"/>
      <c r="M1700" s="77" t="s">
        <v>10766</v>
      </c>
      <c r="N1700" s="79">
        <v>0.0</v>
      </c>
      <c r="O1700" s="74"/>
      <c r="P1700" s="80"/>
      <c r="Q1700" s="79"/>
      <c r="R1700" s="80"/>
      <c r="S1700" s="78" t="s">
        <v>10768</v>
      </c>
      <c r="T1700" s="275" t="s">
        <v>6763</v>
      </c>
      <c r="U1700" s="80" t="s">
        <v>332</v>
      </c>
      <c r="V1700" s="102" t="s">
        <v>10769</v>
      </c>
      <c r="W1700" s="79" t="s">
        <v>306</v>
      </c>
      <c r="X1700" s="79" t="s">
        <v>306</v>
      </c>
      <c r="Y1700" s="79"/>
      <c r="Z1700" s="79"/>
    </row>
    <row r="1701" ht="15.75" customHeight="1">
      <c r="A1701" s="76" t="s">
        <v>247</v>
      </c>
      <c r="B1701" s="77" t="s">
        <v>8412</v>
      </c>
      <c r="C1701" s="80">
        <v>3.0712537767E10</v>
      </c>
      <c r="D1701" s="119" t="s">
        <v>264</v>
      </c>
      <c r="E1701" s="77" t="s">
        <v>15</v>
      </c>
      <c r="F1701" s="128">
        <v>3493.0</v>
      </c>
      <c r="G1701" s="79" t="s">
        <v>15</v>
      </c>
      <c r="H1701" s="80">
        <v>1678.0</v>
      </c>
      <c r="I1701" s="77">
        <v>310010.0</v>
      </c>
      <c r="J1701" s="74" t="s">
        <v>433</v>
      </c>
      <c r="K1701" s="77" t="s">
        <v>1438</v>
      </c>
      <c r="L1701" s="79"/>
      <c r="M1701" s="79"/>
      <c r="N1701" s="79">
        <v>0.0</v>
      </c>
      <c r="O1701" s="74"/>
      <c r="P1701" s="80"/>
      <c r="Q1701" s="79"/>
      <c r="R1701" s="80"/>
      <c r="S1701" s="78" t="s">
        <v>10771</v>
      </c>
      <c r="T1701" s="101" t="s">
        <v>332</v>
      </c>
      <c r="U1701" s="80" t="s">
        <v>332</v>
      </c>
      <c r="V1701" s="102" t="s">
        <v>10769</v>
      </c>
      <c r="W1701" s="79" t="s">
        <v>306</v>
      </c>
      <c r="X1701" s="79" t="s">
        <v>306</v>
      </c>
      <c r="Y1701" s="79" t="s">
        <v>309</v>
      </c>
      <c r="Z1701" s="79"/>
    </row>
    <row r="1702" ht="15.75" customHeight="1">
      <c r="A1702" s="103" t="s">
        <v>24</v>
      </c>
      <c r="B1702" s="77" t="s">
        <v>10773</v>
      </c>
      <c r="C1702" s="80">
        <v>3.066379328E10</v>
      </c>
      <c r="D1702" s="119" t="s">
        <v>264</v>
      </c>
      <c r="E1702" s="79" t="s">
        <v>1607</v>
      </c>
      <c r="F1702" s="44">
        <v>5994.0</v>
      </c>
      <c r="G1702" s="79" t="s">
        <v>15</v>
      </c>
      <c r="H1702" s="80">
        <v>1678.0</v>
      </c>
      <c r="I1702" s="79">
        <v>452390.0</v>
      </c>
      <c r="J1702" s="74" t="s">
        <v>125</v>
      </c>
      <c r="K1702" s="77" t="s">
        <v>10774</v>
      </c>
      <c r="L1702" s="79" t="s">
        <v>453</v>
      </c>
      <c r="M1702" s="79"/>
      <c r="N1702" s="79">
        <v>0.0</v>
      </c>
      <c r="O1702" s="74"/>
      <c r="P1702" s="80"/>
      <c r="Q1702" s="79"/>
      <c r="R1702" s="80"/>
      <c r="S1702" s="80" t="s">
        <v>10775</v>
      </c>
      <c r="T1702" s="101" t="s">
        <v>332</v>
      </c>
      <c r="U1702" s="80" t="s">
        <v>332</v>
      </c>
      <c r="V1702" s="102" t="s">
        <v>429</v>
      </c>
      <c r="W1702" s="79" t="s">
        <v>306</v>
      </c>
      <c r="X1702" s="79" t="s">
        <v>306</v>
      </c>
      <c r="Y1702" s="79"/>
      <c r="Z1702" s="79"/>
    </row>
    <row r="1703" ht="15.75" customHeight="1">
      <c r="A1703" s="76" t="s">
        <v>247</v>
      </c>
      <c r="B1703" s="77" t="s">
        <v>2486</v>
      </c>
      <c r="C1703" s="80">
        <v>3.0643786172E10</v>
      </c>
      <c r="D1703" s="119" t="s">
        <v>264</v>
      </c>
      <c r="E1703" s="79" t="s">
        <v>1246</v>
      </c>
      <c r="F1703" s="44">
        <v>1240.0</v>
      </c>
      <c r="G1703" s="79" t="s">
        <v>68</v>
      </c>
      <c r="H1703" s="80">
        <v>1702.0</v>
      </c>
      <c r="I1703" s="79">
        <v>271020.0</v>
      </c>
      <c r="J1703" s="83" t="s">
        <v>207</v>
      </c>
      <c r="K1703" s="79" t="s">
        <v>4718</v>
      </c>
      <c r="L1703" s="79"/>
      <c r="M1703" s="79" t="s">
        <v>10777</v>
      </c>
      <c r="N1703" s="79">
        <v>23.0</v>
      </c>
      <c r="O1703" s="74" t="s">
        <v>10778</v>
      </c>
      <c r="P1703" s="78" t="s">
        <v>10779</v>
      </c>
      <c r="Q1703" s="79" t="s">
        <v>10780</v>
      </c>
      <c r="R1703" s="78" t="s">
        <v>10781</v>
      </c>
      <c r="S1703" s="78" t="s">
        <v>10782</v>
      </c>
      <c r="T1703" s="78" t="s">
        <v>10783</v>
      </c>
      <c r="U1703" s="101" t="s">
        <v>10784</v>
      </c>
      <c r="V1703" s="98" t="s">
        <v>10785</v>
      </c>
      <c r="W1703" s="79" t="s">
        <v>309</v>
      </c>
      <c r="X1703" s="79" t="s">
        <v>309</v>
      </c>
      <c r="Y1703" s="79" t="s">
        <v>309</v>
      </c>
      <c r="Z1703" s="79"/>
    </row>
    <row r="1704" ht="15.75" customHeight="1">
      <c r="A1704" s="103" t="s">
        <v>24</v>
      </c>
      <c r="B1704" s="77" t="s">
        <v>10787</v>
      </c>
      <c r="C1704" s="80">
        <v>3.0707784195E10</v>
      </c>
      <c r="D1704" s="119" t="s">
        <v>264</v>
      </c>
      <c r="E1704" s="79" t="s">
        <v>8384</v>
      </c>
      <c r="F1704" s="44">
        <v>6076.0</v>
      </c>
      <c r="G1704" s="79" t="s">
        <v>119</v>
      </c>
      <c r="H1704" s="80">
        <v>1657.0</v>
      </c>
      <c r="I1704" s="77">
        <v>864000.0</v>
      </c>
      <c r="J1704" s="74" t="s">
        <v>433</v>
      </c>
      <c r="K1704" s="79" t="s">
        <v>10788</v>
      </c>
      <c r="L1704" s="79"/>
      <c r="M1704" s="79"/>
      <c r="N1704" s="79">
        <v>0.0</v>
      </c>
      <c r="O1704" s="74"/>
      <c r="P1704" s="80"/>
      <c r="Q1704" s="79"/>
      <c r="R1704" s="80"/>
      <c r="S1704" s="80"/>
      <c r="T1704" s="101" t="s">
        <v>332</v>
      </c>
      <c r="U1704" s="114"/>
      <c r="V1704" s="102" t="s">
        <v>429</v>
      </c>
      <c r="W1704" s="79" t="s">
        <v>306</v>
      </c>
      <c r="X1704" s="79" t="s">
        <v>306</v>
      </c>
      <c r="Y1704" s="79" t="s">
        <v>309</v>
      </c>
      <c r="Z1704" s="79"/>
    </row>
    <row r="1705" ht="15.75" customHeight="1">
      <c r="A1705" s="76" t="s">
        <v>247</v>
      </c>
      <c r="B1705" s="77" t="s">
        <v>8425</v>
      </c>
      <c r="C1705" s="80">
        <v>3.3695264319E10</v>
      </c>
      <c r="D1705" s="119" t="s">
        <v>264</v>
      </c>
      <c r="E1705" s="79" t="s">
        <v>314</v>
      </c>
      <c r="F1705" s="44">
        <v>4869.0</v>
      </c>
      <c r="G1705" s="79" t="s">
        <v>15</v>
      </c>
      <c r="H1705" s="80">
        <v>1678.0</v>
      </c>
      <c r="I1705" s="79">
        <v>222090.0</v>
      </c>
      <c r="J1705" s="83" t="s">
        <v>568</v>
      </c>
      <c r="K1705" s="77" t="s">
        <v>569</v>
      </c>
      <c r="L1705" s="79" t="s">
        <v>453</v>
      </c>
      <c r="M1705" s="79" t="s">
        <v>10790</v>
      </c>
      <c r="N1705" s="79">
        <v>17.0</v>
      </c>
      <c r="O1705" s="74" t="s">
        <v>10791</v>
      </c>
      <c r="P1705" s="80"/>
      <c r="Q1705" s="79"/>
      <c r="R1705" s="80"/>
      <c r="S1705" s="78" t="s">
        <v>10792</v>
      </c>
      <c r="T1705" s="85" t="s">
        <v>10793</v>
      </c>
      <c r="U1705" s="80" t="s">
        <v>10794</v>
      </c>
      <c r="V1705" s="102" t="s">
        <v>10795</v>
      </c>
      <c r="W1705" s="79" t="s">
        <v>309</v>
      </c>
      <c r="X1705" s="79" t="s">
        <v>309</v>
      </c>
      <c r="Y1705" s="79" t="s">
        <v>309</v>
      </c>
      <c r="Z1705" s="79"/>
    </row>
    <row r="1706" ht="15.75" customHeight="1">
      <c r="A1706" s="76" t="s">
        <v>247</v>
      </c>
      <c r="B1706" s="79" t="s">
        <v>2492</v>
      </c>
      <c r="C1706" s="80">
        <v>3.0711889368E10</v>
      </c>
      <c r="D1706" s="79" t="s">
        <v>264</v>
      </c>
      <c r="E1706" s="79" t="s">
        <v>1212</v>
      </c>
      <c r="F1706" s="44">
        <v>4773.0</v>
      </c>
      <c r="G1706" s="79" t="s">
        <v>68</v>
      </c>
      <c r="H1706" s="80">
        <v>1702.0</v>
      </c>
      <c r="I1706" s="79">
        <v>432910.0</v>
      </c>
      <c r="J1706" s="74" t="s">
        <v>347</v>
      </c>
      <c r="K1706" s="77" t="s">
        <v>7411</v>
      </c>
      <c r="L1706" s="79" t="s">
        <v>453</v>
      </c>
      <c r="M1706" s="79" t="s">
        <v>10797</v>
      </c>
      <c r="N1706" s="79">
        <v>15.0</v>
      </c>
      <c r="O1706" s="74" t="s">
        <v>10798</v>
      </c>
      <c r="P1706" s="85" t="s">
        <v>10799</v>
      </c>
      <c r="Q1706" s="79"/>
      <c r="R1706" s="80"/>
      <c r="S1706" s="80" t="s">
        <v>10800</v>
      </c>
      <c r="T1706" s="85" t="s">
        <v>10722</v>
      </c>
      <c r="U1706" s="80" t="s">
        <v>10801</v>
      </c>
      <c r="V1706" s="102" t="s">
        <v>10802</v>
      </c>
      <c r="W1706" s="79"/>
      <c r="X1706" s="79"/>
      <c r="Y1706" s="79" t="s">
        <v>309</v>
      </c>
      <c r="Z1706" s="79"/>
    </row>
    <row r="1707" ht="15.75" customHeight="1">
      <c r="A1707" s="76" t="s">
        <v>247</v>
      </c>
      <c r="B1707" s="77" t="s">
        <v>8435</v>
      </c>
      <c r="C1707" s="80">
        <v>3.0712049924E10</v>
      </c>
      <c r="D1707" s="79" t="s">
        <v>264</v>
      </c>
      <c r="E1707" s="79" t="s">
        <v>1212</v>
      </c>
      <c r="F1707" s="44">
        <v>4773.0</v>
      </c>
      <c r="G1707" s="79" t="s">
        <v>68</v>
      </c>
      <c r="H1707" s="80">
        <v>1702.0</v>
      </c>
      <c r="I1707" s="79">
        <v>281600.0</v>
      </c>
      <c r="J1707" s="74" t="s">
        <v>261</v>
      </c>
      <c r="K1707" s="77" t="s">
        <v>10803</v>
      </c>
      <c r="L1707" s="79"/>
      <c r="M1707" s="79"/>
      <c r="N1707" s="79"/>
      <c r="O1707" s="74"/>
      <c r="P1707" s="80"/>
      <c r="Q1707" s="79"/>
      <c r="R1707" s="80"/>
      <c r="S1707" s="78" t="s">
        <v>10805</v>
      </c>
      <c r="T1707" s="276"/>
      <c r="U1707" s="80"/>
      <c r="V1707" s="102" t="s">
        <v>10806</v>
      </c>
      <c r="W1707" s="79"/>
      <c r="X1707" s="79"/>
      <c r="Y1707" s="79"/>
      <c r="Z1707" s="79"/>
    </row>
    <row r="1708" ht="15.75" customHeight="1">
      <c r="A1708" s="103" t="s">
        <v>24</v>
      </c>
      <c r="B1708" s="77" t="s">
        <v>10807</v>
      </c>
      <c r="C1708" s="80">
        <v>3.0708040092E10</v>
      </c>
      <c r="D1708" s="79" t="s">
        <v>264</v>
      </c>
      <c r="E1708" s="79" t="s">
        <v>1246</v>
      </c>
      <c r="F1708" s="44" t="s">
        <v>10808</v>
      </c>
      <c r="G1708" s="79" t="s">
        <v>68</v>
      </c>
      <c r="H1708" s="80">
        <v>1702.0</v>
      </c>
      <c r="I1708" s="79">
        <v>292700.0</v>
      </c>
      <c r="J1708" s="74" t="s">
        <v>347</v>
      </c>
      <c r="K1708" s="79" t="s">
        <v>10810</v>
      </c>
      <c r="L1708" s="79"/>
      <c r="M1708" s="79"/>
      <c r="N1708" s="79">
        <v>0.0</v>
      </c>
      <c r="O1708" s="74"/>
      <c r="P1708" s="80"/>
      <c r="Q1708" s="79"/>
      <c r="R1708" s="80"/>
      <c r="S1708" s="80" t="s">
        <v>10811</v>
      </c>
      <c r="T1708" s="101" t="s">
        <v>332</v>
      </c>
      <c r="U1708" s="80" t="s">
        <v>332</v>
      </c>
      <c r="V1708" s="102" t="s">
        <v>429</v>
      </c>
      <c r="W1708" s="79" t="s">
        <v>309</v>
      </c>
      <c r="X1708" s="79" t="s">
        <v>309</v>
      </c>
      <c r="Y1708" s="79"/>
      <c r="Z1708" s="79"/>
    </row>
    <row r="1709" ht="15.75" customHeight="1">
      <c r="A1709" s="103" t="s">
        <v>24</v>
      </c>
      <c r="B1709" s="77" t="s">
        <v>10812</v>
      </c>
      <c r="C1709" s="80">
        <v>3.0593121727E10</v>
      </c>
      <c r="D1709" s="79" t="s">
        <v>264</v>
      </c>
      <c r="E1709" s="77" t="s">
        <v>3068</v>
      </c>
      <c r="F1709" s="44">
        <v>9554.0</v>
      </c>
      <c r="G1709" s="79" t="s">
        <v>119</v>
      </c>
      <c r="H1709" s="80">
        <v>1657.0</v>
      </c>
      <c r="I1709" s="79">
        <v>11112.0</v>
      </c>
      <c r="J1709" s="74" t="s">
        <v>5</v>
      </c>
      <c r="K1709" s="79" t="s">
        <v>10814</v>
      </c>
      <c r="L1709" s="79" t="s">
        <v>453</v>
      </c>
      <c r="M1709" s="79" t="s">
        <v>10815</v>
      </c>
      <c r="N1709" s="79">
        <v>32.0</v>
      </c>
      <c r="O1709" s="74"/>
      <c r="P1709" s="80"/>
      <c r="Q1709" s="79" t="s">
        <v>10816</v>
      </c>
      <c r="R1709" s="80"/>
      <c r="S1709" s="78">
        <v>4.7690947E7</v>
      </c>
      <c r="T1709" s="85" t="s">
        <v>10817</v>
      </c>
      <c r="U1709" s="80" t="s">
        <v>10818</v>
      </c>
      <c r="V1709" s="102" t="s">
        <v>429</v>
      </c>
      <c r="W1709" s="79" t="s">
        <v>309</v>
      </c>
      <c r="X1709" s="79" t="s">
        <v>309</v>
      </c>
      <c r="Y1709" s="79"/>
      <c r="Z1709" s="79"/>
    </row>
    <row r="1710" ht="15.75" customHeight="1">
      <c r="A1710" s="76" t="s">
        <v>247</v>
      </c>
      <c r="B1710" s="77" t="s">
        <v>2497</v>
      </c>
      <c r="C1710" s="80">
        <v>3.055096083E10</v>
      </c>
      <c r="D1710" s="119" t="s">
        <v>264</v>
      </c>
      <c r="E1710" s="77" t="s">
        <v>7611</v>
      </c>
      <c r="F1710" s="44">
        <v>731.0</v>
      </c>
      <c r="G1710" s="79" t="s">
        <v>68</v>
      </c>
      <c r="H1710" s="80">
        <v>1702.0</v>
      </c>
      <c r="I1710" s="79">
        <v>107410.0</v>
      </c>
      <c r="J1710" s="74" t="s">
        <v>22</v>
      </c>
      <c r="K1710" s="79" t="s">
        <v>10820</v>
      </c>
      <c r="L1710" s="79"/>
      <c r="M1710" s="79" t="s">
        <v>10821</v>
      </c>
      <c r="N1710" s="79">
        <v>215.0</v>
      </c>
      <c r="O1710" s="83" t="s">
        <v>10822</v>
      </c>
      <c r="P1710" s="78" t="s">
        <v>10823</v>
      </c>
      <c r="Q1710" s="119" t="s">
        <v>10824</v>
      </c>
      <c r="R1710" s="85" t="s">
        <v>10826</v>
      </c>
      <c r="S1710" s="78" t="s">
        <v>10827</v>
      </c>
      <c r="T1710" s="101" t="s">
        <v>10828</v>
      </c>
      <c r="U1710" s="78" t="s">
        <v>10829</v>
      </c>
      <c r="V1710" s="86" t="s">
        <v>10830</v>
      </c>
      <c r="W1710" s="79" t="s">
        <v>309</v>
      </c>
      <c r="X1710" s="79" t="s">
        <v>309</v>
      </c>
      <c r="Y1710" s="79" t="s">
        <v>309</v>
      </c>
      <c r="Z1710" s="79"/>
    </row>
    <row r="1711" ht="15.75" customHeight="1">
      <c r="A1711" s="76" t="s">
        <v>247</v>
      </c>
      <c r="B1711" s="77" t="s">
        <v>8444</v>
      </c>
      <c r="C1711" s="80">
        <v>3.0710848358E10</v>
      </c>
      <c r="D1711" s="119" t="s">
        <v>264</v>
      </c>
      <c r="E1711" s="79" t="s">
        <v>723</v>
      </c>
      <c r="F1711" s="44">
        <v>4516.0</v>
      </c>
      <c r="G1711" s="79" t="s">
        <v>15</v>
      </c>
      <c r="H1711" s="80">
        <v>1678.0</v>
      </c>
      <c r="I1711" s="79">
        <v>202200.0</v>
      </c>
      <c r="J1711" s="74" t="s">
        <v>316</v>
      </c>
      <c r="K1711" s="79" t="s">
        <v>2635</v>
      </c>
      <c r="L1711" s="79"/>
      <c r="M1711" s="79"/>
      <c r="N1711" s="79">
        <v>4.0</v>
      </c>
      <c r="O1711" s="74"/>
      <c r="P1711" s="80"/>
      <c r="Q1711" s="79"/>
      <c r="R1711" s="80"/>
      <c r="S1711" s="78" t="s">
        <v>10832</v>
      </c>
      <c r="T1711" s="85" t="s">
        <v>10833</v>
      </c>
      <c r="U1711" s="80" t="s">
        <v>332</v>
      </c>
      <c r="V1711" s="102" t="s">
        <v>10834</v>
      </c>
      <c r="W1711" s="79" t="s">
        <v>306</v>
      </c>
      <c r="X1711" s="79" t="s">
        <v>306</v>
      </c>
      <c r="Y1711" s="79"/>
      <c r="Z1711" s="79"/>
    </row>
    <row r="1712" ht="15.75" customHeight="1">
      <c r="A1712" s="76" t="s">
        <v>247</v>
      </c>
      <c r="B1712" s="77" t="s">
        <v>8450</v>
      </c>
      <c r="C1712" s="79">
        <v>3.07099438E10</v>
      </c>
      <c r="D1712" s="77" t="s">
        <v>264</v>
      </c>
      <c r="E1712" s="79" t="s">
        <v>1246</v>
      </c>
      <c r="F1712" s="44">
        <v>1442.0</v>
      </c>
      <c r="G1712" s="79" t="s">
        <v>68</v>
      </c>
      <c r="H1712" s="80">
        <v>1702.0</v>
      </c>
      <c r="I1712" s="79">
        <v>152011.0</v>
      </c>
      <c r="J1712" s="74" t="s">
        <v>73</v>
      </c>
      <c r="K1712" s="79" t="s">
        <v>1471</v>
      </c>
      <c r="L1712" s="79"/>
      <c r="M1712" s="79"/>
      <c r="N1712" s="79">
        <v>9.0</v>
      </c>
      <c r="O1712" s="74"/>
      <c r="P1712" s="80"/>
      <c r="Q1712" s="79"/>
      <c r="R1712" s="114"/>
      <c r="S1712" s="80" t="s">
        <v>10836</v>
      </c>
      <c r="T1712" s="101" t="s">
        <v>332</v>
      </c>
      <c r="U1712" s="80"/>
      <c r="V1712" s="102" t="s">
        <v>429</v>
      </c>
      <c r="W1712" s="79" t="s">
        <v>306</v>
      </c>
      <c r="X1712" s="79" t="s">
        <v>306</v>
      </c>
      <c r="Y1712" s="79" t="s">
        <v>309</v>
      </c>
      <c r="Z1712" s="79"/>
    </row>
    <row r="1713" ht="15.75" customHeight="1">
      <c r="A1713" s="103" t="s">
        <v>24</v>
      </c>
      <c r="B1713" s="77" t="s">
        <v>10838</v>
      </c>
      <c r="C1713" s="80">
        <v>3.0715246054E10</v>
      </c>
      <c r="D1713" s="119" t="s">
        <v>264</v>
      </c>
      <c r="E1713" s="79" t="s">
        <v>1323</v>
      </c>
      <c r="F1713" s="44">
        <v>3053.0</v>
      </c>
      <c r="G1713" s="79" t="s">
        <v>15</v>
      </c>
      <c r="H1713" s="80">
        <v>1678.0</v>
      </c>
      <c r="I1713" s="79">
        <v>620900.0</v>
      </c>
      <c r="J1713" s="74" t="s">
        <v>433</v>
      </c>
      <c r="K1713" s="77" t="s">
        <v>9532</v>
      </c>
      <c r="L1713" s="79"/>
      <c r="M1713" s="79"/>
      <c r="N1713" s="79">
        <v>0.0</v>
      </c>
      <c r="O1713" s="74"/>
      <c r="P1713" s="80"/>
      <c r="Q1713" s="79"/>
      <c r="R1713" s="80"/>
      <c r="S1713" s="78" t="s">
        <v>10839</v>
      </c>
      <c r="T1713" s="101" t="s">
        <v>332</v>
      </c>
      <c r="U1713" s="80" t="s">
        <v>332</v>
      </c>
      <c r="V1713" s="102" t="s">
        <v>10841</v>
      </c>
      <c r="W1713" s="79" t="s">
        <v>306</v>
      </c>
      <c r="X1713" s="79" t="s">
        <v>306</v>
      </c>
      <c r="Y1713" s="79"/>
      <c r="Z1713" s="79"/>
    </row>
    <row r="1714" ht="15.75" customHeight="1">
      <c r="A1714" s="76" t="s">
        <v>247</v>
      </c>
      <c r="B1714" s="77" t="s">
        <v>8455</v>
      </c>
      <c r="C1714" s="80">
        <v>3.0650276171E10</v>
      </c>
      <c r="D1714" s="119" t="s">
        <v>264</v>
      </c>
      <c r="E1714" s="77" t="s">
        <v>7860</v>
      </c>
      <c r="F1714" s="44">
        <v>6353.0</v>
      </c>
      <c r="G1714" s="79" t="s">
        <v>119</v>
      </c>
      <c r="H1714" s="80">
        <v>1657.0</v>
      </c>
      <c r="I1714" s="79">
        <v>222090.0</v>
      </c>
      <c r="J1714" s="83" t="s">
        <v>568</v>
      </c>
      <c r="K1714" s="77" t="s">
        <v>569</v>
      </c>
      <c r="L1714" s="79" t="s">
        <v>453</v>
      </c>
      <c r="M1714" s="79"/>
      <c r="N1714" s="79">
        <v>33.0</v>
      </c>
      <c r="O1714" s="74"/>
      <c r="P1714" s="80"/>
      <c r="Q1714" s="79"/>
      <c r="R1714" s="80"/>
      <c r="S1714" s="80" t="s">
        <v>10843</v>
      </c>
      <c r="T1714" s="101" t="s">
        <v>332</v>
      </c>
      <c r="U1714" s="80"/>
      <c r="V1714" s="102" t="s">
        <v>10844</v>
      </c>
      <c r="W1714" s="79" t="s">
        <v>309</v>
      </c>
      <c r="X1714" s="79" t="s">
        <v>309</v>
      </c>
      <c r="Y1714" s="79" t="s">
        <v>309</v>
      </c>
      <c r="Z1714" s="79"/>
    </row>
    <row r="1715" ht="15.75" customHeight="1">
      <c r="A1715" s="103" t="s">
        <v>24</v>
      </c>
      <c r="B1715" s="77" t="s">
        <v>10845</v>
      </c>
      <c r="C1715" s="80">
        <v>3.0570749087E10</v>
      </c>
      <c r="D1715" s="119" t="s">
        <v>264</v>
      </c>
      <c r="E1715" s="79" t="s">
        <v>6437</v>
      </c>
      <c r="F1715" s="44">
        <v>853.0</v>
      </c>
      <c r="G1715" s="79" t="s">
        <v>119</v>
      </c>
      <c r="H1715" s="80">
        <v>1657.0</v>
      </c>
      <c r="I1715" s="77">
        <v>251102.0</v>
      </c>
      <c r="J1715" s="74" t="s">
        <v>347</v>
      </c>
      <c r="K1715" s="77" t="s">
        <v>1611</v>
      </c>
      <c r="L1715" s="79" t="s">
        <v>453</v>
      </c>
      <c r="M1715" s="79"/>
      <c r="N1715" s="79">
        <v>0.0</v>
      </c>
      <c r="O1715" s="74"/>
      <c r="P1715" s="80"/>
      <c r="Q1715" s="79"/>
      <c r="R1715" s="80"/>
      <c r="S1715" s="80" t="s">
        <v>10847</v>
      </c>
      <c r="T1715" s="101" t="s">
        <v>332</v>
      </c>
      <c r="U1715" s="80" t="s">
        <v>332</v>
      </c>
      <c r="V1715" s="102" t="s">
        <v>429</v>
      </c>
      <c r="W1715" s="79" t="s">
        <v>309</v>
      </c>
      <c r="X1715" s="79" t="s">
        <v>309</v>
      </c>
      <c r="Y1715" s="79"/>
      <c r="Z1715" s="79"/>
    </row>
    <row r="1716" ht="15.75" customHeight="1">
      <c r="A1716" s="76" t="s">
        <v>247</v>
      </c>
      <c r="B1716" s="77" t="s">
        <v>8458</v>
      </c>
      <c r="C1716" s="80">
        <v>3.0712327061E10</v>
      </c>
      <c r="D1716" s="144" t="s">
        <v>631</v>
      </c>
      <c r="E1716" s="77" t="s">
        <v>1070</v>
      </c>
      <c r="F1716" s="44">
        <v>49.0</v>
      </c>
      <c r="G1716" s="79" t="s">
        <v>68</v>
      </c>
      <c r="H1716" s="80">
        <v>1702.0</v>
      </c>
      <c r="I1716" s="79">
        <v>152011.0</v>
      </c>
      <c r="J1716" s="74" t="s">
        <v>73</v>
      </c>
      <c r="K1716" s="79" t="s">
        <v>1471</v>
      </c>
      <c r="L1716" s="79" t="s">
        <v>286</v>
      </c>
      <c r="M1716" s="79" t="s">
        <v>10850</v>
      </c>
      <c r="N1716" s="79">
        <v>49.0</v>
      </c>
      <c r="O1716" s="74"/>
      <c r="P1716" s="80"/>
      <c r="Q1716" s="79"/>
      <c r="R1716" s="80"/>
      <c r="S1716" s="80" t="s">
        <v>10851</v>
      </c>
      <c r="T1716" s="101" t="s">
        <v>10852</v>
      </c>
      <c r="U1716" s="80" t="s">
        <v>332</v>
      </c>
      <c r="V1716" s="102" t="s">
        <v>10853</v>
      </c>
      <c r="W1716" s="79" t="s">
        <v>306</v>
      </c>
      <c r="X1716" s="79" t="s">
        <v>306</v>
      </c>
      <c r="Y1716" s="79" t="s">
        <v>309</v>
      </c>
      <c r="Z1716" s="79"/>
    </row>
    <row r="1717" ht="15.75" customHeight="1">
      <c r="A1717" s="103" t="s">
        <v>24</v>
      </c>
      <c r="B1717" s="79" t="s">
        <v>10854</v>
      </c>
      <c r="C1717" s="79">
        <v>2.0294223771E10</v>
      </c>
      <c r="D1717" s="144" t="s">
        <v>631</v>
      </c>
      <c r="E1717" s="77" t="s">
        <v>3068</v>
      </c>
      <c r="F1717" s="44">
        <v>10531.0</v>
      </c>
      <c r="G1717" s="79" t="s">
        <v>119</v>
      </c>
      <c r="H1717" s="80">
        <v>1657.0</v>
      </c>
      <c r="I1717" s="77">
        <v>829900.0</v>
      </c>
      <c r="J1717" s="74" t="s">
        <v>433</v>
      </c>
      <c r="K1717" s="77" t="s">
        <v>2924</v>
      </c>
      <c r="L1717" s="79"/>
      <c r="M1717" s="79"/>
      <c r="N1717" s="79"/>
      <c r="O1717" s="74"/>
      <c r="P1717" s="80"/>
      <c r="Q1717" s="79"/>
      <c r="R1717" s="80"/>
      <c r="S1717" s="78" t="s">
        <v>10856</v>
      </c>
      <c r="T1717" s="101"/>
      <c r="U1717" s="80"/>
      <c r="V1717" s="102" t="s">
        <v>429</v>
      </c>
      <c r="W1717" s="79"/>
      <c r="X1717" s="79"/>
      <c r="Y1717" s="79"/>
      <c r="Z1717" s="79"/>
    </row>
    <row r="1718" ht="15.75" customHeight="1">
      <c r="A1718" s="103" t="s">
        <v>24</v>
      </c>
      <c r="B1718" s="77" t="s">
        <v>10858</v>
      </c>
      <c r="C1718" s="80">
        <v>3.0576697992E10</v>
      </c>
      <c r="D1718" s="79" t="s">
        <v>264</v>
      </c>
      <c r="E1718" s="79" t="s">
        <v>1485</v>
      </c>
      <c r="F1718" s="44">
        <v>2534.0</v>
      </c>
      <c r="G1718" s="79" t="s">
        <v>97</v>
      </c>
      <c r="H1718" s="80">
        <v>1702.0</v>
      </c>
      <c r="I1718" s="79">
        <v>361020.0</v>
      </c>
      <c r="J1718" s="74" t="s">
        <v>313</v>
      </c>
      <c r="K1718" s="79" t="s">
        <v>2569</v>
      </c>
      <c r="L1718" s="79"/>
      <c r="M1718" s="79"/>
      <c r="N1718" s="79">
        <v>0.0</v>
      </c>
      <c r="O1718" s="74"/>
      <c r="P1718" s="80"/>
      <c r="Q1718" s="79"/>
      <c r="R1718" s="80"/>
      <c r="S1718" s="78" t="s">
        <v>10859</v>
      </c>
      <c r="T1718" s="101" t="s">
        <v>332</v>
      </c>
      <c r="U1718" s="114" t="s">
        <v>332</v>
      </c>
      <c r="V1718" s="102" t="s">
        <v>429</v>
      </c>
      <c r="W1718" s="79" t="s">
        <v>306</v>
      </c>
      <c r="X1718" s="79" t="s">
        <v>306</v>
      </c>
      <c r="Y1718" s="79"/>
      <c r="Z1718" s="79"/>
    </row>
    <row r="1719" ht="15.75" customHeight="1">
      <c r="A1719" s="76" t="s">
        <v>247</v>
      </c>
      <c r="B1719" s="77" t="s">
        <v>2506</v>
      </c>
      <c r="C1719" s="80">
        <v>3.0707227253E10</v>
      </c>
      <c r="D1719" s="119" t="s">
        <v>264</v>
      </c>
      <c r="E1719" s="77" t="s">
        <v>9665</v>
      </c>
      <c r="F1719" s="44">
        <v>2635.0</v>
      </c>
      <c r="G1719" s="77" t="s">
        <v>47</v>
      </c>
      <c r="H1719" s="80">
        <v>1684.0</v>
      </c>
      <c r="I1719" s="79">
        <v>741000.0</v>
      </c>
      <c r="J1719" s="74" t="s">
        <v>433</v>
      </c>
      <c r="K1719" s="79" t="s">
        <v>10861</v>
      </c>
      <c r="L1719" s="79"/>
      <c r="M1719" s="77" t="s">
        <v>10862</v>
      </c>
      <c r="N1719" s="79">
        <v>6.0</v>
      </c>
      <c r="O1719" s="74" t="s">
        <v>10863</v>
      </c>
      <c r="P1719" s="78" t="s">
        <v>10864</v>
      </c>
      <c r="Q1719" s="152" t="s">
        <v>10865</v>
      </c>
      <c r="R1719" s="153" t="s">
        <v>10866</v>
      </c>
      <c r="S1719" s="80" t="s">
        <v>10867</v>
      </c>
      <c r="T1719" s="101" t="s">
        <v>10868</v>
      </c>
      <c r="U1719" s="78" t="s">
        <v>10869</v>
      </c>
      <c r="V1719" s="102" t="s">
        <v>10870</v>
      </c>
      <c r="W1719" s="79" t="s">
        <v>306</v>
      </c>
      <c r="X1719" s="79" t="s">
        <v>306</v>
      </c>
      <c r="Y1719" s="79" t="s">
        <v>309</v>
      </c>
      <c r="Z1719" s="79"/>
    </row>
    <row r="1720" ht="15.75" customHeight="1">
      <c r="A1720" s="76" t="s">
        <v>247</v>
      </c>
      <c r="B1720" s="77" t="s">
        <v>8465</v>
      </c>
      <c r="C1720" s="80">
        <v>3.0708609877E10</v>
      </c>
      <c r="D1720" s="119" t="s">
        <v>264</v>
      </c>
      <c r="E1720" s="77" t="s">
        <v>1118</v>
      </c>
      <c r="F1720" s="44">
        <v>2354.0</v>
      </c>
      <c r="G1720" s="79" t="s">
        <v>285</v>
      </c>
      <c r="H1720" s="80">
        <v>1674.0</v>
      </c>
      <c r="I1720" s="79">
        <v>259309.0</v>
      </c>
      <c r="J1720" s="74" t="s">
        <v>347</v>
      </c>
      <c r="K1720" s="77" t="s">
        <v>1121</v>
      </c>
      <c r="L1720" s="79"/>
      <c r="M1720" s="79"/>
      <c r="N1720" s="79">
        <v>4.0</v>
      </c>
      <c r="O1720" s="74"/>
      <c r="P1720" s="80"/>
      <c r="Q1720" s="79"/>
      <c r="R1720" s="80"/>
      <c r="S1720" s="78" t="s">
        <v>10872</v>
      </c>
      <c r="T1720" s="85" t="s">
        <v>1130</v>
      </c>
      <c r="U1720" s="80" t="s">
        <v>332</v>
      </c>
      <c r="V1720" s="102" t="s">
        <v>10873</v>
      </c>
      <c r="W1720" s="79" t="s">
        <v>306</v>
      </c>
      <c r="X1720" s="79" t="s">
        <v>306</v>
      </c>
      <c r="Y1720" s="79"/>
      <c r="Z1720" s="79"/>
    </row>
    <row r="1721" ht="15.75" customHeight="1">
      <c r="A1721" s="76" t="s">
        <v>247</v>
      </c>
      <c r="B1721" s="129" t="s">
        <v>2515</v>
      </c>
      <c r="C1721" s="80">
        <v>3.0522030518E10</v>
      </c>
      <c r="D1721" s="119" t="s">
        <v>264</v>
      </c>
      <c r="E1721" s="79" t="s">
        <v>1726</v>
      </c>
      <c r="F1721" s="44">
        <v>3415.0</v>
      </c>
      <c r="G1721" s="79" t="s">
        <v>15</v>
      </c>
      <c r="H1721" s="80">
        <v>1678.0</v>
      </c>
      <c r="I1721" s="79">
        <v>105030.0</v>
      </c>
      <c r="J1721" s="74" t="s">
        <v>22</v>
      </c>
      <c r="K1721" s="79" t="s">
        <v>1052</v>
      </c>
      <c r="L1721" s="79"/>
      <c r="M1721" s="79"/>
      <c r="N1721" s="79"/>
      <c r="O1721" s="126" t="s">
        <v>10875</v>
      </c>
      <c r="P1721" s="85" t="s">
        <v>10876</v>
      </c>
      <c r="Q1721" s="144"/>
      <c r="R1721" s="80"/>
      <c r="S1721" s="85" t="s">
        <v>10877</v>
      </c>
      <c r="T1721" s="101"/>
      <c r="U1721" s="101"/>
      <c r="V1721" s="102" t="s">
        <v>429</v>
      </c>
      <c r="W1721" s="79"/>
      <c r="X1721" s="79"/>
      <c r="Y1721" s="126" t="s">
        <v>309</v>
      </c>
      <c r="Z1721" s="79"/>
    </row>
    <row r="1722" ht="15.75" customHeight="1">
      <c r="A1722" s="76" t="s">
        <v>247</v>
      </c>
      <c r="B1722" s="77" t="s">
        <v>8468</v>
      </c>
      <c r="C1722" s="80">
        <v>3.3685235329E10</v>
      </c>
      <c r="D1722" s="119" t="s">
        <v>264</v>
      </c>
      <c r="E1722" s="79" t="s">
        <v>4638</v>
      </c>
      <c r="F1722" s="44">
        <v>5756.0</v>
      </c>
      <c r="G1722" s="79" t="s">
        <v>269</v>
      </c>
      <c r="H1722" s="80">
        <v>1682.0</v>
      </c>
      <c r="I1722" s="79">
        <v>181199.0</v>
      </c>
      <c r="J1722" s="74" t="s">
        <v>448</v>
      </c>
      <c r="K1722" s="77" t="s">
        <v>9492</v>
      </c>
      <c r="L1722" s="79" t="s">
        <v>1122</v>
      </c>
      <c r="M1722" s="79"/>
      <c r="N1722" s="79">
        <v>1.0</v>
      </c>
      <c r="O1722" s="74"/>
      <c r="P1722" s="80"/>
      <c r="Q1722" s="79"/>
      <c r="R1722" s="80"/>
      <c r="S1722" s="80" t="s">
        <v>10879</v>
      </c>
      <c r="T1722" s="101" t="s">
        <v>332</v>
      </c>
      <c r="U1722" s="80" t="s">
        <v>332</v>
      </c>
      <c r="V1722" s="102" t="s">
        <v>429</v>
      </c>
      <c r="W1722" s="79" t="s">
        <v>306</v>
      </c>
      <c r="X1722" s="79" t="s">
        <v>306</v>
      </c>
      <c r="Y1722" s="79" t="s">
        <v>309</v>
      </c>
      <c r="Z1722" s="79"/>
    </row>
    <row r="1723" ht="15.75" customHeight="1">
      <c r="A1723" s="103" t="s">
        <v>24</v>
      </c>
      <c r="B1723" s="77" t="s">
        <v>10880</v>
      </c>
      <c r="C1723" s="80">
        <v>3.0707260838E10</v>
      </c>
      <c r="D1723" s="77" t="s">
        <v>631</v>
      </c>
      <c r="E1723" s="303" t="s">
        <v>4565</v>
      </c>
      <c r="F1723" s="44">
        <v>3454.0</v>
      </c>
      <c r="G1723" s="79" t="s">
        <v>15</v>
      </c>
      <c r="H1723" s="80">
        <v>1678.0</v>
      </c>
      <c r="I1723" s="79">
        <v>259999.0</v>
      </c>
      <c r="J1723" s="74" t="s">
        <v>347</v>
      </c>
      <c r="K1723" s="77" t="s">
        <v>839</v>
      </c>
      <c r="L1723" s="79" t="s">
        <v>453</v>
      </c>
      <c r="M1723" s="79"/>
      <c r="N1723" s="79">
        <v>6.0</v>
      </c>
      <c r="O1723" s="74"/>
      <c r="P1723" s="80"/>
      <c r="Q1723" s="79"/>
      <c r="R1723" s="80"/>
      <c r="S1723" s="80" t="s">
        <v>10882</v>
      </c>
      <c r="T1723" s="101" t="s">
        <v>332</v>
      </c>
      <c r="U1723" s="80" t="s">
        <v>332</v>
      </c>
      <c r="V1723" s="102" t="s">
        <v>429</v>
      </c>
      <c r="W1723" s="79" t="s">
        <v>306</v>
      </c>
      <c r="X1723" s="79" t="s">
        <v>306</v>
      </c>
      <c r="Y1723" s="79"/>
      <c r="Z1723" s="79"/>
    </row>
    <row r="1724" ht="15.75" customHeight="1">
      <c r="A1724" s="103" t="s">
        <v>24</v>
      </c>
      <c r="B1724" s="77" t="s">
        <v>10883</v>
      </c>
      <c r="C1724" s="80">
        <v>3.0701168549E10</v>
      </c>
      <c r="D1724" s="119" t="s">
        <v>264</v>
      </c>
      <c r="E1724" s="79" t="s">
        <v>3339</v>
      </c>
      <c r="F1724" s="44">
        <v>4296.0</v>
      </c>
      <c r="G1724" s="79" t="s">
        <v>15</v>
      </c>
      <c r="H1724" s="80">
        <v>1678.0</v>
      </c>
      <c r="I1724" s="79">
        <v>152020.0</v>
      </c>
      <c r="J1724" s="74" t="s">
        <v>22</v>
      </c>
      <c r="K1724" s="77" t="s">
        <v>10884</v>
      </c>
      <c r="L1724" s="79"/>
      <c r="M1724" s="79"/>
      <c r="N1724" s="79">
        <v>0.0</v>
      </c>
      <c r="O1724" s="74"/>
      <c r="P1724" s="80"/>
      <c r="Q1724" s="79"/>
      <c r="R1724" s="80"/>
      <c r="S1724" s="80" t="s">
        <v>10886</v>
      </c>
      <c r="T1724" s="101"/>
      <c r="U1724" s="80" t="s">
        <v>332</v>
      </c>
      <c r="V1724" s="102" t="s">
        <v>429</v>
      </c>
      <c r="W1724" s="79" t="s">
        <v>306</v>
      </c>
      <c r="X1724" s="79" t="s">
        <v>306</v>
      </c>
      <c r="Y1724" s="79"/>
      <c r="Z1724" s="77"/>
    </row>
    <row r="1725" ht="15.75" customHeight="1">
      <c r="A1725" s="76" t="s">
        <v>247</v>
      </c>
      <c r="B1725" s="77" t="s">
        <v>8472</v>
      </c>
      <c r="C1725" s="80">
        <v>3.0714729876E10</v>
      </c>
      <c r="D1725" s="119" t="s">
        <v>264</v>
      </c>
      <c r="E1725" s="77" t="s">
        <v>1765</v>
      </c>
      <c r="F1725" s="44">
        <v>3275.0</v>
      </c>
      <c r="G1725" s="79" t="s">
        <v>15</v>
      </c>
      <c r="H1725" s="80">
        <v>1678.0</v>
      </c>
      <c r="I1725" s="79">
        <v>259200.0</v>
      </c>
      <c r="J1725" s="74" t="s">
        <v>347</v>
      </c>
      <c r="K1725" s="79" t="s">
        <v>1324</v>
      </c>
      <c r="L1725" s="79" t="s">
        <v>453</v>
      </c>
      <c r="M1725" s="79"/>
      <c r="N1725" s="79">
        <v>8.0</v>
      </c>
      <c r="O1725" s="74"/>
      <c r="P1725" s="80"/>
      <c r="Q1725" s="79"/>
      <c r="R1725" s="80"/>
      <c r="S1725" s="78" t="s">
        <v>10887</v>
      </c>
      <c r="T1725" s="101" t="s">
        <v>332</v>
      </c>
      <c r="U1725" s="80" t="s">
        <v>332</v>
      </c>
      <c r="V1725" s="102" t="s">
        <v>429</v>
      </c>
      <c r="W1725" s="79" t="s">
        <v>306</v>
      </c>
      <c r="X1725" s="79" t="s">
        <v>306</v>
      </c>
      <c r="Y1725" s="79" t="s">
        <v>309</v>
      </c>
      <c r="Z1725" s="79"/>
    </row>
    <row r="1726" ht="15.75" customHeight="1">
      <c r="A1726" s="103" t="s">
        <v>24</v>
      </c>
      <c r="B1726" s="77" t="s">
        <v>10889</v>
      </c>
      <c r="C1726" s="80">
        <v>3.0653214053E10</v>
      </c>
      <c r="D1726" s="119" t="s">
        <v>264</v>
      </c>
      <c r="E1726" s="79" t="s">
        <v>2432</v>
      </c>
      <c r="F1726" s="44">
        <v>1771.0</v>
      </c>
      <c r="G1726" s="79" t="s">
        <v>119</v>
      </c>
      <c r="H1726" s="80">
        <v>1657.0</v>
      </c>
      <c r="I1726" s="79">
        <v>289999.0</v>
      </c>
      <c r="J1726" s="74" t="s">
        <v>347</v>
      </c>
      <c r="K1726" s="77" t="s">
        <v>1901</v>
      </c>
      <c r="L1726" s="79" t="s">
        <v>453</v>
      </c>
      <c r="M1726" s="79"/>
      <c r="N1726" s="79">
        <v>2.0</v>
      </c>
      <c r="O1726" s="74"/>
      <c r="P1726" s="80"/>
      <c r="Q1726" s="79"/>
      <c r="R1726" s="80"/>
      <c r="S1726" s="78" t="s">
        <v>10890</v>
      </c>
      <c r="T1726" s="85" t="s">
        <v>10891</v>
      </c>
      <c r="U1726" s="78" t="s">
        <v>10892</v>
      </c>
      <c r="V1726" s="102" t="s">
        <v>429</v>
      </c>
      <c r="W1726" s="79" t="s">
        <v>306</v>
      </c>
      <c r="X1726" s="79" t="s">
        <v>306</v>
      </c>
      <c r="Y1726" s="79" t="s">
        <v>309</v>
      </c>
      <c r="Z1726" s="79"/>
    </row>
    <row r="1727" ht="15.75" customHeight="1">
      <c r="A1727" s="76" t="s">
        <v>247</v>
      </c>
      <c r="B1727" s="77" t="s">
        <v>8476</v>
      </c>
      <c r="C1727" s="80">
        <v>3.0501130024E10</v>
      </c>
      <c r="D1727" s="79" t="s">
        <v>264</v>
      </c>
      <c r="E1727" s="77" t="s">
        <v>943</v>
      </c>
      <c r="F1727" s="44">
        <v>2594.0</v>
      </c>
      <c r="G1727" s="79" t="s">
        <v>97</v>
      </c>
      <c r="H1727" s="80">
        <v>1702.0</v>
      </c>
      <c r="I1727" s="79">
        <v>310020.0</v>
      </c>
      <c r="J1727" s="74" t="s">
        <v>347</v>
      </c>
      <c r="K1727" s="79" t="s">
        <v>3277</v>
      </c>
      <c r="L1727" s="79" t="s">
        <v>1122</v>
      </c>
      <c r="M1727" s="79" t="s">
        <v>10894</v>
      </c>
      <c r="N1727" s="79">
        <v>14.0</v>
      </c>
      <c r="O1727" s="74" t="s">
        <v>10895</v>
      </c>
      <c r="P1727" s="78" t="s">
        <v>10896</v>
      </c>
      <c r="Q1727" s="79" t="s">
        <v>10897</v>
      </c>
      <c r="R1727" s="78" t="s">
        <v>10898</v>
      </c>
      <c r="S1727" s="80" t="s">
        <v>10899</v>
      </c>
      <c r="T1727" s="101" t="s">
        <v>332</v>
      </c>
      <c r="U1727" s="80" t="s">
        <v>332</v>
      </c>
      <c r="V1727" s="102" t="s">
        <v>10900</v>
      </c>
      <c r="W1727" s="79" t="s">
        <v>309</v>
      </c>
      <c r="X1727" s="79" t="s">
        <v>309</v>
      </c>
      <c r="Y1727" s="79" t="s">
        <v>309</v>
      </c>
      <c r="Z1727" s="79"/>
    </row>
    <row r="1728" ht="15.75" customHeight="1">
      <c r="A1728" s="76" t="s">
        <v>247</v>
      </c>
      <c r="B1728" s="77" t="s">
        <v>4367</v>
      </c>
      <c r="C1728" s="80">
        <v>3.0696282672E10</v>
      </c>
      <c r="D1728" s="119" t="s">
        <v>264</v>
      </c>
      <c r="E1728" s="126" t="s">
        <v>696</v>
      </c>
      <c r="F1728" s="44">
        <v>4864.0</v>
      </c>
      <c r="G1728" s="79" t="s">
        <v>15</v>
      </c>
      <c r="H1728" s="80">
        <v>1678.0</v>
      </c>
      <c r="I1728" s="79">
        <v>107999.0</v>
      </c>
      <c r="J1728" s="74" t="s">
        <v>22</v>
      </c>
      <c r="K1728" s="77" t="s">
        <v>1384</v>
      </c>
      <c r="L1728" s="79"/>
      <c r="M1728" s="79"/>
      <c r="N1728" s="79">
        <v>22.0</v>
      </c>
      <c r="O1728" s="83" t="s">
        <v>10902</v>
      </c>
      <c r="P1728" s="78" t="s">
        <v>10903</v>
      </c>
      <c r="Q1728" s="79"/>
      <c r="R1728" s="80"/>
      <c r="S1728" s="80" t="s">
        <v>10904</v>
      </c>
      <c r="T1728" s="101" t="s">
        <v>10905</v>
      </c>
      <c r="U1728" s="80" t="s">
        <v>332</v>
      </c>
      <c r="V1728" s="102" t="s">
        <v>10906</v>
      </c>
      <c r="W1728" s="79" t="s">
        <v>309</v>
      </c>
      <c r="X1728" s="79" t="s">
        <v>309</v>
      </c>
      <c r="Y1728" s="79" t="s">
        <v>309</v>
      </c>
      <c r="Z1728" s="79"/>
    </row>
    <row r="1729" ht="15.75" customHeight="1">
      <c r="A1729" s="76" t="s">
        <v>247</v>
      </c>
      <c r="B1729" s="77" t="s">
        <v>10908</v>
      </c>
      <c r="C1729" s="79">
        <v>3.0714548936E10</v>
      </c>
      <c r="D1729" s="77" t="s">
        <v>264</v>
      </c>
      <c r="E1729" s="79" t="s">
        <v>7458</v>
      </c>
      <c r="F1729" s="44">
        <v>1071.0</v>
      </c>
      <c r="G1729" s="79" t="s">
        <v>269</v>
      </c>
      <c r="H1729" s="80">
        <v>1682.0</v>
      </c>
      <c r="I1729" s="79">
        <v>110412.0</v>
      </c>
      <c r="J1729" s="74" t="s">
        <v>57</v>
      </c>
      <c r="K1729" s="77" t="s">
        <v>10909</v>
      </c>
      <c r="L1729" s="79"/>
      <c r="M1729" s="79"/>
      <c r="N1729" s="79">
        <v>6.0</v>
      </c>
      <c r="O1729" s="74"/>
      <c r="P1729" s="80"/>
      <c r="Q1729" s="79"/>
      <c r="R1729" s="80"/>
      <c r="S1729" s="80" t="s">
        <v>7460</v>
      </c>
      <c r="T1729" s="101" t="s">
        <v>332</v>
      </c>
      <c r="U1729" s="80" t="s">
        <v>332</v>
      </c>
      <c r="V1729" s="102" t="s">
        <v>10911</v>
      </c>
      <c r="W1729" s="79" t="s">
        <v>306</v>
      </c>
      <c r="X1729" s="79" t="s">
        <v>306</v>
      </c>
      <c r="Y1729" s="79"/>
      <c r="Z1729" s="79"/>
    </row>
    <row r="1730" ht="15.75" customHeight="1">
      <c r="A1730" s="76" t="s">
        <v>247</v>
      </c>
      <c r="B1730" s="77" t="s">
        <v>8478</v>
      </c>
      <c r="C1730" s="80">
        <v>3.051638546E10</v>
      </c>
      <c r="D1730" s="119" t="s">
        <v>264</v>
      </c>
      <c r="E1730" s="79" t="s">
        <v>5031</v>
      </c>
      <c r="F1730" s="44">
        <v>61.0</v>
      </c>
      <c r="G1730" s="79" t="s">
        <v>68</v>
      </c>
      <c r="H1730" s="80">
        <v>1702.0</v>
      </c>
      <c r="I1730" s="79">
        <v>801020.0</v>
      </c>
      <c r="J1730" s="74" t="s">
        <v>433</v>
      </c>
      <c r="K1730" s="79" t="s">
        <v>10913</v>
      </c>
      <c r="L1730" s="79"/>
      <c r="M1730" s="79"/>
      <c r="N1730" s="79">
        <v>65.0</v>
      </c>
      <c r="O1730" s="74"/>
      <c r="P1730" s="80"/>
      <c r="Q1730" s="79"/>
      <c r="R1730" s="80"/>
      <c r="S1730" s="78" t="s">
        <v>10915</v>
      </c>
      <c r="T1730" s="101"/>
      <c r="U1730" s="204"/>
      <c r="V1730" s="98" t="s">
        <v>10916</v>
      </c>
      <c r="W1730" s="79" t="s">
        <v>309</v>
      </c>
      <c r="X1730" s="79" t="s">
        <v>309</v>
      </c>
      <c r="Y1730" s="79" t="s">
        <v>309</v>
      </c>
      <c r="Z1730" s="79"/>
    </row>
    <row r="1731" ht="15.75" customHeight="1">
      <c r="A1731" s="76" t="s">
        <v>247</v>
      </c>
      <c r="B1731" s="77" t="s">
        <v>2524</v>
      </c>
      <c r="C1731" s="80">
        <v>3.0710424493E10</v>
      </c>
      <c r="D1731" s="119" t="s">
        <v>264</v>
      </c>
      <c r="E1731" s="79" t="s">
        <v>1810</v>
      </c>
      <c r="F1731" s="44">
        <v>2945.0</v>
      </c>
      <c r="G1731" s="79" t="s">
        <v>15</v>
      </c>
      <c r="H1731" s="80">
        <v>1678.0</v>
      </c>
      <c r="I1731" s="79">
        <v>469090.0</v>
      </c>
      <c r="J1731" s="74" t="s">
        <v>433</v>
      </c>
      <c r="K1731" s="77" t="s">
        <v>4007</v>
      </c>
      <c r="L1731" s="79" t="s">
        <v>453</v>
      </c>
      <c r="M1731" s="79" t="s">
        <v>10918</v>
      </c>
      <c r="N1731" s="79"/>
      <c r="O1731" s="74"/>
      <c r="P1731" s="78" t="s">
        <v>10919</v>
      </c>
      <c r="Q1731" s="79" t="s">
        <v>10920</v>
      </c>
      <c r="R1731" s="78" t="s">
        <v>10921</v>
      </c>
      <c r="S1731" s="78" t="s">
        <v>10919</v>
      </c>
      <c r="T1731" s="85" t="s">
        <v>10922</v>
      </c>
      <c r="U1731" s="80"/>
      <c r="V1731" s="102" t="s">
        <v>10923</v>
      </c>
      <c r="W1731" s="79"/>
      <c r="X1731" s="79"/>
      <c r="Y1731" s="79" t="s">
        <v>309</v>
      </c>
      <c r="Z1731" s="79"/>
    </row>
    <row r="1732" ht="15.75" customHeight="1">
      <c r="A1732" s="76" t="s">
        <v>247</v>
      </c>
      <c r="B1732" s="77" t="s">
        <v>2531</v>
      </c>
      <c r="C1732" s="80">
        <v>3.0709382817E10</v>
      </c>
      <c r="D1732" s="119" t="s">
        <v>264</v>
      </c>
      <c r="E1732" s="119" t="s">
        <v>1422</v>
      </c>
      <c r="F1732" s="44">
        <v>2035.0</v>
      </c>
      <c r="G1732" s="79" t="s">
        <v>175</v>
      </c>
      <c r="H1732" s="80">
        <v>1657.0</v>
      </c>
      <c r="I1732" s="79">
        <v>452401.0</v>
      </c>
      <c r="J1732" s="74" t="s">
        <v>347</v>
      </c>
      <c r="K1732" s="79" t="s">
        <v>4710</v>
      </c>
      <c r="L1732" s="79"/>
      <c r="M1732" s="79"/>
      <c r="N1732" s="79">
        <v>16.0</v>
      </c>
      <c r="O1732" s="74" t="s">
        <v>10920</v>
      </c>
      <c r="P1732" s="78" t="s">
        <v>10921</v>
      </c>
      <c r="Q1732" s="79" t="s">
        <v>10926</v>
      </c>
      <c r="R1732" s="78" t="s">
        <v>10927</v>
      </c>
      <c r="S1732" s="80" t="s">
        <v>8962</v>
      </c>
      <c r="T1732" s="85" t="s">
        <v>10928</v>
      </c>
      <c r="U1732" s="80" t="s">
        <v>332</v>
      </c>
      <c r="V1732" s="102" t="s">
        <v>10929</v>
      </c>
      <c r="W1732" s="79" t="s">
        <v>309</v>
      </c>
      <c r="X1732" s="79" t="s">
        <v>309</v>
      </c>
      <c r="Y1732" s="79" t="s">
        <v>309</v>
      </c>
      <c r="Z1732" s="79"/>
    </row>
    <row r="1733" ht="15.75" customHeight="1">
      <c r="A1733" s="103" t="s">
        <v>24</v>
      </c>
      <c r="B1733" s="77" t="s">
        <v>10930</v>
      </c>
      <c r="C1733" s="80">
        <v>3.0710234163E10</v>
      </c>
      <c r="D1733" s="77" t="s">
        <v>631</v>
      </c>
      <c r="E1733" s="77" t="s">
        <v>943</v>
      </c>
      <c r="F1733" s="44">
        <v>3178.0</v>
      </c>
      <c r="G1733" s="79" t="s">
        <v>68</v>
      </c>
      <c r="H1733" s="80">
        <v>1702.0</v>
      </c>
      <c r="I1733" s="79">
        <v>310010.0</v>
      </c>
      <c r="J1733" s="74" t="s">
        <v>313</v>
      </c>
      <c r="K1733" s="79" t="s">
        <v>1438</v>
      </c>
      <c r="L1733" s="79" t="s">
        <v>1122</v>
      </c>
      <c r="M1733" s="79"/>
      <c r="N1733" s="79">
        <v>2.0</v>
      </c>
      <c r="O1733" s="74"/>
      <c r="P1733" s="80"/>
      <c r="Q1733" s="79"/>
      <c r="R1733" s="80"/>
      <c r="S1733" s="80" t="s">
        <v>10931</v>
      </c>
      <c r="T1733" s="101" t="s">
        <v>332</v>
      </c>
      <c r="U1733" s="80" t="s">
        <v>332</v>
      </c>
      <c r="V1733" s="102" t="s">
        <v>429</v>
      </c>
      <c r="W1733" s="79" t="s">
        <v>306</v>
      </c>
      <c r="X1733" s="79" t="s">
        <v>306</v>
      </c>
      <c r="Y1733" s="79"/>
      <c r="Z1733" s="79"/>
    </row>
    <row r="1734" ht="15.75" customHeight="1">
      <c r="A1734" s="76" t="s">
        <v>247</v>
      </c>
      <c r="B1734" s="77" t="s">
        <v>8493</v>
      </c>
      <c r="C1734" s="80">
        <v>3.0503853686E10</v>
      </c>
      <c r="D1734" s="119" t="s">
        <v>264</v>
      </c>
      <c r="E1734" s="77" t="s">
        <v>4481</v>
      </c>
      <c r="F1734" s="44">
        <v>2715.0</v>
      </c>
      <c r="G1734" s="79" t="s">
        <v>15</v>
      </c>
      <c r="H1734" s="80">
        <v>1678.0</v>
      </c>
      <c r="I1734" s="79">
        <v>241009.0</v>
      </c>
      <c r="J1734" s="74" t="s">
        <v>347</v>
      </c>
      <c r="K1734" s="77" t="s">
        <v>5011</v>
      </c>
      <c r="L1734" s="79"/>
      <c r="M1734" s="79"/>
      <c r="N1734" s="79">
        <v>9.0</v>
      </c>
      <c r="O1734" s="74" t="s">
        <v>10933</v>
      </c>
      <c r="P1734" s="80"/>
      <c r="Q1734" s="79"/>
      <c r="R1734" s="80"/>
      <c r="S1734" s="80" t="s">
        <v>10934</v>
      </c>
      <c r="T1734" s="101" t="s">
        <v>10935</v>
      </c>
      <c r="U1734" s="80" t="s">
        <v>332</v>
      </c>
      <c r="V1734" s="102" t="s">
        <v>429</v>
      </c>
      <c r="W1734" s="79" t="s">
        <v>306</v>
      </c>
      <c r="X1734" s="79" t="s">
        <v>306</v>
      </c>
      <c r="Y1734" s="79" t="s">
        <v>309</v>
      </c>
      <c r="Z1734" s="79"/>
    </row>
    <row r="1735" ht="15.75" customHeight="1">
      <c r="A1735" s="103" t="s">
        <v>24</v>
      </c>
      <c r="B1735" s="77" t="s">
        <v>10936</v>
      </c>
      <c r="C1735" s="80">
        <v>3.0662520698E10</v>
      </c>
      <c r="D1735" s="119" t="s">
        <v>264</v>
      </c>
      <c r="E1735" s="77" t="s">
        <v>1437</v>
      </c>
      <c r="F1735" s="44">
        <v>6379.0</v>
      </c>
      <c r="G1735" s="79" t="s">
        <v>119</v>
      </c>
      <c r="H1735" s="80">
        <v>1657.0</v>
      </c>
      <c r="I1735" s="79">
        <v>172900.0</v>
      </c>
      <c r="J1735" s="74" t="s">
        <v>448</v>
      </c>
      <c r="K1735" s="77" t="s">
        <v>4372</v>
      </c>
      <c r="L1735" s="79"/>
      <c r="M1735" s="79"/>
      <c r="N1735" s="79">
        <v>0.0</v>
      </c>
      <c r="O1735" s="74"/>
      <c r="P1735" s="80"/>
      <c r="Q1735" s="79"/>
      <c r="R1735" s="80"/>
      <c r="S1735" s="78" t="s">
        <v>10937</v>
      </c>
      <c r="T1735" s="101" t="s">
        <v>332</v>
      </c>
      <c r="U1735" s="80" t="s">
        <v>332</v>
      </c>
      <c r="V1735" s="102" t="s">
        <v>429</v>
      </c>
      <c r="W1735" s="79" t="s">
        <v>306</v>
      </c>
      <c r="X1735" s="79" t="s">
        <v>306</v>
      </c>
      <c r="Y1735" s="79"/>
      <c r="Z1735" s="79"/>
    </row>
    <row r="1736" ht="15.75" customHeight="1">
      <c r="A1736" s="103" t="s">
        <v>24</v>
      </c>
      <c r="B1736" s="77" t="s">
        <v>8498</v>
      </c>
      <c r="C1736" s="80">
        <v>3.0709153311E10</v>
      </c>
      <c r="D1736" s="119" t="s">
        <v>264</v>
      </c>
      <c r="E1736" s="79" t="s">
        <v>442</v>
      </c>
      <c r="F1736" s="44">
        <v>4493.0</v>
      </c>
      <c r="G1736" s="79" t="s">
        <v>68</v>
      </c>
      <c r="H1736" s="80">
        <v>1702.0</v>
      </c>
      <c r="I1736" s="77">
        <v>303000.0</v>
      </c>
      <c r="J1736" s="74" t="s">
        <v>347</v>
      </c>
      <c r="K1736" s="77" t="s">
        <v>10939</v>
      </c>
      <c r="L1736" s="79"/>
      <c r="M1736" s="79"/>
      <c r="N1736" s="79">
        <v>0.0</v>
      </c>
      <c r="O1736" s="74"/>
      <c r="P1736" s="80"/>
      <c r="Q1736" s="79"/>
      <c r="R1736" s="80"/>
      <c r="S1736" s="80"/>
      <c r="T1736" s="101" t="s">
        <v>332</v>
      </c>
      <c r="U1736" s="80" t="s">
        <v>332</v>
      </c>
      <c r="V1736" s="102" t="s">
        <v>429</v>
      </c>
      <c r="W1736" s="79" t="s">
        <v>306</v>
      </c>
      <c r="X1736" s="79" t="s">
        <v>306</v>
      </c>
      <c r="Y1736" s="79" t="s">
        <v>309</v>
      </c>
      <c r="Z1736" s="79"/>
    </row>
    <row r="1737" ht="15.75" customHeight="1">
      <c r="A1737" s="76" t="s">
        <v>247</v>
      </c>
      <c r="B1737" s="79" t="s">
        <v>8505</v>
      </c>
      <c r="C1737" s="80">
        <v>3.0531668819E10</v>
      </c>
      <c r="D1737" s="79" t="s">
        <v>264</v>
      </c>
      <c r="E1737" s="79" t="s">
        <v>10941</v>
      </c>
      <c r="F1737" s="44">
        <v>2225.0</v>
      </c>
      <c r="G1737" s="79" t="s">
        <v>15</v>
      </c>
      <c r="H1737" s="80">
        <v>1678.0</v>
      </c>
      <c r="I1737" s="77">
        <v>469090.0</v>
      </c>
      <c r="J1737" s="83" t="s">
        <v>107</v>
      </c>
      <c r="K1737" s="144" t="s">
        <v>10942</v>
      </c>
      <c r="L1737" s="79"/>
      <c r="M1737" s="79"/>
      <c r="N1737" s="79"/>
      <c r="O1737" s="79"/>
      <c r="P1737" s="78" t="s">
        <v>10943</v>
      </c>
      <c r="Q1737" s="79"/>
      <c r="R1737" s="80"/>
      <c r="S1737" s="78" t="s">
        <v>10944</v>
      </c>
      <c r="T1737" s="85" t="s">
        <v>10945</v>
      </c>
      <c r="U1737" s="80"/>
      <c r="V1737" s="102" t="s">
        <v>10946</v>
      </c>
      <c r="W1737" s="79"/>
      <c r="X1737" s="79"/>
      <c r="Y1737" s="79"/>
      <c r="Z1737" s="79"/>
    </row>
    <row r="1738" ht="15.75" customHeight="1">
      <c r="A1738" s="76" t="s">
        <v>247</v>
      </c>
      <c r="B1738" s="77" t="s">
        <v>8509</v>
      </c>
      <c r="C1738" s="239">
        <v>3.0716480778E10</v>
      </c>
      <c r="D1738" s="79" t="s">
        <v>264</v>
      </c>
      <c r="E1738" s="79" t="s">
        <v>314</v>
      </c>
      <c r="F1738" s="44">
        <v>3949.0</v>
      </c>
      <c r="G1738" s="79" t="s">
        <v>15</v>
      </c>
      <c r="H1738" s="80">
        <v>1678.0</v>
      </c>
      <c r="I1738" s="79">
        <v>222090.0</v>
      </c>
      <c r="J1738" s="83" t="s">
        <v>568</v>
      </c>
      <c r="K1738" s="77" t="s">
        <v>10948</v>
      </c>
      <c r="L1738" s="325"/>
      <c r="M1738" s="79"/>
      <c r="N1738" s="79"/>
      <c r="O1738" s="144" t="s">
        <v>10949</v>
      </c>
      <c r="P1738" s="85" t="s">
        <v>10950</v>
      </c>
      <c r="Q1738" s="79"/>
      <c r="R1738" s="80"/>
      <c r="S1738" s="80"/>
      <c r="T1738" s="101"/>
      <c r="U1738" s="80"/>
      <c r="V1738" s="102" t="s">
        <v>429</v>
      </c>
      <c r="W1738" s="79"/>
      <c r="X1738" s="79"/>
      <c r="Y1738" s="79"/>
      <c r="Z1738" s="79"/>
    </row>
    <row r="1739" ht="15.75" customHeight="1">
      <c r="A1739" s="103" t="s">
        <v>24</v>
      </c>
      <c r="B1739" s="77" t="s">
        <v>10952</v>
      </c>
      <c r="C1739" s="80">
        <v>3.0709069558E10</v>
      </c>
      <c r="D1739" s="119" t="s">
        <v>264</v>
      </c>
      <c r="E1739" s="79" t="s">
        <v>2831</v>
      </c>
      <c r="F1739" s="44">
        <v>6691.0</v>
      </c>
      <c r="G1739" s="79" t="s">
        <v>119</v>
      </c>
      <c r="H1739" s="80">
        <v>1657.0</v>
      </c>
      <c r="I1739" s="79">
        <v>292909.0</v>
      </c>
      <c r="J1739" s="74" t="s">
        <v>347</v>
      </c>
      <c r="K1739" s="77" t="s">
        <v>4234</v>
      </c>
      <c r="L1739" s="79" t="s">
        <v>662</v>
      </c>
      <c r="M1739" s="79"/>
      <c r="N1739" s="79">
        <v>0.0</v>
      </c>
      <c r="O1739" s="74"/>
      <c r="P1739" s="80"/>
      <c r="Q1739" s="79"/>
      <c r="R1739" s="80"/>
      <c r="S1739" s="78" t="s">
        <v>10953</v>
      </c>
      <c r="T1739" s="101" t="s">
        <v>332</v>
      </c>
      <c r="U1739" s="80" t="s">
        <v>332</v>
      </c>
      <c r="V1739" s="102" t="s">
        <v>429</v>
      </c>
      <c r="W1739" s="79" t="s">
        <v>306</v>
      </c>
      <c r="X1739" s="79" t="s">
        <v>306</v>
      </c>
      <c r="Y1739" s="79"/>
      <c r="Z1739" s="79"/>
    </row>
    <row r="1740" ht="15.75" customHeight="1">
      <c r="A1740" s="103" t="s">
        <v>24</v>
      </c>
      <c r="B1740" s="77" t="s">
        <v>10955</v>
      </c>
      <c r="C1740" s="80">
        <v>3.0701141934E10</v>
      </c>
      <c r="D1740" s="77" t="s">
        <v>2519</v>
      </c>
      <c r="E1740" s="79" t="s">
        <v>7734</v>
      </c>
      <c r="F1740" s="44">
        <v>5140.0</v>
      </c>
      <c r="G1740" s="79" t="s">
        <v>15</v>
      </c>
      <c r="H1740" s="80">
        <v>1678.0</v>
      </c>
      <c r="I1740" s="79">
        <v>289993.0</v>
      </c>
      <c r="J1740" s="74" t="s">
        <v>347</v>
      </c>
      <c r="K1740" s="129" t="s">
        <v>638</v>
      </c>
      <c r="L1740" s="79" t="s">
        <v>453</v>
      </c>
      <c r="M1740" s="79"/>
      <c r="N1740" s="79">
        <v>0.0</v>
      </c>
      <c r="O1740" s="74"/>
      <c r="P1740" s="80"/>
      <c r="Q1740" s="79"/>
      <c r="R1740" s="80"/>
      <c r="S1740" s="80" t="s">
        <v>10217</v>
      </c>
      <c r="T1740" s="101" t="s">
        <v>332</v>
      </c>
      <c r="U1740" s="80" t="s">
        <v>332</v>
      </c>
      <c r="V1740" s="102" t="s">
        <v>429</v>
      </c>
      <c r="W1740" s="79" t="s">
        <v>309</v>
      </c>
      <c r="X1740" s="79" t="s">
        <v>309</v>
      </c>
      <c r="Y1740" s="79"/>
      <c r="Z1740" s="79"/>
    </row>
    <row r="1741" ht="15.75" customHeight="1">
      <c r="A1741" s="76" t="s">
        <v>247</v>
      </c>
      <c r="B1741" s="77" t="s">
        <v>4375</v>
      </c>
      <c r="C1741" s="80">
        <v>2.0045616615E10</v>
      </c>
      <c r="D1741" s="77" t="s">
        <v>631</v>
      </c>
      <c r="E1741" s="79" t="s">
        <v>3875</v>
      </c>
      <c r="F1741" s="44">
        <v>2882.0</v>
      </c>
      <c r="G1741" s="79" t="s">
        <v>15</v>
      </c>
      <c r="H1741" s="80">
        <v>1678.0</v>
      </c>
      <c r="I1741" s="77">
        <v>105020.0</v>
      </c>
      <c r="J1741" s="74" t="s">
        <v>22</v>
      </c>
      <c r="K1741" s="77" t="s">
        <v>10957</v>
      </c>
      <c r="L1741" s="79"/>
      <c r="M1741" s="79"/>
      <c r="N1741" s="79"/>
      <c r="O1741" s="74" t="s">
        <v>10958</v>
      </c>
      <c r="P1741" s="78" t="s">
        <v>10959</v>
      </c>
      <c r="Q1741" s="79" t="s">
        <v>10960</v>
      </c>
      <c r="R1741" s="78" t="s">
        <v>10961</v>
      </c>
      <c r="S1741" s="80" t="s">
        <v>10962</v>
      </c>
      <c r="T1741" s="101"/>
      <c r="U1741" s="80"/>
      <c r="V1741" s="102" t="s">
        <v>429</v>
      </c>
      <c r="W1741" s="79"/>
      <c r="X1741" s="79"/>
      <c r="Y1741" s="79"/>
      <c r="Z1741" s="79"/>
    </row>
    <row r="1742" ht="15.75" customHeight="1">
      <c r="A1742" s="76" t="s">
        <v>247</v>
      </c>
      <c r="B1742" s="77" t="s">
        <v>8516</v>
      </c>
      <c r="C1742" s="80">
        <v>2.3041737549E10</v>
      </c>
      <c r="D1742" s="77" t="s">
        <v>631</v>
      </c>
      <c r="E1742" s="79" t="s">
        <v>3875</v>
      </c>
      <c r="F1742" s="44">
        <v>4015.0</v>
      </c>
      <c r="G1742" s="79" t="s">
        <v>15</v>
      </c>
      <c r="H1742" s="80">
        <v>1678.0</v>
      </c>
      <c r="I1742" s="79">
        <v>222090.0</v>
      </c>
      <c r="J1742" s="83" t="s">
        <v>568</v>
      </c>
      <c r="K1742" s="77" t="s">
        <v>569</v>
      </c>
      <c r="L1742" s="79" t="s">
        <v>453</v>
      </c>
      <c r="M1742" s="79" t="s">
        <v>10964</v>
      </c>
      <c r="N1742" s="79">
        <v>2.0</v>
      </c>
      <c r="O1742" s="74" t="s">
        <v>10965</v>
      </c>
      <c r="P1742" s="80"/>
      <c r="Q1742" s="79"/>
      <c r="R1742" s="80"/>
      <c r="S1742" s="78" t="s">
        <v>10966</v>
      </c>
      <c r="T1742" s="101"/>
      <c r="U1742" s="80"/>
      <c r="V1742" s="102" t="s">
        <v>429</v>
      </c>
      <c r="W1742" s="79" t="s">
        <v>306</v>
      </c>
      <c r="X1742" s="79" t="s">
        <v>306</v>
      </c>
      <c r="Y1742" s="79" t="s">
        <v>309</v>
      </c>
      <c r="Z1742" s="79"/>
    </row>
    <row r="1743" ht="15.75" customHeight="1">
      <c r="A1743" s="76" t="s">
        <v>247</v>
      </c>
      <c r="B1743" s="77" t="s">
        <v>8520</v>
      </c>
      <c r="C1743" s="80">
        <v>2.0937116188E10</v>
      </c>
      <c r="D1743" s="77" t="s">
        <v>631</v>
      </c>
      <c r="E1743" s="79" t="s">
        <v>359</v>
      </c>
      <c r="F1743" s="44">
        <v>5118.0</v>
      </c>
      <c r="G1743" s="79" t="s">
        <v>15</v>
      </c>
      <c r="H1743" s="80">
        <v>1678.0</v>
      </c>
      <c r="I1743" s="79">
        <v>274000.0</v>
      </c>
      <c r="J1743" s="83" t="s">
        <v>568</v>
      </c>
      <c r="K1743" s="77" t="s">
        <v>10968</v>
      </c>
      <c r="L1743" s="79" t="s">
        <v>453</v>
      </c>
      <c r="M1743" s="79" t="s">
        <v>10969</v>
      </c>
      <c r="N1743" s="79"/>
      <c r="O1743" s="74" t="s">
        <v>10970</v>
      </c>
      <c r="P1743" s="78" t="s">
        <v>10971</v>
      </c>
      <c r="Q1743" s="79"/>
      <c r="R1743" s="80"/>
      <c r="S1743" s="78" t="s">
        <v>10973</v>
      </c>
      <c r="T1743" s="101"/>
      <c r="U1743" s="80"/>
      <c r="V1743" s="102" t="s">
        <v>429</v>
      </c>
      <c r="W1743" s="79"/>
      <c r="X1743" s="79"/>
      <c r="Y1743" s="79" t="s">
        <v>309</v>
      </c>
      <c r="Z1743" s="79"/>
    </row>
    <row r="1744" ht="15.75" customHeight="1">
      <c r="A1744" s="76" t="s">
        <v>247</v>
      </c>
      <c r="B1744" s="77" t="s">
        <v>8524</v>
      </c>
      <c r="C1744" s="80">
        <v>3.0708960698E10</v>
      </c>
      <c r="D1744" s="79" t="s">
        <v>264</v>
      </c>
      <c r="E1744" s="77" t="s">
        <v>10974</v>
      </c>
      <c r="F1744" s="44">
        <v>6130.0</v>
      </c>
      <c r="G1744" s="77" t="s">
        <v>47</v>
      </c>
      <c r="H1744" s="80">
        <v>1684.0</v>
      </c>
      <c r="I1744" s="79">
        <v>162909.0</v>
      </c>
      <c r="J1744" s="74" t="s">
        <v>313</v>
      </c>
      <c r="K1744" s="77" t="s">
        <v>3064</v>
      </c>
      <c r="L1744" s="79" t="s">
        <v>1122</v>
      </c>
      <c r="M1744" s="79"/>
      <c r="N1744" s="79">
        <v>14.0</v>
      </c>
      <c r="O1744" s="74"/>
      <c r="P1744" s="80"/>
      <c r="Q1744" s="79"/>
      <c r="R1744" s="80"/>
      <c r="S1744" s="78" t="s">
        <v>10976</v>
      </c>
      <c r="T1744" s="101" t="s">
        <v>332</v>
      </c>
      <c r="U1744" s="80" t="s">
        <v>332</v>
      </c>
      <c r="V1744" s="102" t="s">
        <v>429</v>
      </c>
      <c r="W1744" s="79" t="s">
        <v>309</v>
      </c>
      <c r="X1744" s="79" t="s">
        <v>309</v>
      </c>
      <c r="Y1744" s="79" t="s">
        <v>309</v>
      </c>
      <c r="Z1744" s="79"/>
    </row>
    <row r="1745" ht="15.75" customHeight="1">
      <c r="A1745" s="103" t="s">
        <v>24</v>
      </c>
      <c r="B1745" s="77" t="s">
        <v>10977</v>
      </c>
      <c r="C1745" s="80">
        <v>3.0663749036E10</v>
      </c>
      <c r="D1745" s="119" t="s">
        <v>264</v>
      </c>
      <c r="E1745" s="79" t="s">
        <v>2186</v>
      </c>
      <c r="F1745" s="44">
        <v>4301.0</v>
      </c>
      <c r="G1745" s="79" t="s">
        <v>68</v>
      </c>
      <c r="H1745" s="80">
        <v>1702.0</v>
      </c>
      <c r="I1745" s="79">
        <v>749400.0</v>
      </c>
      <c r="J1745" s="74" t="s">
        <v>433</v>
      </c>
      <c r="K1745" s="79" t="s">
        <v>10978</v>
      </c>
      <c r="L1745" s="79"/>
      <c r="M1745" s="79"/>
      <c r="N1745" s="79">
        <v>4.0</v>
      </c>
      <c r="O1745" s="74"/>
      <c r="P1745" s="80"/>
      <c r="Q1745" s="79"/>
      <c r="R1745" s="80"/>
      <c r="S1745" s="80" t="s">
        <v>10980</v>
      </c>
      <c r="T1745" s="101" t="s">
        <v>10981</v>
      </c>
      <c r="U1745" s="80" t="s">
        <v>332</v>
      </c>
      <c r="V1745" s="102" t="s">
        <v>429</v>
      </c>
      <c r="W1745" s="79" t="s">
        <v>309</v>
      </c>
      <c r="X1745" s="79" t="s">
        <v>309</v>
      </c>
      <c r="Y1745" s="79"/>
      <c r="Z1745" s="79"/>
    </row>
    <row r="1746" ht="15.75" customHeight="1">
      <c r="A1746" s="76" t="s">
        <v>247</v>
      </c>
      <c r="B1746" s="77" t="s">
        <v>8528</v>
      </c>
      <c r="C1746" s="79">
        <v>3.0663786772E10</v>
      </c>
      <c r="D1746" s="77" t="s">
        <v>264</v>
      </c>
      <c r="E1746" s="79" t="s">
        <v>314</v>
      </c>
      <c r="F1746" s="44">
        <v>4063.0</v>
      </c>
      <c r="G1746" s="79" t="s">
        <v>15</v>
      </c>
      <c r="H1746" s="80">
        <v>1678.0</v>
      </c>
      <c r="I1746" s="79">
        <v>152011.0</v>
      </c>
      <c r="J1746" s="74" t="s">
        <v>73</v>
      </c>
      <c r="K1746" s="79" t="s">
        <v>1471</v>
      </c>
      <c r="L1746" s="79"/>
      <c r="M1746" s="79"/>
      <c r="N1746" s="79">
        <v>7.0</v>
      </c>
      <c r="O1746" s="74"/>
      <c r="P1746" s="80"/>
      <c r="Q1746" s="79"/>
      <c r="R1746" s="80"/>
      <c r="S1746" s="80" t="s">
        <v>10983</v>
      </c>
      <c r="T1746" s="101" t="s">
        <v>332</v>
      </c>
      <c r="U1746" s="80" t="s">
        <v>332</v>
      </c>
      <c r="V1746" s="102" t="s">
        <v>429</v>
      </c>
      <c r="W1746" s="79" t="s">
        <v>306</v>
      </c>
      <c r="X1746" s="79" t="s">
        <v>306</v>
      </c>
      <c r="Y1746" s="79"/>
      <c r="Z1746" s="79"/>
    </row>
    <row r="1747" ht="15.75" customHeight="1">
      <c r="A1747" s="76" t="s">
        <v>247</v>
      </c>
      <c r="B1747" s="191" t="s">
        <v>2537</v>
      </c>
      <c r="C1747" s="192">
        <v>3.0516326782E10</v>
      </c>
      <c r="D1747" s="323" t="s">
        <v>264</v>
      </c>
      <c r="E1747" s="194" t="s">
        <v>10436</v>
      </c>
      <c r="F1747" s="193">
        <v>8050.0</v>
      </c>
      <c r="G1747" s="194" t="s">
        <v>134</v>
      </c>
      <c r="H1747" s="192">
        <v>1682.0</v>
      </c>
      <c r="I1747" s="192">
        <v>202908.0</v>
      </c>
      <c r="J1747" s="194" t="s">
        <v>316</v>
      </c>
      <c r="K1747" s="191" t="s">
        <v>1153</v>
      </c>
      <c r="L1747" s="194"/>
      <c r="M1747" s="194"/>
      <c r="N1747" s="192">
        <v>128.0</v>
      </c>
      <c r="O1747" s="194" t="s">
        <v>10985</v>
      </c>
      <c r="P1747" s="196" t="s">
        <v>10986</v>
      </c>
      <c r="Q1747" s="194"/>
      <c r="R1747" s="192"/>
      <c r="S1747" s="286" t="s">
        <v>10987</v>
      </c>
      <c r="T1747" s="376"/>
      <c r="U1747" s="192"/>
      <c r="V1747" s="377" t="s">
        <v>10988</v>
      </c>
      <c r="W1747" s="191" t="s">
        <v>309</v>
      </c>
      <c r="X1747" s="191" t="s">
        <v>309</v>
      </c>
      <c r="Y1747" s="194" t="s">
        <v>309</v>
      </c>
      <c r="Z1747" s="79"/>
    </row>
    <row r="1748" ht="15.75" customHeight="1">
      <c r="A1748" s="76" t="s">
        <v>247</v>
      </c>
      <c r="B1748" s="77" t="s">
        <v>8538</v>
      </c>
      <c r="C1748" s="80">
        <v>3.0701147355E10</v>
      </c>
      <c r="D1748" s="79" t="s">
        <v>264</v>
      </c>
      <c r="E1748" s="79" t="s">
        <v>1357</v>
      </c>
      <c r="F1748" s="44">
        <v>5435.0</v>
      </c>
      <c r="G1748" s="79" t="s">
        <v>15</v>
      </c>
      <c r="H1748" s="80">
        <v>1678.0</v>
      </c>
      <c r="I1748" s="79">
        <v>239510.0</v>
      </c>
      <c r="J1748" s="74" t="s">
        <v>125</v>
      </c>
      <c r="K1748" s="79" t="s">
        <v>1786</v>
      </c>
      <c r="L1748" s="79" t="s">
        <v>453</v>
      </c>
      <c r="M1748" s="79"/>
      <c r="N1748" s="79">
        <v>7.0</v>
      </c>
      <c r="O1748" s="74"/>
      <c r="P1748" s="80"/>
      <c r="Q1748" s="79"/>
      <c r="R1748" s="80"/>
      <c r="S1748" s="78" t="s">
        <v>10991</v>
      </c>
      <c r="T1748" s="101" t="s">
        <v>332</v>
      </c>
      <c r="U1748" s="80" t="s">
        <v>332</v>
      </c>
      <c r="V1748" s="102" t="s">
        <v>429</v>
      </c>
      <c r="W1748" s="79" t="s">
        <v>306</v>
      </c>
      <c r="X1748" s="79" t="s">
        <v>306</v>
      </c>
      <c r="Y1748" s="79"/>
      <c r="Z1748" s="79"/>
    </row>
    <row r="1749" ht="15.75" customHeight="1">
      <c r="A1749" s="103" t="s">
        <v>24</v>
      </c>
      <c r="B1749" s="77" t="s">
        <v>8547</v>
      </c>
      <c r="C1749" s="80">
        <v>3.071187534E10</v>
      </c>
      <c r="D1749" s="119" t="s">
        <v>264</v>
      </c>
      <c r="E1749" s="79" t="s">
        <v>1240</v>
      </c>
      <c r="F1749" s="44">
        <v>3082.0</v>
      </c>
      <c r="G1749" s="77" t="s">
        <v>47</v>
      </c>
      <c r="H1749" s="80">
        <v>1684.0</v>
      </c>
      <c r="I1749" s="77">
        <v>466330.0</v>
      </c>
      <c r="J1749" s="83" t="s">
        <v>207</v>
      </c>
      <c r="K1749" s="77" t="s">
        <v>1269</v>
      </c>
      <c r="L1749" s="79"/>
      <c r="M1749" s="79"/>
      <c r="N1749" s="79">
        <v>0.0</v>
      </c>
      <c r="O1749" s="74"/>
      <c r="P1749" s="80"/>
      <c r="Q1749" s="79"/>
      <c r="R1749" s="80"/>
      <c r="S1749" s="80"/>
      <c r="T1749" s="101" t="s">
        <v>332</v>
      </c>
      <c r="U1749" s="80" t="s">
        <v>332</v>
      </c>
      <c r="V1749" s="102" t="s">
        <v>429</v>
      </c>
      <c r="W1749" s="79" t="s">
        <v>306</v>
      </c>
      <c r="X1749" s="79" t="s">
        <v>306</v>
      </c>
      <c r="Y1749" s="79" t="s">
        <v>309</v>
      </c>
      <c r="Z1749" s="79"/>
    </row>
    <row r="1750" ht="15.75" customHeight="1">
      <c r="A1750" s="103" t="s">
        <v>24</v>
      </c>
      <c r="B1750" s="77" t="s">
        <v>10993</v>
      </c>
      <c r="C1750" s="80">
        <v>3.0703975077E10</v>
      </c>
      <c r="D1750" s="119" t="s">
        <v>264</v>
      </c>
      <c r="E1750" s="288" t="s">
        <v>4565</v>
      </c>
      <c r="F1750" s="44">
        <v>2644.0</v>
      </c>
      <c r="G1750" s="79" t="s">
        <v>15</v>
      </c>
      <c r="H1750" s="80">
        <v>1678.0</v>
      </c>
      <c r="I1750" s="79">
        <v>863120.0</v>
      </c>
      <c r="J1750" s="74" t="s">
        <v>433</v>
      </c>
      <c r="K1750" s="79" t="s">
        <v>10994</v>
      </c>
      <c r="L1750" s="79"/>
      <c r="M1750" s="79"/>
      <c r="N1750" s="79">
        <v>40.0</v>
      </c>
      <c r="O1750" s="74"/>
      <c r="P1750" s="80"/>
      <c r="Q1750" s="79"/>
      <c r="R1750" s="80"/>
      <c r="S1750" s="78" t="s">
        <v>10995</v>
      </c>
      <c r="T1750" s="101" t="s">
        <v>332</v>
      </c>
      <c r="U1750" s="80" t="s">
        <v>332</v>
      </c>
      <c r="V1750" s="102" t="s">
        <v>10997</v>
      </c>
      <c r="W1750" s="79" t="s">
        <v>306</v>
      </c>
      <c r="X1750" s="79" t="s">
        <v>306</v>
      </c>
      <c r="Y1750" s="79"/>
      <c r="Z1750" s="79"/>
    </row>
    <row r="1751" ht="15.75" customHeight="1">
      <c r="A1751" s="76" t="s">
        <v>247</v>
      </c>
      <c r="B1751" s="77" t="s">
        <v>8551</v>
      </c>
      <c r="C1751" s="80">
        <v>3.0573189813E10</v>
      </c>
      <c r="D1751" s="79" t="s">
        <v>264</v>
      </c>
      <c r="E1751" s="126" t="s">
        <v>985</v>
      </c>
      <c r="F1751" s="44">
        <v>3584.0</v>
      </c>
      <c r="G1751" s="79" t="s">
        <v>15</v>
      </c>
      <c r="H1751" s="80">
        <v>1678.0</v>
      </c>
      <c r="I1751" s="79">
        <v>310020.0</v>
      </c>
      <c r="J1751" s="74" t="s">
        <v>313</v>
      </c>
      <c r="K1751" s="79" t="s">
        <v>3277</v>
      </c>
      <c r="L1751" s="79" t="s">
        <v>453</v>
      </c>
      <c r="M1751" s="79" t="s">
        <v>10999</v>
      </c>
      <c r="N1751" s="79">
        <v>42.0</v>
      </c>
      <c r="O1751" s="74"/>
      <c r="P1751" s="80"/>
      <c r="Q1751" s="79"/>
      <c r="R1751" s="80"/>
      <c r="S1751" s="80" t="s">
        <v>11000</v>
      </c>
      <c r="T1751" s="101" t="s">
        <v>11001</v>
      </c>
      <c r="U1751" s="78" t="s">
        <v>11002</v>
      </c>
      <c r="V1751" s="102" t="s">
        <v>11003</v>
      </c>
      <c r="W1751" s="79" t="s">
        <v>309</v>
      </c>
      <c r="X1751" s="79" t="s">
        <v>309</v>
      </c>
      <c r="Y1751" s="79" t="s">
        <v>309</v>
      </c>
      <c r="Z1751" s="79"/>
    </row>
    <row r="1752" ht="15.75" customHeight="1">
      <c r="A1752" s="76" t="s">
        <v>247</v>
      </c>
      <c r="B1752" s="77" t="s">
        <v>2539</v>
      </c>
      <c r="C1752" s="80">
        <v>3.071047872E10</v>
      </c>
      <c r="D1752" s="79" t="s">
        <v>264</v>
      </c>
      <c r="E1752" s="79" t="s">
        <v>10244</v>
      </c>
      <c r="F1752" s="44">
        <v>3489.0</v>
      </c>
      <c r="G1752" s="79" t="s">
        <v>68</v>
      </c>
      <c r="H1752" s="80">
        <v>1702.0</v>
      </c>
      <c r="I1752" s="79">
        <v>266090.0</v>
      </c>
      <c r="J1752" s="74" t="s">
        <v>347</v>
      </c>
      <c r="K1752" s="77" t="s">
        <v>6380</v>
      </c>
      <c r="L1752" s="79"/>
      <c r="M1752" s="77" t="s">
        <v>11005</v>
      </c>
      <c r="N1752" s="79">
        <v>16.0</v>
      </c>
      <c r="O1752" s="83" t="s">
        <v>11006</v>
      </c>
      <c r="P1752" s="78" t="s">
        <v>11007</v>
      </c>
      <c r="Q1752" s="77" t="s">
        <v>11008</v>
      </c>
      <c r="R1752" s="78" t="s">
        <v>11009</v>
      </c>
      <c r="S1752" s="78" t="s">
        <v>11010</v>
      </c>
      <c r="T1752" s="85" t="s">
        <v>11011</v>
      </c>
      <c r="U1752" s="80" t="s">
        <v>332</v>
      </c>
      <c r="V1752" s="98" t="s">
        <v>11013</v>
      </c>
      <c r="W1752" s="79" t="s">
        <v>309</v>
      </c>
      <c r="X1752" s="79" t="s">
        <v>309</v>
      </c>
      <c r="Y1752" s="79" t="s">
        <v>309</v>
      </c>
      <c r="Z1752" s="79"/>
    </row>
    <row r="1753" ht="15.75" customHeight="1">
      <c r="A1753" s="76" t="s">
        <v>247</v>
      </c>
      <c r="B1753" s="77" t="s">
        <v>8559</v>
      </c>
      <c r="C1753" s="80">
        <v>3.0708283726E10</v>
      </c>
      <c r="D1753" s="119" t="s">
        <v>264</v>
      </c>
      <c r="E1753" s="79" t="s">
        <v>2410</v>
      </c>
      <c r="F1753" s="44">
        <v>977.0</v>
      </c>
      <c r="G1753" s="79" t="s">
        <v>68</v>
      </c>
      <c r="H1753" s="80">
        <v>1702.0</v>
      </c>
      <c r="I1753" s="79">
        <v>181200.0</v>
      </c>
      <c r="J1753" s="74" t="s">
        <v>433</v>
      </c>
      <c r="K1753" s="79" t="s">
        <v>1833</v>
      </c>
      <c r="L1753" s="79"/>
      <c r="M1753" s="79"/>
      <c r="N1753" s="79">
        <v>3.0</v>
      </c>
      <c r="O1753" s="74"/>
      <c r="P1753" s="80"/>
      <c r="Q1753" s="79"/>
      <c r="R1753" s="80"/>
      <c r="S1753" s="78" t="s">
        <v>11015</v>
      </c>
      <c r="T1753" s="101" t="s">
        <v>332</v>
      </c>
      <c r="U1753" s="80" t="s">
        <v>332</v>
      </c>
      <c r="V1753" s="102" t="s">
        <v>429</v>
      </c>
      <c r="W1753" s="79" t="s">
        <v>306</v>
      </c>
      <c r="X1753" s="79" t="s">
        <v>306</v>
      </c>
      <c r="Y1753" s="79" t="s">
        <v>309</v>
      </c>
      <c r="Z1753" s="79"/>
    </row>
    <row r="1754" ht="15.75" customHeight="1">
      <c r="A1754" s="76" t="s">
        <v>247</v>
      </c>
      <c r="B1754" s="77" t="s">
        <v>8562</v>
      </c>
      <c r="C1754" s="80">
        <v>3.3601567569E10</v>
      </c>
      <c r="D1754" s="79" t="s">
        <v>264</v>
      </c>
      <c r="E1754" s="77" t="s">
        <v>2748</v>
      </c>
      <c r="F1754" s="44">
        <v>877.0</v>
      </c>
      <c r="G1754" s="79" t="s">
        <v>68</v>
      </c>
      <c r="H1754" s="80">
        <v>1702.0</v>
      </c>
      <c r="I1754" s="79">
        <v>143020.0</v>
      </c>
      <c r="J1754" s="74" t="s">
        <v>448</v>
      </c>
      <c r="K1754" s="79" t="s">
        <v>7912</v>
      </c>
      <c r="L1754" s="79" t="s">
        <v>453</v>
      </c>
      <c r="M1754" s="79" t="s">
        <v>11017</v>
      </c>
      <c r="N1754" s="79">
        <v>33.0</v>
      </c>
      <c r="O1754" s="74" t="s">
        <v>11018</v>
      </c>
      <c r="P1754" s="80"/>
      <c r="Q1754" s="79"/>
      <c r="R1754" s="80"/>
      <c r="S1754" s="80" t="s">
        <v>11019</v>
      </c>
      <c r="T1754" s="101" t="s">
        <v>11020</v>
      </c>
      <c r="U1754" s="80" t="s">
        <v>332</v>
      </c>
      <c r="V1754" s="102" t="s">
        <v>11021</v>
      </c>
      <c r="W1754" s="79" t="s">
        <v>309</v>
      </c>
      <c r="X1754" s="79" t="s">
        <v>309</v>
      </c>
      <c r="Y1754" s="79" t="s">
        <v>309</v>
      </c>
      <c r="Z1754" s="79"/>
    </row>
    <row r="1755" ht="15.75" customHeight="1">
      <c r="A1755" s="76" t="s">
        <v>247</v>
      </c>
      <c r="B1755" s="77" t="s">
        <v>2548</v>
      </c>
      <c r="C1755" s="80">
        <v>3.0713895306E10</v>
      </c>
      <c r="D1755" s="79" t="s">
        <v>264</v>
      </c>
      <c r="E1755" s="79" t="s">
        <v>2752</v>
      </c>
      <c r="F1755" s="44">
        <v>3831.0</v>
      </c>
      <c r="G1755" s="79" t="s">
        <v>68</v>
      </c>
      <c r="H1755" s="80">
        <v>1702.0</v>
      </c>
      <c r="I1755" s="79">
        <v>329090.0</v>
      </c>
      <c r="J1755" s="83" t="s">
        <v>207</v>
      </c>
      <c r="K1755" s="77" t="s">
        <v>1307</v>
      </c>
      <c r="L1755" s="79" t="s">
        <v>662</v>
      </c>
      <c r="M1755" s="79" t="s">
        <v>11023</v>
      </c>
      <c r="N1755" s="79">
        <v>35.0</v>
      </c>
      <c r="O1755" s="74" t="s">
        <v>11024</v>
      </c>
      <c r="P1755" s="78" t="s">
        <v>11025</v>
      </c>
      <c r="Q1755" s="77" t="s">
        <v>11026</v>
      </c>
      <c r="R1755" s="78" t="s">
        <v>11027</v>
      </c>
      <c r="S1755" s="80" t="s">
        <v>11029</v>
      </c>
      <c r="T1755" s="101" t="s">
        <v>332</v>
      </c>
      <c r="U1755" s="78" t="s">
        <v>11030</v>
      </c>
      <c r="V1755" s="102" t="s">
        <v>11031</v>
      </c>
      <c r="W1755" s="79" t="s">
        <v>309</v>
      </c>
      <c r="X1755" s="79" t="s">
        <v>309</v>
      </c>
      <c r="Y1755" s="79" t="s">
        <v>309</v>
      </c>
      <c r="Z1755" s="79"/>
    </row>
    <row r="1756" ht="15.75" customHeight="1">
      <c r="A1756" s="76" t="s">
        <v>247</v>
      </c>
      <c r="B1756" s="77" t="s">
        <v>8568</v>
      </c>
      <c r="C1756" s="80">
        <v>3.0708377496E10</v>
      </c>
      <c r="D1756" s="79" t="s">
        <v>264</v>
      </c>
      <c r="E1756" s="77" t="s">
        <v>266</v>
      </c>
      <c r="F1756" s="44">
        <v>3227.0</v>
      </c>
      <c r="G1756" s="79" t="s">
        <v>15</v>
      </c>
      <c r="H1756" s="80">
        <v>1678.0</v>
      </c>
      <c r="I1756" s="79">
        <v>259999.0</v>
      </c>
      <c r="J1756" s="74" t="s">
        <v>347</v>
      </c>
      <c r="K1756" s="77" t="s">
        <v>839</v>
      </c>
      <c r="L1756" s="79" t="s">
        <v>453</v>
      </c>
      <c r="M1756" s="79" t="s">
        <v>11033</v>
      </c>
      <c r="N1756" s="79">
        <v>2.0</v>
      </c>
      <c r="O1756" s="74"/>
      <c r="P1756" s="80"/>
      <c r="Q1756" s="79" t="s">
        <v>11034</v>
      </c>
      <c r="R1756" s="80"/>
      <c r="S1756" s="80" t="s">
        <v>11035</v>
      </c>
      <c r="T1756" s="101" t="s">
        <v>332</v>
      </c>
      <c r="U1756" s="80" t="s">
        <v>332</v>
      </c>
      <c r="V1756" s="102" t="s">
        <v>429</v>
      </c>
      <c r="W1756" s="79" t="s">
        <v>306</v>
      </c>
      <c r="X1756" s="79" t="s">
        <v>306</v>
      </c>
      <c r="Y1756" s="79" t="s">
        <v>309</v>
      </c>
      <c r="Z1756" s="79"/>
    </row>
    <row r="1757" ht="15.75" customHeight="1">
      <c r="A1757" s="103" t="s">
        <v>24</v>
      </c>
      <c r="B1757" s="77" t="s">
        <v>8573</v>
      </c>
      <c r="C1757" s="79">
        <v>3.0707010475E10</v>
      </c>
      <c r="D1757" s="77" t="s">
        <v>264</v>
      </c>
      <c r="E1757" s="79" t="s">
        <v>4682</v>
      </c>
      <c r="F1757" s="44">
        <v>6374.0</v>
      </c>
      <c r="G1757" s="79" t="s">
        <v>119</v>
      </c>
      <c r="H1757" s="80">
        <v>1657.0</v>
      </c>
      <c r="I1757" s="79">
        <v>432190.0</v>
      </c>
      <c r="J1757" s="74" t="s">
        <v>433</v>
      </c>
      <c r="K1757" s="77" t="s">
        <v>9951</v>
      </c>
      <c r="L1757" s="79"/>
      <c r="M1757" s="79"/>
      <c r="N1757" s="79">
        <v>35.0</v>
      </c>
      <c r="O1757" s="74"/>
      <c r="P1757" s="80"/>
      <c r="Q1757" s="79"/>
      <c r="R1757" s="80"/>
      <c r="S1757" s="80"/>
      <c r="T1757" s="101" t="s">
        <v>332</v>
      </c>
      <c r="U1757" s="80" t="s">
        <v>332</v>
      </c>
      <c r="V1757" s="102" t="s">
        <v>429</v>
      </c>
      <c r="W1757" s="79" t="s">
        <v>306</v>
      </c>
      <c r="X1757" s="79" t="s">
        <v>306</v>
      </c>
      <c r="Y1757" s="79" t="s">
        <v>309</v>
      </c>
      <c r="Z1757" s="79"/>
    </row>
    <row r="1758" ht="15.75" customHeight="1">
      <c r="A1758" s="103" t="s">
        <v>24</v>
      </c>
      <c r="B1758" s="79" t="s">
        <v>11037</v>
      </c>
      <c r="C1758" s="80">
        <v>3.0707215662E10</v>
      </c>
      <c r="D1758" s="144" t="s">
        <v>631</v>
      </c>
      <c r="E1758" s="79" t="s">
        <v>1228</v>
      </c>
      <c r="F1758" s="44">
        <v>3814.0</v>
      </c>
      <c r="G1758" s="79" t="s">
        <v>249</v>
      </c>
      <c r="H1758" s="80">
        <v>1676.0</v>
      </c>
      <c r="I1758" s="79">
        <v>526200.0</v>
      </c>
      <c r="J1758" s="74" t="s">
        <v>433</v>
      </c>
      <c r="K1758" s="79" t="s">
        <v>11038</v>
      </c>
      <c r="L1758" s="79"/>
      <c r="M1758" s="79"/>
      <c r="N1758" s="79">
        <v>0.0</v>
      </c>
      <c r="O1758" s="74"/>
      <c r="P1758" s="80"/>
      <c r="Q1758" s="79"/>
      <c r="R1758" s="80"/>
      <c r="S1758" s="78" t="s">
        <v>11040</v>
      </c>
      <c r="T1758" s="101" t="s">
        <v>332</v>
      </c>
      <c r="U1758" s="80" t="s">
        <v>332</v>
      </c>
      <c r="V1758" s="102" t="s">
        <v>429</v>
      </c>
      <c r="W1758" s="79" t="s">
        <v>306</v>
      </c>
      <c r="X1758" s="79" t="s">
        <v>306</v>
      </c>
      <c r="Y1758" s="79"/>
      <c r="Z1758" s="79"/>
    </row>
    <row r="1759" ht="15.75" customHeight="1">
      <c r="A1759" s="76" t="s">
        <v>247</v>
      </c>
      <c r="B1759" s="79" t="s">
        <v>8576</v>
      </c>
      <c r="C1759" s="80">
        <v>2.7238037242E10</v>
      </c>
      <c r="D1759" s="77" t="s">
        <v>631</v>
      </c>
      <c r="E1759" s="79" t="s">
        <v>2443</v>
      </c>
      <c r="F1759" s="44">
        <v>674.0</v>
      </c>
      <c r="G1759" s="79" t="s">
        <v>68</v>
      </c>
      <c r="H1759" s="80">
        <v>1702.0</v>
      </c>
      <c r="I1759" s="79">
        <v>329090.0</v>
      </c>
      <c r="J1759" s="74" t="s">
        <v>261</v>
      </c>
      <c r="K1759" s="77" t="s">
        <v>1307</v>
      </c>
      <c r="L1759" s="79"/>
      <c r="M1759" s="79"/>
      <c r="N1759" s="79"/>
      <c r="O1759" s="74"/>
      <c r="P1759" s="80"/>
      <c r="Q1759" s="79"/>
      <c r="R1759" s="80"/>
      <c r="S1759" s="78" t="s">
        <v>11042</v>
      </c>
      <c r="T1759" s="101"/>
      <c r="U1759" s="80"/>
      <c r="V1759" s="102" t="s">
        <v>429</v>
      </c>
      <c r="W1759" s="79"/>
      <c r="X1759" s="79"/>
      <c r="Y1759" s="79"/>
      <c r="Z1759" s="79"/>
    </row>
    <row r="1760" ht="15.75" customHeight="1">
      <c r="A1760" s="76" t="s">
        <v>247</v>
      </c>
      <c r="B1760" s="77" t="s">
        <v>8582</v>
      </c>
      <c r="C1760" s="80">
        <v>2.007519241E10</v>
      </c>
      <c r="D1760" s="77" t="s">
        <v>631</v>
      </c>
      <c r="E1760" s="77" t="s">
        <v>2102</v>
      </c>
      <c r="F1760" s="44">
        <v>5237.0</v>
      </c>
      <c r="G1760" s="79" t="s">
        <v>15</v>
      </c>
      <c r="H1760" s="80">
        <v>1678.0</v>
      </c>
      <c r="I1760" s="79">
        <v>259200.0</v>
      </c>
      <c r="J1760" s="74" t="s">
        <v>347</v>
      </c>
      <c r="K1760" s="77" t="s">
        <v>1324</v>
      </c>
      <c r="L1760" s="79" t="s">
        <v>453</v>
      </c>
      <c r="M1760" s="79"/>
      <c r="N1760" s="79">
        <v>0.0</v>
      </c>
      <c r="O1760" s="74" t="s">
        <v>11044</v>
      </c>
      <c r="P1760" s="80"/>
      <c r="Q1760" s="79"/>
      <c r="R1760" s="80"/>
      <c r="S1760" s="78" t="s">
        <v>11045</v>
      </c>
      <c r="T1760" s="101" t="s">
        <v>11046</v>
      </c>
      <c r="U1760" s="80"/>
      <c r="V1760" s="102" t="s">
        <v>429</v>
      </c>
      <c r="W1760" s="79"/>
      <c r="X1760" s="79"/>
      <c r="Y1760" s="79" t="s">
        <v>309</v>
      </c>
      <c r="Z1760" s="79"/>
    </row>
    <row r="1761" ht="15.75" customHeight="1">
      <c r="A1761" s="76" t="s">
        <v>247</v>
      </c>
      <c r="B1761" s="77" t="s">
        <v>8587</v>
      </c>
      <c r="C1761" s="114">
        <v>3.0709949523E10</v>
      </c>
      <c r="D1761" s="79" t="s">
        <v>264</v>
      </c>
      <c r="E1761" s="79" t="s">
        <v>2377</v>
      </c>
      <c r="F1761" s="44">
        <v>1120.0</v>
      </c>
      <c r="G1761" s="79" t="s">
        <v>68</v>
      </c>
      <c r="H1761" s="80">
        <v>1702.0</v>
      </c>
      <c r="I1761" s="79">
        <v>152040.0</v>
      </c>
      <c r="J1761" s="74" t="s">
        <v>73</v>
      </c>
      <c r="K1761" s="79" t="s">
        <v>2709</v>
      </c>
      <c r="L1761" s="79"/>
      <c r="M1761" s="79"/>
      <c r="N1761" s="79">
        <v>10.0</v>
      </c>
      <c r="O1761" s="74"/>
      <c r="P1761" s="80"/>
      <c r="Q1761" s="79"/>
      <c r="R1761" s="80"/>
      <c r="S1761" s="114" t="s">
        <v>11048</v>
      </c>
      <c r="T1761" s="200" t="s">
        <v>332</v>
      </c>
      <c r="U1761" s="80" t="s">
        <v>332</v>
      </c>
      <c r="V1761" s="102" t="s">
        <v>429</v>
      </c>
      <c r="W1761" s="79" t="s">
        <v>306</v>
      </c>
      <c r="X1761" s="79" t="s">
        <v>306</v>
      </c>
      <c r="Y1761" s="79" t="s">
        <v>309</v>
      </c>
      <c r="Z1761" s="79"/>
    </row>
    <row r="1762" ht="15.75" customHeight="1">
      <c r="A1762" s="76" t="s">
        <v>247</v>
      </c>
      <c r="B1762" s="77" t="s">
        <v>11049</v>
      </c>
      <c r="C1762" s="80">
        <v>3.0708681276E10</v>
      </c>
      <c r="D1762" s="119" t="s">
        <v>264</v>
      </c>
      <c r="E1762" s="79" t="s">
        <v>398</v>
      </c>
      <c r="F1762" s="44">
        <v>5692.0</v>
      </c>
      <c r="G1762" s="79" t="s">
        <v>15</v>
      </c>
      <c r="H1762" s="80">
        <v>1678.0</v>
      </c>
      <c r="I1762" s="79">
        <v>749290.0</v>
      </c>
      <c r="J1762" s="74" t="s">
        <v>433</v>
      </c>
      <c r="K1762" s="77" t="s">
        <v>2144</v>
      </c>
      <c r="L1762" s="79"/>
      <c r="M1762" s="79"/>
      <c r="N1762" s="79">
        <v>2.0</v>
      </c>
      <c r="O1762" s="74"/>
      <c r="P1762" s="80"/>
      <c r="Q1762" s="79"/>
      <c r="R1762" s="80"/>
      <c r="S1762" s="80" t="s">
        <v>11051</v>
      </c>
      <c r="T1762" s="101" t="s">
        <v>332</v>
      </c>
      <c r="U1762" s="80" t="s">
        <v>332</v>
      </c>
      <c r="V1762" s="102" t="s">
        <v>429</v>
      </c>
      <c r="W1762" s="79" t="s">
        <v>306</v>
      </c>
      <c r="X1762" s="79" t="s">
        <v>306</v>
      </c>
      <c r="Y1762" s="79"/>
      <c r="Z1762" s="79"/>
    </row>
    <row r="1763" ht="15.75" customHeight="1">
      <c r="A1763" s="103" t="s">
        <v>24</v>
      </c>
      <c r="B1763" s="77" t="s">
        <v>11052</v>
      </c>
      <c r="C1763" s="80">
        <v>3.0707394737E10</v>
      </c>
      <c r="D1763" s="79" t="s">
        <v>264</v>
      </c>
      <c r="E1763" s="77" t="s">
        <v>1578</v>
      </c>
      <c r="F1763" s="44">
        <v>658.0</v>
      </c>
      <c r="G1763" s="79" t="s">
        <v>119</v>
      </c>
      <c r="H1763" s="80">
        <v>1657.0</v>
      </c>
      <c r="I1763" s="79">
        <v>361010.0</v>
      </c>
      <c r="J1763" s="74" t="s">
        <v>313</v>
      </c>
      <c r="K1763" s="79" t="s">
        <v>2534</v>
      </c>
      <c r="L1763" s="79" t="s">
        <v>286</v>
      </c>
      <c r="M1763" s="79" t="s">
        <v>11054</v>
      </c>
      <c r="N1763" s="79">
        <v>1.0</v>
      </c>
      <c r="O1763" s="74"/>
      <c r="P1763" s="80"/>
      <c r="Q1763" s="79"/>
      <c r="R1763" s="78"/>
      <c r="S1763" s="80" t="s">
        <v>11055</v>
      </c>
      <c r="T1763" s="101" t="s">
        <v>332</v>
      </c>
      <c r="U1763" s="80" t="s">
        <v>332</v>
      </c>
      <c r="V1763" s="102" t="s">
        <v>429</v>
      </c>
      <c r="W1763" s="79" t="s">
        <v>306</v>
      </c>
      <c r="X1763" s="79" t="s">
        <v>306</v>
      </c>
      <c r="Y1763" s="79"/>
      <c r="Z1763" s="79"/>
    </row>
    <row r="1764" ht="15.75" customHeight="1">
      <c r="A1764" s="76" t="s">
        <v>247</v>
      </c>
      <c r="B1764" s="77" t="s">
        <v>2555</v>
      </c>
      <c r="C1764" s="80">
        <v>3.0709629901E10</v>
      </c>
      <c r="D1764" s="79" t="s">
        <v>264</v>
      </c>
      <c r="E1764" s="79" t="s">
        <v>359</v>
      </c>
      <c r="F1764" s="44">
        <v>3864.0</v>
      </c>
      <c r="G1764" s="79" t="s">
        <v>15</v>
      </c>
      <c r="H1764" s="80">
        <v>1678.0</v>
      </c>
      <c r="I1764" s="79">
        <v>293090.0</v>
      </c>
      <c r="J1764" s="74" t="s">
        <v>337</v>
      </c>
      <c r="K1764" s="77" t="s">
        <v>407</v>
      </c>
      <c r="L1764" s="79"/>
      <c r="M1764" s="79" t="s">
        <v>11057</v>
      </c>
      <c r="N1764" s="79">
        <v>50.0</v>
      </c>
      <c r="O1764" s="77" t="s">
        <v>11058</v>
      </c>
      <c r="P1764" s="78" t="s">
        <v>11059</v>
      </c>
      <c r="Q1764" s="74" t="s">
        <v>11060</v>
      </c>
      <c r="R1764" s="80"/>
      <c r="S1764" s="80" t="s">
        <v>11061</v>
      </c>
      <c r="T1764" s="85" t="s">
        <v>11062</v>
      </c>
      <c r="U1764" s="80" t="s">
        <v>332</v>
      </c>
      <c r="V1764" s="102" t="s">
        <v>11063</v>
      </c>
      <c r="W1764" s="79" t="s">
        <v>309</v>
      </c>
      <c r="X1764" s="79" t="s">
        <v>309</v>
      </c>
      <c r="Y1764" s="79" t="s">
        <v>309</v>
      </c>
      <c r="Z1764" s="79"/>
    </row>
    <row r="1765" ht="15.75" customHeight="1">
      <c r="A1765" s="103" t="s">
        <v>24</v>
      </c>
      <c r="B1765" s="77" t="s">
        <v>11064</v>
      </c>
      <c r="C1765" s="80">
        <v>3.0708064374E10</v>
      </c>
      <c r="D1765" s="79" t="s">
        <v>264</v>
      </c>
      <c r="E1765" s="79" t="s">
        <v>442</v>
      </c>
      <c r="F1765" s="44">
        <v>3543.0</v>
      </c>
      <c r="G1765" s="79" t="s">
        <v>68</v>
      </c>
      <c r="H1765" s="80">
        <v>1702.0</v>
      </c>
      <c r="I1765" s="79">
        <v>281400.0</v>
      </c>
      <c r="J1765" s="74" t="s">
        <v>347</v>
      </c>
      <c r="K1765" s="79" t="s">
        <v>10618</v>
      </c>
      <c r="L1765" s="79"/>
      <c r="M1765" s="79"/>
      <c r="N1765" s="79">
        <v>5.0</v>
      </c>
      <c r="O1765" s="74"/>
      <c r="P1765" s="80"/>
      <c r="Q1765" s="79"/>
      <c r="R1765" s="80"/>
      <c r="S1765" s="80" t="s">
        <v>11065</v>
      </c>
      <c r="T1765" s="101" t="s">
        <v>332</v>
      </c>
      <c r="U1765" s="80" t="s">
        <v>332</v>
      </c>
      <c r="V1765" s="102" t="s">
        <v>429</v>
      </c>
      <c r="W1765" s="79" t="s">
        <v>309</v>
      </c>
      <c r="X1765" s="79" t="s">
        <v>309</v>
      </c>
      <c r="Y1765" s="79" t="s">
        <v>309</v>
      </c>
      <c r="Z1765" s="79"/>
    </row>
    <row r="1766" ht="15.75" customHeight="1">
      <c r="A1766" s="76" t="s">
        <v>247</v>
      </c>
      <c r="B1766" s="77" t="s">
        <v>8592</v>
      </c>
      <c r="C1766" s="80">
        <v>3.056667909E10</v>
      </c>
      <c r="D1766" s="79" t="s">
        <v>264</v>
      </c>
      <c r="E1766" s="77" t="s">
        <v>943</v>
      </c>
      <c r="F1766" s="44">
        <v>3167.0</v>
      </c>
      <c r="G1766" s="79" t="s">
        <v>15</v>
      </c>
      <c r="H1766" s="80">
        <v>1678.0</v>
      </c>
      <c r="I1766" s="79">
        <v>259999.0</v>
      </c>
      <c r="J1766" s="74" t="s">
        <v>347</v>
      </c>
      <c r="K1766" s="77" t="s">
        <v>839</v>
      </c>
      <c r="L1766" s="79" t="s">
        <v>453</v>
      </c>
      <c r="M1766" s="79" t="s">
        <v>11066</v>
      </c>
      <c r="N1766" s="79">
        <v>11.0</v>
      </c>
      <c r="O1766" s="74"/>
      <c r="P1766" s="80"/>
      <c r="Q1766" s="79"/>
      <c r="R1766" s="80"/>
      <c r="S1766" s="80" t="s">
        <v>11068</v>
      </c>
      <c r="T1766" s="101" t="s">
        <v>332</v>
      </c>
      <c r="U1766" s="80" t="s">
        <v>332</v>
      </c>
      <c r="V1766" s="102" t="s">
        <v>11069</v>
      </c>
      <c r="W1766" s="79" t="s">
        <v>309</v>
      </c>
      <c r="X1766" s="79" t="s">
        <v>309</v>
      </c>
      <c r="Y1766" s="79" t="s">
        <v>309</v>
      </c>
      <c r="Z1766" s="79"/>
    </row>
    <row r="1767" ht="15.75" customHeight="1">
      <c r="A1767" s="103" t="s">
        <v>24</v>
      </c>
      <c r="B1767" s="77" t="s">
        <v>11070</v>
      </c>
      <c r="C1767" s="80">
        <v>3.0648001238E10</v>
      </c>
      <c r="D1767" s="79" t="s">
        <v>264</v>
      </c>
      <c r="E1767" s="77" t="s">
        <v>7611</v>
      </c>
      <c r="F1767" s="44">
        <v>1828.0</v>
      </c>
      <c r="G1767" s="79" t="s">
        <v>97</v>
      </c>
      <c r="H1767" s="80">
        <v>1702.0</v>
      </c>
      <c r="I1767" s="79">
        <v>281101.0</v>
      </c>
      <c r="J1767" s="74" t="s">
        <v>347</v>
      </c>
      <c r="K1767" s="77" t="s">
        <v>1486</v>
      </c>
      <c r="L1767" s="79" t="s">
        <v>453</v>
      </c>
      <c r="M1767" s="79"/>
      <c r="N1767" s="79">
        <v>0.0</v>
      </c>
      <c r="O1767" s="74"/>
      <c r="P1767" s="80"/>
      <c r="Q1767" s="79"/>
      <c r="R1767" s="80"/>
      <c r="S1767" s="78" t="s">
        <v>11072</v>
      </c>
      <c r="T1767" s="200" t="s">
        <v>332</v>
      </c>
      <c r="U1767" s="80" t="s">
        <v>332</v>
      </c>
      <c r="V1767" s="102" t="s">
        <v>429</v>
      </c>
      <c r="W1767" s="79" t="s">
        <v>306</v>
      </c>
      <c r="X1767" s="79" t="s">
        <v>306</v>
      </c>
      <c r="Y1767" s="79"/>
      <c r="Z1767" s="79"/>
    </row>
    <row r="1768" ht="15.75" customHeight="1">
      <c r="A1768" s="76" t="s">
        <v>247</v>
      </c>
      <c r="B1768" s="77" t="s">
        <v>8601</v>
      </c>
      <c r="C1768" s="80">
        <v>3.0502504173E10</v>
      </c>
      <c r="D1768" s="119" t="s">
        <v>264</v>
      </c>
      <c r="E1768" s="79" t="s">
        <v>1212</v>
      </c>
      <c r="F1768" s="44">
        <v>4438.0</v>
      </c>
      <c r="G1768" s="79" t="s">
        <v>68</v>
      </c>
      <c r="H1768" s="80">
        <v>1702.0</v>
      </c>
      <c r="I1768" s="79">
        <v>243200.0</v>
      </c>
      <c r="J1768" s="74" t="s">
        <v>347</v>
      </c>
      <c r="K1768" s="79" t="s">
        <v>1277</v>
      </c>
      <c r="L1768" s="79" t="s">
        <v>453</v>
      </c>
      <c r="M1768" s="79"/>
      <c r="N1768" s="79">
        <v>8.0</v>
      </c>
      <c r="O1768" s="74"/>
      <c r="P1768" s="80"/>
      <c r="Q1768" s="79"/>
      <c r="R1768" s="80"/>
      <c r="S1768" s="78" t="s">
        <v>11073</v>
      </c>
      <c r="T1768" s="85" t="s">
        <v>11074</v>
      </c>
      <c r="U1768" s="80" t="s">
        <v>332</v>
      </c>
      <c r="V1768" s="102" t="s">
        <v>429</v>
      </c>
      <c r="W1768" s="79" t="s">
        <v>306</v>
      </c>
      <c r="X1768" s="79" t="s">
        <v>306</v>
      </c>
      <c r="Y1768" s="79" t="s">
        <v>309</v>
      </c>
      <c r="Z1768" s="79"/>
    </row>
    <row r="1769" ht="15.75" customHeight="1">
      <c r="A1769" s="103" t="s">
        <v>24</v>
      </c>
      <c r="B1769" s="77" t="s">
        <v>11076</v>
      </c>
      <c r="C1769" s="80">
        <v>3.0710010796E10</v>
      </c>
      <c r="D1769" s="77" t="s">
        <v>264</v>
      </c>
      <c r="E1769" s="79" t="s">
        <v>2348</v>
      </c>
      <c r="F1769" s="44">
        <v>862.0</v>
      </c>
      <c r="G1769" s="79" t="s">
        <v>68</v>
      </c>
      <c r="H1769" s="80">
        <v>1702.0</v>
      </c>
      <c r="I1769" s="79">
        <v>259999.0</v>
      </c>
      <c r="J1769" s="74" t="s">
        <v>347</v>
      </c>
      <c r="K1769" s="77" t="s">
        <v>839</v>
      </c>
      <c r="L1769" s="79" t="s">
        <v>453</v>
      </c>
      <c r="M1769" s="79"/>
      <c r="N1769" s="79">
        <v>3.0</v>
      </c>
      <c r="O1769" s="74"/>
      <c r="P1769" s="80"/>
      <c r="Q1769" s="79"/>
      <c r="R1769" s="80"/>
      <c r="S1769" s="78" t="s">
        <v>11077</v>
      </c>
      <c r="T1769" s="280" t="s">
        <v>11079</v>
      </c>
      <c r="U1769" s="78" t="s">
        <v>11080</v>
      </c>
      <c r="V1769" s="102" t="s">
        <v>429</v>
      </c>
      <c r="W1769" s="79" t="s">
        <v>309</v>
      </c>
      <c r="X1769" s="79" t="s">
        <v>309</v>
      </c>
      <c r="Y1769" s="79"/>
      <c r="Z1769" s="79"/>
    </row>
    <row r="1770" ht="15.75" customHeight="1">
      <c r="A1770" s="103" t="s">
        <v>24</v>
      </c>
      <c r="B1770" s="77" t="s">
        <v>11081</v>
      </c>
      <c r="C1770" s="80">
        <v>3.0505474569E10</v>
      </c>
      <c r="D1770" s="119" t="s">
        <v>264</v>
      </c>
      <c r="E1770" s="79" t="s">
        <v>1525</v>
      </c>
      <c r="F1770" s="44">
        <v>3357.0</v>
      </c>
      <c r="G1770" s="79" t="s">
        <v>68</v>
      </c>
      <c r="H1770" s="80">
        <v>1702.0</v>
      </c>
      <c r="I1770" s="79">
        <v>289309.0</v>
      </c>
      <c r="J1770" s="74" t="s">
        <v>347</v>
      </c>
      <c r="K1770" s="77" t="s">
        <v>2967</v>
      </c>
      <c r="L1770" s="79"/>
      <c r="M1770" s="79"/>
      <c r="N1770" s="79">
        <v>3.0</v>
      </c>
      <c r="O1770" s="74"/>
      <c r="P1770" s="80"/>
      <c r="Q1770" s="79"/>
      <c r="R1770" s="80"/>
      <c r="S1770" s="80" t="s">
        <v>11083</v>
      </c>
      <c r="T1770" s="101" t="s">
        <v>11084</v>
      </c>
      <c r="U1770" s="80" t="s">
        <v>11085</v>
      </c>
      <c r="V1770" s="102" t="s">
        <v>11086</v>
      </c>
      <c r="W1770" s="79" t="s">
        <v>309</v>
      </c>
      <c r="X1770" s="79" t="s">
        <v>309</v>
      </c>
      <c r="Y1770" s="79"/>
      <c r="Z1770" s="79"/>
    </row>
    <row r="1771" ht="15.75" customHeight="1">
      <c r="A1771" s="76" t="s">
        <v>247</v>
      </c>
      <c r="B1771" s="77" t="s">
        <v>2562</v>
      </c>
      <c r="C1771" s="80">
        <v>3.0663025739E10</v>
      </c>
      <c r="D1771" s="119" t="s">
        <v>264</v>
      </c>
      <c r="E1771" s="77" t="s">
        <v>2383</v>
      </c>
      <c r="F1771" s="44">
        <v>9345.0</v>
      </c>
      <c r="G1771" s="79" t="s">
        <v>119</v>
      </c>
      <c r="H1771" s="80">
        <v>1657.0</v>
      </c>
      <c r="I1771" s="79">
        <v>241009.0</v>
      </c>
      <c r="J1771" s="74" t="s">
        <v>347</v>
      </c>
      <c r="K1771" s="77" t="s">
        <v>5011</v>
      </c>
      <c r="L1771" s="79" t="s">
        <v>453</v>
      </c>
      <c r="M1771" s="79" t="s">
        <v>7429</v>
      </c>
      <c r="N1771" s="79">
        <v>55.0</v>
      </c>
      <c r="O1771" s="74" t="s">
        <v>11088</v>
      </c>
      <c r="P1771" s="78" t="s">
        <v>11089</v>
      </c>
      <c r="Q1771" s="79"/>
      <c r="R1771" s="80"/>
      <c r="S1771" s="80" t="s">
        <v>11090</v>
      </c>
      <c r="T1771" s="101" t="s">
        <v>11091</v>
      </c>
      <c r="U1771" s="80" t="s">
        <v>11092</v>
      </c>
      <c r="V1771" s="102" t="s">
        <v>11093</v>
      </c>
      <c r="W1771" s="79" t="s">
        <v>309</v>
      </c>
      <c r="X1771" s="79" t="s">
        <v>309</v>
      </c>
      <c r="Y1771" s="79" t="s">
        <v>309</v>
      </c>
      <c r="Z1771" s="79"/>
    </row>
    <row r="1772" ht="15.75" customHeight="1">
      <c r="A1772" s="103" t="s">
        <v>24</v>
      </c>
      <c r="B1772" s="77" t="s">
        <v>11095</v>
      </c>
      <c r="C1772" s="80">
        <v>3.0504933225E10</v>
      </c>
      <c r="D1772" s="79" t="s">
        <v>264</v>
      </c>
      <c r="E1772" s="77" t="s">
        <v>7611</v>
      </c>
      <c r="F1772" s="44">
        <v>1874.0</v>
      </c>
      <c r="G1772" s="79" t="s">
        <v>97</v>
      </c>
      <c r="H1772" s="80">
        <v>1702.0</v>
      </c>
      <c r="I1772" s="79">
        <v>309100.0</v>
      </c>
      <c r="J1772" s="74" t="s">
        <v>337</v>
      </c>
      <c r="K1772" s="79" t="s">
        <v>2697</v>
      </c>
      <c r="L1772" s="79" t="s">
        <v>286</v>
      </c>
      <c r="M1772" s="79"/>
      <c r="N1772" s="79">
        <v>1.0</v>
      </c>
      <c r="O1772" s="74"/>
      <c r="P1772" s="80"/>
      <c r="Q1772" s="79"/>
      <c r="R1772" s="80"/>
      <c r="S1772" s="78" t="s">
        <v>11096</v>
      </c>
      <c r="T1772" s="101"/>
      <c r="U1772" s="80" t="s">
        <v>332</v>
      </c>
      <c r="V1772" s="102" t="s">
        <v>429</v>
      </c>
      <c r="W1772" s="79" t="s">
        <v>306</v>
      </c>
      <c r="X1772" s="79" t="s">
        <v>306</v>
      </c>
      <c r="Y1772" s="79"/>
      <c r="Z1772" s="77"/>
    </row>
    <row r="1773" ht="15.75" customHeight="1">
      <c r="A1773" s="103" t="s">
        <v>24</v>
      </c>
      <c r="B1773" s="77" t="s">
        <v>11097</v>
      </c>
      <c r="C1773" s="80">
        <v>3.0521369643E10</v>
      </c>
      <c r="D1773" s="119" t="s">
        <v>264</v>
      </c>
      <c r="E1773" s="79" t="s">
        <v>11099</v>
      </c>
      <c r="F1773" s="44">
        <v>6249.0</v>
      </c>
      <c r="G1773" s="77" t="s">
        <v>47</v>
      </c>
      <c r="H1773" s="80">
        <v>1684.0</v>
      </c>
      <c r="I1773" s="79">
        <v>252090.0</v>
      </c>
      <c r="J1773" s="83" t="s">
        <v>568</v>
      </c>
      <c r="K1773" s="77" t="s">
        <v>2920</v>
      </c>
      <c r="L1773" s="79" t="s">
        <v>453</v>
      </c>
      <c r="M1773" s="79"/>
      <c r="N1773" s="79">
        <v>0.0</v>
      </c>
      <c r="O1773" s="42"/>
      <c r="P1773" s="114"/>
      <c r="Q1773" s="79"/>
      <c r="R1773" s="80"/>
      <c r="S1773" s="80" t="s">
        <v>11100</v>
      </c>
      <c r="T1773" s="101"/>
      <c r="U1773" s="80" t="s">
        <v>332</v>
      </c>
      <c r="V1773" s="102" t="s">
        <v>429</v>
      </c>
      <c r="W1773" s="79" t="s">
        <v>306</v>
      </c>
      <c r="X1773" s="79" t="s">
        <v>306</v>
      </c>
      <c r="Y1773" s="79"/>
      <c r="Z1773" s="79"/>
    </row>
    <row r="1774" ht="15.75" customHeight="1">
      <c r="A1774" s="103" t="s">
        <v>24</v>
      </c>
      <c r="B1774" s="77" t="s">
        <v>11101</v>
      </c>
      <c r="C1774" s="79">
        <v>3.0628146787E10</v>
      </c>
      <c r="D1774" s="77" t="s">
        <v>264</v>
      </c>
      <c r="E1774" s="79" t="s">
        <v>1475</v>
      </c>
      <c r="F1774" s="44">
        <v>875.0</v>
      </c>
      <c r="G1774" s="79" t="s">
        <v>68</v>
      </c>
      <c r="H1774" s="80">
        <v>1702.0</v>
      </c>
      <c r="I1774" s="79">
        <v>452990.0</v>
      </c>
      <c r="J1774" s="74" t="s">
        <v>433</v>
      </c>
      <c r="K1774" s="77" t="s">
        <v>6318</v>
      </c>
      <c r="L1774" s="79"/>
      <c r="M1774" s="79"/>
      <c r="N1774" s="79">
        <v>4.0</v>
      </c>
      <c r="O1774" s="74"/>
      <c r="P1774" s="80"/>
      <c r="Q1774" s="79"/>
      <c r="R1774" s="80"/>
      <c r="S1774" s="80" t="s">
        <v>11103</v>
      </c>
      <c r="T1774" s="101" t="s">
        <v>11104</v>
      </c>
      <c r="U1774" s="80" t="s">
        <v>332</v>
      </c>
      <c r="V1774" s="102" t="s">
        <v>11105</v>
      </c>
      <c r="W1774" s="79" t="s">
        <v>306</v>
      </c>
      <c r="X1774" s="79" t="s">
        <v>306</v>
      </c>
      <c r="Y1774" s="79"/>
      <c r="Z1774" s="79"/>
    </row>
    <row r="1775" ht="15.75" customHeight="1">
      <c r="A1775" s="76" t="s">
        <v>247</v>
      </c>
      <c r="B1775" s="77" t="s">
        <v>2567</v>
      </c>
      <c r="C1775" s="80">
        <v>3.0561990715E10</v>
      </c>
      <c r="D1775" s="144" t="s">
        <v>264</v>
      </c>
      <c r="E1775" s="79" t="s">
        <v>1095</v>
      </c>
      <c r="F1775" s="44">
        <v>4242.0</v>
      </c>
      <c r="G1775" s="79" t="s">
        <v>15</v>
      </c>
      <c r="H1775" s="80">
        <v>1678.0</v>
      </c>
      <c r="I1775" s="77">
        <v>202908.0</v>
      </c>
      <c r="J1775" s="74" t="s">
        <v>316</v>
      </c>
      <c r="K1775" s="77" t="s">
        <v>1766</v>
      </c>
      <c r="L1775" s="79"/>
      <c r="M1775" s="79"/>
      <c r="N1775" s="79">
        <v>31.0</v>
      </c>
      <c r="O1775" s="74" t="s">
        <v>11106</v>
      </c>
      <c r="P1775" s="80"/>
      <c r="Q1775" s="79"/>
      <c r="R1775" s="80"/>
      <c r="S1775" s="80" t="s">
        <v>11107</v>
      </c>
      <c r="T1775" s="101" t="s">
        <v>332</v>
      </c>
      <c r="U1775" s="80" t="s">
        <v>332</v>
      </c>
      <c r="V1775" s="102" t="s">
        <v>11109</v>
      </c>
      <c r="W1775" s="79" t="s">
        <v>309</v>
      </c>
      <c r="X1775" s="79" t="s">
        <v>309</v>
      </c>
      <c r="Y1775" s="79" t="s">
        <v>309</v>
      </c>
      <c r="Z1775" s="79"/>
    </row>
    <row r="1776" ht="15.75" customHeight="1">
      <c r="A1776" s="76" t="s">
        <v>247</v>
      </c>
      <c r="B1776" s="77" t="s">
        <v>8612</v>
      </c>
      <c r="C1776" s="80">
        <v>3.0709110167E10</v>
      </c>
      <c r="D1776" s="79" t="s">
        <v>264</v>
      </c>
      <c r="E1776" s="79" t="s">
        <v>6255</v>
      </c>
      <c r="F1776" s="44">
        <v>9122.0</v>
      </c>
      <c r="G1776" s="77" t="s">
        <v>119</v>
      </c>
      <c r="H1776" s="80">
        <v>1657.0</v>
      </c>
      <c r="I1776" s="79">
        <v>172101.0</v>
      </c>
      <c r="J1776" s="74" t="s">
        <v>448</v>
      </c>
      <c r="K1776" s="79" t="s">
        <v>11111</v>
      </c>
      <c r="L1776" s="79"/>
      <c r="M1776" s="79"/>
      <c r="N1776" s="79">
        <v>0.0</v>
      </c>
      <c r="O1776" s="74"/>
      <c r="P1776" s="78" t="s">
        <v>11112</v>
      </c>
      <c r="Q1776" s="79"/>
      <c r="R1776" s="80"/>
      <c r="S1776" s="80" t="s">
        <v>11113</v>
      </c>
      <c r="T1776" s="101"/>
      <c r="U1776" s="80"/>
      <c r="V1776" s="102" t="s">
        <v>11114</v>
      </c>
      <c r="W1776" s="79" t="s">
        <v>306</v>
      </c>
      <c r="X1776" s="79" t="s">
        <v>306</v>
      </c>
      <c r="Y1776" s="79" t="s">
        <v>309</v>
      </c>
      <c r="Z1776" s="79"/>
    </row>
    <row r="1777" ht="15.75" customHeight="1">
      <c r="A1777" s="103" t="s">
        <v>24</v>
      </c>
      <c r="B1777" s="77" t="s">
        <v>11116</v>
      </c>
      <c r="C1777" s="80">
        <v>3.0709240869E10</v>
      </c>
      <c r="D1777" s="119" t="s">
        <v>264</v>
      </c>
      <c r="E1777" s="79" t="s">
        <v>11117</v>
      </c>
      <c r="F1777" s="44">
        <v>2749.0</v>
      </c>
      <c r="G1777" s="79" t="s">
        <v>15</v>
      </c>
      <c r="H1777" s="80">
        <v>1678.0</v>
      </c>
      <c r="I1777" s="79">
        <v>712909.0</v>
      </c>
      <c r="J1777" s="74" t="s">
        <v>433</v>
      </c>
      <c r="K1777" s="77" t="s">
        <v>9801</v>
      </c>
      <c r="L1777" s="79"/>
      <c r="M1777" s="79"/>
      <c r="N1777" s="79">
        <v>0.0</v>
      </c>
      <c r="O1777" s="74"/>
      <c r="P1777" s="80"/>
      <c r="Q1777" s="79"/>
      <c r="R1777" s="80"/>
      <c r="S1777" s="80" t="s">
        <v>11119</v>
      </c>
      <c r="T1777" s="101" t="s">
        <v>11119</v>
      </c>
      <c r="U1777" s="80" t="s">
        <v>332</v>
      </c>
      <c r="V1777" s="102" t="s">
        <v>429</v>
      </c>
      <c r="W1777" s="79" t="s">
        <v>309</v>
      </c>
      <c r="X1777" s="79" t="s">
        <v>309</v>
      </c>
      <c r="Y1777" s="79"/>
      <c r="Z1777" s="79"/>
    </row>
    <row r="1778" ht="15.75" customHeight="1">
      <c r="A1778" s="76" t="s">
        <v>247</v>
      </c>
      <c r="B1778" s="77" t="s">
        <v>2572</v>
      </c>
      <c r="C1778" s="80">
        <v>3.0549477263E10</v>
      </c>
      <c r="D1778" s="119" t="s">
        <v>264</v>
      </c>
      <c r="E1778" s="79" t="s">
        <v>564</v>
      </c>
      <c r="F1778" s="44">
        <v>4765.0</v>
      </c>
      <c r="G1778" s="79" t="s">
        <v>68</v>
      </c>
      <c r="H1778" s="80">
        <v>1702.0</v>
      </c>
      <c r="I1778" s="79">
        <v>275099.0</v>
      </c>
      <c r="J1778" s="83" t="s">
        <v>207</v>
      </c>
      <c r="K1778" s="77" t="s">
        <v>1527</v>
      </c>
      <c r="L1778" s="79"/>
      <c r="M1778" s="77" t="s">
        <v>11120</v>
      </c>
      <c r="N1778" s="79">
        <v>10.0</v>
      </c>
      <c r="O1778" s="74" t="s">
        <v>11121</v>
      </c>
      <c r="P1778" s="78" t="s">
        <v>11122</v>
      </c>
      <c r="Q1778" s="79"/>
      <c r="R1778" s="80"/>
      <c r="S1778" s="78" t="s">
        <v>11123</v>
      </c>
      <c r="T1778" s="101"/>
      <c r="U1778" s="80"/>
      <c r="V1778" s="98" t="s">
        <v>11124</v>
      </c>
      <c r="W1778" s="79" t="s">
        <v>309</v>
      </c>
      <c r="X1778" s="79" t="s">
        <v>309</v>
      </c>
      <c r="Y1778" s="79" t="s">
        <v>309</v>
      </c>
      <c r="Z1778" s="79"/>
    </row>
    <row r="1779" ht="15.75" customHeight="1">
      <c r="A1779" s="103" t="s">
        <v>24</v>
      </c>
      <c r="B1779" s="77" t="s">
        <v>11125</v>
      </c>
      <c r="C1779" s="114">
        <v>3.070743567E10</v>
      </c>
      <c r="D1779" s="79" t="s">
        <v>264</v>
      </c>
      <c r="E1779" s="79" t="s">
        <v>2312</v>
      </c>
      <c r="F1779" s="44">
        <v>5235.0</v>
      </c>
      <c r="G1779" s="79" t="s">
        <v>15</v>
      </c>
      <c r="H1779" s="80">
        <v>1678.0</v>
      </c>
      <c r="I1779" s="79">
        <v>259999.0</v>
      </c>
      <c r="J1779" s="74" t="s">
        <v>347</v>
      </c>
      <c r="K1779" s="77" t="s">
        <v>839</v>
      </c>
      <c r="L1779" s="79" t="s">
        <v>453</v>
      </c>
      <c r="M1779" s="79"/>
      <c r="N1779" s="79">
        <v>0.0</v>
      </c>
      <c r="O1779" s="74"/>
      <c r="P1779" s="80"/>
      <c r="Q1779" s="79"/>
      <c r="R1779" s="80"/>
      <c r="S1779" s="80" t="s">
        <v>11126</v>
      </c>
      <c r="T1779" s="101" t="s">
        <v>11127</v>
      </c>
      <c r="U1779" s="80" t="s">
        <v>11128</v>
      </c>
      <c r="V1779" s="102" t="s">
        <v>429</v>
      </c>
      <c r="W1779" s="79" t="s">
        <v>309</v>
      </c>
      <c r="X1779" s="79" t="s">
        <v>309</v>
      </c>
      <c r="Y1779" s="79" t="s">
        <v>309</v>
      </c>
      <c r="Z1779" s="79"/>
    </row>
    <row r="1780" ht="15.75" customHeight="1">
      <c r="A1780" s="76" t="s">
        <v>247</v>
      </c>
      <c r="B1780" s="77" t="s">
        <v>2575</v>
      </c>
      <c r="C1780" s="85">
        <v>3.3714638209E10</v>
      </c>
      <c r="D1780" s="77" t="s">
        <v>264</v>
      </c>
      <c r="E1780" s="305" t="s">
        <v>6255</v>
      </c>
      <c r="F1780" s="378">
        <v>1855.0</v>
      </c>
      <c r="G1780" s="77" t="s">
        <v>8499</v>
      </c>
      <c r="H1780" s="78">
        <v>1754.0</v>
      </c>
      <c r="I1780" s="78">
        <v>620100.0</v>
      </c>
      <c r="J1780" s="83" t="s">
        <v>278</v>
      </c>
      <c r="K1780" s="77" t="s">
        <v>2630</v>
      </c>
      <c r="L1780" s="79"/>
      <c r="M1780" s="79"/>
      <c r="N1780" s="79"/>
      <c r="O1780" s="79"/>
      <c r="P1780" s="153" t="s">
        <v>11129</v>
      </c>
      <c r="Q1780" s="79"/>
      <c r="R1780" s="114"/>
      <c r="S1780" s="78" t="s">
        <v>11130</v>
      </c>
      <c r="T1780" s="85" t="s">
        <v>11131</v>
      </c>
      <c r="U1780" s="80"/>
      <c r="V1780" s="102" t="s">
        <v>11133</v>
      </c>
      <c r="W1780" s="79"/>
      <c r="X1780" s="79"/>
      <c r="Y1780" s="79"/>
      <c r="Z1780" s="79"/>
    </row>
    <row r="1781" ht="15.75" customHeight="1">
      <c r="A1781" s="76" t="s">
        <v>247</v>
      </c>
      <c r="B1781" s="77" t="s">
        <v>2586</v>
      </c>
      <c r="C1781" s="307">
        <v>3.0551470578E10</v>
      </c>
      <c r="D1781" s="77" t="s">
        <v>264</v>
      </c>
      <c r="E1781" s="126" t="s">
        <v>5559</v>
      </c>
      <c r="F1781" s="128">
        <v>8194.0</v>
      </c>
      <c r="G1781" s="77" t="s">
        <v>175</v>
      </c>
      <c r="H1781" s="78">
        <v>1657.0</v>
      </c>
      <c r="I1781" s="78">
        <v>241009.0</v>
      </c>
      <c r="J1781" s="83" t="s">
        <v>347</v>
      </c>
      <c r="K1781" s="77" t="s">
        <v>11134</v>
      </c>
      <c r="L1781" s="79"/>
      <c r="M1781" s="77" t="s">
        <v>11135</v>
      </c>
      <c r="N1781" s="79"/>
      <c r="O1781" s="77" t="s">
        <v>11136</v>
      </c>
      <c r="P1781" s="153" t="s">
        <v>11137</v>
      </c>
      <c r="Q1781" s="79"/>
      <c r="R1781" s="80"/>
      <c r="S1781" s="78" t="s">
        <v>11138</v>
      </c>
      <c r="T1781" s="85" t="s">
        <v>11139</v>
      </c>
      <c r="U1781" s="80"/>
      <c r="V1781" s="98" t="s">
        <v>11140</v>
      </c>
      <c r="W1781" s="79"/>
      <c r="X1781" s="79"/>
      <c r="Y1781" s="79"/>
      <c r="Z1781" s="79"/>
    </row>
    <row r="1782" ht="15.75" customHeight="1">
      <c r="A1782" s="76" t="s">
        <v>247</v>
      </c>
      <c r="B1782" s="77" t="s">
        <v>2591</v>
      </c>
      <c r="C1782" s="80">
        <v>3.0695261418E10</v>
      </c>
      <c r="D1782" s="119" t="s">
        <v>264</v>
      </c>
      <c r="E1782" s="119" t="s">
        <v>1770</v>
      </c>
      <c r="F1782" s="44">
        <v>9200.0</v>
      </c>
      <c r="G1782" s="79" t="s">
        <v>119</v>
      </c>
      <c r="H1782" s="80">
        <v>1657.0</v>
      </c>
      <c r="I1782" s="79">
        <v>271020.0</v>
      </c>
      <c r="J1782" s="83" t="s">
        <v>207</v>
      </c>
      <c r="K1782" s="79" t="s">
        <v>4718</v>
      </c>
      <c r="L1782" s="79"/>
      <c r="M1782" s="77" t="s">
        <v>11142</v>
      </c>
      <c r="N1782" s="79">
        <v>60.0</v>
      </c>
      <c r="O1782" s="83" t="s">
        <v>11143</v>
      </c>
      <c r="P1782" s="78" t="s">
        <v>11145</v>
      </c>
      <c r="Q1782" s="79" t="s">
        <v>11146</v>
      </c>
      <c r="R1782" s="78" t="s">
        <v>11147</v>
      </c>
      <c r="S1782" s="78" t="s">
        <v>11148</v>
      </c>
      <c r="T1782" s="101" t="s">
        <v>332</v>
      </c>
      <c r="U1782" s="80"/>
      <c r="V1782" s="102" t="s">
        <v>11149</v>
      </c>
      <c r="W1782" s="79" t="s">
        <v>309</v>
      </c>
      <c r="X1782" s="79" t="s">
        <v>309</v>
      </c>
      <c r="Y1782" s="79" t="s">
        <v>309</v>
      </c>
      <c r="Z1782" s="79"/>
    </row>
    <row r="1783" ht="15.75" customHeight="1">
      <c r="A1783" s="76" t="s">
        <v>247</v>
      </c>
      <c r="B1783" s="77" t="s">
        <v>2597</v>
      </c>
      <c r="C1783" s="80">
        <v>3.0708574224E10</v>
      </c>
      <c r="D1783" s="79" t="s">
        <v>264</v>
      </c>
      <c r="E1783" s="126" t="s">
        <v>985</v>
      </c>
      <c r="F1783" s="44">
        <v>5826.0</v>
      </c>
      <c r="G1783" s="79" t="s">
        <v>15</v>
      </c>
      <c r="H1783" s="80">
        <v>1678.0</v>
      </c>
      <c r="I1783" s="79">
        <v>310010.0</v>
      </c>
      <c r="J1783" s="74" t="s">
        <v>313</v>
      </c>
      <c r="K1783" s="79" t="s">
        <v>1438</v>
      </c>
      <c r="L1783" s="79" t="s">
        <v>1122</v>
      </c>
      <c r="M1783" s="79"/>
      <c r="N1783" s="79">
        <v>33.0</v>
      </c>
      <c r="O1783" s="74" t="s">
        <v>11152</v>
      </c>
      <c r="P1783" s="78" t="s">
        <v>11153</v>
      </c>
      <c r="Q1783" s="79" t="s">
        <v>11154</v>
      </c>
      <c r="R1783" s="78" t="s">
        <v>6251</v>
      </c>
      <c r="S1783" s="80" t="s">
        <v>11155</v>
      </c>
      <c r="T1783" s="101" t="s">
        <v>332</v>
      </c>
      <c r="U1783" s="80" t="s">
        <v>332</v>
      </c>
      <c r="V1783" s="102" t="s">
        <v>11156</v>
      </c>
      <c r="W1783" s="79" t="s">
        <v>306</v>
      </c>
      <c r="X1783" s="79" t="s">
        <v>306</v>
      </c>
      <c r="Y1783" s="79" t="s">
        <v>309</v>
      </c>
      <c r="Z1783" s="79"/>
    </row>
    <row r="1784" ht="15.75" customHeight="1">
      <c r="A1784" s="76" t="s">
        <v>247</v>
      </c>
      <c r="B1784" s="77" t="s">
        <v>2606</v>
      </c>
      <c r="C1784" s="80">
        <v>3.0710460759E10</v>
      </c>
      <c r="D1784" s="119" t="s">
        <v>264</v>
      </c>
      <c r="E1784" s="77" t="s">
        <v>11157</v>
      </c>
      <c r="F1784" s="128">
        <v>8220.0</v>
      </c>
      <c r="G1784" s="79" t="s">
        <v>119</v>
      </c>
      <c r="H1784" s="80">
        <v>1657.0</v>
      </c>
      <c r="I1784" s="79">
        <v>251102.0</v>
      </c>
      <c r="J1784" s="74" t="s">
        <v>347</v>
      </c>
      <c r="K1784" s="79" t="s">
        <v>1611</v>
      </c>
      <c r="L1784" s="79" t="s">
        <v>453</v>
      </c>
      <c r="M1784" s="79" t="s">
        <v>11159</v>
      </c>
      <c r="N1784" s="79">
        <v>27.0</v>
      </c>
      <c r="O1784" s="74"/>
      <c r="P1784" s="78" t="s">
        <v>11160</v>
      </c>
      <c r="Q1784" s="79" t="s">
        <v>11161</v>
      </c>
      <c r="R1784" s="80"/>
      <c r="S1784" s="78" t="s">
        <v>11162</v>
      </c>
      <c r="T1784" s="85" t="s">
        <v>11163</v>
      </c>
      <c r="U1784" s="80" t="s">
        <v>332</v>
      </c>
      <c r="V1784" s="102" t="s">
        <v>11164</v>
      </c>
      <c r="W1784" s="79" t="s">
        <v>309</v>
      </c>
      <c r="X1784" s="79" t="s">
        <v>309</v>
      </c>
      <c r="Y1784" s="79" t="s">
        <v>309</v>
      </c>
      <c r="Z1784" s="79"/>
    </row>
    <row r="1785" ht="15.75" customHeight="1">
      <c r="A1785" s="76" t="s">
        <v>247</v>
      </c>
      <c r="B1785" s="77" t="s">
        <v>2611</v>
      </c>
      <c r="C1785" s="80">
        <v>3.0708875992E10</v>
      </c>
      <c r="D1785" s="79" t="s">
        <v>264</v>
      </c>
      <c r="E1785" s="79" t="s">
        <v>1079</v>
      </c>
      <c r="F1785" s="44">
        <v>4967.0</v>
      </c>
      <c r="G1785" s="79" t="s">
        <v>15</v>
      </c>
      <c r="H1785" s="80">
        <v>1678.0</v>
      </c>
      <c r="I1785" s="77">
        <v>266090.0</v>
      </c>
      <c r="J1785" s="74" t="s">
        <v>347</v>
      </c>
      <c r="K1785" s="77" t="s">
        <v>1257</v>
      </c>
      <c r="L1785" s="79" t="s">
        <v>453</v>
      </c>
      <c r="M1785" s="77" t="s">
        <v>11166</v>
      </c>
      <c r="N1785" s="79">
        <v>8.0</v>
      </c>
      <c r="O1785" s="74" t="s">
        <v>11168</v>
      </c>
      <c r="P1785" s="78" t="s">
        <v>11169</v>
      </c>
      <c r="Q1785" s="79"/>
      <c r="R1785" s="80"/>
      <c r="S1785" s="78" t="s">
        <v>11170</v>
      </c>
      <c r="T1785" s="85" t="s">
        <v>11171</v>
      </c>
      <c r="U1785" s="80" t="s">
        <v>332</v>
      </c>
      <c r="V1785" s="102" t="s">
        <v>11172</v>
      </c>
      <c r="W1785" s="79" t="s">
        <v>309</v>
      </c>
      <c r="X1785" s="79" t="s">
        <v>309</v>
      </c>
      <c r="Y1785" s="79" t="s">
        <v>309</v>
      </c>
      <c r="Z1785" s="79"/>
    </row>
    <row r="1786" ht="15.75" customHeight="1">
      <c r="A1786" s="76" t="s">
        <v>247</v>
      </c>
      <c r="B1786" s="77" t="s">
        <v>2619</v>
      </c>
      <c r="C1786" s="268">
        <v>3.0711999929E10</v>
      </c>
      <c r="D1786" s="79" t="s">
        <v>264</v>
      </c>
      <c r="E1786" s="79" t="s">
        <v>11174</v>
      </c>
      <c r="F1786" s="44">
        <v>4433.0</v>
      </c>
      <c r="G1786" s="79" t="s">
        <v>15</v>
      </c>
      <c r="H1786" s="80">
        <v>1678.0</v>
      </c>
      <c r="I1786" s="80">
        <v>281301.0</v>
      </c>
      <c r="J1786" s="74" t="s">
        <v>337</v>
      </c>
      <c r="K1786" s="77" t="s">
        <v>11175</v>
      </c>
      <c r="L1786" s="79"/>
      <c r="M1786" s="79" t="s">
        <v>11176</v>
      </c>
      <c r="N1786" s="79"/>
      <c r="O1786" s="79" t="s">
        <v>11177</v>
      </c>
      <c r="P1786" s="78" t="s">
        <v>11178</v>
      </c>
      <c r="Q1786" s="314" t="s">
        <v>11179</v>
      </c>
      <c r="R1786" s="153" t="s">
        <v>11180</v>
      </c>
      <c r="S1786" s="78" t="s">
        <v>11181</v>
      </c>
      <c r="T1786" s="80" t="s">
        <v>11183</v>
      </c>
      <c r="U1786" s="80"/>
      <c r="V1786" s="98" t="s">
        <v>11184</v>
      </c>
      <c r="W1786" s="79"/>
      <c r="X1786" s="79"/>
      <c r="Y1786" s="79"/>
      <c r="Z1786" s="79"/>
    </row>
    <row r="1787" ht="15.75" customHeight="1">
      <c r="A1787" s="76" t="s">
        <v>247</v>
      </c>
      <c r="B1787" s="77" t="s">
        <v>2619</v>
      </c>
      <c r="C1787" s="114">
        <v>3.0711999929E10</v>
      </c>
      <c r="D1787" s="79" t="s">
        <v>264</v>
      </c>
      <c r="E1787" s="79" t="s">
        <v>723</v>
      </c>
      <c r="F1787" s="128">
        <v>4433.0</v>
      </c>
      <c r="G1787" s="79" t="s">
        <v>15</v>
      </c>
      <c r="H1787" s="80">
        <v>1678.0</v>
      </c>
      <c r="I1787" s="79">
        <v>281301.0</v>
      </c>
      <c r="J1787" s="74" t="s">
        <v>347</v>
      </c>
      <c r="K1787" s="79" t="s">
        <v>8883</v>
      </c>
      <c r="L1787" s="79"/>
      <c r="M1787" s="79"/>
      <c r="N1787" s="79">
        <v>6.0</v>
      </c>
      <c r="O1787" s="74" t="s">
        <v>11186</v>
      </c>
      <c r="P1787" s="78" t="s">
        <v>11180</v>
      </c>
      <c r="Q1787" s="79"/>
      <c r="R1787" s="80"/>
      <c r="S1787" s="78" t="s">
        <v>11187</v>
      </c>
      <c r="T1787" s="101" t="s">
        <v>11188</v>
      </c>
      <c r="U1787" s="78" t="s">
        <v>11189</v>
      </c>
      <c r="V1787" s="102" t="s">
        <v>11184</v>
      </c>
      <c r="W1787" s="79" t="s">
        <v>309</v>
      </c>
      <c r="X1787" s="79" t="s">
        <v>309</v>
      </c>
      <c r="Y1787" s="79" t="s">
        <v>309</v>
      </c>
      <c r="Z1787" s="79"/>
    </row>
    <row r="1788" ht="15.75" customHeight="1">
      <c r="A1788" s="76" t="s">
        <v>247</v>
      </c>
      <c r="B1788" s="77" t="s">
        <v>2628</v>
      </c>
      <c r="C1788" s="101">
        <v>3.3685032339E10</v>
      </c>
      <c r="D1788" s="79" t="s">
        <v>264</v>
      </c>
      <c r="E1788" s="77" t="s">
        <v>3205</v>
      </c>
      <c r="F1788" s="44">
        <v>1224.0</v>
      </c>
      <c r="G1788" s="79" t="s">
        <v>285</v>
      </c>
      <c r="H1788" s="80">
        <v>1674.0</v>
      </c>
      <c r="I1788" s="119">
        <v>273190.0</v>
      </c>
      <c r="J1788" s="74" t="s">
        <v>185</v>
      </c>
      <c r="K1788" s="144" t="s">
        <v>3591</v>
      </c>
      <c r="L1788" s="79"/>
      <c r="M1788" s="77" t="s">
        <v>6049</v>
      </c>
      <c r="N1788" s="79"/>
      <c r="O1788" s="74"/>
      <c r="P1788" s="78" t="s">
        <v>11191</v>
      </c>
      <c r="Q1788" s="79"/>
      <c r="R1788" s="80"/>
      <c r="S1788" s="80" t="s">
        <v>11192</v>
      </c>
      <c r="T1788" s="101"/>
      <c r="U1788" s="80"/>
      <c r="V1788" s="102" t="s">
        <v>11193</v>
      </c>
      <c r="W1788" s="79"/>
      <c r="X1788" s="79"/>
      <c r="Y1788" s="79" t="s">
        <v>309</v>
      </c>
      <c r="Z1788" s="79"/>
    </row>
    <row r="1789" ht="15.75" customHeight="1">
      <c r="A1789" s="76" t="s">
        <v>247</v>
      </c>
      <c r="B1789" s="77" t="s">
        <v>2633</v>
      </c>
      <c r="C1789" s="80">
        <v>3.0644425831E10</v>
      </c>
      <c r="D1789" s="119" t="s">
        <v>264</v>
      </c>
      <c r="E1789" s="79" t="s">
        <v>11195</v>
      </c>
      <c r="F1789" s="44">
        <v>1530.0</v>
      </c>
      <c r="G1789" s="79" t="s">
        <v>119</v>
      </c>
      <c r="H1789" s="80">
        <v>1657.0</v>
      </c>
      <c r="I1789" s="79">
        <v>202200.0</v>
      </c>
      <c r="J1789" s="74" t="s">
        <v>316</v>
      </c>
      <c r="K1789" s="79" t="s">
        <v>2635</v>
      </c>
      <c r="L1789" s="79" t="s">
        <v>453</v>
      </c>
      <c r="M1789" s="77" t="s">
        <v>11197</v>
      </c>
      <c r="N1789" s="79">
        <v>9.0</v>
      </c>
      <c r="O1789" s="74"/>
      <c r="P1789" s="80"/>
      <c r="Q1789" s="79"/>
      <c r="R1789" s="80"/>
      <c r="S1789" s="80" t="s">
        <v>11198</v>
      </c>
      <c r="T1789" s="101"/>
      <c r="U1789" s="80" t="s">
        <v>332</v>
      </c>
      <c r="V1789" s="86" t="s">
        <v>11199</v>
      </c>
      <c r="W1789" s="79" t="s">
        <v>309</v>
      </c>
      <c r="X1789" s="79" t="s">
        <v>309</v>
      </c>
      <c r="Y1789" s="79" t="s">
        <v>309</v>
      </c>
      <c r="Z1789" s="79"/>
    </row>
    <row r="1790" ht="15.75" customHeight="1">
      <c r="A1790" s="103" t="s">
        <v>24</v>
      </c>
      <c r="B1790" s="77" t="s">
        <v>11200</v>
      </c>
      <c r="C1790" s="80">
        <v>3.0634178453E10</v>
      </c>
      <c r="D1790" s="119" t="s">
        <v>264</v>
      </c>
      <c r="E1790" s="77" t="s">
        <v>266</v>
      </c>
      <c r="F1790" s="44">
        <v>3353.0</v>
      </c>
      <c r="G1790" s="79" t="s">
        <v>15</v>
      </c>
      <c r="H1790" s="80">
        <v>1678.0</v>
      </c>
      <c r="I1790" s="79">
        <v>742103.0</v>
      </c>
      <c r="J1790" s="74" t="s">
        <v>433</v>
      </c>
      <c r="K1790" s="79" t="s">
        <v>9297</v>
      </c>
      <c r="L1790" s="79"/>
      <c r="M1790" s="79"/>
      <c r="N1790" s="79">
        <v>2.0</v>
      </c>
      <c r="O1790" s="74"/>
      <c r="P1790" s="80"/>
      <c r="Q1790" s="79"/>
      <c r="R1790" s="80"/>
      <c r="S1790" s="78" t="s">
        <v>11202</v>
      </c>
      <c r="T1790" s="85" t="s">
        <v>11203</v>
      </c>
      <c r="U1790" s="78" t="s">
        <v>11204</v>
      </c>
      <c r="V1790" s="102" t="s">
        <v>429</v>
      </c>
      <c r="W1790" s="79" t="s">
        <v>309</v>
      </c>
      <c r="X1790" s="79" t="s">
        <v>309</v>
      </c>
      <c r="Y1790" s="79"/>
      <c r="Z1790" s="79"/>
    </row>
    <row r="1791" ht="15.75" customHeight="1">
      <c r="A1791" s="103" t="s">
        <v>24</v>
      </c>
      <c r="B1791" s="77" t="s">
        <v>11205</v>
      </c>
      <c r="C1791" s="80">
        <v>3.060597584E10</v>
      </c>
      <c r="D1791" s="79" t="s">
        <v>264</v>
      </c>
      <c r="E1791" s="79" t="s">
        <v>9410</v>
      </c>
      <c r="F1791" s="44">
        <v>2947.0</v>
      </c>
      <c r="G1791" s="79" t="s">
        <v>15</v>
      </c>
      <c r="H1791" s="80">
        <v>1678.0</v>
      </c>
      <c r="I1791" s="79">
        <v>343000.0</v>
      </c>
      <c r="J1791" s="83" t="s">
        <v>37</v>
      </c>
      <c r="K1791" s="77" t="s">
        <v>1476</v>
      </c>
      <c r="L1791" s="79"/>
      <c r="M1791" s="79"/>
      <c r="N1791" s="79">
        <v>0.0</v>
      </c>
      <c r="O1791" s="74"/>
      <c r="P1791" s="80"/>
      <c r="Q1791" s="79"/>
      <c r="R1791" s="80"/>
      <c r="S1791" s="78" t="s">
        <v>11206</v>
      </c>
      <c r="T1791" s="101" t="s">
        <v>332</v>
      </c>
      <c r="U1791" s="80" t="s">
        <v>332</v>
      </c>
      <c r="V1791" s="102" t="s">
        <v>429</v>
      </c>
      <c r="W1791" s="79" t="s">
        <v>306</v>
      </c>
      <c r="X1791" s="79" t="s">
        <v>306</v>
      </c>
      <c r="Y1791" s="79"/>
      <c r="Z1791" s="79"/>
    </row>
    <row r="1792" ht="15.75" customHeight="1">
      <c r="A1792" s="76" t="s">
        <v>247</v>
      </c>
      <c r="B1792" s="77" t="s">
        <v>8658</v>
      </c>
      <c r="C1792" s="80">
        <v>3.063409352E10</v>
      </c>
      <c r="D1792" s="79" t="s">
        <v>264</v>
      </c>
      <c r="E1792" s="77" t="s">
        <v>2254</v>
      </c>
      <c r="F1792" s="44">
        <v>1134.0</v>
      </c>
      <c r="G1792" s="79" t="s">
        <v>119</v>
      </c>
      <c r="H1792" s="80">
        <v>1657.0</v>
      </c>
      <c r="I1792" s="79">
        <v>259999.0</v>
      </c>
      <c r="J1792" s="74" t="s">
        <v>347</v>
      </c>
      <c r="K1792" s="77" t="s">
        <v>839</v>
      </c>
      <c r="L1792" s="79" t="s">
        <v>453</v>
      </c>
      <c r="M1792" s="79"/>
      <c r="N1792" s="79">
        <v>20.0</v>
      </c>
      <c r="O1792" s="74"/>
      <c r="P1792" s="80"/>
      <c r="Q1792" s="79"/>
      <c r="R1792" s="80"/>
      <c r="S1792" s="78" t="s">
        <v>11208</v>
      </c>
      <c r="T1792" s="101" t="s">
        <v>11209</v>
      </c>
      <c r="U1792" s="78" t="s">
        <v>11210</v>
      </c>
      <c r="V1792" s="102" t="s">
        <v>11212</v>
      </c>
      <c r="W1792" s="79" t="s">
        <v>309</v>
      </c>
      <c r="X1792" s="79" t="s">
        <v>309</v>
      </c>
      <c r="Y1792" s="79" t="s">
        <v>309</v>
      </c>
      <c r="Z1792" s="79"/>
    </row>
    <row r="1793" ht="15.75" customHeight="1">
      <c r="A1793" s="76" t="s">
        <v>247</v>
      </c>
      <c r="B1793" s="77" t="s">
        <v>8662</v>
      </c>
      <c r="C1793" s="80">
        <v>3.071094741E10</v>
      </c>
      <c r="D1793" s="119" t="s">
        <v>264</v>
      </c>
      <c r="E1793" s="77" t="s">
        <v>2292</v>
      </c>
      <c r="F1793" s="44">
        <v>8950.0</v>
      </c>
      <c r="G1793" s="79" t="s">
        <v>175</v>
      </c>
      <c r="H1793" s="80">
        <v>1657.0</v>
      </c>
      <c r="I1793" s="79">
        <v>282909.0</v>
      </c>
      <c r="J1793" s="74" t="s">
        <v>347</v>
      </c>
      <c r="K1793" s="77" t="s">
        <v>2642</v>
      </c>
      <c r="L1793" s="79" t="s">
        <v>662</v>
      </c>
      <c r="M1793" s="79"/>
      <c r="N1793" s="79">
        <v>3.0</v>
      </c>
      <c r="O1793" s="74"/>
      <c r="P1793" s="80"/>
      <c r="Q1793" s="79"/>
      <c r="R1793" s="80"/>
      <c r="S1793" s="80" t="s">
        <v>11214</v>
      </c>
      <c r="T1793" s="101" t="s">
        <v>332</v>
      </c>
      <c r="U1793" s="80" t="s">
        <v>332</v>
      </c>
      <c r="V1793" s="102" t="s">
        <v>429</v>
      </c>
      <c r="W1793" s="79" t="s">
        <v>309</v>
      </c>
      <c r="X1793" s="79" t="s">
        <v>309</v>
      </c>
      <c r="Y1793" s="79" t="s">
        <v>309</v>
      </c>
      <c r="Z1793" s="79"/>
    </row>
    <row r="1794" ht="15.75" customHeight="1">
      <c r="A1794" s="76" t="s">
        <v>247</v>
      </c>
      <c r="B1794" s="77" t="s">
        <v>2640</v>
      </c>
      <c r="C1794" s="80">
        <v>3.0714532215E10</v>
      </c>
      <c r="D1794" s="119" t="s">
        <v>264</v>
      </c>
      <c r="E1794" s="79" t="s">
        <v>2400</v>
      </c>
      <c r="F1794" s="44">
        <v>9061.0</v>
      </c>
      <c r="G1794" s="79" t="s">
        <v>175</v>
      </c>
      <c r="H1794" s="80">
        <v>1657.0</v>
      </c>
      <c r="I1794" s="79">
        <v>222090.0</v>
      </c>
      <c r="J1794" s="83" t="s">
        <v>568</v>
      </c>
      <c r="K1794" s="77" t="s">
        <v>569</v>
      </c>
      <c r="L1794" s="79" t="s">
        <v>453</v>
      </c>
      <c r="M1794" s="79"/>
      <c r="N1794" s="79">
        <v>77.0</v>
      </c>
      <c r="O1794" s="74" t="s">
        <v>11215</v>
      </c>
      <c r="P1794" s="78" t="s">
        <v>11216</v>
      </c>
      <c r="Q1794" s="77" t="s">
        <v>11217</v>
      </c>
      <c r="R1794" s="80"/>
      <c r="S1794" s="80" t="s">
        <v>11218</v>
      </c>
      <c r="T1794" s="101" t="s">
        <v>11220</v>
      </c>
      <c r="U1794" s="80" t="s">
        <v>11221</v>
      </c>
      <c r="V1794" s="102" t="s">
        <v>11222</v>
      </c>
      <c r="W1794" s="79" t="s">
        <v>309</v>
      </c>
      <c r="X1794" s="79" t="s">
        <v>309</v>
      </c>
      <c r="Y1794" s="79" t="s">
        <v>309</v>
      </c>
      <c r="Z1794" s="79"/>
    </row>
    <row r="1795" ht="15.75" customHeight="1">
      <c r="A1795" s="76" t="s">
        <v>247</v>
      </c>
      <c r="B1795" s="77" t="s">
        <v>8676</v>
      </c>
      <c r="C1795" s="80">
        <v>3.0701157695E10</v>
      </c>
      <c r="D1795" s="119" t="s">
        <v>264</v>
      </c>
      <c r="E1795" s="119" t="s">
        <v>1422</v>
      </c>
      <c r="F1795" s="44">
        <v>608.0</v>
      </c>
      <c r="G1795" s="79" t="s">
        <v>269</v>
      </c>
      <c r="H1795" s="80">
        <v>1682.0</v>
      </c>
      <c r="I1795" s="79">
        <v>181200.0</v>
      </c>
      <c r="J1795" s="74" t="s">
        <v>433</v>
      </c>
      <c r="K1795" s="79" t="s">
        <v>1833</v>
      </c>
      <c r="L1795" s="79"/>
      <c r="M1795" s="79"/>
      <c r="N1795" s="79">
        <v>7.0</v>
      </c>
      <c r="O1795" s="74"/>
      <c r="P1795" s="80"/>
      <c r="Q1795" s="79" t="s">
        <v>11223</v>
      </c>
      <c r="R1795" s="80"/>
      <c r="S1795" s="78" t="s">
        <v>11224</v>
      </c>
      <c r="T1795" s="101" t="s">
        <v>11225</v>
      </c>
      <c r="U1795" s="80"/>
      <c r="V1795" s="102" t="s">
        <v>11226</v>
      </c>
      <c r="W1795" s="79" t="s">
        <v>306</v>
      </c>
      <c r="X1795" s="79" t="s">
        <v>306</v>
      </c>
      <c r="Y1795" s="79" t="s">
        <v>309</v>
      </c>
      <c r="Z1795" s="79"/>
    </row>
    <row r="1796" ht="15.75" customHeight="1">
      <c r="A1796" s="103" t="s">
        <v>24</v>
      </c>
      <c r="B1796" s="77" t="s">
        <v>11228</v>
      </c>
      <c r="C1796" s="80">
        <v>3.0504845466E10</v>
      </c>
      <c r="D1796" s="119" t="s">
        <v>264</v>
      </c>
      <c r="E1796" s="79" t="s">
        <v>1785</v>
      </c>
      <c r="F1796" s="44">
        <v>4281.0</v>
      </c>
      <c r="G1796" s="79" t="s">
        <v>68</v>
      </c>
      <c r="H1796" s="80">
        <v>1702.0</v>
      </c>
      <c r="I1796" s="79">
        <v>242909.0</v>
      </c>
      <c r="J1796" s="74" t="s">
        <v>316</v>
      </c>
      <c r="K1796" s="77" t="s">
        <v>9772</v>
      </c>
      <c r="L1796" s="79"/>
      <c r="M1796" s="79"/>
      <c r="N1796" s="79">
        <v>0.0</v>
      </c>
      <c r="O1796" s="74"/>
      <c r="P1796" s="114"/>
      <c r="Q1796" s="79"/>
      <c r="R1796" s="80"/>
      <c r="S1796" s="80" t="s">
        <v>11229</v>
      </c>
      <c r="T1796" s="101" t="s">
        <v>332</v>
      </c>
      <c r="U1796" s="80"/>
      <c r="V1796" s="102" t="s">
        <v>429</v>
      </c>
      <c r="W1796" s="79" t="s">
        <v>309</v>
      </c>
      <c r="X1796" s="79" t="s">
        <v>309</v>
      </c>
      <c r="Y1796" s="79" t="s">
        <v>309</v>
      </c>
      <c r="Z1796" s="79"/>
    </row>
    <row r="1797" ht="15.75" customHeight="1">
      <c r="A1797" s="76" t="s">
        <v>247</v>
      </c>
      <c r="B1797" s="77" t="s">
        <v>8682</v>
      </c>
      <c r="C1797" s="80">
        <v>3.0708430389E10</v>
      </c>
      <c r="D1797" s="79" t="s">
        <v>264</v>
      </c>
      <c r="E1797" s="79" t="s">
        <v>2007</v>
      </c>
      <c r="F1797" s="44">
        <v>4329.0</v>
      </c>
      <c r="G1797" s="79" t="s">
        <v>15</v>
      </c>
      <c r="H1797" s="80">
        <v>1678.0</v>
      </c>
      <c r="I1797" s="79">
        <v>329020.0</v>
      </c>
      <c r="J1797" s="74" t="s">
        <v>313</v>
      </c>
      <c r="K1797" s="79" t="s">
        <v>4013</v>
      </c>
      <c r="L1797" s="79"/>
      <c r="M1797" s="79"/>
      <c r="N1797" s="79">
        <v>11.0</v>
      </c>
      <c r="O1797" s="74"/>
      <c r="P1797" s="80"/>
      <c r="Q1797" s="79" t="s">
        <v>11232</v>
      </c>
      <c r="R1797" s="80"/>
      <c r="S1797" s="78" t="s">
        <v>11233</v>
      </c>
      <c r="T1797" s="101" t="s">
        <v>332</v>
      </c>
      <c r="U1797" s="80" t="s">
        <v>332</v>
      </c>
      <c r="V1797" s="102" t="s">
        <v>11234</v>
      </c>
      <c r="W1797" s="79" t="s">
        <v>309</v>
      </c>
      <c r="X1797" s="79" t="s">
        <v>309</v>
      </c>
      <c r="Y1797" s="79" t="s">
        <v>309</v>
      </c>
      <c r="Z1797" s="79"/>
    </row>
    <row r="1798" ht="15.75" customHeight="1">
      <c r="A1798" s="76" t="s">
        <v>247</v>
      </c>
      <c r="B1798" s="77" t="s">
        <v>2647</v>
      </c>
      <c r="C1798" s="80">
        <v>3.071015195E10</v>
      </c>
      <c r="D1798" s="79" t="s">
        <v>264</v>
      </c>
      <c r="E1798" s="79" t="s">
        <v>2443</v>
      </c>
      <c r="F1798" s="44">
        <v>1225.0</v>
      </c>
      <c r="G1798" s="79" t="s">
        <v>68</v>
      </c>
      <c r="H1798" s="80">
        <v>1702.0</v>
      </c>
      <c r="I1798" s="79">
        <v>274000.0</v>
      </c>
      <c r="J1798" s="74" t="s">
        <v>347</v>
      </c>
      <c r="K1798" s="79" t="s">
        <v>2067</v>
      </c>
      <c r="L1798" s="79" t="s">
        <v>369</v>
      </c>
      <c r="M1798" s="79" t="s">
        <v>11236</v>
      </c>
      <c r="N1798" s="79">
        <v>7.0</v>
      </c>
      <c r="O1798" s="74" t="s">
        <v>11237</v>
      </c>
      <c r="P1798" s="207" t="s">
        <v>11238</v>
      </c>
      <c r="Q1798" s="79"/>
      <c r="R1798" s="80"/>
      <c r="S1798" s="80" t="s">
        <v>11240</v>
      </c>
      <c r="T1798" s="85" t="s">
        <v>11241</v>
      </c>
      <c r="U1798" s="200"/>
      <c r="V1798" s="102" t="s">
        <v>11242</v>
      </c>
      <c r="W1798" s="79" t="s">
        <v>309</v>
      </c>
      <c r="X1798" s="79" t="s">
        <v>309</v>
      </c>
      <c r="Y1798" s="79" t="s">
        <v>309</v>
      </c>
      <c r="Z1798" s="79"/>
    </row>
    <row r="1799" ht="15.75" customHeight="1">
      <c r="A1799" s="76" t="s">
        <v>247</v>
      </c>
      <c r="B1799" s="77" t="s">
        <v>8689</v>
      </c>
      <c r="C1799" s="80">
        <v>3.071063733E10</v>
      </c>
      <c r="D1799" s="119" t="s">
        <v>264</v>
      </c>
      <c r="E1799" s="77" t="s">
        <v>503</v>
      </c>
      <c r="F1799" s="44">
        <v>2975.0</v>
      </c>
      <c r="G1799" s="79" t="s">
        <v>68</v>
      </c>
      <c r="H1799" s="80">
        <v>1702.0</v>
      </c>
      <c r="I1799" s="79">
        <v>222010.0</v>
      </c>
      <c r="J1799" s="83" t="s">
        <v>568</v>
      </c>
      <c r="K1799" s="79" t="s">
        <v>1170</v>
      </c>
      <c r="L1799" s="79" t="s">
        <v>453</v>
      </c>
      <c r="M1799" s="79"/>
      <c r="N1799" s="79">
        <v>6.0</v>
      </c>
      <c r="O1799" s="74"/>
      <c r="P1799" s="80"/>
      <c r="Q1799" s="79"/>
      <c r="R1799" s="80"/>
      <c r="S1799" s="80" t="s">
        <v>11244</v>
      </c>
      <c r="T1799" s="101"/>
      <c r="U1799" s="80" t="s">
        <v>332</v>
      </c>
      <c r="V1799" s="102" t="s">
        <v>429</v>
      </c>
      <c r="W1799" s="79" t="s">
        <v>306</v>
      </c>
      <c r="X1799" s="79" t="s">
        <v>306</v>
      </c>
      <c r="Y1799" s="79" t="s">
        <v>309</v>
      </c>
      <c r="Z1799" s="79"/>
    </row>
    <row r="1800" ht="15.75" customHeight="1">
      <c r="A1800" s="76" t="s">
        <v>247</v>
      </c>
      <c r="B1800" s="77" t="s">
        <v>8692</v>
      </c>
      <c r="C1800" s="80">
        <v>3.0711261202E10</v>
      </c>
      <c r="D1800" s="119" t="s">
        <v>264</v>
      </c>
      <c r="E1800" s="79" t="s">
        <v>2089</v>
      </c>
      <c r="F1800" s="44">
        <v>4773.0</v>
      </c>
      <c r="G1800" s="79" t="s">
        <v>68</v>
      </c>
      <c r="H1800" s="80">
        <v>1702.0</v>
      </c>
      <c r="I1800" s="79">
        <v>131209.0</v>
      </c>
      <c r="J1800" s="74" t="s">
        <v>448</v>
      </c>
      <c r="K1800" s="77" t="s">
        <v>3454</v>
      </c>
      <c r="L1800" s="79"/>
      <c r="M1800" s="79"/>
      <c r="N1800" s="79">
        <v>4.0</v>
      </c>
      <c r="O1800" s="74"/>
      <c r="P1800" s="80"/>
      <c r="Q1800" s="79"/>
      <c r="R1800" s="80"/>
      <c r="S1800" s="80" t="s">
        <v>11245</v>
      </c>
      <c r="T1800" s="101" t="s">
        <v>332</v>
      </c>
      <c r="U1800" s="80"/>
      <c r="V1800" s="102" t="s">
        <v>11247</v>
      </c>
      <c r="W1800" s="79" t="s">
        <v>306</v>
      </c>
      <c r="X1800" s="79" t="s">
        <v>306</v>
      </c>
      <c r="Y1800" s="79" t="s">
        <v>309</v>
      </c>
      <c r="Z1800" s="79"/>
    </row>
    <row r="1801" ht="15.75" customHeight="1">
      <c r="A1801" s="76" t="s">
        <v>247</v>
      </c>
      <c r="B1801" s="77" t="s">
        <v>8694</v>
      </c>
      <c r="C1801" s="80">
        <v>3.3714607869E10</v>
      </c>
      <c r="D1801" s="119" t="s">
        <v>264</v>
      </c>
      <c r="E1801" s="79" t="s">
        <v>1726</v>
      </c>
      <c r="F1801" s="44">
        <v>3560.0</v>
      </c>
      <c r="G1801" s="79" t="s">
        <v>15</v>
      </c>
      <c r="H1801" s="80">
        <v>1678.0</v>
      </c>
      <c r="I1801" s="79">
        <v>139100.0</v>
      </c>
      <c r="J1801" s="74" t="s">
        <v>448</v>
      </c>
      <c r="K1801" s="79" t="s">
        <v>2770</v>
      </c>
      <c r="L1801" s="79" t="s">
        <v>453</v>
      </c>
      <c r="M1801" s="79" t="s">
        <v>11248</v>
      </c>
      <c r="N1801" s="79">
        <v>0.0</v>
      </c>
      <c r="O1801" s="74" t="s">
        <v>11250</v>
      </c>
      <c r="P1801" s="80"/>
      <c r="Q1801" s="79"/>
      <c r="R1801" s="80"/>
      <c r="S1801" s="80" t="s">
        <v>11251</v>
      </c>
      <c r="T1801" s="101" t="s">
        <v>332</v>
      </c>
      <c r="U1801" s="80" t="s">
        <v>332</v>
      </c>
      <c r="V1801" s="102" t="s">
        <v>429</v>
      </c>
      <c r="W1801" s="79" t="s">
        <v>306</v>
      </c>
      <c r="X1801" s="79" t="s">
        <v>306</v>
      </c>
      <c r="Y1801" s="79" t="s">
        <v>309</v>
      </c>
      <c r="Z1801" s="79"/>
    </row>
    <row r="1802" ht="15.75" customHeight="1">
      <c r="A1802" s="103" t="s">
        <v>24</v>
      </c>
      <c r="B1802" s="77" t="s">
        <v>11252</v>
      </c>
      <c r="C1802" s="80">
        <v>3.0707399275E10</v>
      </c>
      <c r="D1802" s="119" t="s">
        <v>264</v>
      </c>
      <c r="E1802" s="79" t="s">
        <v>1095</v>
      </c>
      <c r="F1802" s="44">
        <v>3355.0</v>
      </c>
      <c r="G1802" s="79" t="s">
        <v>15</v>
      </c>
      <c r="H1802" s="80">
        <v>1678.0</v>
      </c>
      <c r="I1802" s="77">
        <v>131209.0</v>
      </c>
      <c r="J1802" s="74" t="s">
        <v>448</v>
      </c>
      <c r="K1802" s="77" t="s">
        <v>3454</v>
      </c>
      <c r="L1802" s="79"/>
      <c r="M1802" s="79"/>
      <c r="N1802" s="79">
        <v>4.0</v>
      </c>
      <c r="O1802" s="74"/>
      <c r="P1802" s="80"/>
      <c r="Q1802" s="79"/>
      <c r="R1802" s="80"/>
      <c r="S1802" s="80" t="s">
        <v>11254</v>
      </c>
      <c r="T1802" s="276" t="s">
        <v>11255</v>
      </c>
      <c r="U1802" s="204" t="s">
        <v>11256</v>
      </c>
      <c r="V1802" s="102" t="s">
        <v>429</v>
      </c>
      <c r="W1802" s="79" t="s">
        <v>309</v>
      </c>
      <c r="X1802" s="79" t="s">
        <v>309</v>
      </c>
      <c r="Y1802" s="79"/>
      <c r="Z1802" s="79"/>
    </row>
    <row r="1803" ht="15.75" customHeight="1">
      <c r="A1803" s="76" t="s">
        <v>247</v>
      </c>
      <c r="B1803" s="77" t="s">
        <v>8698</v>
      </c>
      <c r="C1803" s="80">
        <v>3.0708765658E10</v>
      </c>
      <c r="D1803" s="119" t="s">
        <v>264</v>
      </c>
      <c r="E1803" s="79" t="s">
        <v>2246</v>
      </c>
      <c r="F1803" s="44">
        <v>4457.0</v>
      </c>
      <c r="G1803" s="79" t="s">
        <v>15</v>
      </c>
      <c r="H1803" s="80">
        <v>1678.0</v>
      </c>
      <c r="I1803" s="79">
        <v>139900.0</v>
      </c>
      <c r="J1803" s="74" t="s">
        <v>448</v>
      </c>
      <c r="K1803" s="77" t="s">
        <v>1760</v>
      </c>
      <c r="L1803" s="79" t="s">
        <v>453</v>
      </c>
      <c r="M1803" s="79" t="s">
        <v>11257</v>
      </c>
      <c r="N1803" s="79">
        <v>12.0</v>
      </c>
      <c r="O1803" s="74"/>
      <c r="P1803" s="80"/>
      <c r="Q1803" s="79"/>
      <c r="R1803" s="78" t="s">
        <v>11258</v>
      </c>
      <c r="S1803" s="80" t="s">
        <v>11259</v>
      </c>
      <c r="T1803" s="85" t="s">
        <v>11260</v>
      </c>
      <c r="U1803" s="78" t="s">
        <v>11261</v>
      </c>
      <c r="V1803" s="102" t="s">
        <v>11262</v>
      </c>
      <c r="W1803" s="79" t="s">
        <v>309</v>
      </c>
      <c r="X1803" s="79" t="s">
        <v>309</v>
      </c>
      <c r="Y1803" s="79" t="s">
        <v>309</v>
      </c>
      <c r="Z1803" s="79"/>
    </row>
    <row r="1804" ht="15.75" customHeight="1">
      <c r="A1804" s="76" t="s">
        <v>247</v>
      </c>
      <c r="B1804" s="77" t="s">
        <v>8704</v>
      </c>
      <c r="C1804" s="80">
        <v>3.0593280655E10</v>
      </c>
      <c r="D1804" s="119" t="s">
        <v>264</v>
      </c>
      <c r="E1804" s="79" t="s">
        <v>3377</v>
      </c>
      <c r="F1804" s="44">
        <v>9485.0</v>
      </c>
      <c r="G1804" s="79" t="s">
        <v>119</v>
      </c>
      <c r="H1804" s="80">
        <v>1657.0</v>
      </c>
      <c r="I1804" s="79">
        <v>259991.0</v>
      </c>
      <c r="J1804" s="74" t="s">
        <v>448</v>
      </c>
      <c r="K1804" s="79" t="s">
        <v>6119</v>
      </c>
      <c r="L1804" s="79"/>
      <c r="M1804" s="77" t="s">
        <v>11264</v>
      </c>
      <c r="N1804" s="79">
        <v>2.0</v>
      </c>
      <c r="O1804" s="74"/>
      <c r="P1804" s="80"/>
      <c r="Q1804" s="79"/>
      <c r="R1804" s="80"/>
      <c r="S1804" s="78" t="s">
        <v>11265</v>
      </c>
      <c r="T1804" s="85" t="s">
        <v>11266</v>
      </c>
      <c r="U1804" s="80" t="s">
        <v>332</v>
      </c>
      <c r="V1804" s="98" t="s">
        <v>11267</v>
      </c>
      <c r="W1804" s="79" t="s">
        <v>309</v>
      </c>
      <c r="X1804" s="79" t="s">
        <v>309</v>
      </c>
      <c r="Y1804" s="79" t="s">
        <v>309</v>
      </c>
      <c r="Z1804" s="79"/>
    </row>
    <row r="1805" ht="15.75" customHeight="1">
      <c r="A1805" s="76" t="s">
        <v>247</v>
      </c>
      <c r="B1805" s="79" t="s">
        <v>8708</v>
      </c>
      <c r="C1805" s="80">
        <v>2.7127132858E10</v>
      </c>
      <c r="D1805" s="77" t="s">
        <v>631</v>
      </c>
      <c r="E1805" s="77" t="s">
        <v>11269</v>
      </c>
      <c r="F1805" s="44">
        <v>2367.0</v>
      </c>
      <c r="G1805" s="79" t="s">
        <v>285</v>
      </c>
      <c r="H1805" s="80">
        <v>1674.0</v>
      </c>
      <c r="I1805" s="79">
        <v>202320.0</v>
      </c>
      <c r="J1805" s="74" t="s">
        <v>142</v>
      </c>
      <c r="K1805" s="77" t="s">
        <v>11270</v>
      </c>
      <c r="L1805" s="79"/>
      <c r="M1805" s="79" t="s">
        <v>11271</v>
      </c>
      <c r="N1805" s="79"/>
      <c r="O1805" s="74"/>
      <c r="P1805" s="80"/>
      <c r="Q1805" s="79"/>
      <c r="R1805" s="80"/>
      <c r="S1805" s="80" t="s">
        <v>11272</v>
      </c>
      <c r="T1805" s="101"/>
      <c r="U1805" s="80"/>
      <c r="V1805" s="102" t="s">
        <v>429</v>
      </c>
      <c r="W1805" s="79"/>
      <c r="X1805" s="79"/>
      <c r="Y1805" s="79"/>
      <c r="Z1805" s="79"/>
    </row>
    <row r="1806" ht="15.0" customHeight="1">
      <c r="A1806" s="76" t="s">
        <v>247</v>
      </c>
      <c r="B1806" s="77" t="s">
        <v>8712</v>
      </c>
      <c r="C1806" s="80">
        <v>3.0559294469E10</v>
      </c>
      <c r="D1806" s="79" t="s">
        <v>264</v>
      </c>
      <c r="E1806" s="77" t="s">
        <v>1927</v>
      </c>
      <c r="F1806" s="44">
        <v>1872.0</v>
      </c>
      <c r="G1806" s="79" t="s">
        <v>97</v>
      </c>
      <c r="H1806" s="80">
        <v>1702.0</v>
      </c>
      <c r="I1806" s="79">
        <v>310010.0</v>
      </c>
      <c r="J1806" s="74" t="s">
        <v>347</v>
      </c>
      <c r="K1806" s="79" t="s">
        <v>1438</v>
      </c>
      <c r="L1806" s="79" t="s">
        <v>286</v>
      </c>
      <c r="M1806" s="79" t="s">
        <v>7429</v>
      </c>
      <c r="N1806" s="79">
        <v>7.0</v>
      </c>
      <c r="O1806" s="74" t="s">
        <v>11274</v>
      </c>
      <c r="P1806" s="80"/>
      <c r="Q1806" s="79" t="s">
        <v>11275</v>
      </c>
      <c r="R1806" s="80"/>
      <c r="S1806" s="80" t="s">
        <v>11062</v>
      </c>
      <c r="T1806" s="101" t="s">
        <v>11276</v>
      </c>
      <c r="U1806" s="80"/>
      <c r="V1806" s="102" t="s">
        <v>11277</v>
      </c>
      <c r="W1806" s="79" t="s">
        <v>309</v>
      </c>
      <c r="X1806" s="79" t="s">
        <v>309</v>
      </c>
      <c r="Y1806" s="79" t="s">
        <v>309</v>
      </c>
      <c r="Z1806" s="79"/>
    </row>
    <row r="1807" ht="15.75" customHeight="1">
      <c r="A1807" s="76" t="s">
        <v>247</v>
      </c>
      <c r="B1807" s="77" t="s">
        <v>8716</v>
      </c>
      <c r="C1807" s="80">
        <v>3.3697672279E10</v>
      </c>
      <c r="D1807" s="119" t="s">
        <v>264</v>
      </c>
      <c r="E1807" s="79" t="s">
        <v>2312</v>
      </c>
      <c r="F1807" s="44">
        <v>5641.0</v>
      </c>
      <c r="G1807" s="79" t="s">
        <v>15</v>
      </c>
      <c r="H1807" s="80">
        <v>1678.0</v>
      </c>
      <c r="I1807" s="79">
        <v>410011.0</v>
      </c>
      <c r="J1807" s="74" t="s">
        <v>125</v>
      </c>
      <c r="K1807" s="79" t="s">
        <v>1829</v>
      </c>
      <c r="L1807" s="79" t="s">
        <v>453</v>
      </c>
      <c r="M1807" s="77" t="s">
        <v>11279</v>
      </c>
      <c r="N1807" s="79">
        <v>29.0</v>
      </c>
      <c r="O1807" s="380" t="s">
        <v>11280</v>
      </c>
      <c r="P1807" s="380">
        <v>1.567203187E9</v>
      </c>
      <c r="Q1807" s="79"/>
      <c r="R1807" s="80"/>
      <c r="S1807" s="80" t="s">
        <v>11281</v>
      </c>
      <c r="T1807" s="101" t="s">
        <v>11282</v>
      </c>
      <c r="U1807" s="80"/>
      <c r="V1807" s="102" t="s">
        <v>11283</v>
      </c>
      <c r="W1807" s="79" t="s">
        <v>309</v>
      </c>
      <c r="X1807" s="79" t="s">
        <v>309</v>
      </c>
      <c r="Y1807" s="79" t="s">
        <v>309</v>
      </c>
      <c r="Z1807" s="79"/>
    </row>
    <row r="1808" ht="15.75" customHeight="1">
      <c r="A1808" s="76" t="s">
        <v>247</v>
      </c>
      <c r="B1808" s="77" t="s">
        <v>11284</v>
      </c>
      <c r="C1808" s="80">
        <v>3.0707247947E10</v>
      </c>
      <c r="D1808" s="119" t="s">
        <v>264</v>
      </c>
      <c r="E1808" s="77" t="s">
        <v>943</v>
      </c>
      <c r="F1808" s="44">
        <v>4708.0</v>
      </c>
      <c r="G1808" s="79" t="s">
        <v>68</v>
      </c>
      <c r="H1808" s="80">
        <v>1702.0</v>
      </c>
      <c r="I1808" s="79">
        <v>222090.0</v>
      </c>
      <c r="J1808" s="83" t="s">
        <v>568</v>
      </c>
      <c r="K1808" s="77" t="s">
        <v>569</v>
      </c>
      <c r="L1808" s="79" t="s">
        <v>453</v>
      </c>
      <c r="M1808" s="79"/>
      <c r="N1808" s="79">
        <v>15.0</v>
      </c>
      <c r="O1808" s="74"/>
      <c r="P1808" s="80"/>
      <c r="Q1808" s="79"/>
      <c r="R1808" s="80"/>
      <c r="S1808" s="78" t="s">
        <v>11286</v>
      </c>
      <c r="T1808" s="85" t="s">
        <v>11287</v>
      </c>
      <c r="U1808" s="78" t="s">
        <v>11288</v>
      </c>
      <c r="V1808" s="102" t="s">
        <v>429</v>
      </c>
      <c r="W1808" s="79" t="s">
        <v>309</v>
      </c>
      <c r="X1808" s="79" t="s">
        <v>309</v>
      </c>
      <c r="Y1808" s="79" t="s">
        <v>309</v>
      </c>
      <c r="Z1808" s="79"/>
    </row>
    <row r="1809" ht="15.75" customHeight="1">
      <c r="A1809" s="76" t="s">
        <v>247</v>
      </c>
      <c r="B1809" s="77" t="s">
        <v>2654</v>
      </c>
      <c r="C1809" s="80">
        <v>3.0505488004E10</v>
      </c>
      <c r="D1809" s="79" t="s">
        <v>264</v>
      </c>
      <c r="E1809" s="79" t="s">
        <v>1944</v>
      </c>
      <c r="F1809" s="44">
        <v>1351.0</v>
      </c>
      <c r="G1809" s="79" t="s">
        <v>68</v>
      </c>
      <c r="H1809" s="80">
        <v>1702.0</v>
      </c>
      <c r="I1809" s="79">
        <v>222010.0</v>
      </c>
      <c r="J1809" s="83" t="s">
        <v>568</v>
      </c>
      <c r="K1809" s="79" t="s">
        <v>4773</v>
      </c>
      <c r="L1809" s="79" t="s">
        <v>453</v>
      </c>
      <c r="M1809" s="79"/>
      <c r="N1809" s="79">
        <v>132.0</v>
      </c>
      <c r="O1809" s="129" t="s">
        <v>11290</v>
      </c>
      <c r="P1809" s="85" t="s">
        <v>11291</v>
      </c>
      <c r="Q1809" s="144" t="s">
        <v>11292</v>
      </c>
      <c r="R1809" s="78" t="s">
        <v>11293</v>
      </c>
      <c r="S1809" s="80" t="s">
        <v>11294</v>
      </c>
      <c r="T1809" s="101" t="s">
        <v>11295</v>
      </c>
      <c r="U1809" s="80" t="s">
        <v>11296</v>
      </c>
      <c r="V1809" s="102" t="s">
        <v>11297</v>
      </c>
      <c r="W1809" s="79" t="s">
        <v>309</v>
      </c>
      <c r="X1809" s="79" t="s">
        <v>309</v>
      </c>
      <c r="Y1809" s="79" t="s">
        <v>309</v>
      </c>
      <c r="Z1809" s="79"/>
    </row>
    <row r="1810" ht="15.75" customHeight="1">
      <c r="A1810" s="76" t="s">
        <v>247</v>
      </c>
      <c r="B1810" s="119" t="s">
        <v>8728</v>
      </c>
      <c r="C1810" s="80">
        <v>3.0709017035E10</v>
      </c>
      <c r="D1810" s="79" t="s">
        <v>264</v>
      </c>
      <c r="E1810" s="79" t="s">
        <v>1212</v>
      </c>
      <c r="F1810" s="44">
        <v>3640.0</v>
      </c>
      <c r="G1810" s="79" t="s">
        <v>68</v>
      </c>
      <c r="H1810" s="80">
        <v>1702.0</v>
      </c>
      <c r="I1810" s="176">
        <v>241009.0</v>
      </c>
      <c r="J1810" s="74" t="s">
        <v>337</v>
      </c>
      <c r="K1810" s="77" t="s">
        <v>11134</v>
      </c>
      <c r="L1810" s="79"/>
      <c r="M1810" s="79"/>
      <c r="N1810" s="79"/>
      <c r="O1810" s="79"/>
      <c r="P1810" s="80"/>
      <c r="Q1810" s="79"/>
      <c r="R1810" s="80"/>
      <c r="S1810" s="80" t="s">
        <v>11299</v>
      </c>
      <c r="T1810" s="101" t="s">
        <v>11300</v>
      </c>
      <c r="U1810" s="240" t="s">
        <v>11301</v>
      </c>
      <c r="V1810" s="102" t="s">
        <v>11302</v>
      </c>
      <c r="W1810" s="79"/>
      <c r="X1810" s="79"/>
      <c r="Y1810" s="79"/>
      <c r="Z1810" s="79"/>
    </row>
    <row r="1811" ht="15.75" customHeight="1">
      <c r="A1811" s="103" t="s">
        <v>24</v>
      </c>
      <c r="B1811" s="77" t="s">
        <v>11303</v>
      </c>
      <c r="C1811" s="80">
        <v>3.0685247263E10</v>
      </c>
      <c r="D1811" s="119" t="s">
        <v>264</v>
      </c>
      <c r="E1811" s="79" t="s">
        <v>10220</v>
      </c>
      <c r="F1811" s="44">
        <v>1260.0</v>
      </c>
      <c r="G1811" s="79" t="s">
        <v>269</v>
      </c>
      <c r="H1811" s="80">
        <v>1682.0</v>
      </c>
      <c r="I1811" s="79">
        <v>291900.0</v>
      </c>
      <c r="J1811" s="74" t="s">
        <v>347</v>
      </c>
      <c r="K1811" s="77" t="s">
        <v>11304</v>
      </c>
      <c r="L1811" s="79" t="s">
        <v>662</v>
      </c>
      <c r="M1811" s="79"/>
      <c r="N1811" s="79">
        <v>0.0</v>
      </c>
      <c r="O1811" s="74"/>
      <c r="P1811" s="80"/>
      <c r="Q1811" s="79"/>
      <c r="R1811" s="80"/>
      <c r="S1811" s="80" t="s">
        <v>11306</v>
      </c>
      <c r="T1811" s="101" t="s">
        <v>11307</v>
      </c>
      <c r="U1811" s="80" t="s">
        <v>11308</v>
      </c>
      <c r="V1811" s="102" t="s">
        <v>429</v>
      </c>
      <c r="W1811" s="79" t="s">
        <v>309</v>
      </c>
      <c r="X1811" s="79" t="s">
        <v>309</v>
      </c>
      <c r="Y1811" s="79"/>
      <c r="Z1811" s="79"/>
    </row>
    <row r="1812" ht="15.75" customHeight="1">
      <c r="A1812" s="103" t="s">
        <v>24</v>
      </c>
      <c r="B1812" s="77" t="s">
        <v>11309</v>
      </c>
      <c r="C1812" s="80">
        <v>3.0708857366E10</v>
      </c>
      <c r="D1812" s="119" t="s">
        <v>264</v>
      </c>
      <c r="E1812" s="77" t="s">
        <v>7611</v>
      </c>
      <c r="F1812" s="44">
        <v>790.0</v>
      </c>
      <c r="G1812" s="79" t="s">
        <v>68</v>
      </c>
      <c r="H1812" s="80">
        <v>1702.0</v>
      </c>
      <c r="I1812" s="79">
        <v>139100.0</v>
      </c>
      <c r="J1812" s="74" t="s">
        <v>448</v>
      </c>
      <c r="K1812" s="79" t="s">
        <v>2770</v>
      </c>
      <c r="L1812" s="79"/>
      <c r="M1812" s="79"/>
      <c r="N1812" s="79">
        <v>7.0</v>
      </c>
      <c r="O1812" s="74"/>
      <c r="P1812" s="80"/>
      <c r="Q1812" s="79"/>
      <c r="R1812" s="80"/>
      <c r="S1812" s="80" t="s">
        <v>11312</v>
      </c>
      <c r="T1812" s="101" t="s">
        <v>332</v>
      </c>
      <c r="U1812" s="80" t="s">
        <v>332</v>
      </c>
      <c r="V1812" s="102" t="s">
        <v>429</v>
      </c>
      <c r="W1812" s="79" t="s">
        <v>306</v>
      </c>
      <c r="X1812" s="79" t="s">
        <v>306</v>
      </c>
      <c r="Y1812" s="79"/>
      <c r="Z1812" s="79"/>
    </row>
    <row r="1813" ht="15.75" customHeight="1">
      <c r="A1813" s="76" t="s">
        <v>247</v>
      </c>
      <c r="B1813" s="77" t="s">
        <v>2659</v>
      </c>
      <c r="C1813" s="80">
        <v>3.0683018135E10</v>
      </c>
      <c r="D1813" s="119" t="s">
        <v>264</v>
      </c>
      <c r="E1813" s="79" t="s">
        <v>442</v>
      </c>
      <c r="F1813" s="44">
        <v>3679.0</v>
      </c>
      <c r="G1813" s="79" t="s">
        <v>68</v>
      </c>
      <c r="H1813" s="80">
        <v>1702.0</v>
      </c>
      <c r="I1813" s="79">
        <v>131209.0</v>
      </c>
      <c r="J1813" s="74" t="s">
        <v>448</v>
      </c>
      <c r="K1813" s="77" t="s">
        <v>3454</v>
      </c>
      <c r="L1813" s="79"/>
      <c r="M1813" s="79"/>
      <c r="N1813" s="79">
        <v>7.0</v>
      </c>
      <c r="O1813" s="74"/>
      <c r="P1813" s="80"/>
      <c r="Q1813" s="79"/>
      <c r="R1813" s="80"/>
      <c r="S1813" s="80" t="s">
        <v>11313</v>
      </c>
      <c r="T1813" s="85" t="s">
        <v>11314</v>
      </c>
      <c r="U1813" s="80"/>
      <c r="V1813" s="102" t="s">
        <v>11315</v>
      </c>
      <c r="W1813" s="79" t="s">
        <v>309</v>
      </c>
      <c r="X1813" s="79" t="s">
        <v>309</v>
      </c>
      <c r="Y1813" s="79" t="s">
        <v>309</v>
      </c>
      <c r="Z1813" s="79"/>
    </row>
    <row r="1814" ht="15.75" customHeight="1">
      <c r="A1814" s="76" t="s">
        <v>247</v>
      </c>
      <c r="B1814" s="77" t="s">
        <v>8732</v>
      </c>
      <c r="C1814" s="80">
        <v>3.0663781347E10</v>
      </c>
      <c r="D1814" s="79" t="s">
        <v>264</v>
      </c>
      <c r="E1814" s="79" t="s">
        <v>1049</v>
      </c>
      <c r="F1814" s="44">
        <v>7291.0</v>
      </c>
      <c r="G1814" s="79" t="s">
        <v>269</v>
      </c>
      <c r="H1814" s="80">
        <v>1682.0</v>
      </c>
      <c r="I1814" s="79">
        <v>139209.0</v>
      </c>
      <c r="J1814" s="74" t="s">
        <v>448</v>
      </c>
      <c r="K1814" s="77" t="s">
        <v>539</v>
      </c>
      <c r="L1814" s="79" t="s">
        <v>1122</v>
      </c>
      <c r="M1814" s="79"/>
      <c r="N1814" s="79">
        <v>4.0</v>
      </c>
      <c r="O1814" s="74"/>
      <c r="P1814" s="80"/>
      <c r="Q1814" s="79"/>
      <c r="R1814" s="80"/>
      <c r="S1814" s="80" t="s">
        <v>5592</v>
      </c>
      <c r="T1814" s="101" t="s">
        <v>332</v>
      </c>
      <c r="U1814" s="80" t="s">
        <v>332</v>
      </c>
      <c r="V1814" s="102" t="s">
        <v>429</v>
      </c>
      <c r="W1814" s="79" t="s">
        <v>306</v>
      </c>
      <c r="X1814" s="79" t="s">
        <v>306</v>
      </c>
      <c r="Y1814" s="79" t="s">
        <v>309</v>
      </c>
      <c r="Z1814" s="79"/>
    </row>
    <row r="1815" ht="15.75" customHeight="1">
      <c r="A1815" s="76" t="s">
        <v>247</v>
      </c>
      <c r="B1815" s="77" t="s">
        <v>8741</v>
      </c>
      <c r="C1815" s="80">
        <v>3.0710906242E10</v>
      </c>
      <c r="D1815" s="119" t="s">
        <v>264</v>
      </c>
      <c r="E1815" s="77" t="s">
        <v>11316</v>
      </c>
      <c r="F1815" s="44">
        <v>2431.0</v>
      </c>
      <c r="G1815" s="79" t="s">
        <v>134</v>
      </c>
      <c r="H1815" s="80">
        <v>1682.0</v>
      </c>
      <c r="I1815" s="79">
        <v>131300.0</v>
      </c>
      <c r="J1815" s="74" t="s">
        <v>448</v>
      </c>
      <c r="K1815" s="79" t="s">
        <v>2680</v>
      </c>
      <c r="L1815" s="79"/>
      <c r="M1815" s="79"/>
      <c r="N1815" s="79">
        <v>26.0</v>
      </c>
      <c r="O1815" s="74"/>
      <c r="P1815" s="80"/>
      <c r="Q1815" s="79"/>
      <c r="R1815" s="80"/>
      <c r="S1815" s="78" t="s">
        <v>11317</v>
      </c>
      <c r="T1815" s="101" t="s">
        <v>332</v>
      </c>
      <c r="U1815" s="80"/>
      <c r="V1815" s="102" t="s">
        <v>429</v>
      </c>
      <c r="W1815" s="79" t="s">
        <v>309</v>
      </c>
      <c r="X1815" s="79" t="s">
        <v>309</v>
      </c>
      <c r="Y1815" s="79" t="s">
        <v>309</v>
      </c>
      <c r="Z1815" s="79"/>
    </row>
    <row r="1816" ht="15.75" customHeight="1">
      <c r="A1816" s="76" t="s">
        <v>247</v>
      </c>
      <c r="B1816" s="77" t="s">
        <v>2667</v>
      </c>
      <c r="C1816" s="80">
        <v>3.0620611979E10</v>
      </c>
      <c r="D1816" s="119" t="s">
        <v>264</v>
      </c>
      <c r="E1816" s="77" t="s">
        <v>7860</v>
      </c>
      <c r="F1816" s="44">
        <v>7005.0</v>
      </c>
      <c r="G1816" s="79" t="s">
        <v>119</v>
      </c>
      <c r="H1816" s="80">
        <v>1657.0</v>
      </c>
      <c r="I1816" s="79">
        <v>322016.0</v>
      </c>
      <c r="J1816" s="74" t="s">
        <v>448</v>
      </c>
      <c r="K1816" s="79" t="s">
        <v>11318</v>
      </c>
      <c r="L1816" s="79" t="s">
        <v>1122</v>
      </c>
      <c r="M1816" s="79"/>
      <c r="N1816" s="79">
        <v>0.0</v>
      </c>
      <c r="O1816" s="74"/>
      <c r="P1816" s="80"/>
      <c r="Q1816" s="79"/>
      <c r="R1816" s="80"/>
      <c r="S1816" s="80" t="s">
        <v>11319</v>
      </c>
      <c r="T1816" s="101" t="s">
        <v>11320</v>
      </c>
      <c r="U1816" s="80" t="s">
        <v>332</v>
      </c>
      <c r="V1816" s="102" t="s">
        <v>11321</v>
      </c>
      <c r="W1816" s="79" t="s">
        <v>306</v>
      </c>
      <c r="X1816" s="79" t="s">
        <v>306</v>
      </c>
      <c r="Y1816" s="79"/>
      <c r="Z1816" s="79"/>
    </row>
    <row r="1817" ht="15.75" customHeight="1">
      <c r="A1817" s="76" t="s">
        <v>247</v>
      </c>
      <c r="B1817" s="77" t="s">
        <v>2672</v>
      </c>
      <c r="C1817" s="80">
        <v>3.0564216514E10</v>
      </c>
      <c r="D1817" s="119" t="s">
        <v>264</v>
      </c>
      <c r="E1817" s="79" t="s">
        <v>2443</v>
      </c>
      <c r="F1817" s="44">
        <v>638.0</v>
      </c>
      <c r="G1817" s="79" t="s">
        <v>68</v>
      </c>
      <c r="H1817" s="80">
        <v>1702.0</v>
      </c>
      <c r="I1817" s="79">
        <v>131300.0</v>
      </c>
      <c r="J1817" s="74" t="s">
        <v>448</v>
      </c>
      <c r="K1817" s="79" t="s">
        <v>2680</v>
      </c>
      <c r="L1817" s="176"/>
      <c r="M1817" s="79"/>
      <c r="N1817" s="79">
        <v>15.0</v>
      </c>
      <c r="O1817" s="83" t="s">
        <v>11322</v>
      </c>
      <c r="P1817" s="78" t="s">
        <v>11323</v>
      </c>
      <c r="Q1817" s="77" t="s">
        <v>11324</v>
      </c>
      <c r="R1817" s="85" t="s">
        <v>11325</v>
      </c>
      <c r="S1817" s="80" t="s">
        <v>11326</v>
      </c>
      <c r="T1817" s="101" t="s">
        <v>11327</v>
      </c>
      <c r="U1817" s="80" t="s">
        <v>11328</v>
      </c>
      <c r="V1817" s="102" t="s">
        <v>11329</v>
      </c>
      <c r="W1817" s="79" t="s">
        <v>309</v>
      </c>
      <c r="X1817" s="79" t="s">
        <v>309</v>
      </c>
      <c r="Y1817" s="79" t="s">
        <v>309</v>
      </c>
      <c r="Z1817" s="79"/>
    </row>
    <row r="1818" ht="15.75" customHeight="1">
      <c r="A1818" s="76" t="s">
        <v>247</v>
      </c>
      <c r="B1818" s="77" t="s">
        <v>2679</v>
      </c>
      <c r="C1818" s="80">
        <v>3.0711812349E10</v>
      </c>
      <c r="D1818" s="119" t="s">
        <v>264</v>
      </c>
      <c r="E1818" s="126" t="s">
        <v>985</v>
      </c>
      <c r="F1818" s="44">
        <v>5030.0</v>
      </c>
      <c r="G1818" s="79" t="s">
        <v>15</v>
      </c>
      <c r="H1818" s="80">
        <v>1678.0</v>
      </c>
      <c r="I1818" s="79">
        <v>131209.0</v>
      </c>
      <c r="J1818" s="74" t="s">
        <v>448</v>
      </c>
      <c r="K1818" s="77" t="s">
        <v>3454</v>
      </c>
      <c r="L1818" s="79"/>
      <c r="M1818" s="79" t="s">
        <v>11330</v>
      </c>
      <c r="N1818" s="79">
        <v>9.0</v>
      </c>
      <c r="O1818" s="74" t="s">
        <v>11331</v>
      </c>
      <c r="P1818" s="78" t="s">
        <v>11332</v>
      </c>
      <c r="Q1818" s="79"/>
      <c r="R1818" s="80"/>
      <c r="S1818" s="80" t="s">
        <v>11333</v>
      </c>
      <c r="T1818" s="101"/>
      <c r="U1818" s="80" t="s">
        <v>332</v>
      </c>
      <c r="V1818" s="102" t="s">
        <v>11334</v>
      </c>
      <c r="W1818" s="79" t="s">
        <v>306</v>
      </c>
      <c r="X1818" s="79" t="s">
        <v>306</v>
      </c>
      <c r="Y1818" s="79" t="s">
        <v>309</v>
      </c>
      <c r="Z1818" s="79"/>
    </row>
    <row r="1819" ht="15.75" customHeight="1">
      <c r="A1819" s="76" t="s">
        <v>247</v>
      </c>
      <c r="B1819" s="77" t="s">
        <v>8751</v>
      </c>
      <c r="C1819" s="80">
        <v>3.0584011072E10</v>
      </c>
      <c r="D1819" s="79" t="s">
        <v>264</v>
      </c>
      <c r="E1819" s="79" t="s">
        <v>2883</v>
      </c>
      <c r="F1819" s="44">
        <v>3731.0</v>
      </c>
      <c r="G1819" s="79" t="s">
        <v>68</v>
      </c>
      <c r="H1819" s="80">
        <v>1702.0</v>
      </c>
      <c r="I1819" s="79">
        <v>143010.0</v>
      </c>
      <c r="J1819" s="74" t="s">
        <v>448</v>
      </c>
      <c r="K1819" s="79" t="s">
        <v>5602</v>
      </c>
      <c r="L1819" s="79"/>
      <c r="M1819" s="79"/>
      <c r="N1819" s="79">
        <v>17.0</v>
      </c>
      <c r="O1819" s="74"/>
      <c r="P1819" s="80"/>
      <c r="Q1819" s="79"/>
      <c r="R1819" s="80"/>
      <c r="S1819" s="80" t="s">
        <v>11335</v>
      </c>
      <c r="T1819" s="101" t="s">
        <v>11336</v>
      </c>
      <c r="U1819" s="80" t="s">
        <v>332</v>
      </c>
      <c r="V1819" s="102" t="s">
        <v>429</v>
      </c>
      <c r="W1819" s="79" t="s">
        <v>309</v>
      </c>
      <c r="X1819" s="79" t="s">
        <v>309</v>
      </c>
      <c r="Y1819" s="79" t="s">
        <v>309</v>
      </c>
      <c r="Z1819" s="79"/>
    </row>
    <row r="1820" ht="15.75" customHeight="1">
      <c r="A1820" s="103" t="s">
        <v>24</v>
      </c>
      <c r="B1820" s="77" t="s">
        <v>11337</v>
      </c>
      <c r="C1820" s="80">
        <v>3.0708451696E10</v>
      </c>
      <c r="D1820" s="119" t="s">
        <v>264</v>
      </c>
      <c r="E1820" s="126" t="s">
        <v>985</v>
      </c>
      <c r="F1820" s="44">
        <v>4964.0</v>
      </c>
      <c r="G1820" s="79" t="s">
        <v>15</v>
      </c>
      <c r="H1820" s="80">
        <v>1678.0</v>
      </c>
      <c r="I1820" s="79">
        <v>131209.0</v>
      </c>
      <c r="J1820" s="74" t="s">
        <v>448</v>
      </c>
      <c r="K1820" s="77" t="s">
        <v>3454</v>
      </c>
      <c r="L1820" s="79"/>
      <c r="M1820" s="79"/>
      <c r="N1820" s="79">
        <v>1.0</v>
      </c>
      <c r="O1820" s="74"/>
      <c r="P1820" s="80"/>
      <c r="Q1820" s="79"/>
      <c r="R1820" s="80"/>
      <c r="S1820" s="80" t="s">
        <v>11338</v>
      </c>
      <c r="T1820" s="101" t="s">
        <v>332</v>
      </c>
      <c r="U1820" s="80" t="s">
        <v>332</v>
      </c>
      <c r="V1820" s="102" t="s">
        <v>429</v>
      </c>
      <c r="W1820" s="79" t="s">
        <v>309</v>
      </c>
      <c r="X1820" s="79" t="s">
        <v>309</v>
      </c>
      <c r="Y1820" s="79"/>
      <c r="Z1820" s="79"/>
    </row>
    <row r="1821" ht="15.75" customHeight="1">
      <c r="A1821" s="76" t="s">
        <v>247</v>
      </c>
      <c r="B1821" s="77" t="s">
        <v>2690</v>
      </c>
      <c r="C1821" s="80">
        <v>3.0708531215E10</v>
      </c>
      <c r="D1821" s="119" t="s">
        <v>264</v>
      </c>
      <c r="E1821" s="79" t="s">
        <v>11339</v>
      </c>
      <c r="F1821" s="44">
        <v>93.0</v>
      </c>
      <c r="G1821" s="79" t="s">
        <v>68</v>
      </c>
      <c r="H1821" s="80">
        <v>1702.0</v>
      </c>
      <c r="I1821" s="77">
        <v>141199.0</v>
      </c>
      <c r="J1821" s="74" t="s">
        <v>448</v>
      </c>
      <c r="K1821" s="77" t="s">
        <v>9492</v>
      </c>
      <c r="L1821" s="79" t="s">
        <v>1122</v>
      </c>
      <c r="M1821" s="79"/>
      <c r="N1821" s="79">
        <v>1.0</v>
      </c>
      <c r="O1821" s="74" t="s">
        <v>11340</v>
      </c>
      <c r="P1821" s="78" t="s">
        <v>11341</v>
      </c>
      <c r="Q1821" s="79"/>
      <c r="R1821" s="80"/>
      <c r="S1821" s="80"/>
      <c r="T1821" s="101" t="s">
        <v>332</v>
      </c>
      <c r="U1821" s="80" t="s">
        <v>332</v>
      </c>
      <c r="V1821" s="102" t="s">
        <v>429</v>
      </c>
      <c r="W1821" s="79" t="s">
        <v>306</v>
      </c>
      <c r="X1821" s="79" t="s">
        <v>306</v>
      </c>
      <c r="Y1821" s="79" t="s">
        <v>309</v>
      </c>
      <c r="Z1821" s="79"/>
    </row>
    <row r="1822" ht="15.75" customHeight="1">
      <c r="A1822" s="76" t="s">
        <v>247</v>
      </c>
      <c r="B1822" s="77" t="s">
        <v>8755</v>
      </c>
      <c r="C1822" s="80">
        <v>3.0708250771E10</v>
      </c>
      <c r="D1822" s="79" t="s">
        <v>264</v>
      </c>
      <c r="E1822" s="79" t="s">
        <v>1143</v>
      </c>
      <c r="F1822" s="44">
        <v>3953.0</v>
      </c>
      <c r="G1822" s="79" t="s">
        <v>15</v>
      </c>
      <c r="H1822" s="80">
        <v>1678.0</v>
      </c>
      <c r="I1822" s="79">
        <v>139204.0</v>
      </c>
      <c r="J1822" s="83" t="s">
        <v>568</v>
      </c>
      <c r="K1822" s="79" t="s">
        <v>11342</v>
      </c>
      <c r="L1822" s="79" t="s">
        <v>453</v>
      </c>
      <c r="M1822" s="79"/>
      <c r="N1822" s="79">
        <v>13.0</v>
      </c>
      <c r="O1822" s="74"/>
      <c r="P1822" s="80"/>
      <c r="Q1822" s="79"/>
      <c r="R1822" s="80"/>
      <c r="S1822" s="78" t="s">
        <v>11343</v>
      </c>
      <c r="T1822" s="85" t="s">
        <v>11344</v>
      </c>
      <c r="U1822" s="80" t="s">
        <v>332</v>
      </c>
      <c r="V1822" s="102" t="s">
        <v>11345</v>
      </c>
      <c r="W1822" s="79" t="s">
        <v>309</v>
      </c>
      <c r="X1822" s="79" t="s">
        <v>309</v>
      </c>
      <c r="Y1822" s="79"/>
      <c r="Z1822" s="79"/>
    </row>
    <row r="1823" ht="15.75" customHeight="1">
      <c r="A1823" s="76" t="s">
        <v>247</v>
      </c>
      <c r="B1823" s="77" t="s">
        <v>8759</v>
      </c>
      <c r="C1823" s="80">
        <v>3.0649662858E10</v>
      </c>
      <c r="D1823" s="79" t="s">
        <v>264</v>
      </c>
      <c r="E1823" s="77" t="s">
        <v>1765</v>
      </c>
      <c r="F1823" s="44">
        <v>3730.0</v>
      </c>
      <c r="G1823" s="79" t="s">
        <v>15</v>
      </c>
      <c r="H1823" s="80">
        <v>1678.0</v>
      </c>
      <c r="I1823" s="79">
        <v>131131.0</v>
      </c>
      <c r="J1823" s="74" t="s">
        <v>448</v>
      </c>
      <c r="K1823" s="79" t="s">
        <v>5415</v>
      </c>
      <c r="L1823" s="79"/>
      <c r="M1823" s="79"/>
      <c r="N1823" s="79">
        <v>5.0</v>
      </c>
      <c r="O1823" s="74"/>
      <c r="P1823" s="80"/>
      <c r="Q1823" s="79"/>
      <c r="R1823" s="80"/>
      <c r="S1823" s="80" t="s">
        <v>11346</v>
      </c>
      <c r="T1823" s="101" t="s">
        <v>332</v>
      </c>
      <c r="U1823" s="80" t="s">
        <v>332</v>
      </c>
      <c r="V1823" s="102" t="s">
        <v>429</v>
      </c>
      <c r="W1823" s="79" t="s">
        <v>309</v>
      </c>
      <c r="X1823" s="79" t="s">
        <v>309</v>
      </c>
      <c r="Y1823" s="79" t="s">
        <v>309</v>
      </c>
      <c r="Z1823" s="79"/>
    </row>
    <row r="1824" ht="15.75" customHeight="1">
      <c r="A1824" s="103" t="s">
        <v>24</v>
      </c>
      <c r="B1824" s="77" t="s">
        <v>11347</v>
      </c>
      <c r="C1824" s="80">
        <v>3.0708224576E10</v>
      </c>
      <c r="D1824" s="119" t="s">
        <v>264</v>
      </c>
      <c r="E1824" s="77" t="s">
        <v>943</v>
      </c>
      <c r="F1824" s="44">
        <v>2889.0</v>
      </c>
      <c r="G1824" s="79" t="s">
        <v>15</v>
      </c>
      <c r="H1824" s="80">
        <v>1678.0</v>
      </c>
      <c r="I1824" s="79">
        <v>171142.0</v>
      </c>
      <c r="J1824" s="74" t="s">
        <v>448</v>
      </c>
      <c r="K1824" s="79" t="s">
        <v>10501</v>
      </c>
      <c r="L1824" s="79"/>
      <c r="M1824" s="79"/>
      <c r="N1824" s="79">
        <v>5.0</v>
      </c>
      <c r="O1824" s="74"/>
      <c r="P1824" s="80"/>
      <c r="Q1824" s="79"/>
      <c r="R1824" s="80"/>
      <c r="S1824" s="78" t="s">
        <v>4289</v>
      </c>
      <c r="T1824" s="101" t="s">
        <v>332</v>
      </c>
      <c r="U1824" s="80" t="s">
        <v>332</v>
      </c>
      <c r="V1824" s="102" t="s">
        <v>429</v>
      </c>
      <c r="W1824" s="79" t="s">
        <v>309</v>
      </c>
      <c r="X1824" s="79" t="s">
        <v>309</v>
      </c>
      <c r="Y1824" s="79"/>
      <c r="Z1824" s="79"/>
    </row>
    <row r="1825" ht="15.75" customHeight="1">
      <c r="A1825" s="76" t="s">
        <v>247</v>
      </c>
      <c r="B1825" s="77" t="s">
        <v>10423</v>
      </c>
      <c r="C1825" s="78">
        <v>3.3708444419E10</v>
      </c>
      <c r="D1825" s="119" t="s">
        <v>264</v>
      </c>
      <c r="E1825" s="79" t="s">
        <v>1944</v>
      </c>
      <c r="F1825" s="44">
        <v>1816.0</v>
      </c>
      <c r="G1825" s="79" t="s">
        <v>68</v>
      </c>
      <c r="H1825" s="80">
        <v>1702.0</v>
      </c>
      <c r="I1825" s="77">
        <v>463199.0</v>
      </c>
      <c r="J1825" s="74" t="s">
        <v>22</v>
      </c>
      <c r="K1825" s="77" t="s">
        <v>11348</v>
      </c>
      <c r="L1825" s="79"/>
      <c r="M1825" s="79"/>
      <c r="N1825" s="79"/>
      <c r="O1825" s="74" t="s">
        <v>11349</v>
      </c>
      <c r="P1825" s="101" t="s">
        <v>11350</v>
      </c>
      <c r="Q1825" s="119" t="s">
        <v>11351</v>
      </c>
      <c r="R1825" s="85" t="s">
        <v>11352</v>
      </c>
      <c r="S1825" s="80" t="s">
        <v>11353</v>
      </c>
      <c r="T1825" s="101"/>
      <c r="U1825" s="80"/>
      <c r="V1825" s="102" t="s">
        <v>11354</v>
      </c>
      <c r="W1825" s="79"/>
      <c r="X1825" s="79"/>
      <c r="Y1825" s="79" t="s">
        <v>309</v>
      </c>
      <c r="Z1825" s="79"/>
    </row>
    <row r="1826" ht="15.75" customHeight="1">
      <c r="A1826" s="76" t="s">
        <v>247</v>
      </c>
      <c r="B1826" s="77" t="s">
        <v>2700</v>
      </c>
      <c r="C1826" s="80">
        <v>3.0714519626E10</v>
      </c>
      <c r="D1826" s="119" t="s">
        <v>264</v>
      </c>
      <c r="E1826" s="79" t="s">
        <v>4638</v>
      </c>
      <c r="F1826" s="44">
        <v>4220.0</v>
      </c>
      <c r="G1826" s="79" t="s">
        <v>15</v>
      </c>
      <c r="H1826" s="80">
        <v>1678.0</v>
      </c>
      <c r="I1826" s="79">
        <v>131202.0</v>
      </c>
      <c r="J1826" s="74" t="s">
        <v>448</v>
      </c>
      <c r="K1826" s="77" t="s">
        <v>5408</v>
      </c>
      <c r="L1826" s="79"/>
      <c r="M1826" s="79"/>
      <c r="N1826" s="79">
        <v>14.0</v>
      </c>
      <c r="O1826" s="74" t="s">
        <v>11355</v>
      </c>
      <c r="P1826" s="78" t="s">
        <v>11356</v>
      </c>
      <c r="Q1826" s="79" t="s">
        <v>11357</v>
      </c>
      <c r="R1826" s="78" t="s">
        <v>11358</v>
      </c>
      <c r="S1826" s="78" t="s">
        <v>11359</v>
      </c>
      <c r="T1826" s="101" t="s">
        <v>332</v>
      </c>
      <c r="U1826" s="80" t="s">
        <v>332</v>
      </c>
      <c r="V1826" s="102" t="s">
        <v>429</v>
      </c>
      <c r="W1826" s="79"/>
      <c r="X1826" s="79"/>
      <c r="Y1826" s="79" t="s">
        <v>309</v>
      </c>
      <c r="Z1826" s="79"/>
    </row>
    <row r="1827" ht="15.75" customHeight="1">
      <c r="A1827" s="103" t="s">
        <v>24</v>
      </c>
      <c r="B1827" s="119" t="s">
        <v>11360</v>
      </c>
      <c r="C1827" s="78" t="s">
        <v>2517</v>
      </c>
      <c r="D1827" s="79" t="s">
        <v>264</v>
      </c>
      <c r="E1827" s="126" t="s">
        <v>3981</v>
      </c>
      <c r="F1827" s="44">
        <v>3195.0</v>
      </c>
      <c r="G1827" s="79" t="s">
        <v>249</v>
      </c>
      <c r="H1827" s="80">
        <v>1676.0</v>
      </c>
      <c r="I1827" s="78" t="s">
        <v>2519</v>
      </c>
      <c r="J1827" s="74" t="s">
        <v>238</v>
      </c>
      <c r="K1827" s="129" t="s">
        <v>238</v>
      </c>
      <c r="L1827" s="79"/>
      <c r="M1827" s="79"/>
      <c r="N1827" s="79"/>
      <c r="O1827" s="129" t="s">
        <v>11361</v>
      </c>
      <c r="P1827" s="85" t="s">
        <v>11362</v>
      </c>
      <c r="Q1827" s="79"/>
      <c r="R1827" s="80"/>
      <c r="S1827" s="80" t="s">
        <v>11363</v>
      </c>
      <c r="T1827" s="85" t="s">
        <v>11364</v>
      </c>
      <c r="U1827" s="80"/>
      <c r="V1827" s="102" t="s">
        <v>429</v>
      </c>
      <c r="W1827" s="79"/>
      <c r="X1827" s="79"/>
      <c r="Y1827" s="79"/>
      <c r="Z1827" s="79"/>
    </row>
    <row r="1828" ht="15.75" customHeight="1">
      <c r="A1828" s="76" t="s">
        <v>247</v>
      </c>
      <c r="B1828" s="77" t="s">
        <v>11365</v>
      </c>
      <c r="C1828" s="79">
        <v>3.3684097089E10</v>
      </c>
      <c r="D1828" s="77" t="s">
        <v>264</v>
      </c>
      <c r="E1828" s="79" t="s">
        <v>2902</v>
      </c>
      <c r="F1828" s="44">
        <v>756.0</v>
      </c>
      <c r="G1828" s="79" t="s">
        <v>68</v>
      </c>
      <c r="H1828" s="80">
        <v>1702.0</v>
      </c>
      <c r="I1828" s="79">
        <v>152021.0</v>
      </c>
      <c r="J1828" s="74" t="s">
        <v>73</v>
      </c>
      <c r="K1828" s="77" t="s">
        <v>1693</v>
      </c>
      <c r="L1828" s="79"/>
      <c r="M1828" s="79"/>
      <c r="N1828" s="79">
        <v>9.0</v>
      </c>
      <c r="O1828" s="74"/>
      <c r="P1828" s="80"/>
      <c r="Q1828" s="79"/>
      <c r="R1828" s="80"/>
      <c r="S1828" s="78" t="s">
        <v>11366</v>
      </c>
      <c r="T1828" s="85" t="s">
        <v>11367</v>
      </c>
      <c r="U1828" s="80" t="s">
        <v>332</v>
      </c>
      <c r="V1828" s="102" t="s">
        <v>429</v>
      </c>
      <c r="W1828" s="79" t="s">
        <v>306</v>
      </c>
      <c r="X1828" s="79" t="s">
        <v>306</v>
      </c>
      <c r="Y1828" s="79" t="s">
        <v>309</v>
      </c>
      <c r="Z1828" s="79"/>
    </row>
    <row r="1829" ht="15.75" customHeight="1">
      <c r="A1829" s="76" t="s">
        <v>247</v>
      </c>
      <c r="B1829" s="77" t="s">
        <v>2708</v>
      </c>
      <c r="C1829" s="80">
        <v>3.071515552E10</v>
      </c>
      <c r="D1829" s="79" t="s">
        <v>264</v>
      </c>
      <c r="E1829" s="79" t="s">
        <v>1045</v>
      </c>
      <c r="F1829" s="44">
        <v>5859.0</v>
      </c>
      <c r="G1829" s="79" t="s">
        <v>15</v>
      </c>
      <c r="H1829" s="80">
        <v>1678.0</v>
      </c>
      <c r="I1829" s="79">
        <v>259999.0</v>
      </c>
      <c r="J1829" s="74" t="s">
        <v>347</v>
      </c>
      <c r="K1829" s="77" t="s">
        <v>839</v>
      </c>
      <c r="L1829" s="79" t="s">
        <v>453</v>
      </c>
      <c r="M1829" s="79"/>
      <c r="N1829" s="79">
        <v>0.0</v>
      </c>
      <c r="O1829" s="74" t="s">
        <v>11368</v>
      </c>
      <c r="P1829" s="78" t="s">
        <v>11369</v>
      </c>
      <c r="Q1829" s="79" t="s">
        <v>11370</v>
      </c>
      <c r="R1829" s="78" t="s">
        <v>11371</v>
      </c>
      <c r="S1829" s="78" t="s">
        <v>11372</v>
      </c>
      <c r="T1829" s="101" t="s">
        <v>332</v>
      </c>
      <c r="U1829" s="80" t="s">
        <v>332</v>
      </c>
      <c r="V1829" s="102" t="s">
        <v>11373</v>
      </c>
      <c r="W1829" s="79" t="s">
        <v>306</v>
      </c>
      <c r="X1829" s="79" t="s">
        <v>306</v>
      </c>
      <c r="Y1829" s="79" t="s">
        <v>309</v>
      </c>
      <c r="Z1829" s="79"/>
    </row>
    <row r="1830" ht="15.75" customHeight="1">
      <c r="A1830" s="76" t="s">
        <v>247</v>
      </c>
      <c r="B1830" s="79" t="s">
        <v>8768</v>
      </c>
      <c r="C1830" s="80">
        <v>2.0281575237E10</v>
      </c>
      <c r="D1830" s="144" t="s">
        <v>631</v>
      </c>
      <c r="E1830" s="288" t="s">
        <v>4565</v>
      </c>
      <c r="F1830" s="44">
        <v>3823.0</v>
      </c>
      <c r="G1830" s="79" t="s">
        <v>15</v>
      </c>
      <c r="H1830" s="80">
        <v>1678.0</v>
      </c>
      <c r="I1830" s="79">
        <v>310010.0</v>
      </c>
      <c r="J1830" s="74" t="s">
        <v>313</v>
      </c>
      <c r="K1830" s="77" t="s">
        <v>1438</v>
      </c>
      <c r="L1830" s="79" t="s">
        <v>286</v>
      </c>
      <c r="M1830" s="79" t="s">
        <v>11374</v>
      </c>
      <c r="N1830" s="79">
        <v>2.0</v>
      </c>
      <c r="O1830" s="74" t="s">
        <v>11375</v>
      </c>
      <c r="P1830" s="78" t="s">
        <v>11376</v>
      </c>
      <c r="Q1830" s="79"/>
      <c r="R1830" s="80"/>
      <c r="S1830" s="80"/>
      <c r="T1830" s="101"/>
      <c r="U1830" s="80"/>
      <c r="V1830" s="102" t="s">
        <v>429</v>
      </c>
      <c r="W1830" s="79" t="s">
        <v>306</v>
      </c>
      <c r="X1830" s="79" t="s">
        <v>306</v>
      </c>
      <c r="Y1830" s="79" t="s">
        <v>309</v>
      </c>
      <c r="Z1830" s="79"/>
    </row>
    <row r="1831" ht="15.75" customHeight="1">
      <c r="A1831" s="103" t="s">
        <v>24</v>
      </c>
      <c r="B1831" s="77" t="s">
        <v>11377</v>
      </c>
      <c r="C1831" s="80">
        <v>3.0714256161E10</v>
      </c>
      <c r="D1831" s="79" t="s">
        <v>264</v>
      </c>
      <c r="E1831" s="77" t="s">
        <v>6201</v>
      </c>
      <c r="F1831" s="44">
        <v>1669.0</v>
      </c>
      <c r="G1831" s="79" t="s">
        <v>119</v>
      </c>
      <c r="H1831" s="80">
        <v>1657.0</v>
      </c>
      <c r="I1831" s="79">
        <v>259999.0</v>
      </c>
      <c r="J1831" s="74" t="s">
        <v>347</v>
      </c>
      <c r="K1831" s="77" t="s">
        <v>839</v>
      </c>
      <c r="L1831" s="79" t="s">
        <v>453</v>
      </c>
      <c r="M1831" s="79"/>
      <c r="N1831" s="79">
        <v>15.0</v>
      </c>
      <c r="O1831" s="74" t="s">
        <v>11378</v>
      </c>
      <c r="P1831" s="80"/>
      <c r="Q1831" s="79"/>
      <c r="R1831" s="80"/>
      <c r="S1831" s="80" t="s">
        <v>10891</v>
      </c>
      <c r="T1831" s="85" t="s">
        <v>10892</v>
      </c>
      <c r="U1831" s="80" t="s">
        <v>332</v>
      </c>
      <c r="V1831" s="102" t="s">
        <v>429</v>
      </c>
      <c r="W1831" s="79" t="s">
        <v>309</v>
      </c>
      <c r="X1831" s="79" t="s">
        <v>309</v>
      </c>
      <c r="Y1831" s="79"/>
      <c r="Z1831" s="79"/>
    </row>
    <row r="1832" ht="15.75" customHeight="1">
      <c r="A1832" s="103" t="s">
        <v>24</v>
      </c>
      <c r="B1832" s="77" t="s">
        <v>11379</v>
      </c>
      <c r="C1832" s="80">
        <v>3.0708390395E10</v>
      </c>
      <c r="D1832" s="119" t="s">
        <v>264</v>
      </c>
      <c r="E1832" s="77" t="s">
        <v>1376</v>
      </c>
      <c r="F1832" s="128">
        <v>631.0</v>
      </c>
      <c r="G1832" s="79" t="s">
        <v>68</v>
      </c>
      <c r="H1832" s="80">
        <v>1702.0</v>
      </c>
      <c r="I1832" s="77">
        <v>202200.0</v>
      </c>
      <c r="J1832" s="74" t="s">
        <v>316</v>
      </c>
      <c r="K1832" s="77" t="s">
        <v>2635</v>
      </c>
      <c r="L1832" s="79"/>
      <c r="M1832" s="79"/>
      <c r="N1832" s="79">
        <v>1.0</v>
      </c>
      <c r="O1832" s="74"/>
      <c r="P1832" s="80"/>
      <c r="Q1832" s="79"/>
      <c r="R1832" s="80"/>
      <c r="S1832" s="78" t="s">
        <v>11380</v>
      </c>
      <c r="T1832" s="101" t="s">
        <v>332</v>
      </c>
      <c r="U1832" s="80" t="s">
        <v>332</v>
      </c>
      <c r="V1832" s="102" t="s">
        <v>429</v>
      </c>
      <c r="W1832" s="79" t="s">
        <v>309</v>
      </c>
      <c r="X1832" s="79" t="s">
        <v>309</v>
      </c>
      <c r="Y1832" s="79"/>
      <c r="Z1832" s="79"/>
    </row>
    <row r="1833">
      <c r="A1833" s="76" t="s">
        <v>247</v>
      </c>
      <c r="B1833" s="77" t="s">
        <v>8772</v>
      </c>
      <c r="C1833" s="80">
        <v>3.0709248673E10</v>
      </c>
      <c r="D1833" s="119" t="s">
        <v>264</v>
      </c>
      <c r="E1833" s="126" t="s">
        <v>985</v>
      </c>
      <c r="F1833" s="44">
        <v>5455.0</v>
      </c>
      <c r="G1833" s="79" t="s">
        <v>15</v>
      </c>
      <c r="H1833" s="80">
        <v>1678.0</v>
      </c>
      <c r="I1833" s="176">
        <v>222010.0</v>
      </c>
      <c r="J1833" s="83" t="s">
        <v>568</v>
      </c>
      <c r="K1833" s="176" t="s">
        <v>1170</v>
      </c>
      <c r="L1833" s="79" t="s">
        <v>453</v>
      </c>
      <c r="M1833" s="79"/>
      <c r="N1833" s="79">
        <v>12.0</v>
      </c>
      <c r="O1833" s="74"/>
      <c r="P1833" s="80"/>
      <c r="Q1833" s="79"/>
      <c r="R1833" s="80"/>
      <c r="S1833" s="114" t="s">
        <v>11381</v>
      </c>
      <c r="T1833" s="101" t="s">
        <v>11382</v>
      </c>
      <c r="U1833" s="80" t="s">
        <v>332</v>
      </c>
      <c r="V1833" s="102" t="s">
        <v>429</v>
      </c>
      <c r="W1833" s="79" t="s">
        <v>306</v>
      </c>
      <c r="X1833" s="79" t="s">
        <v>306</v>
      </c>
      <c r="Y1833" s="79" t="s">
        <v>309</v>
      </c>
      <c r="Z1833" s="79"/>
    </row>
    <row r="1834" ht="15.75" customHeight="1">
      <c r="A1834" s="103" t="s">
        <v>24</v>
      </c>
      <c r="B1834" s="77" t="s">
        <v>11383</v>
      </c>
      <c r="C1834" s="80">
        <v>3.0583783446E10</v>
      </c>
      <c r="D1834" s="119" t="s">
        <v>264</v>
      </c>
      <c r="E1834" s="77" t="s">
        <v>2748</v>
      </c>
      <c r="F1834" s="44">
        <v>1951.0</v>
      </c>
      <c r="G1834" s="79" t="s">
        <v>68</v>
      </c>
      <c r="H1834" s="80">
        <v>1702.0</v>
      </c>
      <c r="I1834" s="79">
        <v>960101.0</v>
      </c>
      <c r="J1834" s="74" t="s">
        <v>433</v>
      </c>
      <c r="K1834" s="79" t="s">
        <v>11384</v>
      </c>
      <c r="L1834" s="79"/>
      <c r="M1834" s="79"/>
      <c r="N1834" s="79">
        <v>4.0</v>
      </c>
      <c r="O1834" s="74"/>
      <c r="P1834" s="80"/>
      <c r="Q1834" s="79"/>
      <c r="R1834" s="80"/>
      <c r="S1834" s="78" t="s">
        <v>11385</v>
      </c>
      <c r="T1834" s="101" t="s">
        <v>332</v>
      </c>
      <c r="U1834" s="80" t="s">
        <v>332</v>
      </c>
      <c r="V1834" s="102" t="s">
        <v>429</v>
      </c>
      <c r="W1834" s="79" t="s">
        <v>306</v>
      </c>
      <c r="X1834" s="79" t="s">
        <v>306</v>
      </c>
      <c r="Y1834" s="79"/>
      <c r="Z1834" s="79"/>
    </row>
    <row r="1835" ht="15.75" customHeight="1">
      <c r="A1835" s="76" t="s">
        <v>247</v>
      </c>
      <c r="B1835" s="77" t="s">
        <v>8783</v>
      </c>
      <c r="C1835" s="80">
        <v>3.0503758179E10</v>
      </c>
      <c r="D1835" s="119" t="s">
        <v>264</v>
      </c>
      <c r="E1835" s="79" t="s">
        <v>4619</v>
      </c>
      <c r="F1835" s="44">
        <v>1939.0</v>
      </c>
      <c r="G1835" s="79" t="s">
        <v>97</v>
      </c>
      <c r="H1835" s="80">
        <v>1702.0</v>
      </c>
      <c r="I1835" s="79">
        <v>222090.0</v>
      </c>
      <c r="J1835" s="83" t="s">
        <v>568</v>
      </c>
      <c r="K1835" s="77" t="s">
        <v>569</v>
      </c>
      <c r="L1835" s="79" t="s">
        <v>453</v>
      </c>
      <c r="M1835" s="79"/>
      <c r="N1835" s="79">
        <v>39.0</v>
      </c>
      <c r="O1835" s="74"/>
      <c r="P1835" s="80"/>
      <c r="Q1835" s="79"/>
      <c r="R1835" s="80"/>
      <c r="S1835" s="80" t="s">
        <v>11386</v>
      </c>
      <c r="T1835" s="101" t="s">
        <v>11387</v>
      </c>
      <c r="U1835" s="80" t="s">
        <v>332</v>
      </c>
      <c r="V1835" s="102" t="s">
        <v>11388</v>
      </c>
      <c r="W1835" s="79" t="s">
        <v>309</v>
      </c>
      <c r="X1835" s="79" t="s">
        <v>309</v>
      </c>
      <c r="Y1835" s="79" t="s">
        <v>309</v>
      </c>
      <c r="Z1835" s="79"/>
    </row>
    <row r="1836" ht="15.75" customHeight="1">
      <c r="A1836" s="76" t="s">
        <v>247</v>
      </c>
      <c r="B1836" s="291" t="s">
        <v>2716</v>
      </c>
      <c r="C1836" s="79">
        <v>3.0712001018E10</v>
      </c>
      <c r="D1836" s="77" t="s">
        <v>264</v>
      </c>
      <c r="E1836" s="79" t="s">
        <v>4496</v>
      </c>
      <c r="F1836" s="128">
        <v>533.0</v>
      </c>
      <c r="G1836" s="79" t="s">
        <v>68</v>
      </c>
      <c r="H1836" s="80">
        <v>1702.0</v>
      </c>
      <c r="I1836" s="79">
        <v>170990.0</v>
      </c>
      <c r="J1836" s="74" t="s">
        <v>283</v>
      </c>
      <c r="K1836" s="77" t="s">
        <v>2385</v>
      </c>
      <c r="L1836" s="79"/>
      <c r="M1836" s="79"/>
      <c r="N1836" s="79">
        <v>12.0</v>
      </c>
      <c r="O1836" s="74"/>
      <c r="P1836" s="78" t="s">
        <v>11389</v>
      </c>
      <c r="Q1836" s="79"/>
      <c r="R1836" s="80"/>
      <c r="S1836" s="78" t="s">
        <v>11390</v>
      </c>
      <c r="T1836" s="101" t="s">
        <v>332</v>
      </c>
      <c r="U1836" s="80" t="s">
        <v>332</v>
      </c>
      <c r="V1836" s="102" t="s">
        <v>11391</v>
      </c>
      <c r="W1836" s="79" t="s">
        <v>306</v>
      </c>
      <c r="X1836" s="79" t="s">
        <v>306</v>
      </c>
      <c r="Y1836" s="79" t="s">
        <v>309</v>
      </c>
      <c r="Z1836" s="79"/>
    </row>
    <row r="1837" ht="15.75" customHeight="1">
      <c r="A1837" s="103" t="s">
        <v>24</v>
      </c>
      <c r="B1837" s="77" t="s">
        <v>11392</v>
      </c>
      <c r="C1837" s="80">
        <v>3.0713025808E10</v>
      </c>
      <c r="D1837" s="79" t="s">
        <v>264</v>
      </c>
      <c r="E1837" s="77" t="s">
        <v>1596</v>
      </c>
      <c r="F1837" s="44">
        <v>4682.0</v>
      </c>
      <c r="G1837" s="79" t="s">
        <v>15</v>
      </c>
      <c r="H1837" s="80">
        <v>1678.0</v>
      </c>
      <c r="I1837" s="79">
        <v>181109.0</v>
      </c>
      <c r="J1837" s="74" t="s">
        <v>433</v>
      </c>
      <c r="K1837" s="77" t="s">
        <v>1545</v>
      </c>
      <c r="L1837" s="79"/>
      <c r="M1837" s="79" t="s">
        <v>11393</v>
      </c>
      <c r="N1837" s="79">
        <v>6.0</v>
      </c>
      <c r="O1837" s="74"/>
      <c r="P1837" s="80"/>
      <c r="Q1837" s="79"/>
      <c r="R1837" s="80"/>
      <c r="S1837" s="78" t="s">
        <v>11394</v>
      </c>
      <c r="T1837" s="101" t="s">
        <v>332</v>
      </c>
      <c r="U1837" s="80" t="s">
        <v>332</v>
      </c>
      <c r="V1837" s="102" t="s">
        <v>11395</v>
      </c>
      <c r="W1837" s="79" t="s">
        <v>306</v>
      </c>
      <c r="X1837" s="79" t="s">
        <v>306</v>
      </c>
      <c r="Y1837" s="79"/>
      <c r="Z1837" s="79"/>
    </row>
    <row r="1838" ht="15.75" customHeight="1">
      <c r="A1838" s="76" t="s">
        <v>247</v>
      </c>
      <c r="B1838" s="77" t="s">
        <v>8795</v>
      </c>
      <c r="C1838" s="80">
        <v>3.061572036E10</v>
      </c>
      <c r="D1838" s="79" t="s">
        <v>264</v>
      </c>
      <c r="E1838" s="126" t="s">
        <v>985</v>
      </c>
      <c r="F1838" s="44">
        <v>5655.0</v>
      </c>
      <c r="G1838" s="79" t="s">
        <v>15</v>
      </c>
      <c r="H1838" s="80">
        <v>1678.0</v>
      </c>
      <c r="I1838" s="79">
        <v>329030.0</v>
      </c>
      <c r="J1838" s="83" t="s">
        <v>207</v>
      </c>
      <c r="K1838" s="79" t="s">
        <v>3938</v>
      </c>
      <c r="L1838" s="79"/>
      <c r="M1838" s="79"/>
      <c r="N1838" s="79">
        <v>20.0</v>
      </c>
      <c r="O1838" s="83" t="s">
        <v>11396</v>
      </c>
      <c r="P1838" s="80"/>
      <c r="Q1838" s="79" t="s">
        <v>11397</v>
      </c>
      <c r="R1838" s="80"/>
      <c r="S1838" s="80" t="s">
        <v>11398</v>
      </c>
      <c r="T1838" s="85" t="s">
        <v>11399</v>
      </c>
      <c r="U1838" s="78" t="s">
        <v>11400</v>
      </c>
      <c r="V1838" s="102" t="s">
        <v>11401</v>
      </c>
      <c r="W1838" s="79" t="s">
        <v>309</v>
      </c>
      <c r="X1838" s="79" t="s">
        <v>309</v>
      </c>
      <c r="Y1838" s="79" t="s">
        <v>309</v>
      </c>
      <c r="Z1838" s="79"/>
    </row>
    <row r="1839" ht="15.75" customHeight="1">
      <c r="A1839" s="76" t="s">
        <v>247</v>
      </c>
      <c r="B1839" s="77" t="s">
        <v>8797</v>
      </c>
      <c r="C1839" s="80">
        <v>3.3505267589E10</v>
      </c>
      <c r="D1839" s="79" t="s">
        <v>264</v>
      </c>
      <c r="E1839" s="79" t="s">
        <v>3191</v>
      </c>
      <c r="F1839" s="44">
        <v>2965.0</v>
      </c>
      <c r="G1839" s="79" t="s">
        <v>68</v>
      </c>
      <c r="H1839" s="80">
        <v>1702.0</v>
      </c>
      <c r="I1839" s="79">
        <v>259993.0</v>
      </c>
      <c r="J1839" s="74" t="s">
        <v>347</v>
      </c>
      <c r="K1839" s="129" t="s">
        <v>638</v>
      </c>
      <c r="L1839" s="79" t="s">
        <v>453</v>
      </c>
      <c r="M1839" s="79"/>
      <c r="N1839" s="79">
        <v>2.0</v>
      </c>
      <c r="O1839" s="74"/>
      <c r="P1839" s="80"/>
      <c r="Q1839" s="79"/>
      <c r="R1839" s="80"/>
      <c r="S1839" s="80" t="s">
        <v>11402</v>
      </c>
      <c r="T1839" s="101" t="s">
        <v>332</v>
      </c>
      <c r="U1839" s="80" t="s">
        <v>332</v>
      </c>
      <c r="V1839" s="102" t="s">
        <v>429</v>
      </c>
      <c r="W1839" s="79" t="s">
        <v>306</v>
      </c>
      <c r="X1839" s="79" t="s">
        <v>306</v>
      </c>
      <c r="Y1839" s="79" t="s">
        <v>309</v>
      </c>
      <c r="Z1839" s="79"/>
    </row>
    <row r="1840" ht="15.75" customHeight="1">
      <c r="A1840" s="103" t="s">
        <v>24</v>
      </c>
      <c r="B1840" s="77" t="s">
        <v>11403</v>
      </c>
      <c r="C1840" s="80">
        <v>3.3707464599E10</v>
      </c>
      <c r="D1840" s="119" t="s">
        <v>264</v>
      </c>
      <c r="E1840" s="79" t="s">
        <v>660</v>
      </c>
      <c r="F1840" s="44">
        <v>5129.0</v>
      </c>
      <c r="G1840" s="79" t="s">
        <v>15</v>
      </c>
      <c r="H1840" s="80">
        <v>1678.0</v>
      </c>
      <c r="I1840" s="77">
        <v>222010.0</v>
      </c>
      <c r="J1840" s="83" t="s">
        <v>568</v>
      </c>
      <c r="K1840" s="79" t="s">
        <v>2874</v>
      </c>
      <c r="L1840" s="79" t="s">
        <v>453</v>
      </c>
      <c r="M1840" s="79" t="s">
        <v>11404</v>
      </c>
      <c r="N1840" s="79">
        <v>5.0</v>
      </c>
      <c r="O1840" s="74" t="s">
        <v>11405</v>
      </c>
      <c r="P1840" s="78" t="s">
        <v>11406</v>
      </c>
      <c r="Q1840" s="79"/>
      <c r="R1840" s="80"/>
      <c r="S1840" s="80" t="s">
        <v>11407</v>
      </c>
      <c r="T1840" s="85" t="s">
        <v>11408</v>
      </c>
      <c r="U1840" s="80" t="s">
        <v>332</v>
      </c>
      <c r="V1840" s="102" t="s">
        <v>429</v>
      </c>
      <c r="W1840" s="79" t="s">
        <v>306</v>
      </c>
      <c r="X1840" s="79" t="s">
        <v>306</v>
      </c>
      <c r="Y1840" s="79" t="s">
        <v>309</v>
      </c>
      <c r="Z1840" s="79"/>
    </row>
    <row r="1841" ht="15.75" customHeight="1">
      <c r="A1841" s="76" t="s">
        <v>247</v>
      </c>
      <c r="B1841" s="77" t="s">
        <v>8806</v>
      </c>
      <c r="C1841" s="80">
        <v>3.0521456279E10</v>
      </c>
      <c r="D1841" s="79" t="s">
        <v>264</v>
      </c>
      <c r="E1841" s="77" t="s">
        <v>8067</v>
      </c>
      <c r="F1841" s="44">
        <v>1537.0</v>
      </c>
      <c r="G1841" s="79" t="s">
        <v>15</v>
      </c>
      <c r="H1841" s="80">
        <v>1678.0</v>
      </c>
      <c r="I1841" s="79">
        <v>259100.0</v>
      </c>
      <c r="J1841" s="74" t="s">
        <v>347</v>
      </c>
      <c r="K1841" s="79" t="s">
        <v>1329</v>
      </c>
      <c r="L1841" s="79" t="s">
        <v>453</v>
      </c>
      <c r="M1841" s="79" t="s">
        <v>4430</v>
      </c>
      <c r="N1841" s="79">
        <v>6.0</v>
      </c>
      <c r="O1841" s="83" t="s">
        <v>11409</v>
      </c>
      <c r="P1841" s="80"/>
      <c r="Q1841" s="79" t="s">
        <v>11410</v>
      </c>
      <c r="R1841" s="80"/>
      <c r="S1841" s="78" t="s">
        <v>11411</v>
      </c>
      <c r="T1841" s="85" t="s">
        <v>11412</v>
      </c>
      <c r="U1841" s="80" t="s">
        <v>332</v>
      </c>
      <c r="V1841" s="102" t="s">
        <v>11413</v>
      </c>
      <c r="W1841" s="79" t="s">
        <v>309</v>
      </c>
      <c r="X1841" s="79" t="s">
        <v>309</v>
      </c>
      <c r="Y1841" s="79" t="s">
        <v>309</v>
      </c>
      <c r="Z1841" s="79"/>
    </row>
    <row r="1842" ht="15.75" customHeight="1">
      <c r="A1842" s="76" t="s">
        <v>247</v>
      </c>
      <c r="B1842" s="79" t="s">
        <v>11414</v>
      </c>
      <c r="C1842" s="79">
        <v>2.0113380919E10</v>
      </c>
      <c r="D1842" s="144" t="s">
        <v>631</v>
      </c>
      <c r="E1842" s="79" t="s">
        <v>1569</v>
      </c>
      <c r="F1842" s="44">
        <v>3364.0</v>
      </c>
      <c r="G1842" s="77" t="s">
        <v>68</v>
      </c>
      <c r="H1842" s="78">
        <v>1702.0</v>
      </c>
      <c r="I1842" s="77">
        <v>293090.0</v>
      </c>
      <c r="J1842" s="83" t="s">
        <v>37</v>
      </c>
      <c r="K1842" s="77" t="s">
        <v>407</v>
      </c>
      <c r="L1842" s="79"/>
      <c r="M1842" s="79"/>
      <c r="N1842" s="79"/>
      <c r="O1842" s="74"/>
      <c r="P1842" s="80"/>
      <c r="Q1842" s="79"/>
      <c r="R1842" s="80"/>
      <c r="S1842" s="80" t="s">
        <v>11415</v>
      </c>
      <c r="T1842" s="101"/>
      <c r="U1842" s="80"/>
      <c r="V1842" s="102" t="s">
        <v>429</v>
      </c>
      <c r="W1842" s="79"/>
      <c r="X1842" s="79"/>
      <c r="Y1842" s="79"/>
      <c r="Z1842" s="79"/>
    </row>
    <row r="1843" ht="15.75" customHeight="1">
      <c r="A1843" s="103" t="s">
        <v>24</v>
      </c>
      <c r="B1843" s="79" t="s">
        <v>11416</v>
      </c>
      <c r="C1843" s="80">
        <v>3.0710606974E10</v>
      </c>
      <c r="D1843" s="144" t="s">
        <v>631</v>
      </c>
      <c r="E1843" s="119" t="s">
        <v>1770</v>
      </c>
      <c r="F1843" s="44">
        <v>8540.0</v>
      </c>
      <c r="G1843" s="79" t="s">
        <v>119</v>
      </c>
      <c r="H1843" s="80">
        <v>1657.0</v>
      </c>
      <c r="I1843" s="79">
        <v>452220.0</v>
      </c>
      <c r="J1843" s="74" t="s">
        <v>433</v>
      </c>
      <c r="K1843" s="79" t="s">
        <v>11417</v>
      </c>
      <c r="L1843" s="79"/>
      <c r="M1843" s="79"/>
      <c r="N1843" s="79">
        <v>3.0</v>
      </c>
      <c r="O1843" s="74"/>
      <c r="P1843" s="80"/>
      <c r="Q1843" s="79"/>
      <c r="R1843" s="80"/>
      <c r="S1843" s="101" t="s">
        <v>11418</v>
      </c>
      <c r="T1843" s="101" t="s">
        <v>332</v>
      </c>
      <c r="U1843" s="80" t="s">
        <v>332</v>
      </c>
      <c r="V1843" s="102" t="s">
        <v>429</v>
      </c>
      <c r="W1843" s="79" t="s">
        <v>306</v>
      </c>
      <c r="X1843" s="79" t="s">
        <v>306</v>
      </c>
      <c r="Y1843" s="79"/>
      <c r="Z1843" s="79"/>
    </row>
    <row r="1844" ht="15.75" customHeight="1">
      <c r="A1844" s="103" t="s">
        <v>24</v>
      </c>
      <c r="B1844" s="79" t="s">
        <v>11419</v>
      </c>
      <c r="C1844" s="80">
        <v>3.0555315518E10</v>
      </c>
      <c r="D1844" s="119" t="s">
        <v>264</v>
      </c>
      <c r="E1844" s="119" t="s">
        <v>1770</v>
      </c>
      <c r="F1844" s="44">
        <v>8540.0</v>
      </c>
      <c r="G1844" s="79" t="s">
        <v>119</v>
      </c>
      <c r="H1844" s="80">
        <v>1657.0</v>
      </c>
      <c r="I1844" s="79">
        <v>502220.0</v>
      </c>
      <c r="J1844" s="74" t="s">
        <v>433</v>
      </c>
      <c r="K1844" s="79" t="s">
        <v>11420</v>
      </c>
      <c r="L1844" s="79"/>
      <c r="M1844" s="79"/>
      <c r="N1844" s="79">
        <v>0.0</v>
      </c>
      <c r="O1844" s="74"/>
      <c r="P1844" s="80"/>
      <c r="Q1844" s="79"/>
      <c r="R1844" s="80"/>
      <c r="S1844" s="80" t="s">
        <v>11418</v>
      </c>
      <c r="T1844" s="101" t="s">
        <v>332</v>
      </c>
      <c r="U1844" s="80" t="s">
        <v>332</v>
      </c>
      <c r="V1844" s="102" t="s">
        <v>429</v>
      </c>
      <c r="W1844" s="79" t="s">
        <v>306</v>
      </c>
      <c r="X1844" s="79" t="s">
        <v>306</v>
      </c>
      <c r="Y1844" s="79"/>
      <c r="Z1844" s="79"/>
    </row>
    <row r="1845" ht="15.75" customHeight="1">
      <c r="A1845" s="103" t="s">
        <v>24</v>
      </c>
      <c r="B1845" s="77" t="s">
        <v>11421</v>
      </c>
      <c r="C1845" s="80">
        <v>3.0503383485E10</v>
      </c>
      <c r="D1845" s="119" t="s">
        <v>264</v>
      </c>
      <c r="E1845" s="79" t="s">
        <v>5016</v>
      </c>
      <c r="F1845" s="44">
        <v>4353.0</v>
      </c>
      <c r="G1845" s="79" t="s">
        <v>15</v>
      </c>
      <c r="H1845" s="80">
        <v>1678.0</v>
      </c>
      <c r="I1845" s="79">
        <v>242909.0</v>
      </c>
      <c r="J1845" s="74" t="s">
        <v>316</v>
      </c>
      <c r="K1845" s="77" t="s">
        <v>9772</v>
      </c>
      <c r="L1845" s="79"/>
      <c r="M1845" s="79"/>
      <c r="N1845" s="79">
        <v>0.0</v>
      </c>
      <c r="O1845" s="74"/>
      <c r="P1845" s="80"/>
      <c r="Q1845" s="79"/>
      <c r="R1845" s="80"/>
      <c r="S1845" s="80" t="s">
        <v>11422</v>
      </c>
      <c r="T1845" s="101" t="s">
        <v>11423</v>
      </c>
      <c r="U1845" s="80" t="s">
        <v>332</v>
      </c>
      <c r="V1845" s="102" t="s">
        <v>429</v>
      </c>
      <c r="W1845" s="79" t="s">
        <v>309</v>
      </c>
      <c r="X1845" s="79" t="s">
        <v>306</v>
      </c>
      <c r="Y1845" s="79"/>
      <c r="Z1845" s="79"/>
    </row>
    <row r="1846" ht="15.75" customHeight="1">
      <c r="A1846" s="76" t="s">
        <v>247</v>
      </c>
      <c r="B1846" s="77" t="s">
        <v>11424</v>
      </c>
      <c r="C1846" s="80">
        <v>3.0663810975E10</v>
      </c>
      <c r="D1846" s="144" t="s">
        <v>631</v>
      </c>
      <c r="E1846" s="79" t="s">
        <v>3256</v>
      </c>
      <c r="F1846" s="44">
        <v>1137.0</v>
      </c>
      <c r="G1846" s="79" t="s">
        <v>269</v>
      </c>
      <c r="H1846" s="80">
        <v>1682.0</v>
      </c>
      <c r="I1846" s="77">
        <v>561030.0</v>
      </c>
      <c r="J1846" s="74" t="s">
        <v>22</v>
      </c>
      <c r="K1846" s="77" t="s">
        <v>11425</v>
      </c>
      <c r="L1846" s="79"/>
      <c r="M1846" s="79"/>
      <c r="N1846" s="79">
        <v>4.0</v>
      </c>
      <c r="O1846" s="74"/>
      <c r="P1846" s="80"/>
      <c r="Q1846" s="79"/>
      <c r="R1846" s="80"/>
      <c r="S1846" s="80" t="s">
        <v>11426</v>
      </c>
      <c r="T1846" s="101" t="s">
        <v>11427</v>
      </c>
      <c r="U1846" s="80" t="s">
        <v>11428</v>
      </c>
      <c r="V1846" s="102" t="s">
        <v>429</v>
      </c>
      <c r="W1846" s="79" t="s">
        <v>306</v>
      </c>
      <c r="X1846" s="79" t="s">
        <v>306</v>
      </c>
      <c r="Y1846" s="79"/>
      <c r="Z1846" s="79"/>
    </row>
    <row r="1847" ht="15.75" customHeight="1">
      <c r="A1847" s="76" t="s">
        <v>247</v>
      </c>
      <c r="B1847" s="77" t="s">
        <v>8811</v>
      </c>
      <c r="C1847" s="80">
        <v>3.0679214361E10</v>
      </c>
      <c r="D1847" s="119" t="s">
        <v>264</v>
      </c>
      <c r="E1847" s="79" t="s">
        <v>2752</v>
      </c>
      <c r="F1847" s="44">
        <v>801.0</v>
      </c>
      <c r="G1847" s="79" t="s">
        <v>68</v>
      </c>
      <c r="H1847" s="80">
        <v>1702.0</v>
      </c>
      <c r="I1847" s="79">
        <v>863200.0</v>
      </c>
      <c r="J1847" s="74" t="s">
        <v>433</v>
      </c>
      <c r="K1847" s="79" t="s">
        <v>8111</v>
      </c>
      <c r="L1847" s="79"/>
      <c r="M1847" s="79"/>
      <c r="N1847" s="79">
        <v>9.0</v>
      </c>
      <c r="O1847" s="74"/>
      <c r="P1847" s="80"/>
      <c r="Q1847" s="79"/>
      <c r="R1847" s="80"/>
      <c r="S1847" s="80" t="s">
        <v>11429</v>
      </c>
      <c r="T1847" s="85" t="s">
        <v>11430</v>
      </c>
      <c r="U1847" s="80" t="s">
        <v>332</v>
      </c>
      <c r="V1847" s="102" t="s">
        <v>11431</v>
      </c>
      <c r="W1847" s="79" t="s">
        <v>309</v>
      </c>
      <c r="X1847" s="79" t="s">
        <v>309</v>
      </c>
      <c r="Y1847" s="79" t="s">
        <v>309</v>
      </c>
      <c r="Z1847" s="79"/>
    </row>
    <row r="1848" ht="15.75" customHeight="1">
      <c r="A1848" s="287" t="s">
        <v>247</v>
      </c>
      <c r="B1848" s="82" t="s">
        <v>8814</v>
      </c>
      <c r="C1848" s="247">
        <v>3.0708457856E10</v>
      </c>
      <c r="D1848" s="59" t="s">
        <v>264</v>
      </c>
      <c r="E1848" s="59" t="s">
        <v>3987</v>
      </c>
      <c r="F1848" s="383">
        <v>9762.0</v>
      </c>
      <c r="G1848" s="79" t="s">
        <v>175</v>
      </c>
      <c r="H1848" s="247">
        <v>1657.0</v>
      </c>
      <c r="I1848" s="59">
        <v>222090.0</v>
      </c>
      <c r="J1848" s="83" t="s">
        <v>568</v>
      </c>
      <c r="K1848" s="82" t="s">
        <v>569</v>
      </c>
      <c r="L1848" s="59" t="s">
        <v>453</v>
      </c>
      <c r="M1848" s="59"/>
      <c r="N1848" s="59">
        <v>22.0</v>
      </c>
      <c r="O1848" s="271"/>
      <c r="P1848" s="242" t="s">
        <v>11432</v>
      </c>
      <c r="Q1848" s="59"/>
      <c r="R1848" s="247"/>
      <c r="S1848" s="242" t="s">
        <v>11433</v>
      </c>
      <c r="T1848" s="242" t="s">
        <v>11434</v>
      </c>
      <c r="U1848" s="247" t="s">
        <v>11435</v>
      </c>
      <c r="V1848" s="206" t="s">
        <v>11436</v>
      </c>
      <c r="W1848" s="59" t="s">
        <v>306</v>
      </c>
      <c r="X1848" s="59" t="s">
        <v>306</v>
      </c>
      <c r="Y1848" s="59" t="s">
        <v>309</v>
      </c>
      <c r="Z1848" s="59"/>
    </row>
    <row r="1849" ht="15.75" customHeight="1">
      <c r="A1849" s="76" t="s">
        <v>247</v>
      </c>
      <c r="B1849" s="77" t="s">
        <v>2724</v>
      </c>
      <c r="C1849" s="80">
        <v>3.0597797717E10</v>
      </c>
      <c r="D1849" s="79" t="s">
        <v>264</v>
      </c>
      <c r="E1849" s="79" t="s">
        <v>2029</v>
      </c>
      <c r="F1849" s="44">
        <v>832.0</v>
      </c>
      <c r="G1849" s="79" t="s">
        <v>119</v>
      </c>
      <c r="H1849" s="80">
        <v>1657.0</v>
      </c>
      <c r="I1849" s="79">
        <v>259999.0</v>
      </c>
      <c r="J1849" s="74" t="s">
        <v>347</v>
      </c>
      <c r="K1849" s="77" t="s">
        <v>839</v>
      </c>
      <c r="L1849" s="79" t="s">
        <v>453</v>
      </c>
      <c r="M1849" s="79"/>
      <c r="N1849" s="79">
        <v>13.0</v>
      </c>
      <c r="O1849" s="74" t="s">
        <v>11437</v>
      </c>
      <c r="P1849" s="80" t="s">
        <v>11438</v>
      </c>
      <c r="Q1849" s="79" t="s">
        <v>11439</v>
      </c>
      <c r="R1849" s="80"/>
      <c r="S1849" s="80" t="s">
        <v>11440</v>
      </c>
      <c r="T1849" s="101" t="s">
        <v>332</v>
      </c>
      <c r="U1849" s="80"/>
      <c r="V1849" s="102" t="s">
        <v>11441</v>
      </c>
      <c r="W1849" s="79" t="s">
        <v>309</v>
      </c>
      <c r="X1849" s="79" t="s">
        <v>309</v>
      </c>
      <c r="Y1849" s="79" t="s">
        <v>309</v>
      </c>
      <c r="Z1849" s="79"/>
    </row>
    <row r="1850">
      <c r="A1850" s="103" t="s">
        <v>24</v>
      </c>
      <c r="B1850" s="77" t="s">
        <v>11442</v>
      </c>
      <c r="C1850" s="80">
        <v>3.0712828605E10</v>
      </c>
      <c r="D1850" s="119" t="s">
        <v>264</v>
      </c>
      <c r="E1850" s="79" t="s">
        <v>1755</v>
      </c>
      <c r="F1850" s="44">
        <v>3279.0</v>
      </c>
      <c r="G1850" s="79" t="s">
        <v>15</v>
      </c>
      <c r="H1850" s="80">
        <v>1678.0</v>
      </c>
      <c r="I1850" s="79">
        <v>492290.0</v>
      </c>
      <c r="J1850" s="74" t="s">
        <v>433</v>
      </c>
      <c r="K1850" s="77" t="s">
        <v>7988</v>
      </c>
      <c r="L1850" s="79"/>
      <c r="M1850" s="79"/>
      <c r="N1850" s="79">
        <v>5.0</v>
      </c>
      <c r="O1850" s="74"/>
      <c r="P1850" s="80"/>
      <c r="Q1850" s="79"/>
      <c r="R1850" s="80"/>
      <c r="S1850" s="78" t="s">
        <v>11443</v>
      </c>
      <c r="T1850" s="101" t="s">
        <v>332</v>
      </c>
      <c r="U1850" s="80" t="s">
        <v>332</v>
      </c>
      <c r="V1850" s="102" t="s">
        <v>429</v>
      </c>
      <c r="W1850" s="79" t="s">
        <v>306</v>
      </c>
      <c r="X1850" s="79" t="s">
        <v>306</v>
      </c>
      <c r="Y1850" s="79"/>
      <c r="Z1850" s="79"/>
    </row>
    <row r="1851" ht="15.75" customHeight="1">
      <c r="A1851" s="103" t="s">
        <v>24</v>
      </c>
      <c r="B1851" s="77" t="s">
        <v>11444</v>
      </c>
      <c r="C1851" s="80">
        <v>3.0711853541E10</v>
      </c>
      <c r="D1851" s="119" t="s">
        <v>264</v>
      </c>
      <c r="E1851" s="79" t="s">
        <v>1095</v>
      </c>
      <c r="F1851" s="44">
        <v>7650.0</v>
      </c>
      <c r="G1851" s="79" t="s">
        <v>119</v>
      </c>
      <c r="H1851" s="80">
        <v>1657.0</v>
      </c>
      <c r="I1851" s="79">
        <v>381100.0</v>
      </c>
      <c r="J1851" s="74" t="s">
        <v>433</v>
      </c>
      <c r="K1851" s="79" t="s">
        <v>11445</v>
      </c>
      <c r="L1851" s="79"/>
      <c r="M1851" s="79"/>
      <c r="N1851" s="79">
        <v>6.0</v>
      </c>
      <c r="O1851" s="74"/>
      <c r="P1851" s="80"/>
      <c r="Q1851" s="79"/>
      <c r="R1851" s="80"/>
      <c r="S1851" s="78" t="s">
        <v>11446</v>
      </c>
      <c r="T1851" s="101" t="s">
        <v>332</v>
      </c>
      <c r="U1851" s="80" t="s">
        <v>332</v>
      </c>
      <c r="V1851" s="102" t="s">
        <v>429</v>
      </c>
      <c r="W1851" s="79" t="s">
        <v>306</v>
      </c>
      <c r="X1851" s="79" t="s">
        <v>306</v>
      </c>
      <c r="Y1851" s="79"/>
      <c r="Z1851" s="79"/>
    </row>
    <row r="1852" ht="15.75" customHeight="1">
      <c r="A1852" s="103" t="s">
        <v>24</v>
      </c>
      <c r="B1852" s="77" t="s">
        <v>11447</v>
      </c>
      <c r="C1852" s="80">
        <v>3.3710320549E10</v>
      </c>
      <c r="D1852" s="119" t="s">
        <v>264</v>
      </c>
      <c r="E1852" s="79" t="s">
        <v>1629</v>
      </c>
      <c r="F1852" s="44">
        <v>811.0</v>
      </c>
      <c r="G1852" s="79" t="s">
        <v>269</v>
      </c>
      <c r="H1852" s="80">
        <v>1682.0</v>
      </c>
      <c r="I1852" s="79">
        <v>492280.0</v>
      </c>
      <c r="J1852" s="74" t="s">
        <v>433</v>
      </c>
      <c r="K1852" s="77" t="s">
        <v>4065</v>
      </c>
      <c r="L1852" s="79"/>
      <c r="M1852" s="79"/>
      <c r="N1852" s="79">
        <v>14.0</v>
      </c>
      <c r="O1852" s="74"/>
      <c r="P1852" s="80"/>
      <c r="Q1852" s="79"/>
      <c r="R1852" s="80"/>
      <c r="S1852" s="78" t="s">
        <v>3806</v>
      </c>
      <c r="T1852" s="101" t="s">
        <v>332</v>
      </c>
      <c r="U1852" s="80" t="s">
        <v>332</v>
      </c>
      <c r="V1852" s="102" t="s">
        <v>429</v>
      </c>
      <c r="W1852" s="79" t="s">
        <v>306</v>
      </c>
      <c r="X1852" s="79" t="s">
        <v>306</v>
      </c>
      <c r="Y1852" s="79"/>
      <c r="Z1852" s="79"/>
    </row>
    <row r="1853" ht="15.75" customHeight="1">
      <c r="A1853" s="103" t="s">
        <v>24</v>
      </c>
      <c r="B1853" s="77" t="s">
        <v>11448</v>
      </c>
      <c r="C1853" s="80">
        <v>3.0685300601E10</v>
      </c>
      <c r="D1853" s="119" t="s">
        <v>264</v>
      </c>
      <c r="E1853" s="79" t="s">
        <v>3987</v>
      </c>
      <c r="F1853" s="44">
        <v>9533.0</v>
      </c>
      <c r="G1853" s="79" t="s">
        <v>119</v>
      </c>
      <c r="H1853" s="80">
        <v>1657.0</v>
      </c>
      <c r="I1853" s="79">
        <v>492250.0</v>
      </c>
      <c r="J1853" s="74" t="s">
        <v>433</v>
      </c>
      <c r="K1853" s="79" t="s">
        <v>11449</v>
      </c>
      <c r="L1853" s="79"/>
      <c r="M1853" s="79"/>
      <c r="N1853" s="79">
        <v>23.0</v>
      </c>
      <c r="O1853" s="74"/>
      <c r="P1853" s="80"/>
      <c r="Q1853" s="79"/>
      <c r="R1853" s="80"/>
      <c r="S1853" s="80" t="s">
        <v>11450</v>
      </c>
      <c r="T1853" s="101" t="s">
        <v>11451</v>
      </c>
      <c r="U1853" s="80" t="s">
        <v>11452</v>
      </c>
      <c r="V1853" s="102" t="s">
        <v>429</v>
      </c>
      <c r="W1853" s="79" t="s">
        <v>306</v>
      </c>
      <c r="X1853" s="79" t="s">
        <v>306</v>
      </c>
      <c r="Y1853" s="79"/>
      <c r="Z1853" s="79"/>
    </row>
    <row r="1854" ht="15.75" customHeight="1">
      <c r="A1854" s="76" t="s">
        <v>247</v>
      </c>
      <c r="B1854" s="77" t="s">
        <v>8819</v>
      </c>
      <c r="C1854" s="80">
        <v>3.0645407683E10</v>
      </c>
      <c r="D1854" s="119" t="s">
        <v>264</v>
      </c>
      <c r="E1854" s="79" t="s">
        <v>5016</v>
      </c>
      <c r="F1854" s="44">
        <v>4353.0</v>
      </c>
      <c r="G1854" s="79" t="s">
        <v>15</v>
      </c>
      <c r="H1854" s="80">
        <v>1678.0</v>
      </c>
      <c r="I1854" s="79">
        <v>492280.0</v>
      </c>
      <c r="J1854" s="74" t="s">
        <v>433</v>
      </c>
      <c r="K1854" s="77" t="s">
        <v>11453</v>
      </c>
      <c r="L1854" s="79"/>
      <c r="M1854" s="79"/>
      <c r="N1854" s="79">
        <v>35.0</v>
      </c>
      <c r="O1854" s="74" t="s">
        <v>11454</v>
      </c>
      <c r="P1854" s="78" t="s">
        <v>11455</v>
      </c>
      <c r="Q1854" s="79"/>
      <c r="R1854" s="80"/>
      <c r="S1854" s="80" t="s">
        <v>11456</v>
      </c>
      <c r="T1854" s="101" t="s">
        <v>332</v>
      </c>
      <c r="U1854" s="80" t="s">
        <v>332</v>
      </c>
      <c r="V1854" s="102" t="s">
        <v>11457</v>
      </c>
      <c r="W1854" s="79" t="s">
        <v>306</v>
      </c>
      <c r="X1854" s="79" t="s">
        <v>306</v>
      </c>
      <c r="Y1854" s="79" t="s">
        <v>309</v>
      </c>
      <c r="Z1854" s="79"/>
    </row>
    <row r="1855" ht="15.75" customHeight="1">
      <c r="A1855" s="76" t="s">
        <v>247</v>
      </c>
      <c r="B1855" s="77" t="s">
        <v>8826</v>
      </c>
      <c r="C1855" s="80">
        <v>3.0707434186E10</v>
      </c>
      <c r="D1855" s="119" t="s">
        <v>264</v>
      </c>
      <c r="E1855" s="79" t="s">
        <v>2669</v>
      </c>
      <c r="F1855" s="128" t="s">
        <v>11458</v>
      </c>
      <c r="G1855" s="79" t="s">
        <v>15</v>
      </c>
      <c r="H1855" s="80">
        <v>1678.0</v>
      </c>
      <c r="I1855" s="79">
        <v>492280.0</v>
      </c>
      <c r="J1855" s="74" t="s">
        <v>433</v>
      </c>
      <c r="K1855" s="77" t="s">
        <v>11453</v>
      </c>
      <c r="L1855" s="79"/>
      <c r="M1855" s="79"/>
      <c r="N1855" s="79">
        <v>130.0</v>
      </c>
      <c r="O1855" s="74"/>
      <c r="P1855" s="80"/>
      <c r="Q1855" s="79"/>
      <c r="R1855" s="80"/>
      <c r="S1855" s="80" t="s">
        <v>11459</v>
      </c>
      <c r="T1855" s="331" t="s">
        <v>11460</v>
      </c>
      <c r="U1855" s="80" t="s">
        <v>332</v>
      </c>
      <c r="V1855" s="102" t="s">
        <v>11461</v>
      </c>
      <c r="W1855" s="79" t="s">
        <v>306</v>
      </c>
      <c r="X1855" s="79" t="s">
        <v>306</v>
      </c>
      <c r="Y1855" s="79"/>
      <c r="Z1855" s="79"/>
    </row>
    <row r="1856" ht="15.75" customHeight="1">
      <c r="A1856" s="103" t="s">
        <v>24</v>
      </c>
      <c r="B1856" s="77" t="s">
        <v>11462</v>
      </c>
      <c r="C1856" s="80">
        <v>3.0714100455E10</v>
      </c>
      <c r="D1856" s="119" t="s">
        <v>264</v>
      </c>
      <c r="E1856" s="79" t="s">
        <v>6422</v>
      </c>
      <c r="F1856" s="44">
        <v>1024.0</v>
      </c>
      <c r="G1856" s="77" t="s">
        <v>226</v>
      </c>
      <c r="H1856" s="80">
        <v>1674.0</v>
      </c>
      <c r="I1856" s="79">
        <v>492190.0</v>
      </c>
      <c r="J1856" s="74" t="s">
        <v>433</v>
      </c>
      <c r="K1856" s="77" t="s">
        <v>11463</v>
      </c>
      <c r="L1856" s="79"/>
      <c r="M1856" s="79"/>
      <c r="N1856" s="79">
        <v>2.0</v>
      </c>
      <c r="O1856" s="74"/>
      <c r="P1856" s="80"/>
      <c r="Q1856" s="79"/>
      <c r="R1856" s="80"/>
      <c r="S1856" s="78" t="s">
        <v>11464</v>
      </c>
      <c r="T1856" s="101" t="s">
        <v>332</v>
      </c>
      <c r="U1856" s="80" t="s">
        <v>332</v>
      </c>
      <c r="V1856" s="102" t="s">
        <v>429</v>
      </c>
      <c r="W1856" s="79" t="s">
        <v>306</v>
      </c>
      <c r="X1856" s="79" t="s">
        <v>306</v>
      </c>
      <c r="Y1856" s="79"/>
      <c r="Z1856" s="79"/>
    </row>
    <row r="1857">
      <c r="A1857" s="76" t="s">
        <v>247</v>
      </c>
      <c r="B1857" s="82" t="s">
        <v>2727</v>
      </c>
      <c r="C1857" s="101">
        <v>3.0708397896E10</v>
      </c>
      <c r="D1857" s="79" t="s">
        <v>264</v>
      </c>
      <c r="E1857" s="79" t="s">
        <v>2540</v>
      </c>
      <c r="F1857" s="44">
        <v>5250.0</v>
      </c>
      <c r="G1857" s="79" t="s">
        <v>15</v>
      </c>
      <c r="H1857" s="80">
        <v>1678.0</v>
      </c>
      <c r="I1857" s="80">
        <v>492290.0</v>
      </c>
      <c r="J1857" s="74" t="s">
        <v>4546</v>
      </c>
      <c r="K1857" s="77" t="s">
        <v>11465</v>
      </c>
      <c r="L1857" s="79"/>
      <c r="M1857" s="77" t="s">
        <v>11466</v>
      </c>
      <c r="N1857" s="77">
        <v>20.0</v>
      </c>
      <c r="O1857" s="77" t="s">
        <v>11467</v>
      </c>
      <c r="P1857" s="78"/>
      <c r="Q1857" s="79" t="s">
        <v>11468</v>
      </c>
      <c r="R1857" s="78" t="s">
        <v>11469</v>
      </c>
      <c r="S1857" s="78" t="s">
        <v>11470</v>
      </c>
      <c r="T1857" s="85" t="s">
        <v>11471</v>
      </c>
      <c r="U1857" s="78" t="s">
        <v>11472</v>
      </c>
      <c r="V1857" s="98" t="s">
        <v>11473</v>
      </c>
      <c r="W1857" s="79"/>
      <c r="X1857" s="79"/>
      <c r="Y1857" s="79"/>
      <c r="Z1857" s="79"/>
    </row>
    <row r="1858" ht="15.75" customHeight="1">
      <c r="A1858" s="103" t="s">
        <v>24</v>
      </c>
      <c r="B1858" s="77" t="s">
        <v>11474</v>
      </c>
      <c r="C1858" s="80">
        <v>3.0707736816E10</v>
      </c>
      <c r="D1858" s="119" t="s">
        <v>264</v>
      </c>
      <c r="E1858" s="77" t="s">
        <v>1437</v>
      </c>
      <c r="F1858" s="44">
        <v>6365.0</v>
      </c>
      <c r="G1858" s="79" t="s">
        <v>119</v>
      </c>
      <c r="H1858" s="80">
        <v>1657.0</v>
      </c>
      <c r="I1858" s="79">
        <v>492229.0</v>
      </c>
      <c r="J1858" s="74" t="s">
        <v>433</v>
      </c>
      <c r="K1858" s="77" t="s">
        <v>11475</v>
      </c>
      <c r="L1858" s="79"/>
      <c r="M1858" s="79"/>
      <c r="N1858" s="79">
        <v>2.0</v>
      </c>
      <c r="O1858" s="74"/>
      <c r="P1858" s="80"/>
      <c r="Q1858" s="79"/>
      <c r="R1858" s="80"/>
      <c r="S1858" s="78" t="s">
        <v>11476</v>
      </c>
      <c r="T1858" s="101" t="s">
        <v>332</v>
      </c>
      <c r="U1858" s="80" t="s">
        <v>332</v>
      </c>
      <c r="V1858" s="102" t="s">
        <v>429</v>
      </c>
      <c r="W1858" s="79" t="s">
        <v>306</v>
      </c>
      <c r="X1858" s="79" t="s">
        <v>306</v>
      </c>
      <c r="Y1858" s="79"/>
      <c r="Z1858" s="79"/>
    </row>
    <row r="1859" ht="15.75" customHeight="1">
      <c r="A1859" s="103" t="s">
        <v>24</v>
      </c>
      <c r="B1859" s="79" t="s">
        <v>11477</v>
      </c>
      <c r="C1859" s="114">
        <v>3.0546343363E10</v>
      </c>
      <c r="D1859" s="79" t="s">
        <v>264</v>
      </c>
      <c r="E1859" s="79" t="s">
        <v>2400</v>
      </c>
      <c r="F1859" s="44">
        <v>9990.0</v>
      </c>
      <c r="G1859" s="79" t="s">
        <v>175</v>
      </c>
      <c r="H1859" s="80">
        <v>1657.0</v>
      </c>
      <c r="I1859" s="79">
        <v>492110.0</v>
      </c>
      <c r="J1859" s="74" t="s">
        <v>433</v>
      </c>
      <c r="K1859" s="79" t="s">
        <v>11478</v>
      </c>
      <c r="L1859" s="79" t="s">
        <v>286</v>
      </c>
      <c r="M1859" s="119" t="s">
        <v>11479</v>
      </c>
      <c r="N1859" s="79">
        <v>151.0</v>
      </c>
      <c r="O1859" s="129" t="s">
        <v>11480</v>
      </c>
      <c r="P1859" s="80"/>
      <c r="Q1859" s="79"/>
      <c r="R1859" s="80"/>
      <c r="S1859" s="101" t="s">
        <v>11481</v>
      </c>
      <c r="T1859" s="101" t="s">
        <v>11482</v>
      </c>
      <c r="U1859" s="80" t="s">
        <v>332</v>
      </c>
      <c r="V1859" s="102" t="s">
        <v>429</v>
      </c>
      <c r="W1859" s="79" t="s">
        <v>306</v>
      </c>
      <c r="X1859" s="79" t="s">
        <v>306</v>
      </c>
      <c r="Y1859" s="79"/>
      <c r="Z1859" s="79"/>
    </row>
    <row r="1860" ht="15.75" customHeight="1">
      <c r="A1860" s="103" t="s">
        <v>24</v>
      </c>
      <c r="B1860" s="77" t="s">
        <v>11483</v>
      </c>
      <c r="C1860" s="80">
        <v>3.3707766919E10</v>
      </c>
      <c r="D1860" s="119" t="s">
        <v>264</v>
      </c>
      <c r="E1860" s="79" t="s">
        <v>1079</v>
      </c>
      <c r="F1860" s="44">
        <v>5475.0</v>
      </c>
      <c r="G1860" s="79" t="s">
        <v>15</v>
      </c>
      <c r="H1860" s="80">
        <v>1678.0</v>
      </c>
      <c r="I1860" s="79">
        <v>141199.0</v>
      </c>
      <c r="J1860" s="74" t="s">
        <v>448</v>
      </c>
      <c r="K1860" s="77" t="s">
        <v>2765</v>
      </c>
      <c r="L1860" s="79" t="s">
        <v>1122</v>
      </c>
      <c r="M1860" s="79"/>
      <c r="N1860" s="79">
        <v>4.0</v>
      </c>
      <c r="O1860" s="42"/>
      <c r="P1860" s="80"/>
      <c r="Q1860" s="79"/>
      <c r="R1860" s="80"/>
      <c r="S1860" s="101" t="s">
        <v>7720</v>
      </c>
      <c r="T1860" s="101" t="s">
        <v>332</v>
      </c>
      <c r="U1860" s="80" t="s">
        <v>332</v>
      </c>
      <c r="V1860" s="102" t="s">
        <v>429</v>
      </c>
      <c r="W1860" s="79" t="s">
        <v>309</v>
      </c>
      <c r="X1860" s="79" t="s">
        <v>309</v>
      </c>
      <c r="Y1860" s="79"/>
      <c r="Z1860" s="79"/>
    </row>
    <row r="1861" ht="15.75" customHeight="1">
      <c r="A1861" s="76" t="s">
        <v>247</v>
      </c>
      <c r="B1861" s="77" t="s">
        <v>8833</v>
      </c>
      <c r="C1861" s="80">
        <v>3.0709939498E10</v>
      </c>
      <c r="D1861" s="119" t="s">
        <v>264</v>
      </c>
      <c r="E1861" s="79" t="s">
        <v>1079</v>
      </c>
      <c r="F1861" s="44">
        <v>5142.0</v>
      </c>
      <c r="G1861" s="79" t="s">
        <v>15</v>
      </c>
      <c r="H1861" s="80">
        <v>1678.0</v>
      </c>
      <c r="I1861" s="79">
        <v>259200.0</v>
      </c>
      <c r="J1861" s="74" t="s">
        <v>347</v>
      </c>
      <c r="K1861" s="79" t="s">
        <v>1324</v>
      </c>
      <c r="L1861" s="79" t="s">
        <v>453</v>
      </c>
      <c r="M1861" s="79"/>
      <c r="N1861" s="79">
        <v>10.0</v>
      </c>
      <c r="O1861" s="74"/>
      <c r="P1861" s="80"/>
      <c r="Q1861" s="79"/>
      <c r="R1861" s="80"/>
      <c r="S1861" s="78" t="s">
        <v>11484</v>
      </c>
      <c r="T1861" s="85" t="s">
        <v>11485</v>
      </c>
      <c r="U1861" s="80" t="s">
        <v>332</v>
      </c>
      <c r="V1861" s="102" t="s">
        <v>11486</v>
      </c>
      <c r="W1861" s="79" t="s">
        <v>306</v>
      </c>
      <c r="X1861" s="79" t="s">
        <v>306</v>
      </c>
      <c r="Y1861" s="79"/>
      <c r="Z1861" s="79"/>
    </row>
    <row r="1862" ht="15.75" customHeight="1">
      <c r="A1862" s="76" t="s">
        <v>247</v>
      </c>
      <c r="B1862" s="77" t="s">
        <v>8836</v>
      </c>
      <c r="C1862" s="80">
        <v>3.3711126339E10</v>
      </c>
      <c r="D1862" s="119" t="s">
        <v>264</v>
      </c>
      <c r="E1862" s="77" t="s">
        <v>11487</v>
      </c>
      <c r="F1862" s="128">
        <v>2807.0</v>
      </c>
      <c r="G1862" s="77" t="s">
        <v>47</v>
      </c>
      <c r="H1862" s="80">
        <v>1684.0</v>
      </c>
      <c r="I1862" s="79">
        <v>139900.0</v>
      </c>
      <c r="J1862" s="74" t="s">
        <v>448</v>
      </c>
      <c r="K1862" s="77" t="s">
        <v>1760</v>
      </c>
      <c r="L1862" s="79" t="s">
        <v>453</v>
      </c>
      <c r="M1862" s="79"/>
      <c r="N1862" s="79">
        <v>0.0</v>
      </c>
      <c r="O1862" s="74"/>
      <c r="P1862" s="80"/>
      <c r="Q1862" s="79"/>
      <c r="R1862" s="80"/>
      <c r="S1862" s="101" t="s">
        <v>11488</v>
      </c>
      <c r="T1862" s="101" t="s">
        <v>332</v>
      </c>
      <c r="U1862" s="80" t="s">
        <v>332</v>
      </c>
      <c r="V1862" s="102" t="s">
        <v>429</v>
      </c>
      <c r="W1862" s="79" t="s">
        <v>306</v>
      </c>
      <c r="X1862" s="79" t="s">
        <v>306</v>
      </c>
      <c r="Y1862" s="79" t="s">
        <v>309</v>
      </c>
      <c r="Z1862" s="79"/>
    </row>
    <row r="1863" ht="15.75" customHeight="1">
      <c r="A1863" s="103" t="s">
        <v>24</v>
      </c>
      <c r="B1863" s="77" t="s">
        <v>11489</v>
      </c>
      <c r="C1863" s="80">
        <v>3.0712400176E10</v>
      </c>
      <c r="D1863" s="119" t="s">
        <v>264</v>
      </c>
      <c r="E1863" s="79" t="s">
        <v>11490</v>
      </c>
      <c r="F1863" s="44">
        <v>482.0</v>
      </c>
      <c r="G1863" s="79" t="s">
        <v>68</v>
      </c>
      <c r="H1863" s="80">
        <v>1702.0</v>
      </c>
      <c r="I1863" s="79">
        <v>139900.0</v>
      </c>
      <c r="J1863" s="74" t="s">
        <v>448</v>
      </c>
      <c r="K1863" s="77" t="s">
        <v>1760</v>
      </c>
      <c r="L1863" s="79"/>
      <c r="M1863" s="79"/>
      <c r="N1863" s="79">
        <v>1.0</v>
      </c>
      <c r="O1863" s="74"/>
      <c r="P1863" s="80"/>
      <c r="Q1863" s="79"/>
      <c r="R1863" s="80"/>
      <c r="S1863" s="78" t="s">
        <v>11491</v>
      </c>
      <c r="T1863" s="101" t="s">
        <v>332</v>
      </c>
      <c r="U1863" s="80" t="s">
        <v>332</v>
      </c>
      <c r="V1863" s="102" t="s">
        <v>429</v>
      </c>
      <c r="W1863" s="79" t="s">
        <v>309</v>
      </c>
      <c r="X1863" s="79" t="s">
        <v>309</v>
      </c>
      <c r="Y1863" s="79"/>
      <c r="Z1863" s="79"/>
    </row>
    <row r="1864" ht="15.75" customHeight="1">
      <c r="A1864" s="76" t="s">
        <v>247</v>
      </c>
      <c r="B1864" s="77" t="s">
        <v>11492</v>
      </c>
      <c r="C1864" s="79">
        <v>3.0710508077E10</v>
      </c>
      <c r="D1864" s="79" t="s">
        <v>264</v>
      </c>
      <c r="E1864" s="79" t="s">
        <v>314</v>
      </c>
      <c r="F1864" s="44">
        <v>3958.0</v>
      </c>
      <c r="G1864" s="79" t="s">
        <v>15</v>
      </c>
      <c r="H1864" s="80">
        <v>1678.0</v>
      </c>
      <c r="I1864" s="79">
        <v>259100.0</v>
      </c>
      <c r="J1864" s="74" t="s">
        <v>347</v>
      </c>
      <c r="K1864" s="77" t="s">
        <v>3512</v>
      </c>
      <c r="L1864" s="79" t="s">
        <v>453</v>
      </c>
      <c r="M1864" s="79"/>
      <c r="N1864" s="79">
        <v>10.0</v>
      </c>
      <c r="O1864" s="74"/>
      <c r="P1864" s="80"/>
      <c r="Q1864" s="79"/>
      <c r="R1864" s="80"/>
      <c r="S1864" s="78" t="s">
        <v>11493</v>
      </c>
      <c r="T1864" s="78" t="s">
        <v>11494</v>
      </c>
      <c r="U1864" s="80" t="s">
        <v>332</v>
      </c>
      <c r="V1864" s="102" t="s">
        <v>11495</v>
      </c>
      <c r="W1864" s="79" t="s">
        <v>306</v>
      </c>
      <c r="X1864" s="79" t="s">
        <v>306</v>
      </c>
      <c r="Y1864" s="79"/>
      <c r="Z1864" s="79"/>
    </row>
    <row r="1865" ht="15.75" customHeight="1">
      <c r="A1865" s="76" t="s">
        <v>247</v>
      </c>
      <c r="B1865" s="77" t="s">
        <v>8843</v>
      </c>
      <c r="C1865" s="80">
        <v>3.0685028723E10</v>
      </c>
      <c r="D1865" s="119" t="s">
        <v>264</v>
      </c>
      <c r="E1865" s="79" t="s">
        <v>1363</v>
      </c>
      <c r="F1865" s="44">
        <v>4659.0</v>
      </c>
      <c r="G1865" s="79" t="s">
        <v>15</v>
      </c>
      <c r="H1865" s="80">
        <v>1678.0</v>
      </c>
      <c r="I1865" s="79">
        <v>242010.0</v>
      </c>
      <c r="J1865" s="74" t="s">
        <v>347</v>
      </c>
      <c r="K1865" s="79" t="s">
        <v>2832</v>
      </c>
      <c r="L1865" s="79"/>
      <c r="M1865" s="77" t="s">
        <v>11496</v>
      </c>
      <c r="N1865" s="79">
        <v>3.0</v>
      </c>
      <c r="O1865" s="74"/>
      <c r="P1865" s="80"/>
      <c r="Q1865" s="79"/>
      <c r="R1865" s="80"/>
      <c r="S1865" s="78" t="s">
        <v>11497</v>
      </c>
      <c r="T1865" s="85" t="s">
        <v>11498</v>
      </c>
      <c r="U1865" s="80" t="s">
        <v>332</v>
      </c>
      <c r="V1865" s="102" t="s">
        <v>11499</v>
      </c>
      <c r="W1865" s="79" t="s">
        <v>309</v>
      </c>
      <c r="X1865" s="79" t="s">
        <v>309</v>
      </c>
      <c r="Y1865" s="79" t="s">
        <v>309</v>
      </c>
      <c r="Z1865" s="79"/>
    </row>
    <row r="1866" ht="15.75" customHeight="1">
      <c r="A1866" s="76" t="s">
        <v>247</v>
      </c>
      <c r="B1866" s="77" t="s">
        <v>11500</v>
      </c>
      <c r="C1866" s="247">
        <v>3.0707109471E10</v>
      </c>
      <c r="D1866" s="119" t="s">
        <v>264</v>
      </c>
      <c r="E1866" s="77" t="s">
        <v>11501</v>
      </c>
      <c r="F1866" s="128">
        <v>1223.0</v>
      </c>
      <c r="G1866" s="79" t="s">
        <v>15</v>
      </c>
      <c r="H1866" s="80">
        <v>1678.0</v>
      </c>
      <c r="I1866" s="79">
        <v>222090.0</v>
      </c>
      <c r="J1866" s="83" t="s">
        <v>568</v>
      </c>
      <c r="K1866" s="77" t="s">
        <v>569</v>
      </c>
      <c r="L1866" s="79" t="s">
        <v>453</v>
      </c>
      <c r="M1866" s="79"/>
      <c r="N1866" s="79">
        <v>9.0</v>
      </c>
      <c r="O1866" s="74"/>
      <c r="P1866" s="80"/>
      <c r="Q1866" s="79"/>
      <c r="R1866" s="80"/>
      <c r="S1866" s="78">
        <v>4.7511127E7</v>
      </c>
      <c r="T1866" s="227">
        <v>1.167236864E9</v>
      </c>
      <c r="U1866" s="80" t="s">
        <v>332</v>
      </c>
      <c r="V1866" s="102" t="s">
        <v>429</v>
      </c>
      <c r="W1866" s="79" t="s">
        <v>309</v>
      </c>
      <c r="X1866" s="79" t="s">
        <v>309</v>
      </c>
      <c r="Y1866" s="79"/>
      <c r="Z1866" s="79"/>
    </row>
    <row r="1867" ht="15.75" customHeight="1">
      <c r="A1867" s="76" t="s">
        <v>247</v>
      </c>
      <c r="B1867" s="77" t="s">
        <v>2732</v>
      </c>
      <c r="C1867" s="80">
        <v>3.0504359197E10</v>
      </c>
      <c r="D1867" s="79" t="s">
        <v>264</v>
      </c>
      <c r="E1867" s="79" t="s">
        <v>3287</v>
      </c>
      <c r="F1867" s="44">
        <v>1934.0</v>
      </c>
      <c r="G1867" s="79" t="s">
        <v>15</v>
      </c>
      <c r="H1867" s="80">
        <v>1678.0</v>
      </c>
      <c r="I1867" s="79">
        <v>259100.0</v>
      </c>
      <c r="J1867" s="74" t="s">
        <v>347</v>
      </c>
      <c r="K1867" s="77" t="s">
        <v>3512</v>
      </c>
      <c r="L1867" s="79" t="s">
        <v>453</v>
      </c>
      <c r="M1867" s="79"/>
      <c r="N1867" s="79">
        <v>35.0</v>
      </c>
      <c r="O1867" s="126" t="s">
        <v>11502</v>
      </c>
      <c r="P1867" s="78" t="s">
        <v>11503</v>
      </c>
      <c r="Q1867" s="79" t="s">
        <v>11504</v>
      </c>
      <c r="R1867" s="80"/>
      <c r="S1867" s="80" t="s">
        <v>11505</v>
      </c>
      <c r="T1867" s="101" t="s">
        <v>11506</v>
      </c>
      <c r="U1867" s="80"/>
      <c r="V1867" s="102" t="s">
        <v>11507</v>
      </c>
      <c r="W1867" s="79" t="s">
        <v>306</v>
      </c>
      <c r="X1867" s="79" t="s">
        <v>309</v>
      </c>
      <c r="Y1867" s="79" t="s">
        <v>309</v>
      </c>
      <c r="Z1867" s="79"/>
    </row>
    <row r="1868" ht="15.75" customHeight="1">
      <c r="A1868" s="103" t="s">
        <v>24</v>
      </c>
      <c r="B1868" s="77" t="s">
        <v>11508</v>
      </c>
      <c r="C1868" s="80">
        <v>3.0647400694E10</v>
      </c>
      <c r="D1868" s="79" t="s">
        <v>264</v>
      </c>
      <c r="E1868" s="79" t="s">
        <v>1079</v>
      </c>
      <c r="F1868" s="44">
        <v>5142.0</v>
      </c>
      <c r="G1868" s="79" t="s">
        <v>15</v>
      </c>
      <c r="H1868" s="80">
        <v>1678.0</v>
      </c>
      <c r="I1868" s="79">
        <v>289993.0</v>
      </c>
      <c r="J1868" s="74" t="s">
        <v>347</v>
      </c>
      <c r="K1868" s="129" t="s">
        <v>638</v>
      </c>
      <c r="L1868" s="79" t="s">
        <v>453</v>
      </c>
      <c r="M1868" s="79"/>
      <c r="N1868" s="79">
        <v>0.0</v>
      </c>
      <c r="O1868" s="74"/>
      <c r="P1868" s="80"/>
      <c r="Q1868" s="79"/>
      <c r="R1868" s="80"/>
      <c r="S1868" s="78" t="s">
        <v>11509</v>
      </c>
      <c r="T1868" s="101" t="s">
        <v>332</v>
      </c>
      <c r="U1868" s="80" t="s">
        <v>332</v>
      </c>
      <c r="V1868" s="102" t="s">
        <v>429</v>
      </c>
      <c r="W1868" s="79" t="s">
        <v>306</v>
      </c>
      <c r="X1868" s="79" t="s">
        <v>306</v>
      </c>
      <c r="Y1868" s="79"/>
      <c r="Z1868" s="79"/>
    </row>
    <row r="1869" ht="15.75" customHeight="1">
      <c r="A1869" s="103" t="s">
        <v>24</v>
      </c>
      <c r="B1869" s="79" t="s">
        <v>11510</v>
      </c>
      <c r="C1869" s="80">
        <v>2.0243341761E10</v>
      </c>
      <c r="D1869" s="77" t="s">
        <v>631</v>
      </c>
      <c r="E1869" s="79" t="s">
        <v>1045</v>
      </c>
      <c r="F1869" s="44">
        <v>5236.0</v>
      </c>
      <c r="G1869" s="79" t="s">
        <v>15</v>
      </c>
      <c r="H1869" s="80">
        <v>1678.0</v>
      </c>
      <c r="I1869" s="77">
        <v>711001.0</v>
      </c>
      <c r="J1869" s="74" t="s">
        <v>433</v>
      </c>
      <c r="K1869" s="77" t="s">
        <v>5914</v>
      </c>
      <c r="L1869" s="79"/>
      <c r="M1869" s="79"/>
      <c r="N1869" s="79"/>
      <c r="O1869" s="74"/>
      <c r="P1869" s="80"/>
      <c r="Q1869" s="79"/>
      <c r="R1869" s="80"/>
      <c r="S1869" s="78" t="s">
        <v>11511</v>
      </c>
      <c r="T1869" s="101"/>
      <c r="U1869" s="80"/>
      <c r="V1869" s="102" t="s">
        <v>429</v>
      </c>
      <c r="W1869" s="79"/>
      <c r="X1869" s="79"/>
      <c r="Y1869" s="79"/>
      <c r="Z1869" s="79"/>
    </row>
    <row r="1870" ht="15.75" customHeight="1">
      <c r="A1870" s="103" t="s">
        <v>24</v>
      </c>
      <c r="B1870" s="79" t="s">
        <v>11512</v>
      </c>
      <c r="C1870" s="80">
        <v>2.0936187626E10</v>
      </c>
      <c r="D1870" s="77" t="s">
        <v>631</v>
      </c>
      <c r="E1870" s="79" t="s">
        <v>1045</v>
      </c>
      <c r="F1870" s="44">
        <v>5236.0</v>
      </c>
      <c r="G1870" s="79" t="s">
        <v>15</v>
      </c>
      <c r="H1870" s="80">
        <v>1678.0</v>
      </c>
      <c r="I1870" s="77">
        <v>410011.0</v>
      </c>
      <c r="J1870" s="74" t="s">
        <v>125</v>
      </c>
      <c r="K1870" s="77" t="s">
        <v>1829</v>
      </c>
      <c r="L1870" s="79" t="s">
        <v>453</v>
      </c>
      <c r="M1870" s="79"/>
      <c r="N1870" s="79"/>
      <c r="O1870" s="74"/>
      <c r="P1870" s="80"/>
      <c r="Q1870" s="79"/>
      <c r="R1870" s="80"/>
      <c r="S1870" s="78" t="s">
        <v>11513</v>
      </c>
      <c r="T1870" s="101"/>
      <c r="U1870" s="80"/>
      <c r="V1870" s="102" t="s">
        <v>429</v>
      </c>
      <c r="W1870" s="79"/>
      <c r="X1870" s="79"/>
      <c r="Y1870" s="79"/>
      <c r="Z1870" s="79"/>
    </row>
    <row r="1871" ht="15.75" customHeight="1">
      <c r="A1871" s="76" t="s">
        <v>247</v>
      </c>
      <c r="B1871" s="129" t="s">
        <v>2738</v>
      </c>
      <c r="C1871" s="80">
        <v>3.0710326246E10</v>
      </c>
      <c r="D1871" s="119" t="s">
        <v>264</v>
      </c>
      <c r="E1871" s="77" t="s">
        <v>4273</v>
      </c>
      <c r="F1871" s="44">
        <v>1175.0</v>
      </c>
      <c r="G1871" s="77" t="s">
        <v>226</v>
      </c>
      <c r="H1871" s="80">
        <v>1674.0</v>
      </c>
      <c r="I1871" s="79">
        <v>154309.0</v>
      </c>
      <c r="J1871" s="74" t="s">
        <v>22</v>
      </c>
      <c r="K1871" s="77" t="s">
        <v>11514</v>
      </c>
      <c r="L1871" s="79" t="s">
        <v>369</v>
      </c>
      <c r="M1871" s="79" t="s">
        <v>11515</v>
      </c>
      <c r="N1871" s="79">
        <v>7.0</v>
      </c>
      <c r="O1871" s="126" t="s">
        <v>11516</v>
      </c>
      <c r="P1871" s="85" t="s">
        <v>11517</v>
      </c>
      <c r="Q1871" s="79"/>
      <c r="R1871" s="80"/>
      <c r="S1871" s="101" t="s">
        <v>11518</v>
      </c>
      <c r="T1871" s="85" t="s">
        <v>11519</v>
      </c>
      <c r="U1871" s="101"/>
      <c r="V1871" s="102" t="s">
        <v>11520</v>
      </c>
      <c r="W1871" s="79"/>
      <c r="X1871" s="79"/>
      <c r="Y1871" s="126" t="s">
        <v>309</v>
      </c>
      <c r="Z1871" s="79"/>
    </row>
    <row r="1872" ht="15.75" customHeight="1">
      <c r="A1872" s="76" t="s">
        <v>247</v>
      </c>
      <c r="B1872" s="77" t="s">
        <v>8849</v>
      </c>
      <c r="C1872" s="80">
        <v>3.0604734084E10</v>
      </c>
      <c r="D1872" s="79" t="s">
        <v>264</v>
      </c>
      <c r="E1872" s="79" t="s">
        <v>1525</v>
      </c>
      <c r="F1872" s="128" t="s">
        <v>11521</v>
      </c>
      <c r="G1872" s="77" t="s">
        <v>68</v>
      </c>
      <c r="H1872" s="78">
        <v>1702.0</v>
      </c>
      <c r="I1872" s="79">
        <v>222010.0</v>
      </c>
      <c r="J1872" s="83" t="s">
        <v>568</v>
      </c>
      <c r="K1872" s="77" t="s">
        <v>11522</v>
      </c>
      <c r="L1872" s="79"/>
      <c r="M1872" s="79"/>
      <c r="N1872" s="79"/>
      <c r="O1872" s="74"/>
      <c r="P1872" s="80"/>
      <c r="Q1872" s="79"/>
      <c r="R1872" s="80"/>
      <c r="S1872" s="78" t="s">
        <v>5002</v>
      </c>
      <c r="T1872" s="101" t="s">
        <v>11523</v>
      </c>
      <c r="U1872" s="80"/>
      <c r="V1872" s="102" t="s">
        <v>11524</v>
      </c>
      <c r="W1872" s="79"/>
      <c r="X1872" s="79"/>
      <c r="Y1872" s="79"/>
      <c r="Z1872" s="79"/>
    </row>
    <row r="1873" ht="15.75" customHeight="1">
      <c r="A1873" s="76" t="s">
        <v>247</v>
      </c>
      <c r="B1873" s="77" t="s">
        <v>2742</v>
      </c>
      <c r="C1873" s="80">
        <v>3.071191776E10</v>
      </c>
      <c r="D1873" s="79" t="s">
        <v>264</v>
      </c>
      <c r="E1873" s="79" t="s">
        <v>2029</v>
      </c>
      <c r="F1873" s="44">
        <v>691.0</v>
      </c>
      <c r="G1873" s="79" t="s">
        <v>119</v>
      </c>
      <c r="H1873" s="80">
        <v>1657.0</v>
      </c>
      <c r="I1873" s="79">
        <v>259999.0</v>
      </c>
      <c r="J1873" s="74" t="s">
        <v>347</v>
      </c>
      <c r="K1873" s="77" t="s">
        <v>839</v>
      </c>
      <c r="L1873" s="79" t="s">
        <v>453</v>
      </c>
      <c r="M1873" s="79"/>
      <c r="N1873" s="79">
        <v>7.0</v>
      </c>
      <c r="O1873" s="129" t="s">
        <v>11525</v>
      </c>
      <c r="P1873" s="85" t="s">
        <v>11526</v>
      </c>
      <c r="Q1873" s="79"/>
      <c r="R1873" s="80"/>
      <c r="S1873" s="80"/>
      <c r="T1873" s="101" t="s">
        <v>332</v>
      </c>
      <c r="U1873" s="80" t="s">
        <v>332</v>
      </c>
      <c r="V1873" s="102" t="s">
        <v>429</v>
      </c>
      <c r="W1873" s="79" t="s">
        <v>306</v>
      </c>
      <c r="X1873" s="79" t="s">
        <v>306</v>
      </c>
      <c r="Y1873" s="79"/>
      <c r="Z1873" s="79"/>
    </row>
    <row r="1874" ht="15.75" customHeight="1">
      <c r="A1874" s="76" t="s">
        <v>247</v>
      </c>
      <c r="B1874" s="77" t="s">
        <v>8856</v>
      </c>
      <c r="C1874" s="80">
        <v>3.0707106456E10</v>
      </c>
      <c r="D1874" s="79" t="s">
        <v>264</v>
      </c>
      <c r="E1874" s="77" t="s">
        <v>1458</v>
      </c>
      <c r="F1874" s="44">
        <v>4368.0</v>
      </c>
      <c r="G1874" s="79" t="s">
        <v>15</v>
      </c>
      <c r="H1874" s="80">
        <v>1678.0</v>
      </c>
      <c r="I1874" s="79">
        <v>139209.0</v>
      </c>
      <c r="J1874" s="74" t="s">
        <v>448</v>
      </c>
      <c r="K1874" s="77" t="s">
        <v>539</v>
      </c>
      <c r="L1874" s="79" t="s">
        <v>1122</v>
      </c>
      <c r="M1874" s="79" t="s">
        <v>5451</v>
      </c>
      <c r="N1874" s="79">
        <v>4.0</v>
      </c>
      <c r="O1874" s="74"/>
      <c r="P1874" s="80"/>
      <c r="Q1874" s="79"/>
      <c r="R1874" s="80"/>
      <c r="S1874" s="78" t="s">
        <v>11527</v>
      </c>
      <c r="T1874" s="85" t="s">
        <v>11528</v>
      </c>
      <c r="U1874" s="384" t="s">
        <v>11529</v>
      </c>
      <c r="V1874" s="102" t="s">
        <v>11530</v>
      </c>
      <c r="W1874" s="79" t="s">
        <v>306</v>
      </c>
      <c r="X1874" s="79" t="s">
        <v>306</v>
      </c>
      <c r="Y1874" s="79" t="s">
        <v>309</v>
      </c>
      <c r="Z1874" s="79"/>
    </row>
    <row r="1875" ht="15.75" customHeight="1">
      <c r="A1875" s="103" t="s">
        <v>24</v>
      </c>
      <c r="B1875" s="77" t="s">
        <v>11531</v>
      </c>
      <c r="C1875" s="80">
        <v>3.0707481273E10</v>
      </c>
      <c r="D1875" s="79" t="s">
        <v>264</v>
      </c>
      <c r="E1875" s="79" t="s">
        <v>8846</v>
      </c>
      <c r="F1875" s="44">
        <v>837.0</v>
      </c>
      <c r="G1875" s="79" t="s">
        <v>269</v>
      </c>
      <c r="H1875" s="80">
        <v>1682.0</v>
      </c>
      <c r="I1875" s="79">
        <v>502990.0</v>
      </c>
      <c r="J1875" s="74" t="s">
        <v>433</v>
      </c>
      <c r="K1875" s="77" t="s">
        <v>11532</v>
      </c>
      <c r="L1875" s="79"/>
      <c r="M1875" s="79"/>
      <c r="N1875" s="79">
        <v>0.0</v>
      </c>
      <c r="O1875" s="74"/>
      <c r="P1875" s="80"/>
      <c r="Q1875" s="79"/>
      <c r="R1875" s="80"/>
      <c r="S1875" s="78" t="s">
        <v>11533</v>
      </c>
      <c r="T1875" s="101" t="s">
        <v>332</v>
      </c>
      <c r="U1875" s="80" t="s">
        <v>332</v>
      </c>
      <c r="V1875" s="102" t="s">
        <v>429</v>
      </c>
      <c r="W1875" s="79" t="s">
        <v>306</v>
      </c>
      <c r="X1875" s="79" t="s">
        <v>306</v>
      </c>
      <c r="Y1875" s="79"/>
      <c r="Z1875" s="79"/>
    </row>
    <row r="1876" ht="15.75" customHeight="1">
      <c r="A1876" s="103" t="s">
        <v>24</v>
      </c>
      <c r="B1876" s="77" t="s">
        <v>11534</v>
      </c>
      <c r="C1876" s="80">
        <v>3.0677400974E10</v>
      </c>
      <c r="D1876" s="119" t="s">
        <v>264</v>
      </c>
      <c r="E1876" s="79" t="s">
        <v>1666</v>
      </c>
      <c r="F1876" s="44">
        <v>2846.0</v>
      </c>
      <c r="G1876" s="79" t="s">
        <v>15</v>
      </c>
      <c r="H1876" s="80">
        <v>1678.0</v>
      </c>
      <c r="I1876" s="79">
        <v>289999.0</v>
      </c>
      <c r="J1876" s="74" t="s">
        <v>347</v>
      </c>
      <c r="K1876" s="77" t="s">
        <v>1901</v>
      </c>
      <c r="L1876" s="79" t="s">
        <v>453</v>
      </c>
      <c r="M1876" s="79"/>
      <c r="N1876" s="79">
        <v>0.0</v>
      </c>
      <c r="O1876" s="74"/>
      <c r="P1876" s="80"/>
      <c r="Q1876" s="79"/>
      <c r="R1876" s="80"/>
      <c r="S1876" s="80" t="s">
        <v>11535</v>
      </c>
      <c r="T1876" s="101" t="s">
        <v>11536</v>
      </c>
      <c r="U1876" s="80" t="s">
        <v>11537</v>
      </c>
      <c r="V1876" s="102" t="s">
        <v>429</v>
      </c>
      <c r="W1876" s="79" t="s">
        <v>309</v>
      </c>
      <c r="X1876" s="79" t="s">
        <v>309</v>
      </c>
      <c r="Y1876" s="79"/>
      <c r="Z1876" s="79"/>
    </row>
    <row r="1877" ht="15.75" customHeight="1">
      <c r="A1877" s="103" t="s">
        <v>24</v>
      </c>
      <c r="B1877" s="77" t="s">
        <v>11538</v>
      </c>
      <c r="C1877" s="80">
        <v>3.0638080059E10</v>
      </c>
      <c r="D1877" s="79" t="s">
        <v>264</v>
      </c>
      <c r="E1877" s="79" t="s">
        <v>1485</v>
      </c>
      <c r="F1877" s="44">
        <v>3457.0</v>
      </c>
      <c r="G1877" s="79" t="s">
        <v>68</v>
      </c>
      <c r="H1877" s="80">
        <v>1702.0</v>
      </c>
      <c r="I1877" s="79">
        <v>251901.0</v>
      </c>
      <c r="J1877" s="74" t="s">
        <v>337</v>
      </c>
      <c r="K1877" s="79" t="s">
        <v>6723</v>
      </c>
      <c r="L1877" s="79"/>
      <c r="M1877" s="79"/>
      <c r="N1877" s="79">
        <v>0.0</v>
      </c>
      <c r="O1877" s="74"/>
      <c r="P1877" s="80"/>
      <c r="Q1877" s="79"/>
      <c r="R1877" s="80"/>
      <c r="S1877" s="80" t="s">
        <v>11539</v>
      </c>
      <c r="T1877" s="101"/>
      <c r="U1877" s="80" t="s">
        <v>332</v>
      </c>
      <c r="V1877" s="102" t="s">
        <v>429</v>
      </c>
      <c r="W1877" s="79" t="s">
        <v>309</v>
      </c>
      <c r="X1877" s="79" t="s">
        <v>309</v>
      </c>
      <c r="Y1877" s="79"/>
      <c r="Z1877" s="79"/>
    </row>
    <row r="1878" ht="15.75" customHeight="1">
      <c r="A1878" s="103" t="s">
        <v>24</v>
      </c>
      <c r="B1878" s="77" t="s">
        <v>11540</v>
      </c>
      <c r="C1878" s="80">
        <v>3.3632716279E10</v>
      </c>
      <c r="D1878" s="119" t="s">
        <v>264</v>
      </c>
      <c r="E1878" s="79" t="s">
        <v>2872</v>
      </c>
      <c r="F1878" s="44">
        <v>3025.0</v>
      </c>
      <c r="G1878" s="79" t="s">
        <v>15</v>
      </c>
      <c r="H1878" s="80">
        <v>1678.0</v>
      </c>
      <c r="I1878" s="79">
        <v>252090.0</v>
      </c>
      <c r="J1878" s="83" t="s">
        <v>568</v>
      </c>
      <c r="K1878" s="77" t="s">
        <v>2920</v>
      </c>
      <c r="L1878" s="79" t="s">
        <v>453</v>
      </c>
      <c r="M1878" s="79"/>
      <c r="N1878" s="79">
        <v>0.0</v>
      </c>
      <c r="O1878" s="74"/>
      <c r="P1878" s="80"/>
      <c r="Q1878" s="79"/>
      <c r="R1878" s="80"/>
      <c r="S1878" s="101" t="s">
        <v>11541</v>
      </c>
      <c r="T1878" s="101" t="s">
        <v>332</v>
      </c>
      <c r="U1878" s="80" t="s">
        <v>332</v>
      </c>
      <c r="V1878" s="102" t="s">
        <v>429</v>
      </c>
      <c r="W1878" s="79" t="s">
        <v>306</v>
      </c>
      <c r="X1878" s="79" t="s">
        <v>306</v>
      </c>
      <c r="Y1878" s="79"/>
      <c r="Z1878" s="79"/>
    </row>
    <row r="1879" ht="15.75" customHeight="1">
      <c r="A1879" s="76" t="s">
        <v>247</v>
      </c>
      <c r="B1879" s="77" t="s">
        <v>8861</v>
      </c>
      <c r="C1879" s="101">
        <v>3.0696066899E10</v>
      </c>
      <c r="D1879" s="79" t="s">
        <v>264</v>
      </c>
      <c r="E1879" s="79" t="s">
        <v>1965</v>
      </c>
      <c r="F1879" s="44">
        <v>4451.0</v>
      </c>
      <c r="G1879" s="79" t="s">
        <v>15</v>
      </c>
      <c r="H1879" s="80">
        <v>1678.0</v>
      </c>
      <c r="I1879" s="79">
        <v>131132.0</v>
      </c>
      <c r="J1879" s="74" t="s">
        <v>448</v>
      </c>
      <c r="K1879" s="77" t="s">
        <v>6905</v>
      </c>
      <c r="L1879" s="79"/>
      <c r="M1879" s="79"/>
      <c r="N1879" s="79"/>
      <c r="O1879" s="79"/>
      <c r="P1879" s="80"/>
      <c r="Q1879" s="79"/>
      <c r="R1879" s="80"/>
      <c r="S1879" s="78" t="s">
        <v>11542</v>
      </c>
      <c r="T1879" s="101"/>
      <c r="U1879" s="80"/>
      <c r="V1879" s="98" t="s">
        <v>11543</v>
      </c>
      <c r="W1879" s="79"/>
      <c r="X1879" s="79"/>
      <c r="Y1879" s="79"/>
      <c r="Z1879" s="79"/>
    </row>
    <row r="1880" ht="15.75" customHeight="1">
      <c r="A1880" s="76" t="s">
        <v>247</v>
      </c>
      <c r="B1880" s="77" t="s">
        <v>8865</v>
      </c>
      <c r="C1880" s="80">
        <v>3.0713223502E10</v>
      </c>
      <c r="D1880" s="79" t="s">
        <v>264</v>
      </c>
      <c r="E1880" s="79" t="s">
        <v>7154</v>
      </c>
      <c r="F1880" s="44">
        <v>9485.0</v>
      </c>
      <c r="G1880" s="79" t="s">
        <v>175</v>
      </c>
      <c r="H1880" s="80">
        <v>1657.0</v>
      </c>
      <c r="I1880" s="79">
        <v>432990.0</v>
      </c>
      <c r="J1880" s="74" t="s">
        <v>433</v>
      </c>
      <c r="K1880" s="77" t="s">
        <v>4038</v>
      </c>
      <c r="L1880" s="79"/>
      <c r="M1880" s="79"/>
      <c r="N1880" s="79">
        <v>1.0</v>
      </c>
      <c r="O1880" s="74" t="s">
        <v>11544</v>
      </c>
      <c r="P1880" s="78" t="s">
        <v>11545</v>
      </c>
      <c r="Q1880" s="79"/>
      <c r="R1880" s="80"/>
      <c r="S1880" s="80"/>
      <c r="T1880" s="101" t="s">
        <v>332</v>
      </c>
      <c r="U1880" s="80" t="s">
        <v>332</v>
      </c>
      <c r="V1880" s="102" t="s">
        <v>11546</v>
      </c>
      <c r="W1880" s="79" t="s">
        <v>309</v>
      </c>
      <c r="X1880" s="79" t="s">
        <v>309</v>
      </c>
      <c r="Y1880" s="79"/>
      <c r="Z1880" s="79"/>
    </row>
    <row r="1881" ht="15.75" customHeight="1">
      <c r="A1881" s="76" t="s">
        <v>247</v>
      </c>
      <c r="B1881" s="77" t="s">
        <v>8870</v>
      </c>
      <c r="C1881" s="239">
        <v>3.0710564422E10</v>
      </c>
      <c r="D1881" s="79" t="s">
        <v>264</v>
      </c>
      <c r="E1881" s="126" t="s">
        <v>5559</v>
      </c>
      <c r="F1881" s="44">
        <v>8194.0</v>
      </c>
      <c r="G1881" s="79" t="s">
        <v>175</v>
      </c>
      <c r="H1881" s="80">
        <v>1657.0</v>
      </c>
      <c r="I1881" s="101">
        <v>464221.0</v>
      </c>
      <c r="J1881" s="74" t="s">
        <v>283</v>
      </c>
      <c r="K1881" s="129" t="s">
        <v>11547</v>
      </c>
      <c r="L1881" s="79" t="s">
        <v>453</v>
      </c>
      <c r="M1881" s="79" t="s">
        <v>11548</v>
      </c>
      <c r="N1881" s="79"/>
      <c r="O1881" s="79"/>
      <c r="P1881" s="80"/>
      <c r="Q1881" s="79"/>
      <c r="R1881" s="80"/>
      <c r="S1881" s="78" t="s">
        <v>11549</v>
      </c>
      <c r="T1881" s="10" t="s">
        <v>11550</v>
      </c>
      <c r="U1881" s="80"/>
      <c r="V1881" s="98" t="s">
        <v>11551</v>
      </c>
      <c r="W1881" s="79"/>
      <c r="X1881" s="79"/>
      <c r="Y1881" s="79"/>
      <c r="Z1881" s="79"/>
    </row>
    <row r="1882" ht="15.0" customHeight="1">
      <c r="A1882" s="76" t="s">
        <v>247</v>
      </c>
      <c r="B1882" s="77" t="s">
        <v>2750</v>
      </c>
      <c r="C1882" s="80">
        <v>3.0653678963E10</v>
      </c>
      <c r="D1882" s="119" t="s">
        <v>264</v>
      </c>
      <c r="E1882" s="79" t="s">
        <v>9236</v>
      </c>
      <c r="F1882" s="44">
        <v>4620.0</v>
      </c>
      <c r="G1882" s="79" t="s">
        <v>15</v>
      </c>
      <c r="H1882" s="80">
        <v>1678.0</v>
      </c>
      <c r="I1882" s="79">
        <v>222090.0</v>
      </c>
      <c r="J1882" s="83" t="s">
        <v>568</v>
      </c>
      <c r="K1882" s="77" t="s">
        <v>569</v>
      </c>
      <c r="L1882" s="79" t="s">
        <v>453</v>
      </c>
      <c r="M1882" s="79"/>
      <c r="N1882" s="79">
        <v>17.0</v>
      </c>
      <c r="O1882" s="74" t="s">
        <v>11552</v>
      </c>
      <c r="P1882" s="78" t="s">
        <v>11553</v>
      </c>
      <c r="Q1882" s="77" t="s">
        <v>11554</v>
      </c>
      <c r="R1882" s="85" t="s">
        <v>11555</v>
      </c>
      <c r="S1882" s="80" t="s">
        <v>11556</v>
      </c>
      <c r="T1882" s="101" t="s">
        <v>11557</v>
      </c>
      <c r="U1882" s="78" t="s">
        <v>11553</v>
      </c>
      <c r="V1882" s="102" t="s">
        <v>11558</v>
      </c>
      <c r="W1882" s="79" t="s">
        <v>309</v>
      </c>
      <c r="X1882" s="79" t="s">
        <v>309</v>
      </c>
      <c r="Y1882" s="79" t="s">
        <v>309</v>
      </c>
      <c r="Z1882" s="79"/>
    </row>
    <row r="1883" ht="15.75" customHeight="1">
      <c r="A1883" s="103" t="s">
        <v>24</v>
      </c>
      <c r="B1883" s="79" t="s">
        <v>11559</v>
      </c>
      <c r="C1883" s="80">
        <v>3.0685280945E10</v>
      </c>
      <c r="D1883" s="79" t="s">
        <v>264</v>
      </c>
      <c r="E1883" s="77" t="s">
        <v>5795</v>
      </c>
      <c r="F1883" s="44">
        <v>4224.0</v>
      </c>
      <c r="G1883" s="79" t="s">
        <v>249</v>
      </c>
      <c r="H1883" s="80">
        <v>1676.0</v>
      </c>
      <c r="I1883" s="79">
        <v>311000.0</v>
      </c>
      <c r="J1883" s="83" t="s">
        <v>207</v>
      </c>
      <c r="K1883" s="79" t="s">
        <v>7111</v>
      </c>
      <c r="L1883" s="79"/>
      <c r="M1883" s="79"/>
      <c r="N1883" s="79">
        <v>0.0</v>
      </c>
      <c r="O1883" s="74"/>
      <c r="P1883" s="80"/>
      <c r="Q1883" s="79"/>
      <c r="R1883" s="80"/>
      <c r="S1883" s="331" t="s">
        <v>11560</v>
      </c>
      <c r="T1883" s="331" t="s">
        <v>11561</v>
      </c>
      <c r="U1883" s="78" t="s">
        <v>11560</v>
      </c>
      <c r="V1883" s="102" t="s">
        <v>429</v>
      </c>
      <c r="W1883" s="79" t="s">
        <v>306</v>
      </c>
      <c r="X1883" s="79" t="s">
        <v>306</v>
      </c>
      <c r="Y1883" s="79"/>
      <c r="Z1883" s="79"/>
    </row>
    <row r="1884" ht="15.75" customHeight="1">
      <c r="A1884" s="103" t="s">
        <v>24</v>
      </c>
      <c r="B1884" s="79" t="s">
        <v>11562</v>
      </c>
      <c r="C1884" s="80">
        <v>3.0521777636E10</v>
      </c>
      <c r="D1884" s="77" t="s">
        <v>264</v>
      </c>
      <c r="E1884" s="79" t="s">
        <v>1569</v>
      </c>
      <c r="F1884" s="44">
        <v>2722.0</v>
      </c>
      <c r="G1884" s="79" t="s">
        <v>68</v>
      </c>
      <c r="H1884" s="80">
        <v>1702.0</v>
      </c>
      <c r="I1884" s="79">
        <v>361010.0</v>
      </c>
      <c r="J1884" s="74" t="s">
        <v>313</v>
      </c>
      <c r="K1884" s="79" t="s">
        <v>2534</v>
      </c>
      <c r="L1884" s="79" t="s">
        <v>1122</v>
      </c>
      <c r="M1884" s="79"/>
      <c r="N1884" s="79">
        <v>0.0</v>
      </c>
      <c r="O1884" s="74"/>
      <c r="P1884" s="80"/>
      <c r="Q1884" s="79"/>
      <c r="R1884" s="80"/>
      <c r="S1884" s="80" t="s">
        <v>11563</v>
      </c>
      <c r="T1884" s="101" t="s">
        <v>332</v>
      </c>
      <c r="U1884" s="78" t="s">
        <v>11564</v>
      </c>
      <c r="V1884" s="102" t="s">
        <v>429</v>
      </c>
      <c r="W1884" s="79" t="s">
        <v>306</v>
      </c>
      <c r="X1884" s="79" t="s">
        <v>306</v>
      </c>
      <c r="Y1884" s="79"/>
      <c r="Z1884" s="79"/>
    </row>
    <row r="1885" ht="15.75" customHeight="1">
      <c r="A1885" s="103" t="s">
        <v>24</v>
      </c>
      <c r="B1885" s="79" t="s">
        <v>11565</v>
      </c>
      <c r="C1885" s="80">
        <v>3.0708997699E10</v>
      </c>
      <c r="D1885" s="77" t="s">
        <v>264</v>
      </c>
      <c r="E1885" s="79" t="s">
        <v>1569</v>
      </c>
      <c r="F1885" s="44">
        <v>2722.0</v>
      </c>
      <c r="G1885" s="79" t="s">
        <v>97</v>
      </c>
      <c r="H1885" s="80">
        <v>1702.0</v>
      </c>
      <c r="I1885" s="79">
        <v>310010.0</v>
      </c>
      <c r="J1885" s="74" t="s">
        <v>313</v>
      </c>
      <c r="K1885" s="79" t="s">
        <v>1438</v>
      </c>
      <c r="L1885" s="79" t="s">
        <v>1122</v>
      </c>
      <c r="M1885" s="79"/>
      <c r="N1885" s="79">
        <v>6.0</v>
      </c>
      <c r="O1885" s="74"/>
      <c r="P1885" s="80"/>
      <c r="Q1885" s="79"/>
      <c r="R1885" s="80"/>
      <c r="S1885" s="80" t="s">
        <v>11563</v>
      </c>
      <c r="T1885" s="101" t="s">
        <v>332</v>
      </c>
      <c r="U1885" s="78" t="s">
        <v>11566</v>
      </c>
      <c r="V1885" s="102" t="s">
        <v>429</v>
      </c>
      <c r="W1885" s="79" t="s">
        <v>306</v>
      </c>
      <c r="X1885" s="79" t="s">
        <v>306</v>
      </c>
      <c r="Y1885" s="79"/>
      <c r="Z1885" s="79"/>
    </row>
    <row r="1886" ht="15.75" customHeight="1">
      <c r="A1886" s="76" t="s">
        <v>247</v>
      </c>
      <c r="B1886" s="77" t="s">
        <v>8882</v>
      </c>
      <c r="C1886" s="80">
        <v>3.0708966483E10</v>
      </c>
      <c r="D1886" s="79" t="s">
        <v>264</v>
      </c>
      <c r="E1886" s="77" t="s">
        <v>1765</v>
      </c>
      <c r="F1886" s="44">
        <v>2852.0</v>
      </c>
      <c r="G1886" s="79" t="s">
        <v>15</v>
      </c>
      <c r="H1886" s="80">
        <v>1678.0</v>
      </c>
      <c r="I1886" s="79">
        <v>239100.0</v>
      </c>
      <c r="J1886" s="74" t="s">
        <v>125</v>
      </c>
      <c r="K1886" s="79" t="s">
        <v>11567</v>
      </c>
      <c r="L1886" s="79" t="s">
        <v>453</v>
      </c>
      <c r="M1886" s="79" t="s">
        <v>3289</v>
      </c>
      <c r="N1886" s="79">
        <v>5.0</v>
      </c>
      <c r="O1886" s="74"/>
      <c r="P1886" s="80"/>
      <c r="Q1886" s="79"/>
      <c r="R1886" s="80"/>
      <c r="S1886" s="78" t="s">
        <v>11568</v>
      </c>
      <c r="T1886" s="101" t="s">
        <v>332</v>
      </c>
      <c r="U1886" s="78"/>
      <c r="V1886" s="98" t="s">
        <v>11569</v>
      </c>
      <c r="W1886" s="79" t="s">
        <v>309</v>
      </c>
      <c r="X1886" s="79" t="s">
        <v>309</v>
      </c>
      <c r="Y1886" s="79"/>
      <c r="Z1886" s="79"/>
    </row>
    <row r="1887" ht="15.75" customHeight="1">
      <c r="A1887" s="76" t="s">
        <v>247</v>
      </c>
      <c r="B1887" s="79" t="s">
        <v>8889</v>
      </c>
      <c r="C1887" s="80">
        <v>3.0516330089E10</v>
      </c>
      <c r="D1887" s="79" t="s">
        <v>264</v>
      </c>
      <c r="E1887" s="126" t="s">
        <v>985</v>
      </c>
      <c r="F1887" s="44">
        <v>3478.0</v>
      </c>
      <c r="G1887" s="79" t="s">
        <v>15</v>
      </c>
      <c r="H1887" s="80">
        <v>1678.0</v>
      </c>
      <c r="I1887" s="79">
        <v>259993.0</v>
      </c>
      <c r="J1887" s="74" t="s">
        <v>347</v>
      </c>
      <c r="K1887" s="129" t="s">
        <v>638</v>
      </c>
      <c r="L1887" s="79" t="s">
        <v>453</v>
      </c>
      <c r="M1887" s="79"/>
      <c r="N1887" s="79">
        <v>7.0</v>
      </c>
      <c r="O1887" s="74"/>
      <c r="P1887" s="80"/>
      <c r="Q1887" s="79"/>
      <c r="R1887" s="80"/>
      <c r="S1887" s="80" t="s">
        <v>11570</v>
      </c>
      <c r="T1887" s="101" t="s">
        <v>332</v>
      </c>
      <c r="U1887" s="80" t="s">
        <v>332</v>
      </c>
      <c r="V1887" s="102" t="s">
        <v>429</v>
      </c>
      <c r="W1887" s="79" t="s">
        <v>306</v>
      </c>
      <c r="X1887" s="79" t="s">
        <v>306</v>
      </c>
      <c r="Y1887" s="79" t="s">
        <v>309</v>
      </c>
      <c r="Z1887" s="79"/>
    </row>
    <row r="1888">
      <c r="A1888" s="103" t="s">
        <v>24</v>
      </c>
      <c r="B1888" s="77" t="s">
        <v>11571</v>
      </c>
      <c r="C1888" s="80">
        <v>3.0559364319E10</v>
      </c>
      <c r="D1888" s="119" t="s">
        <v>264</v>
      </c>
      <c r="E1888" s="79" t="s">
        <v>1904</v>
      </c>
      <c r="F1888" s="44">
        <v>2848.0</v>
      </c>
      <c r="G1888" s="79" t="s">
        <v>15</v>
      </c>
      <c r="H1888" s="80">
        <v>1678.0</v>
      </c>
      <c r="I1888" s="79">
        <v>292300.0</v>
      </c>
      <c r="J1888" s="74" t="s">
        <v>347</v>
      </c>
      <c r="K1888" s="79" t="s">
        <v>4821</v>
      </c>
      <c r="L1888" s="79" t="s">
        <v>662</v>
      </c>
      <c r="M1888" s="79"/>
      <c r="N1888" s="79">
        <v>3.0</v>
      </c>
      <c r="O1888" s="74"/>
      <c r="P1888" s="80"/>
      <c r="Q1888" s="79"/>
      <c r="R1888" s="80"/>
      <c r="S1888" s="80" t="s">
        <v>11572</v>
      </c>
      <c r="T1888" s="101" t="s">
        <v>332</v>
      </c>
      <c r="U1888" s="80" t="s">
        <v>332</v>
      </c>
      <c r="V1888" s="102" t="s">
        <v>429</v>
      </c>
      <c r="W1888" s="79" t="s">
        <v>309</v>
      </c>
      <c r="X1888" s="79" t="s">
        <v>309</v>
      </c>
      <c r="Y1888" s="79"/>
      <c r="Z1888" s="79"/>
    </row>
    <row r="1889" ht="15.75" customHeight="1">
      <c r="A1889" s="76" t="s">
        <v>247</v>
      </c>
      <c r="B1889" s="77" t="s">
        <v>10461</v>
      </c>
      <c r="C1889" s="80">
        <v>3.0638224506E10</v>
      </c>
      <c r="D1889" s="79" t="s">
        <v>264</v>
      </c>
      <c r="E1889" s="79" t="s">
        <v>1045</v>
      </c>
      <c r="F1889" s="44">
        <v>5748.0</v>
      </c>
      <c r="G1889" s="79" t="s">
        <v>15</v>
      </c>
      <c r="H1889" s="80">
        <v>1678.0</v>
      </c>
      <c r="I1889" s="77">
        <v>139900.0</v>
      </c>
      <c r="J1889" s="74" t="s">
        <v>448</v>
      </c>
      <c r="K1889" s="77" t="s">
        <v>1760</v>
      </c>
      <c r="L1889" s="79" t="s">
        <v>1122</v>
      </c>
      <c r="M1889" s="79"/>
      <c r="N1889" s="79">
        <v>4.0</v>
      </c>
      <c r="O1889" s="74"/>
      <c r="P1889" s="80"/>
      <c r="Q1889" s="79"/>
      <c r="R1889" s="80"/>
      <c r="S1889" s="78" t="s">
        <v>1583</v>
      </c>
      <c r="T1889" s="85" t="s">
        <v>11573</v>
      </c>
      <c r="U1889" s="80" t="s">
        <v>332</v>
      </c>
      <c r="V1889" s="102" t="s">
        <v>429</v>
      </c>
      <c r="W1889" s="79" t="s">
        <v>309</v>
      </c>
      <c r="X1889" s="79" t="s">
        <v>309</v>
      </c>
      <c r="Y1889" s="79" t="s">
        <v>309</v>
      </c>
      <c r="Z1889" s="79"/>
    </row>
    <row r="1890" ht="15.75" customHeight="1">
      <c r="A1890" s="103" t="s">
        <v>24</v>
      </c>
      <c r="B1890" s="77" t="s">
        <v>11574</v>
      </c>
      <c r="C1890" s="80">
        <v>3.0710765711E10</v>
      </c>
      <c r="D1890" s="79" t="s">
        <v>264</v>
      </c>
      <c r="E1890" s="79" t="s">
        <v>1246</v>
      </c>
      <c r="F1890" s="44">
        <v>1450.0</v>
      </c>
      <c r="G1890" s="79" t="s">
        <v>68</v>
      </c>
      <c r="H1890" s="80">
        <v>1702.0</v>
      </c>
      <c r="I1890" s="79">
        <v>152011.0</v>
      </c>
      <c r="J1890" s="74" t="s">
        <v>73</v>
      </c>
      <c r="K1890" s="79" t="s">
        <v>1471</v>
      </c>
      <c r="L1890" s="79"/>
      <c r="M1890" s="79"/>
      <c r="N1890" s="79">
        <v>7.0</v>
      </c>
      <c r="O1890" s="74"/>
      <c r="P1890" s="80"/>
      <c r="Q1890" s="79"/>
      <c r="R1890" s="80"/>
      <c r="S1890" s="80"/>
      <c r="T1890" s="101" t="s">
        <v>332</v>
      </c>
      <c r="U1890" s="80" t="s">
        <v>332</v>
      </c>
      <c r="V1890" s="102" t="s">
        <v>11575</v>
      </c>
      <c r="W1890" s="79" t="s">
        <v>306</v>
      </c>
      <c r="X1890" s="79" t="s">
        <v>306</v>
      </c>
      <c r="Y1890" s="79"/>
      <c r="Z1890" s="79"/>
    </row>
    <row r="1891" ht="15.75" customHeight="1">
      <c r="A1891" s="103" t="s">
        <v>24</v>
      </c>
      <c r="B1891" s="79" t="s">
        <v>11576</v>
      </c>
      <c r="C1891" s="80">
        <v>3.0575586518E10</v>
      </c>
      <c r="D1891" s="77" t="s">
        <v>264</v>
      </c>
      <c r="E1891" s="79" t="s">
        <v>1525</v>
      </c>
      <c r="F1891" s="44">
        <v>4157.0</v>
      </c>
      <c r="G1891" s="79" t="s">
        <v>68</v>
      </c>
      <c r="H1891" s="80">
        <v>1702.0</v>
      </c>
      <c r="I1891" s="79">
        <v>210202.0</v>
      </c>
      <c r="J1891" s="74" t="s">
        <v>283</v>
      </c>
      <c r="K1891" s="79" t="s">
        <v>6237</v>
      </c>
      <c r="L1891" s="79"/>
      <c r="M1891" s="79"/>
      <c r="N1891" s="79">
        <v>0.0</v>
      </c>
      <c r="O1891" s="74"/>
      <c r="P1891" s="80"/>
      <c r="Q1891" s="79"/>
      <c r="R1891" s="80"/>
      <c r="S1891" s="78" t="s">
        <v>11577</v>
      </c>
      <c r="T1891" s="101" t="s">
        <v>332</v>
      </c>
      <c r="U1891" s="80" t="s">
        <v>332</v>
      </c>
      <c r="V1891" s="102" t="s">
        <v>429</v>
      </c>
      <c r="W1891" s="79" t="s">
        <v>306</v>
      </c>
      <c r="X1891" s="79" t="s">
        <v>306</v>
      </c>
      <c r="Y1891" s="79"/>
      <c r="Z1891" s="79"/>
    </row>
    <row r="1892" ht="15.75" customHeight="1">
      <c r="A1892" s="76" t="s">
        <v>247</v>
      </c>
      <c r="B1892" s="77" t="s">
        <v>8894</v>
      </c>
      <c r="C1892" s="80">
        <v>3.0559990236E10</v>
      </c>
      <c r="D1892" s="119" t="s">
        <v>264</v>
      </c>
      <c r="E1892" s="77" t="s">
        <v>3068</v>
      </c>
      <c r="F1892" s="128" t="s">
        <v>11578</v>
      </c>
      <c r="G1892" s="79" t="s">
        <v>119</v>
      </c>
      <c r="H1892" s="80">
        <v>1657.0</v>
      </c>
      <c r="I1892" s="79">
        <v>222090.0</v>
      </c>
      <c r="J1892" s="83" t="s">
        <v>568</v>
      </c>
      <c r="K1892" s="77" t="s">
        <v>569</v>
      </c>
      <c r="L1892" s="79" t="s">
        <v>453</v>
      </c>
      <c r="M1892" s="79"/>
      <c r="N1892" s="79">
        <v>60.0</v>
      </c>
      <c r="O1892" s="74"/>
      <c r="P1892" s="80"/>
      <c r="Q1892" s="79"/>
      <c r="R1892" s="80"/>
      <c r="S1892" s="80" t="s">
        <v>11579</v>
      </c>
      <c r="T1892" s="101"/>
      <c r="U1892" s="80" t="s">
        <v>332</v>
      </c>
      <c r="V1892" s="102" t="s">
        <v>11580</v>
      </c>
      <c r="W1892" s="79" t="s">
        <v>309</v>
      </c>
      <c r="X1892" s="79" t="s">
        <v>309</v>
      </c>
      <c r="Y1892" s="79" t="s">
        <v>309</v>
      </c>
      <c r="Z1892" s="79"/>
    </row>
    <row r="1893" ht="15.75" customHeight="1">
      <c r="A1893" s="103" t="s">
        <v>24</v>
      </c>
      <c r="B1893" s="79" t="s">
        <v>11581</v>
      </c>
      <c r="C1893" s="80">
        <v>3.0652679435E10</v>
      </c>
      <c r="D1893" s="144" t="s">
        <v>264</v>
      </c>
      <c r="E1893" s="79" t="s">
        <v>1152</v>
      </c>
      <c r="F1893" s="44">
        <v>2934.0</v>
      </c>
      <c r="G1893" s="79" t="s">
        <v>15</v>
      </c>
      <c r="H1893" s="80">
        <v>1678.0</v>
      </c>
      <c r="I1893" s="79">
        <v>930990.0</v>
      </c>
      <c r="J1893" s="74" t="s">
        <v>433</v>
      </c>
      <c r="K1893" s="77" t="s">
        <v>1727</v>
      </c>
      <c r="L1893" s="79"/>
      <c r="M1893" s="79"/>
      <c r="N1893" s="79">
        <v>0.0</v>
      </c>
      <c r="O1893" s="74"/>
      <c r="P1893" s="80"/>
      <c r="Q1893" s="79"/>
      <c r="R1893" s="80"/>
      <c r="S1893" s="80" t="s">
        <v>11582</v>
      </c>
      <c r="T1893" s="101" t="s">
        <v>332</v>
      </c>
      <c r="U1893" s="80" t="s">
        <v>332</v>
      </c>
      <c r="V1893" s="102" t="s">
        <v>429</v>
      </c>
      <c r="W1893" s="79" t="s">
        <v>306</v>
      </c>
      <c r="X1893" s="79" t="s">
        <v>306</v>
      </c>
      <c r="Y1893" s="79"/>
      <c r="Z1893" s="79"/>
    </row>
    <row r="1894">
      <c r="A1894" s="103" t="s">
        <v>24</v>
      </c>
      <c r="B1894" s="79" t="s">
        <v>11583</v>
      </c>
      <c r="C1894" s="80">
        <v>2.018088856E10</v>
      </c>
      <c r="D1894" s="77" t="s">
        <v>631</v>
      </c>
      <c r="E1894" s="79" t="s">
        <v>1152</v>
      </c>
      <c r="F1894" s="44">
        <v>2934.0</v>
      </c>
      <c r="G1894" s="79" t="s">
        <v>15</v>
      </c>
      <c r="H1894" s="80">
        <v>1678.0</v>
      </c>
      <c r="I1894" s="79">
        <v>251101.0</v>
      </c>
      <c r="J1894" s="74" t="s">
        <v>261</v>
      </c>
      <c r="K1894" s="77" t="s">
        <v>4263</v>
      </c>
      <c r="L1894" s="79"/>
      <c r="M1894" s="79"/>
      <c r="N1894" s="79"/>
      <c r="O1894" s="74"/>
      <c r="P1894" s="80"/>
      <c r="Q1894" s="79"/>
      <c r="R1894" s="80"/>
      <c r="S1894" s="78" t="s">
        <v>11584</v>
      </c>
      <c r="T1894" s="101"/>
      <c r="U1894" s="80"/>
      <c r="V1894" s="102" t="s">
        <v>429</v>
      </c>
      <c r="W1894" s="79"/>
      <c r="X1894" s="79"/>
      <c r="Y1894" s="79"/>
      <c r="Z1894" s="79"/>
    </row>
    <row r="1895" ht="15.75" customHeight="1">
      <c r="A1895" s="103" t="s">
        <v>24</v>
      </c>
      <c r="B1895" s="77" t="s">
        <v>11585</v>
      </c>
      <c r="C1895" s="80">
        <v>3.0659079158E10</v>
      </c>
      <c r="D1895" s="79" t="s">
        <v>264</v>
      </c>
      <c r="E1895" s="77" t="s">
        <v>1109</v>
      </c>
      <c r="F1895" s="44">
        <v>4067.0</v>
      </c>
      <c r="G1895" s="79" t="s">
        <v>68</v>
      </c>
      <c r="H1895" s="80">
        <v>1702.0</v>
      </c>
      <c r="I1895" s="79">
        <v>281101.0</v>
      </c>
      <c r="J1895" s="74" t="s">
        <v>347</v>
      </c>
      <c r="K1895" s="79" t="s">
        <v>4263</v>
      </c>
      <c r="L1895" s="79" t="s">
        <v>453</v>
      </c>
      <c r="M1895" s="79"/>
      <c r="N1895" s="79">
        <v>0.0</v>
      </c>
      <c r="O1895" s="74"/>
      <c r="P1895" s="80"/>
      <c r="Q1895" s="79"/>
      <c r="R1895" s="80"/>
      <c r="S1895" s="80" t="s">
        <v>11586</v>
      </c>
      <c r="T1895" s="101" t="s">
        <v>11587</v>
      </c>
      <c r="U1895" s="80" t="s">
        <v>332</v>
      </c>
      <c r="V1895" s="102" t="s">
        <v>429</v>
      </c>
      <c r="W1895" s="79" t="s">
        <v>306</v>
      </c>
      <c r="X1895" s="79" t="s">
        <v>306</v>
      </c>
      <c r="Y1895" s="79"/>
      <c r="Z1895" s="79"/>
    </row>
    <row r="1896" ht="15.75" customHeight="1">
      <c r="A1896" s="103" t="s">
        <v>24</v>
      </c>
      <c r="B1896" s="77" t="s">
        <v>11588</v>
      </c>
      <c r="C1896" s="80">
        <v>3.0503915657E10</v>
      </c>
      <c r="D1896" s="119" t="s">
        <v>264</v>
      </c>
      <c r="E1896" s="79" t="s">
        <v>1607</v>
      </c>
      <c r="F1896" s="44">
        <v>5894.0</v>
      </c>
      <c r="G1896" s="79" t="s">
        <v>15</v>
      </c>
      <c r="H1896" s="80">
        <v>1678.0</v>
      </c>
      <c r="I1896" s="79">
        <v>289309.0</v>
      </c>
      <c r="J1896" s="74" t="s">
        <v>347</v>
      </c>
      <c r="K1896" s="77" t="s">
        <v>2967</v>
      </c>
      <c r="L1896" s="79"/>
      <c r="M1896" s="79"/>
      <c r="N1896" s="79">
        <v>0.0</v>
      </c>
      <c r="O1896" s="74"/>
      <c r="P1896" s="80"/>
      <c r="Q1896" s="79"/>
      <c r="R1896" s="80"/>
      <c r="S1896" s="80" t="s">
        <v>11589</v>
      </c>
      <c r="T1896" s="101" t="s">
        <v>332</v>
      </c>
      <c r="U1896" s="80" t="s">
        <v>332</v>
      </c>
      <c r="V1896" s="102" t="s">
        <v>429</v>
      </c>
      <c r="W1896" s="79" t="s">
        <v>309</v>
      </c>
      <c r="X1896" s="79" t="s">
        <v>309</v>
      </c>
      <c r="Y1896" s="79"/>
      <c r="Z1896" s="79"/>
    </row>
    <row r="1897" ht="15.75" customHeight="1">
      <c r="A1897" s="76" t="s">
        <v>247</v>
      </c>
      <c r="B1897" s="77" t="s">
        <v>8900</v>
      </c>
      <c r="C1897" s="80">
        <v>3.0516070524E10</v>
      </c>
      <c r="D1897" s="79" t="s">
        <v>264</v>
      </c>
      <c r="E1897" s="79" t="s">
        <v>2312</v>
      </c>
      <c r="F1897" s="44">
        <v>2764.0</v>
      </c>
      <c r="G1897" s="79" t="s">
        <v>15</v>
      </c>
      <c r="H1897" s="80">
        <v>1678.0</v>
      </c>
      <c r="I1897" s="79">
        <v>261000.0</v>
      </c>
      <c r="J1897" s="83" t="s">
        <v>207</v>
      </c>
      <c r="K1897" s="79" t="s">
        <v>8081</v>
      </c>
      <c r="L1897" s="79"/>
      <c r="M1897" s="79"/>
      <c r="N1897" s="79">
        <v>13.0</v>
      </c>
      <c r="O1897" s="74"/>
      <c r="P1897" s="80"/>
      <c r="Q1897" s="79"/>
      <c r="R1897" s="80"/>
      <c r="S1897" s="78" t="s">
        <v>11590</v>
      </c>
      <c r="T1897" s="101" t="s">
        <v>332</v>
      </c>
      <c r="U1897" s="80" t="s">
        <v>332</v>
      </c>
      <c r="V1897" s="102" t="s">
        <v>11591</v>
      </c>
      <c r="W1897" s="79" t="s">
        <v>309</v>
      </c>
      <c r="X1897" s="79" t="s">
        <v>309</v>
      </c>
      <c r="Y1897" s="79" t="s">
        <v>309</v>
      </c>
      <c r="Z1897" s="79"/>
    </row>
    <row r="1898" ht="15.75" customHeight="1">
      <c r="A1898" s="76" t="s">
        <v>247</v>
      </c>
      <c r="B1898" s="77" t="s">
        <v>10471</v>
      </c>
      <c r="C1898" s="80">
        <v>2.3106695539E10</v>
      </c>
      <c r="D1898" s="77" t="s">
        <v>631</v>
      </c>
      <c r="E1898" s="79" t="s">
        <v>3198</v>
      </c>
      <c r="F1898" s="44">
        <v>6360.0</v>
      </c>
      <c r="G1898" s="79" t="s">
        <v>269</v>
      </c>
      <c r="H1898" s="80">
        <v>1682.0</v>
      </c>
      <c r="I1898" s="79">
        <v>181109.0</v>
      </c>
      <c r="J1898" s="83" t="s">
        <v>283</v>
      </c>
      <c r="K1898" s="77" t="s">
        <v>1545</v>
      </c>
      <c r="L1898" s="79"/>
      <c r="M1898" s="79"/>
      <c r="N1898" s="79"/>
      <c r="O1898" s="74"/>
      <c r="P1898" s="80"/>
      <c r="Q1898" s="79"/>
      <c r="R1898" s="80"/>
      <c r="S1898" s="78" t="s">
        <v>11592</v>
      </c>
      <c r="T1898" s="85" t="s">
        <v>11593</v>
      </c>
      <c r="U1898" s="80"/>
      <c r="V1898" s="102" t="s">
        <v>429</v>
      </c>
      <c r="W1898" s="79"/>
      <c r="X1898" s="79"/>
      <c r="Y1898" s="79"/>
      <c r="Z1898" s="79"/>
    </row>
    <row r="1899" ht="15.75" customHeight="1">
      <c r="A1899" s="76" t="s">
        <v>247</v>
      </c>
      <c r="B1899" s="77" t="s">
        <v>2757</v>
      </c>
      <c r="C1899" s="80">
        <v>3.0715992627E10</v>
      </c>
      <c r="D1899" s="79" t="s">
        <v>264</v>
      </c>
      <c r="E1899" s="77" t="s">
        <v>1726</v>
      </c>
      <c r="F1899" s="128">
        <v>3709.0</v>
      </c>
      <c r="G1899" s="77" t="s">
        <v>15</v>
      </c>
      <c r="H1899" s="78">
        <v>1678.0</v>
      </c>
      <c r="I1899" s="79">
        <v>151200.0</v>
      </c>
      <c r="J1899" s="74" t="s">
        <v>163</v>
      </c>
      <c r="K1899" s="77" t="s">
        <v>749</v>
      </c>
      <c r="L1899" s="79" t="s">
        <v>369</v>
      </c>
      <c r="M1899" s="79" t="s">
        <v>11594</v>
      </c>
      <c r="N1899" s="79"/>
      <c r="O1899" s="77" t="s">
        <v>11595</v>
      </c>
      <c r="P1899" s="242" t="s">
        <v>11596</v>
      </c>
      <c r="Q1899" s="77"/>
      <c r="R1899" s="242"/>
      <c r="S1899" s="78" t="s">
        <v>11597</v>
      </c>
      <c r="T1899" s="101"/>
      <c r="U1899" s="80"/>
      <c r="V1899" s="102" t="s">
        <v>11598</v>
      </c>
      <c r="W1899" s="79"/>
      <c r="X1899" s="79"/>
      <c r="Y1899" s="79" t="s">
        <v>309</v>
      </c>
      <c r="Z1899" s="79"/>
    </row>
    <row r="1900" ht="15.75" customHeight="1">
      <c r="A1900" s="76" t="s">
        <v>247</v>
      </c>
      <c r="B1900" s="77" t="s">
        <v>8905</v>
      </c>
      <c r="C1900" s="101">
        <v>3.0716334739E10</v>
      </c>
      <c r="D1900" s="79" t="s">
        <v>264</v>
      </c>
      <c r="E1900" s="79" t="s">
        <v>826</v>
      </c>
      <c r="F1900" s="44">
        <v>8316.0</v>
      </c>
      <c r="G1900" s="79" t="s">
        <v>119</v>
      </c>
      <c r="H1900" s="80">
        <v>1657.0</v>
      </c>
      <c r="I1900" s="79">
        <v>259999.0</v>
      </c>
      <c r="J1900" s="74" t="s">
        <v>347</v>
      </c>
      <c r="K1900" s="144" t="s">
        <v>839</v>
      </c>
      <c r="L1900" s="79"/>
      <c r="M1900" s="79"/>
      <c r="N1900" s="79"/>
      <c r="O1900" s="79"/>
      <c r="P1900" s="80"/>
      <c r="Q1900" s="79"/>
      <c r="R1900" s="80"/>
      <c r="S1900" s="80" t="s">
        <v>11599</v>
      </c>
      <c r="T1900" s="101" t="s">
        <v>11600</v>
      </c>
      <c r="U1900" s="80"/>
      <c r="V1900" s="98" t="s">
        <v>11601</v>
      </c>
      <c r="W1900" s="79"/>
      <c r="X1900" s="79"/>
      <c r="Y1900" s="79"/>
      <c r="Z1900" s="79"/>
    </row>
    <row r="1901" ht="15.75" customHeight="1">
      <c r="A1901" s="76" t="s">
        <v>247</v>
      </c>
      <c r="B1901" s="77" t="s">
        <v>8911</v>
      </c>
      <c r="C1901" s="80">
        <v>3.0622197185E10</v>
      </c>
      <c r="D1901" s="79" t="s">
        <v>264</v>
      </c>
      <c r="E1901" s="126" t="s">
        <v>696</v>
      </c>
      <c r="F1901" s="44">
        <v>5178.0</v>
      </c>
      <c r="G1901" s="79" t="s">
        <v>15</v>
      </c>
      <c r="H1901" s="80">
        <v>1678.0</v>
      </c>
      <c r="I1901" s="79">
        <v>271010.0</v>
      </c>
      <c r="J1901" s="74" t="s">
        <v>347</v>
      </c>
      <c r="K1901" s="79" t="s">
        <v>661</v>
      </c>
      <c r="L1901" s="79"/>
      <c r="M1901" s="79"/>
      <c r="N1901" s="79">
        <v>6.0</v>
      </c>
      <c r="O1901" s="74"/>
      <c r="P1901" s="80"/>
      <c r="Q1901" s="79"/>
      <c r="R1901" s="80"/>
      <c r="S1901" s="80" t="s">
        <v>11602</v>
      </c>
      <c r="T1901" s="101" t="s">
        <v>332</v>
      </c>
      <c r="U1901" s="80" t="s">
        <v>332</v>
      </c>
      <c r="V1901" s="102" t="s">
        <v>11603</v>
      </c>
      <c r="W1901" s="79" t="s">
        <v>309</v>
      </c>
      <c r="X1901" s="79" t="s">
        <v>309</v>
      </c>
      <c r="Y1901" s="79" t="s">
        <v>309</v>
      </c>
      <c r="Z1901" s="79"/>
    </row>
    <row r="1902" ht="15.75" customHeight="1">
      <c r="A1902" s="76" t="s">
        <v>247</v>
      </c>
      <c r="B1902" s="77" t="s">
        <v>8920</v>
      </c>
      <c r="C1902" s="239">
        <v>3.0615546727E10</v>
      </c>
      <c r="D1902" s="79" t="s">
        <v>264</v>
      </c>
      <c r="E1902" s="126" t="s">
        <v>5559</v>
      </c>
      <c r="F1902" s="44">
        <v>8194.0</v>
      </c>
      <c r="G1902" s="79" t="s">
        <v>175</v>
      </c>
      <c r="H1902" s="80">
        <v>1657.0</v>
      </c>
      <c r="I1902" s="101">
        <v>139100.0</v>
      </c>
      <c r="J1902" s="83" t="s">
        <v>448</v>
      </c>
      <c r="K1902" s="129" t="s">
        <v>2770</v>
      </c>
      <c r="L1902" s="325"/>
      <c r="M1902" s="79" t="s">
        <v>11548</v>
      </c>
      <c r="N1902" s="79"/>
      <c r="O1902" s="79" t="s">
        <v>11604</v>
      </c>
      <c r="P1902" s="78" t="s">
        <v>11605</v>
      </c>
      <c r="Q1902" s="79"/>
      <c r="R1902" s="80"/>
      <c r="S1902" s="80" t="s">
        <v>11606</v>
      </c>
      <c r="T1902" s="101" t="s">
        <v>11607</v>
      </c>
      <c r="U1902" s="80" t="s">
        <v>11608</v>
      </c>
      <c r="V1902" s="102" t="s">
        <v>11609</v>
      </c>
      <c r="W1902" s="79"/>
      <c r="X1902" s="79"/>
      <c r="Y1902" s="79"/>
      <c r="Z1902" s="79"/>
    </row>
    <row r="1903" ht="15.75" customHeight="1">
      <c r="A1903" s="76" t="s">
        <v>247</v>
      </c>
      <c r="B1903" s="77" t="s">
        <v>2766</v>
      </c>
      <c r="C1903" s="80">
        <v>3.0636890339E10</v>
      </c>
      <c r="D1903" s="144" t="s">
        <v>264</v>
      </c>
      <c r="E1903" s="79" t="s">
        <v>8854</v>
      </c>
      <c r="F1903" s="44">
        <v>1998.0</v>
      </c>
      <c r="G1903" s="79" t="s">
        <v>97</v>
      </c>
      <c r="H1903" s="80">
        <v>1702.0</v>
      </c>
      <c r="I1903" s="79">
        <v>259993.0</v>
      </c>
      <c r="J1903" s="74" t="s">
        <v>347</v>
      </c>
      <c r="K1903" s="129" t="s">
        <v>638</v>
      </c>
      <c r="L1903" s="79" t="s">
        <v>2861</v>
      </c>
      <c r="M1903" s="79"/>
      <c r="N1903" s="79">
        <v>26.0</v>
      </c>
      <c r="O1903" s="74" t="s">
        <v>11610</v>
      </c>
      <c r="P1903" s="80"/>
      <c r="Q1903" s="79"/>
      <c r="R1903" s="80"/>
      <c r="S1903" s="80" t="s">
        <v>11611</v>
      </c>
      <c r="T1903" s="85" t="s">
        <v>11612</v>
      </c>
      <c r="U1903" s="78" t="s">
        <v>11613</v>
      </c>
      <c r="V1903" s="102" t="s">
        <v>11614</v>
      </c>
      <c r="W1903" s="79" t="s">
        <v>309</v>
      </c>
      <c r="X1903" s="79" t="s">
        <v>309</v>
      </c>
      <c r="Y1903" s="79" t="s">
        <v>309</v>
      </c>
      <c r="Z1903" s="79"/>
    </row>
    <row r="1904" ht="15.75" customHeight="1">
      <c r="A1904" s="103" t="s">
        <v>24</v>
      </c>
      <c r="B1904" s="77" t="s">
        <v>11615</v>
      </c>
      <c r="C1904" s="80">
        <v>3.0614478884E10</v>
      </c>
      <c r="D1904" s="79" t="s">
        <v>264</v>
      </c>
      <c r="E1904" s="77" t="s">
        <v>11616</v>
      </c>
      <c r="F1904" s="44">
        <v>7809.0</v>
      </c>
      <c r="G1904" s="79" t="s">
        <v>269</v>
      </c>
      <c r="H1904" s="80">
        <v>1682.0</v>
      </c>
      <c r="I1904" s="79">
        <v>359200.0</v>
      </c>
      <c r="J1904" s="74" t="s">
        <v>347</v>
      </c>
      <c r="K1904" s="77" t="s">
        <v>11617</v>
      </c>
      <c r="L1904" s="79"/>
      <c r="M1904" s="79"/>
      <c r="N1904" s="79">
        <v>14.0</v>
      </c>
      <c r="O1904" s="74"/>
      <c r="P1904" s="80"/>
      <c r="Q1904" s="79"/>
      <c r="R1904" s="80"/>
      <c r="S1904" s="80" t="s">
        <v>11618</v>
      </c>
      <c r="T1904" s="101" t="s">
        <v>332</v>
      </c>
      <c r="U1904" s="80" t="s">
        <v>332</v>
      </c>
      <c r="V1904" s="102" t="s">
        <v>429</v>
      </c>
      <c r="W1904" s="79" t="s">
        <v>309</v>
      </c>
      <c r="X1904" s="79" t="s">
        <v>309</v>
      </c>
      <c r="Y1904" s="79"/>
      <c r="Z1904" s="79"/>
    </row>
    <row r="1905" ht="15.75" customHeight="1">
      <c r="A1905" s="76" t="s">
        <v>247</v>
      </c>
      <c r="B1905" s="144" t="s">
        <v>2777</v>
      </c>
      <c r="C1905" s="101">
        <v>3.0715980009E10</v>
      </c>
      <c r="D1905" s="79" t="s">
        <v>264</v>
      </c>
      <c r="E1905" s="79" t="s">
        <v>10941</v>
      </c>
      <c r="F1905" s="44">
        <v>2114.0</v>
      </c>
      <c r="G1905" s="79" t="s">
        <v>15</v>
      </c>
      <c r="H1905" s="80">
        <v>1678.0</v>
      </c>
      <c r="I1905" s="79">
        <v>523090.0</v>
      </c>
      <c r="J1905" s="74" t="s">
        <v>433</v>
      </c>
      <c r="K1905" s="77" t="s">
        <v>11619</v>
      </c>
      <c r="L1905" s="79"/>
      <c r="M1905" s="79"/>
      <c r="N1905" s="79"/>
      <c r="O1905" s="79" t="s">
        <v>11620</v>
      </c>
      <c r="P1905" s="85" t="s">
        <v>11621</v>
      </c>
      <c r="Q1905" s="79"/>
      <c r="R1905" s="80"/>
      <c r="S1905" s="78" t="s">
        <v>11622</v>
      </c>
      <c r="T1905" s="101"/>
      <c r="U1905" s="80"/>
      <c r="V1905" s="98" t="s">
        <v>11623</v>
      </c>
      <c r="W1905" s="79"/>
      <c r="X1905" s="79"/>
      <c r="Y1905" s="79"/>
      <c r="Z1905" s="79"/>
    </row>
    <row r="1906" ht="15.75" customHeight="1">
      <c r="A1906" s="76" t="s">
        <v>247</v>
      </c>
      <c r="B1906" s="79" t="s">
        <v>11624</v>
      </c>
      <c r="C1906" s="80">
        <v>2.0232842823E10</v>
      </c>
      <c r="D1906" s="77" t="s">
        <v>631</v>
      </c>
      <c r="E1906" s="79" t="s">
        <v>2916</v>
      </c>
      <c r="F1906" s="44">
        <v>6324.0</v>
      </c>
      <c r="G1906" s="77" t="s">
        <v>119</v>
      </c>
      <c r="H1906" s="78">
        <v>1657.0</v>
      </c>
      <c r="I1906" s="79">
        <v>279000.0</v>
      </c>
      <c r="J1906" s="74" t="s">
        <v>207</v>
      </c>
      <c r="K1906" s="77" t="s">
        <v>2081</v>
      </c>
      <c r="L1906" s="79"/>
      <c r="M1906" s="79"/>
      <c r="N1906" s="79"/>
      <c r="O1906" s="74"/>
      <c r="P1906" s="80"/>
      <c r="Q1906" s="79"/>
      <c r="R1906" s="80"/>
      <c r="S1906" s="78" t="s">
        <v>11625</v>
      </c>
      <c r="T1906" s="101"/>
      <c r="U1906" s="80"/>
      <c r="V1906" s="102" t="s">
        <v>429</v>
      </c>
      <c r="W1906" s="79"/>
      <c r="X1906" s="79"/>
      <c r="Y1906" s="79"/>
      <c r="Z1906" s="79"/>
    </row>
    <row r="1907" ht="15.75" customHeight="1">
      <c r="A1907" s="76" t="s">
        <v>247</v>
      </c>
      <c r="B1907" s="77" t="s">
        <v>2784</v>
      </c>
      <c r="C1907" s="80">
        <v>3.0697291829E10</v>
      </c>
      <c r="D1907" s="79" t="s">
        <v>264</v>
      </c>
      <c r="E1907" s="79" t="s">
        <v>9943</v>
      </c>
      <c r="F1907" s="44">
        <v>4477.0</v>
      </c>
      <c r="G1907" s="79" t="s">
        <v>15</v>
      </c>
      <c r="H1907" s="80">
        <v>1678.0</v>
      </c>
      <c r="I1907" s="79">
        <v>275010.0</v>
      </c>
      <c r="J1907" s="74" t="s">
        <v>347</v>
      </c>
      <c r="K1907" s="77" t="s">
        <v>4175</v>
      </c>
      <c r="L1907" s="79"/>
      <c r="M1907" s="77" t="s">
        <v>11626</v>
      </c>
      <c r="N1907" s="79">
        <v>8.0</v>
      </c>
      <c r="O1907" s="74" t="s">
        <v>11627</v>
      </c>
      <c r="P1907" s="78" t="s">
        <v>11628</v>
      </c>
      <c r="Q1907" s="77" t="s">
        <v>11629</v>
      </c>
      <c r="R1907" s="78" t="s">
        <v>11630</v>
      </c>
      <c r="S1907" s="80" t="s">
        <v>11631</v>
      </c>
      <c r="T1907" s="101"/>
      <c r="U1907" s="80"/>
      <c r="V1907" s="102" t="s">
        <v>11632</v>
      </c>
      <c r="W1907" s="79"/>
      <c r="X1907" s="79"/>
      <c r="Y1907" s="79" t="s">
        <v>309</v>
      </c>
      <c r="Z1907" s="79"/>
    </row>
    <row r="1908" ht="15.75" customHeight="1">
      <c r="A1908" s="76" t="s">
        <v>247</v>
      </c>
      <c r="B1908" s="77" t="s">
        <v>8939</v>
      </c>
      <c r="C1908" s="80">
        <v>3.060763408E10</v>
      </c>
      <c r="D1908" s="119" t="s">
        <v>264</v>
      </c>
      <c r="E1908" s="79" t="s">
        <v>1944</v>
      </c>
      <c r="F1908" s="44">
        <v>818.0</v>
      </c>
      <c r="G1908" s="79" t="s">
        <v>68</v>
      </c>
      <c r="H1908" s="80">
        <v>1702.0</v>
      </c>
      <c r="I1908" s="79">
        <v>281900.0</v>
      </c>
      <c r="J1908" s="74" t="s">
        <v>347</v>
      </c>
      <c r="K1908" s="77" t="s">
        <v>2217</v>
      </c>
      <c r="L1908" s="79" t="s">
        <v>662</v>
      </c>
      <c r="M1908" s="79"/>
      <c r="N1908" s="79">
        <v>5.0</v>
      </c>
      <c r="O1908" s="74"/>
      <c r="P1908" s="80"/>
      <c r="Q1908" s="79"/>
      <c r="R1908" s="80"/>
      <c r="S1908" s="80" t="s">
        <v>11633</v>
      </c>
      <c r="T1908" s="101" t="s">
        <v>11634</v>
      </c>
      <c r="U1908" s="80" t="s">
        <v>11635</v>
      </c>
      <c r="V1908" s="102" t="s">
        <v>429</v>
      </c>
      <c r="W1908" s="79" t="s">
        <v>309</v>
      </c>
      <c r="X1908" s="79" t="s">
        <v>309</v>
      </c>
      <c r="Y1908" s="79" t="s">
        <v>309</v>
      </c>
      <c r="Z1908" s="79"/>
    </row>
    <row r="1909" ht="15.75" customHeight="1">
      <c r="A1909" s="76" t="s">
        <v>247</v>
      </c>
      <c r="B1909" s="77" t="s">
        <v>2796</v>
      </c>
      <c r="C1909" s="80">
        <v>2.726411419E10</v>
      </c>
      <c r="D1909" s="77" t="s">
        <v>631</v>
      </c>
      <c r="E1909" s="79" t="s">
        <v>2973</v>
      </c>
      <c r="F1909" s="44">
        <v>2760.0</v>
      </c>
      <c r="G1909" s="79" t="s">
        <v>15</v>
      </c>
      <c r="H1909" s="80">
        <v>1678.0</v>
      </c>
      <c r="I1909" s="126">
        <v>162909.0</v>
      </c>
      <c r="J1909" s="74" t="s">
        <v>313</v>
      </c>
      <c r="K1909" s="77" t="s">
        <v>11636</v>
      </c>
      <c r="L1909" s="79" t="s">
        <v>369</v>
      </c>
      <c r="M1909" s="79" t="s">
        <v>11637</v>
      </c>
      <c r="N1909" s="79"/>
      <c r="O1909" s="79" t="s">
        <v>11638</v>
      </c>
      <c r="P1909" s="78" t="s">
        <v>11639</v>
      </c>
      <c r="Q1909" s="79"/>
      <c r="R1909" s="80"/>
      <c r="S1909" s="80"/>
      <c r="T1909" s="101"/>
      <c r="U1909" s="80"/>
      <c r="V1909" s="102" t="s">
        <v>11640</v>
      </c>
      <c r="W1909" s="79"/>
      <c r="X1909" s="79"/>
      <c r="Y1909" s="79"/>
      <c r="Z1909" s="79"/>
    </row>
    <row r="1910" ht="15.75" customHeight="1">
      <c r="A1910" s="76" t="s">
        <v>247</v>
      </c>
      <c r="B1910" s="77" t="s">
        <v>8950</v>
      </c>
      <c r="C1910" s="101">
        <v>3.0709272841E10</v>
      </c>
      <c r="D1910" s="79" t="s">
        <v>264</v>
      </c>
      <c r="E1910" s="77" t="s">
        <v>4481</v>
      </c>
      <c r="F1910" s="44">
        <v>2837.0</v>
      </c>
      <c r="G1910" s="79" t="s">
        <v>15</v>
      </c>
      <c r="H1910" s="80">
        <v>1678.0</v>
      </c>
      <c r="I1910" s="79">
        <v>293090.0</v>
      </c>
      <c r="J1910" s="74" t="s">
        <v>337</v>
      </c>
      <c r="K1910" s="144" t="s">
        <v>407</v>
      </c>
      <c r="L1910" s="79"/>
      <c r="M1910" s="79"/>
      <c r="N1910" s="79"/>
      <c r="O1910" s="79"/>
      <c r="P1910" s="80"/>
      <c r="Q1910" s="79"/>
      <c r="R1910" s="80"/>
      <c r="S1910" s="78" t="s">
        <v>11641</v>
      </c>
      <c r="T1910" s="101"/>
      <c r="U1910" s="80"/>
      <c r="V1910" s="102" t="s">
        <v>11642</v>
      </c>
      <c r="W1910" s="79"/>
      <c r="X1910" s="79"/>
      <c r="Y1910" s="79"/>
      <c r="Z1910" s="79"/>
    </row>
    <row r="1911" ht="15.75" customHeight="1">
      <c r="A1911" s="103" t="s">
        <v>24</v>
      </c>
      <c r="B1911" s="77" t="s">
        <v>11643</v>
      </c>
      <c r="C1911" s="80">
        <v>3.0707896368E10</v>
      </c>
      <c r="D1911" s="119" t="s">
        <v>264</v>
      </c>
      <c r="E1911" s="288" t="s">
        <v>4565</v>
      </c>
      <c r="F1911" s="44">
        <v>3179.0</v>
      </c>
      <c r="G1911" s="79" t="s">
        <v>15</v>
      </c>
      <c r="H1911" s="80">
        <v>1678.0</v>
      </c>
      <c r="I1911" s="77">
        <v>960990.0</v>
      </c>
      <c r="J1911" s="74" t="s">
        <v>433</v>
      </c>
      <c r="K1911" s="77" t="s">
        <v>3982</v>
      </c>
      <c r="L1911" s="79"/>
      <c r="M1911" s="79"/>
      <c r="N1911" s="79">
        <v>2.0</v>
      </c>
      <c r="O1911" s="83" t="s">
        <v>11644</v>
      </c>
      <c r="P1911" s="78" t="s">
        <v>11645</v>
      </c>
      <c r="Q1911" s="79"/>
      <c r="R1911" s="80"/>
      <c r="S1911" s="80" t="s">
        <v>11646</v>
      </c>
      <c r="T1911" s="101" t="s">
        <v>11647</v>
      </c>
      <c r="U1911" s="80" t="s">
        <v>11648</v>
      </c>
      <c r="V1911" s="102" t="s">
        <v>429</v>
      </c>
      <c r="W1911" s="79" t="s">
        <v>309</v>
      </c>
      <c r="X1911" s="79" t="s">
        <v>309</v>
      </c>
      <c r="Y1911" s="79"/>
      <c r="Z1911" s="79"/>
    </row>
    <row r="1912" ht="15.75" customHeight="1">
      <c r="A1912" s="76" t="s">
        <v>247</v>
      </c>
      <c r="B1912" s="77" t="s">
        <v>8954</v>
      </c>
      <c r="C1912" s="80">
        <v>3.0709055387E10</v>
      </c>
      <c r="D1912" s="79" t="s">
        <v>264</v>
      </c>
      <c r="E1912" s="79" t="s">
        <v>2089</v>
      </c>
      <c r="F1912" s="44">
        <v>4655.0</v>
      </c>
      <c r="G1912" s="79" t="s">
        <v>68</v>
      </c>
      <c r="H1912" s="80">
        <v>1702.0</v>
      </c>
      <c r="I1912" s="79">
        <v>261099.0</v>
      </c>
      <c r="J1912" s="74" t="s">
        <v>457</v>
      </c>
      <c r="K1912" s="77" t="s">
        <v>2477</v>
      </c>
      <c r="L1912" s="79"/>
      <c r="M1912" s="79"/>
      <c r="N1912" s="79">
        <v>1.0</v>
      </c>
      <c r="O1912" s="74"/>
      <c r="P1912" s="80"/>
      <c r="Q1912" s="79"/>
      <c r="R1912" s="80"/>
      <c r="S1912" s="78" t="s">
        <v>11649</v>
      </c>
      <c r="T1912" s="101" t="s">
        <v>11650</v>
      </c>
      <c r="U1912" s="80" t="s">
        <v>332</v>
      </c>
      <c r="V1912" s="102" t="s">
        <v>11651</v>
      </c>
      <c r="W1912" s="79" t="s">
        <v>306</v>
      </c>
      <c r="X1912" s="79" t="s">
        <v>306</v>
      </c>
      <c r="Y1912" s="79" t="s">
        <v>309</v>
      </c>
      <c r="Z1912" s="79"/>
    </row>
    <row r="1913" ht="15.75" customHeight="1">
      <c r="A1913" s="76" t="s">
        <v>247</v>
      </c>
      <c r="B1913" s="77" t="s">
        <v>8957</v>
      </c>
      <c r="C1913" s="80">
        <v>3.071407108E10</v>
      </c>
      <c r="D1913" s="79" t="s">
        <v>264</v>
      </c>
      <c r="E1913" s="79" t="s">
        <v>2752</v>
      </c>
      <c r="F1913" s="44">
        <v>554.0</v>
      </c>
      <c r="G1913" s="79" t="s">
        <v>68</v>
      </c>
      <c r="H1913" s="80">
        <v>1702.0</v>
      </c>
      <c r="I1913" s="79">
        <v>259999.0</v>
      </c>
      <c r="J1913" s="74" t="s">
        <v>347</v>
      </c>
      <c r="K1913" s="77" t="s">
        <v>839</v>
      </c>
      <c r="L1913" s="79" t="s">
        <v>453</v>
      </c>
      <c r="M1913" s="79"/>
      <c r="N1913" s="79">
        <v>0.0</v>
      </c>
      <c r="O1913" s="74"/>
      <c r="P1913" s="80"/>
      <c r="Q1913" s="79"/>
      <c r="R1913" s="80"/>
      <c r="S1913" s="78" t="s">
        <v>11652</v>
      </c>
      <c r="T1913" s="101" t="s">
        <v>332</v>
      </c>
      <c r="U1913" s="80" t="s">
        <v>332</v>
      </c>
      <c r="V1913" s="102" t="s">
        <v>11653</v>
      </c>
      <c r="W1913" s="79" t="s">
        <v>309</v>
      </c>
      <c r="X1913" s="79" t="s">
        <v>309</v>
      </c>
      <c r="Y1913" s="79"/>
      <c r="Z1913" s="79"/>
    </row>
    <row r="1914" ht="15.75" customHeight="1">
      <c r="A1914" s="76" t="s">
        <v>247</v>
      </c>
      <c r="B1914" s="77" t="s">
        <v>8965</v>
      </c>
      <c r="C1914" s="80">
        <v>3.071097591E10</v>
      </c>
      <c r="D1914" s="119" t="s">
        <v>264</v>
      </c>
      <c r="E1914" s="79" t="s">
        <v>398</v>
      </c>
      <c r="F1914" s="44">
        <v>5470.0</v>
      </c>
      <c r="G1914" s="79" t="s">
        <v>15</v>
      </c>
      <c r="H1914" s="80">
        <v>1678.0</v>
      </c>
      <c r="I1914" s="79">
        <v>454900.0</v>
      </c>
      <c r="J1914" s="74" t="s">
        <v>125</v>
      </c>
      <c r="K1914" s="77" t="s">
        <v>11654</v>
      </c>
      <c r="L1914" s="79" t="s">
        <v>453</v>
      </c>
      <c r="M1914" s="79"/>
      <c r="N1914" s="79">
        <v>0.0</v>
      </c>
      <c r="O1914" s="74"/>
      <c r="P1914" s="80"/>
      <c r="Q1914" s="79"/>
      <c r="R1914" s="80"/>
      <c r="S1914" s="80" t="s">
        <v>11655</v>
      </c>
      <c r="T1914" s="101" t="s">
        <v>332</v>
      </c>
      <c r="U1914" s="80" t="s">
        <v>332</v>
      </c>
      <c r="V1914" s="102" t="s">
        <v>429</v>
      </c>
      <c r="W1914" s="79" t="s">
        <v>306</v>
      </c>
      <c r="X1914" s="79" t="s">
        <v>306</v>
      </c>
      <c r="Y1914" s="79"/>
      <c r="Z1914" s="79"/>
    </row>
    <row r="1915" ht="15.75" customHeight="1">
      <c r="A1915" s="103" t="s">
        <v>24</v>
      </c>
      <c r="B1915" s="77" t="s">
        <v>8969</v>
      </c>
      <c r="C1915" s="80">
        <v>3.071192328E10</v>
      </c>
      <c r="D1915" s="119" t="s">
        <v>264</v>
      </c>
      <c r="E1915" s="79" t="s">
        <v>1045</v>
      </c>
      <c r="F1915" s="44">
        <v>3520.0</v>
      </c>
      <c r="G1915" s="79" t="s">
        <v>15</v>
      </c>
      <c r="H1915" s="80">
        <v>1678.0</v>
      </c>
      <c r="I1915" s="79">
        <v>139900.0</v>
      </c>
      <c r="J1915" s="74" t="s">
        <v>448</v>
      </c>
      <c r="K1915" s="77" t="s">
        <v>1760</v>
      </c>
      <c r="L1915" s="79"/>
      <c r="M1915" s="79"/>
      <c r="N1915" s="79">
        <v>6.0</v>
      </c>
      <c r="O1915" s="74"/>
      <c r="P1915" s="80"/>
      <c r="Q1915" s="79"/>
      <c r="R1915" s="80"/>
      <c r="S1915" s="80"/>
      <c r="T1915" s="101" t="s">
        <v>332</v>
      </c>
      <c r="U1915" s="80" t="s">
        <v>332</v>
      </c>
      <c r="V1915" s="102" t="s">
        <v>429</v>
      </c>
      <c r="W1915" s="79" t="s">
        <v>306</v>
      </c>
      <c r="X1915" s="79" t="s">
        <v>306</v>
      </c>
      <c r="Y1915" s="79"/>
      <c r="Z1915" s="79"/>
    </row>
    <row r="1916" ht="15.75" customHeight="1">
      <c r="A1916" s="76" t="s">
        <v>247</v>
      </c>
      <c r="B1916" s="77" t="s">
        <v>8972</v>
      </c>
      <c r="C1916" s="80">
        <v>3.3708016859E10</v>
      </c>
      <c r="D1916" s="119" t="s">
        <v>264</v>
      </c>
      <c r="E1916" s="79" t="s">
        <v>8124</v>
      </c>
      <c r="F1916" s="44">
        <v>4822.0</v>
      </c>
      <c r="G1916" s="79" t="s">
        <v>15</v>
      </c>
      <c r="H1916" s="80">
        <v>1678.0</v>
      </c>
      <c r="I1916" s="79">
        <v>251101.0</v>
      </c>
      <c r="J1916" s="74" t="s">
        <v>347</v>
      </c>
      <c r="K1916" s="79" t="s">
        <v>1486</v>
      </c>
      <c r="L1916" s="79" t="s">
        <v>453</v>
      </c>
      <c r="M1916" s="79"/>
      <c r="N1916" s="79">
        <v>30.0</v>
      </c>
      <c r="O1916" s="74"/>
      <c r="P1916" s="80"/>
      <c r="Q1916" s="79"/>
      <c r="R1916" s="80"/>
      <c r="S1916" s="78" t="s">
        <v>11656</v>
      </c>
      <c r="T1916" s="101" t="s">
        <v>332</v>
      </c>
      <c r="U1916" s="80" t="s">
        <v>332</v>
      </c>
      <c r="V1916" s="102" t="s">
        <v>11657</v>
      </c>
      <c r="W1916" s="79" t="s">
        <v>309</v>
      </c>
      <c r="X1916" s="79" t="s">
        <v>309</v>
      </c>
      <c r="Y1916" s="79"/>
      <c r="Z1916" s="79"/>
    </row>
    <row r="1917" ht="15.75" customHeight="1">
      <c r="A1917" s="76" t="s">
        <v>247</v>
      </c>
      <c r="B1917" s="77" t="s">
        <v>8981</v>
      </c>
      <c r="C1917" s="80">
        <v>3.0504930323E10</v>
      </c>
      <c r="D1917" s="119" t="s">
        <v>264</v>
      </c>
      <c r="E1917" s="79" t="s">
        <v>1079</v>
      </c>
      <c r="F1917" s="44">
        <v>5193.0</v>
      </c>
      <c r="G1917" s="79" t="s">
        <v>15</v>
      </c>
      <c r="H1917" s="80">
        <v>1678.0</v>
      </c>
      <c r="I1917" s="79">
        <v>282300.0</v>
      </c>
      <c r="J1917" s="74" t="s">
        <v>347</v>
      </c>
      <c r="K1917" s="79" t="s">
        <v>4825</v>
      </c>
      <c r="L1917" s="79" t="s">
        <v>662</v>
      </c>
      <c r="M1917" s="79"/>
      <c r="N1917" s="79">
        <v>3.0</v>
      </c>
      <c r="O1917" s="74"/>
      <c r="P1917" s="80"/>
      <c r="Q1917" s="79"/>
      <c r="R1917" s="80"/>
      <c r="S1917" s="80" t="s">
        <v>11658</v>
      </c>
      <c r="T1917" s="101" t="s">
        <v>11659</v>
      </c>
      <c r="U1917" s="80" t="s">
        <v>332</v>
      </c>
      <c r="V1917" s="102" t="s">
        <v>429</v>
      </c>
      <c r="W1917" s="79" t="s">
        <v>309</v>
      </c>
      <c r="X1917" s="79" t="s">
        <v>309</v>
      </c>
      <c r="Y1917" s="79" t="s">
        <v>309</v>
      </c>
      <c r="Z1917" s="79"/>
    </row>
    <row r="1918" ht="15.75" customHeight="1">
      <c r="A1918" s="76" t="s">
        <v>247</v>
      </c>
      <c r="B1918" s="77" t="s">
        <v>2805</v>
      </c>
      <c r="C1918" s="114">
        <v>3.3709027579E10</v>
      </c>
      <c r="D1918" s="119" t="s">
        <v>264</v>
      </c>
      <c r="E1918" s="79" t="s">
        <v>1965</v>
      </c>
      <c r="F1918" s="44">
        <v>5345.0</v>
      </c>
      <c r="G1918" s="79" t="s">
        <v>15</v>
      </c>
      <c r="H1918" s="80">
        <v>1678.0</v>
      </c>
      <c r="I1918" s="79">
        <v>202312.0</v>
      </c>
      <c r="J1918" s="74" t="s">
        <v>316</v>
      </c>
      <c r="K1918" s="79" t="s">
        <v>7505</v>
      </c>
      <c r="L1918" s="79"/>
      <c r="M1918" s="77" t="s">
        <v>11660</v>
      </c>
      <c r="N1918" s="79">
        <v>16.0</v>
      </c>
      <c r="O1918" s="126" t="s">
        <v>11661</v>
      </c>
      <c r="P1918" s="80"/>
      <c r="Q1918" s="79"/>
      <c r="R1918" s="80"/>
      <c r="S1918" s="80" t="s">
        <v>11662</v>
      </c>
      <c r="T1918" s="85" t="s">
        <v>11663</v>
      </c>
      <c r="U1918" s="78" t="s">
        <v>11664</v>
      </c>
      <c r="V1918" s="102" t="s">
        <v>11665</v>
      </c>
      <c r="W1918" s="79" t="s">
        <v>309</v>
      </c>
      <c r="X1918" s="79" t="s">
        <v>309</v>
      </c>
      <c r="Y1918" s="79" t="s">
        <v>309</v>
      </c>
      <c r="Z1918" s="79"/>
    </row>
    <row r="1919" ht="15.75" customHeight="1">
      <c r="A1919" s="76" t="s">
        <v>247</v>
      </c>
      <c r="B1919" s="77" t="s">
        <v>4420</v>
      </c>
      <c r="C1919" s="85">
        <v>3.0709488291E10</v>
      </c>
      <c r="D1919" s="77" t="s">
        <v>264</v>
      </c>
      <c r="E1919" s="77" t="s">
        <v>678</v>
      </c>
      <c r="F1919" s="128">
        <v>4747.0</v>
      </c>
      <c r="G1919" s="77" t="s">
        <v>15</v>
      </c>
      <c r="H1919" s="78">
        <v>1678.0</v>
      </c>
      <c r="I1919" s="78">
        <v>202311.0</v>
      </c>
      <c r="J1919" s="83" t="s">
        <v>316</v>
      </c>
      <c r="K1919" s="77" t="s">
        <v>4406</v>
      </c>
      <c r="L1919" s="79"/>
      <c r="M1919" s="79"/>
      <c r="N1919" s="77">
        <v>21.0</v>
      </c>
      <c r="O1919" s="77" t="s">
        <v>11666</v>
      </c>
      <c r="P1919" s="78" t="s">
        <v>11667</v>
      </c>
      <c r="Q1919" s="77" t="s">
        <v>11668</v>
      </c>
      <c r="R1919" s="78">
        <v>1.13140468E9</v>
      </c>
      <c r="S1919" s="78" t="s">
        <v>11667</v>
      </c>
      <c r="T1919" s="101"/>
      <c r="U1919" s="80"/>
      <c r="V1919" s="385" t="s">
        <v>11669</v>
      </c>
      <c r="W1919" s="79"/>
      <c r="X1919" s="79"/>
      <c r="Y1919" s="79"/>
      <c r="Z1919" s="79"/>
    </row>
    <row r="1920" ht="15.75" customHeight="1">
      <c r="A1920" s="76" t="s">
        <v>247</v>
      </c>
      <c r="B1920" s="77" t="s">
        <v>2812</v>
      </c>
      <c r="C1920" s="80">
        <v>3.0708758732E10</v>
      </c>
      <c r="D1920" s="79" t="s">
        <v>264</v>
      </c>
      <c r="E1920" s="79" t="s">
        <v>2997</v>
      </c>
      <c r="F1920" s="44" t="s">
        <v>11670</v>
      </c>
      <c r="G1920" s="79" t="s">
        <v>15</v>
      </c>
      <c r="H1920" s="80">
        <v>1678.0</v>
      </c>
      <c r="I1920" s="79">
        <v>266090.0</v>
      </c>
      <c r="J1920" s="74" t="s">
        <v>347</v>
      </c>
      <c r="K1920" s="77" t="s">
        <v>1257</v>
      </c>
      <c r="L1920" s="79"/>
      <c r="M1920" s="79"/>
      <c r="N1920" s="79" t="s">
        <v>11671</v>
      </c>
      <c r="O1920" s="74" t="s">
        <v>11672</v>
      </c>
      <c r="P1920" s="78" t="s">
        <v>11673</v>
      </c>
      <c r="Q1920" s="79" t="s">
        <v>11674</v>
      </c>
      <c r="R1920" s="78" t="s">
        <v>11675</v>
      </c>
      <c r="S1920" s="80" t="s">
        <v>11676</v>
      </c>
      <c r="T1920" s="101"/>
      <c r="U1920" s="80"/>
      <c r="V1920" s="102" t="s">
        <v>11677</v>
      </c>
      <c r="W1920" s="79"/>
      <c r="X1920" s="79"/>
      <c r="Y1920" s="79" t="s">
        <v>309</v>
      </c>
      <c r="Z1920" s="79"/>
    </row>
    <row r="1921" ht="15.75" customHeight="1">
      <c r="A1921" s="76" t="s">
        <v>247</v>
      </c>
      <c r="B1921" s="77" t="s">
        <v>8997</v>
      </c>
      <c r="C1921" s="114">
        <v>3.0522480122E10</v>
      </c>
      <c r="D1921" s="79" t="s">
        <v>264</v>
      </c>
      <c r="E1921" s="79" t="s">
        <v>2985</v>
      </c>
      <c r="F1921" s="44">
        <v>813.0</v>
      </c>
      <c r="G1921" s="79" t="s">
        <v>68</v>
      </c>
      <c r="H1921" s="80">
        <v>1702.0</v>
      </c>
      <c r="I1921" s="79">
        <v>266090.0</v>
      </c>
      <c r="J1921" s="83" t="s">
        <v>347</v>
      </c>
      <c r="K1921" s="77" t="s">
        <v>1257</v>
      </c>
      <c r="L1921" s="79"/>
      <c r="M1921" s="77" t="s">
        <v>11678</v>
      </c>
      <c r="N1921" s="79">
        <v>2.0</v>
      </c>
      <c r="O1921" s="74" t="s">
        <v>11679</v>
      </c>
      <c r="P1921" s="80"/>
      <c r="Q1921" s="79"/>
      <c r="R1921" s="80"/>
      <c r="S1921" s="78" t="s">
        <v>11680</v>
      </c>
      <c r="T1921" s="80" t="s">
        <v>11681</v>
      </c>
      <c r="U1921" s="101" t="s">
        <v>11682</v>
      </c>
      <c r="V1921" s="102" t="s">
        <v>11683</v>
      </c>
      <c r="W1921" s="79" t="s">
        <v>306</v>
      </c>
      <c r="X1921" s="79" t="s">
        <v>306</v>
      </c>
      <c r="Y1921" s="79" t="s">
        <v>309</v>
      </c>
      <c r="Z1921" s="79"/>
    </row>
    <row r="1922" ht="15.75" customHeight="1">
      <c r="A1922" s="76" t="s">
        <v>247</v>
      </c>
      <c r="B1922" s="77" t="s">
        <v>9000</v>
      </c>
      <c r="C1922" s="80">
        <v>3.0707009108E10</v>
      </c>
      <c r="D1922" s="79" t="s">
        <v>264</v>
      </c>
      <c r="E1922" s="79" t="s">
        <v>1357</v>
      </c>
      <c r="F1922" s="44">
        <v>4915.0</v>
      </c>
      <c r="G1922" s="79" t="s">
        <v>15</v>
      </c>
      <c r="H1922" s="80">
        <v>1678.0</v>
      </c>
      <c r="I1922" s="79">
        <v>259993.0</v>
      </c>
      <c r="J1922" s="74" t="s">
        <v>347</v>
      </c>
      <c r="K1922" s="129" t="s">
        <v>638</v>
      </c>
      <c r="L1922" s="79" t="s">
        <v>453</v>
      </c>
      <c r="M1922" s="79"/>
      <c r="N1922" s="79">
        <v>9.0</v>
      </c>
      <c r="O1922" s="74"/>
      <c r="P1922" s="80"/>
      <c r="Q1922" s="79"/>
      <c r="R1922" s="80"/>
      <c r="S1922" s="78" t="s">
        <v>11684</v>
      </c>
      <c r="T1922" s="85" t="s">
        <v>11685</v>
      </c>
      <c r="U1922" s="80" t="s">
        <v>332</v>
      </c>
      <c r="V1922" s="102" t="s">
        <v>429</v>
      </c>
      <c r="W1922" s="79" t="s">
        <v>306</v>
      </c>
      <c r="X1922" s="79" t="s">
        <v>306</v>
      </c>
      <c r="Y1922" s="79" t="s">
        <v>309</v>
      </c>
      <c r="Z1922" s="79"/>
    </row>
    <row r="1923" ht="15.75" customHeight="1">
      <c r="A1923" s="103" t="s">
        <v>24</v>
      </c>
      <c r="B1923" s="77" t="s">
        <v>9006</v>
      </c>
      <c r="C1923" s="78" t="s">
        <v>11686</v>
      </c>
      <c r="D1923" s="144" t="s">
        <v>631</v>
      </c>
      <c r="E1923" s="77" t="s">
        <v>591</v>
      </c>
      <c r="F1923" s="128">
        <v>187.0</v>
      </c>
      <c r="G1923" s="79" t="s">
        <v>68</v>
      </c>
      <c r="H1923" s="80">
        <v>1702.0</v>
      </c>
      <c r="I1923" s="79">
        <v>951100.0</v>
      </c>
      <c r="J1923" s="83" t="s">
        <v>278</v>
      </c>
      <c r="K1923" s="77" t="s">
        <v>9151</v>
      </c>
      <c r="L1923" s="79"/>
      <c r="M1923" s="77" t="s">
        <v>11687</v>
      </c>
      <c r="N1923" s="79">
        <v>0.0</v>
      </c>
      <c r="O1923" s="74"/>
      <c r="P1923" s="80"/>
      <c r="Q1923" s="79"/>
      <c r="R1923" s="80"/>
      <c r="S1923" s="80"/>
      <c r="T1923" s="101"/>
      <c r="U1923" s="80"/>
      <c r="V1923" s="102" t="s">
        <v>11688</v>
      </c>
      <c r="W1923" s="79"/>
      <c r="X1923" s="79"/>
      <c r="Y1923" s="79" t="s">
        <v>309</v>
      </c>
      <c r="Z1923" s="79"/>
    </row>
    <row r="1924" ht="15.75" customHeight="1">
      <c r="A1924" s="76" t="s">
        <v>247</v>
      </c>
      <c r="B1924" s="77" t="s">
        <v>9017</v>
      </c>
      <c r="C1924" s="80">
        <v>3.0652680905E10</v>
      </c>
      <c r="D1924" s="79" t="s">
        <v>264</v>
      </c>
      <c r="E1924" s="79" t="s">
        <v>1711</v>
      </c>
      <c r="F1924" s="44">
        <v>5120.0</v>
      </c>
      <c r="G1924" s="79" t="s">
        <v>15</v>
      </c>
      <c r="H1924" s="80">
        <v>1678.0</v>
      </c>
      <c r="I1924" s="79">
        <v>310010.0</v>
      </c>
      <c r="J1924" s="74" t="s">
        <v>313</v>
      </c>
      <c r="K1924" s="79" t="s">
        <v>1438</v>
      </c>
      <c r="L1924" s="79" t="s">
        <v>1122</v>
      </c>
      <c r="M1924" s="79"/>
      <c r="N1924" s="79">
        <v>13.0</v>
      </c>
      <c r="O1924" s="74"/>
      <c r="P1924" s="78">
        <v>1.147503471E9</v>
      </c>
      <c r="Q1924" s="79"/>
      <c r="R1924" s="80"/>
      <c r="S1924" s="80" t="s">
        <v>11689</v>
      </c>
      <c r="T1924" s="101" t="s">
        <v>11690</v>
      </c>
      <c r="U1924" s="80" t="s">
        <v>11691</v>
      </c>
      <c r="V1924" s="102" t="s">
        <v>429</v>
      </c>
      <c r="W1924" s="79" t="s">
        <v>309</v>
      </c>
      <c r="X1924" s="79" t="s">
        <v>309</v>
      </c>
      <c r="Y1924" s="79" t="s">
        <v>309</v>
      </c>
      <c r="Z1924" s="79"/>
    </row>
    <row r="1925" ht="15.75" customHeight="1">
      <c r="A1925" s="76" t="s">
        <v>247</v>
      </c>
      <c r="B1925" s="77" t="s">
        <v>2817</v>
      </c>
      <c r="C1925" s="80">
        <v>3.0707338071E10</v>
      </c>
      <c r="D1925" s="119" t="s">
        <v>264</v>
      </c>
      <c r="E1925" s="79" t="s">
        <v>2938</v>
      </c>
      <c r="F1925" s="44">
        <v>1975.0</v>
      </c>
      <c r="G1925" s="79" t="s">
        <v>68</v>
      </c>
      <c r="H1925" s="80">
        <v>1702.0</v>
      </c>
      <c r="I1925" s="79">
        <v>181200.0</v>
      </c>
      <c r="J1925" s="74" t="s">
        <v>433</v>
      </c>
      <c r="K1925" s="79" t="s">
        <v>1833</v>
      </c>
      <c r="L1925" s="79" t="s">
        <v>453</v>
      </c>
      <c r="M1925" s="79" t="s">
        <v>11692</v>
      </c>
      <c r="N1925" s="79">
        <v>14.0</v>
      </c>
      <c r="O1925" s="83" t="s">
        <v>11693</v>
      </c>
      <c r="P1925" s="80"/>
      <c r="Q1925" s="79"/>
      <c r="R1925" s="80"/>
      <c r="S1925" s="78" t="s">
        <v>11694</v>
      </c>
      <c r="T1925" s="101" t="s">
        <v>11695</v>
      </c>
      <c r="U1925" s="80" t="s">
        <v>11696</v>
      </c>
      <c r="V1925" s="102" t="s">
        <v>11697</v>
      </c>
      <c r="W1925" s="79" t="s">
        <v>309</v>
      </c>
      <c r="X1925" s="79" t="s">
        <v>309</v>
      </c>
      <c r="Y1925" s="79" t="s">
        <v>309</v>
      </c>
      <c r="Z1925" s="79"/>
    </row>
    <row r="1926" ht="15.75" customHeight="1">
      <c r="A1926" s="103" t="s">
        <v>24</v>
      </c>
      <c r="B1926" s="77" t="s">
        <v>11698</v>
      </c>
      <c r="C1926" s="80">
        <v>3.0551581434E10</v>
      </c>
      <c r="D1926" s="79" t="s">
        <v>264</v>
      </c>
      <c r="E1926" s="79" t="s">
        <v>1810</v>
      </c>
      <c r="F1926" s="44">
        <v>3215.0</v>
      </c>
      <c r="G1926" s="79" t="s">
        <v>15</v>
      </c>
      <c r="H1926" s="80">
        <v>1678.0</v>
      </c>
      <c r="I1926" s="79">
        <v>343000.0</v>
      </c>
      <c r="J1926" s="83" t="s">
        <v>37</v>
      </c>
      <c r="K1926" s="77" t="s">
        <v>11699</v>
      </c>
      <c r="L1926" s="79"/>
      <c r="M1926" s="79"/>
      <c r="N1926" s="79">
        <v>0.0</v>
      </c>
      <c r="O1926" s="74"/>
      <c r="P1926" s="80"/>
      <c r="Q1926" s="79"/>
      <c r="R1926" s="80"/>
      <c r="S1926" s="80" t="s">
        <v>11700</v>
      </c>
      <c r="T1926" s="101" t="s">
        <v>4687</v>
      </c>
      <c r="U1926" s="80" t="s">
        <v>4687</v>
      </c>
      <c r="V1926" s="102" t="s">
        <v>429</v>
      </c>
      <c r="W1926" s="79" t="s">
        <v>309</v>
      </c>
      <c r="X1926" s="79" t="s">
        <v>309</v>
      </c>
      <c r="Y1926" s="79"/>
      <c r="Z1926" s="77"/>
    </row>
    <row r="1927" ht="15.75" customHeight="1">
      <c r="A1927" s="76" t="s">
        <v>247</v>
      </c>
      <c r="B1927" s="291" t="s">
        <v>9027</v>
      </c>
      <c r="C1927" s="80">
        <v>2.0149453319E10</v>
      </c>
      <c r="D1927" s="77" t="s">
        <v>631</v>
      </c>
      <c r="E1927" s="79" t="s">
        <v>8846</v>
      </c>
      <c r="F1927" s="44">
        <v>661.0</v>
      </c>
      <c r="G1927" s="79" t="s">
        <v>269</v>
      </c>
      <c r="H1927" s="80">
        <v>1682.0</v>
      </c>
      <c r="I1927" s="79">
        <v>281400.0</v>
      </c>
      <c r="J1927" s="74" t="s">
        <v>347</v>
      </c>
      <c r="K1927" s="77" t="s">
        <v>10618</v>
      </c>
      <c r="L1927" s="79"/>
      <c r="M1927" s="79" t="s">
        <v>11701</v>
      </c>
      <c r="N1927" s="79">
        <v>5.0</v>
      </c>
      <c r="O1927" s="83" t="s">
        <v>11702</v>
      </c>
      <c r="P1927" s="78" t="s">
        <v>11703</v>
      </c>
      <c r="Q1927" s="79"/>
      <c r="R1927" s="80"/>
      <c r="S1927" s="78" t="s">
        <v>11704</v>
      </c>
      <c r="T1927" s="101"/>
      <c r="U1927" s="80"/>
      <c r="V1927" s="102" t="s">
        <v>429</v>
      </c>
      <c r="W1927" s="79"/>
      <c r="X1927" s="79"/>
      <c r="Y1927" s="79" t="s">
        <v>309</v>
      </c>
      <c r="Z1927" s="79"/>
    </row>
    <row r="1928" ht="15.75" customHeight="1">
      <c r="A1928" s="103" t="s">
        <v>24</v>
      </c>
      <c r="B1928" s="77" t="s">
        <v>11705</v>
      </c>
      <c r="C1928" s="80">
        <v>3.0709369365E10</v>
      </c>
      <c r="D1928" s="119" t="s">
        <v>264</v>
      </c>
      <c r="E1928" s="79" t="s">
        <v>15</v>
      </c>
      <c r="F1928" s="44">
        <v>3493.0</v>
      </c>
      <c r="G1928" s="79" t="s">
        <v>15</v>
      </c>
      <c r="H1928" s="80">
        <v>1678.0</v>
      </c>
      <c r="I1928" s="77">
        <v>131209.0</v>
      </c>
      <c r="J1928" s="74" t="s">
        <v>448</v>
      </c>
      <c r="K1928" s="77" t="s">
        <v>9692</v>
      </c>
      <c r="L1928" s="79"/>
      <c r="M1928" s="79"/>
      <c r="N1928" s="79">
        <v>2.0</v>
      </c>
      <c r="O1928" s="74"/>
      <c r="P1928" s="80"/>
      <c r="Q1928" s="79"/>
      <c r="R1928" s="80"/>
      <c r="S1928" s="78" t="s">
        <v>11706</v>
      </c>
      <c r="T1928" s="101" t="s">
        <v>332</v>
      </c>
      <c r="U1928" s="80" t="s">
        <v>332</v>
      </c>
      <c r="V1928" s="102" t="s">
        <v>429</v>
      </c>
      <c r="W1928" s="79" t="s">
        <v>306</v>
      </c>
      <c r="X1928" s="79" t="s">
        <v>306</v>
      </c>
      <c r="Y1928" s="79"/>
      <c r="Z1928" s="79"/>
    </row>
    <row r="1929" ht="15.75" customHeight="1">
      <c r="A1929" s="103" t="s">
        <v>24</v>
      </c>
      <c r="B1929" s="291" t="s">
        <v>11707</v>
      </c>
      <c r="C1929" s="80">
        <v>3.0503616307E10</v>
      </c>
      <c r="D1929" s="119" t="s">
        <v>264</v>
      </c>
      <c r="E1929" s="79" t="s">
        <v>660</v>
      </c>
      <c r="F1929" s="44">
        <v>5337.0</v>
      </c>
      <c r="G1929" s="79" t="s">
        <v>15</v>
      </c>
      <c r="H1929" s="80">
        <v>1678.0</v>
      </c>
      <c r="I1929" s="79">
        <v>271010.0</v>
      </c>
      <c r="J1929" s="83" t="s">
        <v>207</v>
      </c>
      <c r="K1929" s="79" t="s">
        <v>661</v>
      </c>
      <c r="L1929" s="79"/>
      <c r="M1929" s="79"/>
      <c r="N1929" s="79">
        <v>1.0</v>
      </c>
      <c r="O1929" s="74"/>
      <c r="P1929" s="80"/>
      <c r="Q1929" s="79"/>
      <c r="R1929" s="80"/>
      <c r="S1929" s="78" t="s">
        <v>669</v>
      </c>
      <c r="T1929" s="85" t="s">
        <v>11708</v>
      </c>
      <c r="U1929" s="78" t="s">
        <v>11709</v>
      </c>
      <c r="V1929" s="102" t="s">
        <v>11710</v>
      </c>
      <c r="W1929" s="79" t="s">
        <v>309</v>
      </c>
      <c r="X1929" s="79" t="s">
        <v>309</v>
      </c>
      <c r="Y1929" s="79" t="s">
        <v>306</v>
      </c>
      <c r="Z1929" s="79"/>
    </row>
    <row r="1930" ht="15.75" customHeight="1">
      <c r="A1930" s="103" t="s">
        <v>24</v>
      </c>
      <c r="B1930" s="77" t="s">
        <v>11711</v>
      </c>
      <c r="C1930" s="80">
        <v>3.0685332678E10</v>
      </c>
      <c r="D1930" s="144" t="s">
        <v>264</v>
      </c>
      <c r="E1930" s="79" t="s">
        <v>7734</v>
      </c>
      <c r="F1930" s="44">
        <v>4660.0</v>
      </c>
      <c r="G1930" s="79" t="s">
        <v>15</v>
      </c>
      <c r="H1930" s="80">
        <v>1678.0</v>
      </c>
      <c r="I1930" s="79">
        <v>154199.0</v>
      </c>
      <c r="J1930" s="74" t="s">
        <v>22</v>
      </c>
      <c r="K1930" s="77" t="s">
        <v>11712</v>
      </c>
      <c r="L1930" s="79"/>
      <c r="M1930" s="79"/>
      <c r="N1930" s="79">
        <v>0.0</v>
      </c>
      <c r="O1930" s="74"/>
      <c r="P1930" s="80"/>
      <c r="Q1930" s="79"/>
      <c r="R1930" s="80"/>
      <c r="S1930" s="80" t="s">
        <v>11713</v>
      </c>
      <c r="T1930" s="101" t="s">
        <v>332</v>
      </c>
      <c r="U1930" s="80" t="s">
        <v>332</v>
      </c>
      <c r="V1930" s="102" t="s">
        <v>429</v>
      </c>
      <c r="W1930" s="79" t="s">
        <v>306</v>
      </c>
      <c r="X1930" s="79" t="s">
        <v>306</v>
      </c>
      <c r="Y1930" s="79" t="s">
        <v>309</v>
      </c>
      <c r="Z1930" s="79"/>
    </row>
    <row r="1931" ht="15.75" customHeight="1">
      <c r="A1931" s="103" t="s">
        <v>24</v>
      </c>
      <c r="B1931" s="79" t="s">
        <v>11714</v>
      </c>
      <c r="C1931" s="80">
        <v>2.0278611885E10</v>
      </c>
      <c r="D1931" s="77" t="s">
        <v>631</v>
      </c>
      <c r="E1931" s="79" t="s">
        <v>2319</v>
      </c>
      <c r="F1931" s="44">
        <v>4196.0</v>
      </c>
      <c r="G1931" s="79" t="s">
        <v>249</v>
      </c>
      <c r="H1931" s="80">
        <v>1676.0</v>
      </c>
      <c r="I1931" s="77">
        <v>492290.0</v>
      </c>
      <c r="J1931" s="74" t="s">
        <v>433</v>
      </c>
      <c r="K1931" s="77" t="s">
        <v>7988</v>
      </c>
      <c r="L1931" s="79"/>
      <c r="M1931" s="79"/>
      <c r="N1931" s="79"/>
      <c r="O1931" s="74"/>
      <c r="P1931" s="80"/>
      <c r="Q1931" s="79"/>
      <c r="R1931" s="80"/>
      <c r="S1931" s="78" t="s">
        <v>11715</v>
      </c>
      <c r="T1931" s="101"/>
      <c r="U1931" s="80"/>
      <c r="V1931" s="102" t="s">
        <v>429</v>
      </c>
      <c r="W1931" s="79"/>
      <c r="X1931" s="79"/>
      <c r="Y1931" s="79"/>
      <c r="Z1931" s="79"/>
    </row>
    <row r="1932" ht="15.75" customHeight="1">
      <c r="A1932" s="103" t="s">
        <v>24</v>
      </c>
      <c r="B1932" s="79" t="s">
        <v>11716</v>
      </c>
      <c r="C1932" s="80">
        <v>3.0648523153E10</v>
      </c>
      <c r="D1932" s="144" t="s">
        <v>264</v>
      </c>
      <c r="E1932" s="79" t="s">
        <v>1079</v>
      </c>
      <c r="F1932" s="44">
        <v>5830.0</v>
      </c>
      <c r="G1932" s="79" t="s">
        <v>15</v>
      </c>
      <c r="H1932" s="80">
        <v>1678.0</v>
      </c>
      <c r="I1932" s="77">
        <v>243200.0</v>
      </c>
      <c r="J1932" s="74" t="s">
        <v>347</v>
      </c>
      <c r="K1932" s="79" t="s">
        <v>7289</v>
      </c>
      <c r="L1932" s="79" t="s">
        <v>453</v>
      </c>
      <c r="M1932" s="79"/>
      <c r="N1932" s="79">
        <v>0.0</v>
      </c>
      <c r="O1932" s="74"/>
      <c r="P1932" s="80"/>
      <c r="Q1932" s="79"/>
      <c r="R1932" s="80"/>
      <c r="S1932" s="78" t="s">
        <v>11717</v>
      </c>
      <c r="T1932" s="101" t="s">
        <v>332</v>
      </c>
      <c r="U1932" s="80" t="s">
        <v>332</v>
      </c>
      <c r="V1932" s="102" t="s">
        <v>429</v>
      </c>
      <c r="W1932" s="79" t="s">
        <v>309</v>
      </c>
      <c r="X1932" s="79" t="s">
        <v>309</v>
      </c>
      <c r="Y1932" s="79"/>
      <c r="Z1932" s="79"/>
    </row>
    <row r="1933" ht="15.75" customHeight="1">
      <c r="A1933" s="76" t="s">
        <v>247</v>
      </c>
      <c r="B1933" s="77" t="s">
        <v>9029</v>
      </c>
      <c r="C1933" s="101">
        <v>3.0708222085E10</v>
      </c>
      <c r="D1933" s="79" t="s">
        <v>264</v>
      </c>
      <c r="E1933" s="79" t="s">
        <v>2079</v>
      </c>
      <c r="F1933" s="44">
        <v>1554.0</v>
      </c>
      <c r="G1933" s="79" t="s">
        <v>119</v>
      </c>
      <c r="H1933" s="80">
        <v>1657.0</v>
      </c>
      <c r="I1933" s="79">
        <v>281500.0</v>
      </c>
      <c r="J1933" s="74" t="s">
        <v>337</v>
      </c>
      <c r="K1933" s="176" t="s">
        <v>2890</v>
      </c>
      <c r="L1933" s="79" t="s">
        <v>453</v>
      </c>
      <c r="M1933" s="79" t="s">
        <v>4430</v>
      </c>
      <c r="N1933" s="79">
        <v>8.0</v>
      </c>
      <c r="O1933" s="83" t="s">
        <v>11718</v>
      </c>
      <c r="P1933" s="80"/>
      <c r="Q1933" s="79" t="s">
        <v>7377</v>
      </c>
      <c r="R1933" s="78" t="s">
        <v>11719</v>
      </c>
      <c r="S1933" s="78" t="s">
        <v>11720</v>
      </c>
      <c r="T1933" s="85" t="s">
        <v>11721</v>
      </c>
      <c r="U1933" s="80"/>
      <c r="V1933" s="102" t="s">
        <v>11722</v>
      </c>
      <c r="W1933" s="79"/>
      <c r="X1933" s="79" t="s">
        <v>309</v>
      </c>
      <c r="Y1933" s="79" t="s">
        <v>309</v>
      </c>
      <c r="Z1933" s="79"/>
    </row>
    <row r="1934" ht="15.75" customHeight="1">
      <c r="A1934" s="76" t="s">
        <v>247</v>
      </c>
      <c r="B1934" s="77" t="s">
        <v>9036</v>
      </c>
      <c r="C1934" s="80">
        <v>3.0707008969E10</v>
      </c>
      <c r="D1934" s="119" t="s">
        <v>264</v>
      </c>
      <c r="E1934" s="77" t="s">
        <v>1070</v>
      </c>
      <c r="F1934" s="44">
        <v>509.0</v>
      </c>
      <c r="G1934" s="79" t="s">
        <v>68</v>
      </c>
      <c r="H1934" s="80">
        <v>1702.0</v>
      </c>
      <c r="I1934" s="79">
        <v>282909.0</v>
      </c>
      <c r="J1934" s="74" t="s">
        <v>347</v>
      </c>
      <c r="K1934" s="77" t="s">
        <v>2642</v>
      </c>
      <c r="L1934" s="79" t="s">
        <v>662</v>
      </c>
      <c r="M1934" s="79"/>
      <c r="N1934" s="79">
        <v>2.0</v>
      </c>
      <c r="O1934" s="83" t="s">
        <v>11723</v>
      </c>
      <c r="P1934" s="78" t="s">
        <v>11724</v>
      </c>
      <c r="Q1934" s="77" t="s">
        <v>11725</v>
      </c>
      <c r="R1934" s="78" t="s">
        <v>11726</v>
      </c>
      <c r="S1934" s="80" t="s">
        <v>11727</v>
      </c>
      <c r="T1934" s="85"/>
      <c r="U1934" s="78"/>
      <c r="V1934" s="102" t="s">
        <v>429</v>
      </c>
      <c r="W1934" s="79" t="s">
        <v>309</v>
      </c>
      <c r="X1934" s="79" t="s">
        <v>309</v>
      </c>
      <c r="Y1934" s="79"/>
      <c r="Z1934" s="79"/>
    </row>
    <row r="1935" ht="15.75" customHeight="1">
      <c r="A1935" s="76" t="s">
        <v>247</v>
      </c>
      <c r="B1935" s="77" t="s">
        <v>9040</v>
      </c>
      <c r="C1935" s="114">
        <v>3.07127866E10</v>
      </c>
      <c r="D1935" s="119" t="s">
        <v>264</v>
      </c>
      <c r="E1935" s="79" t="s">
        <v>1648</v>
      </c>
      <c r="F1935" s="44">
        <v>288.0</v>
      </c>
      <c r="G1935" s="77" t="s">
        <v>226</v>
      </c>
      <c r="H1935" s="80">
        <v>1674.0</v>
      </c>
      <c r="I1935" s="79">
        <v>410021.0</v>
      </c>
      <c r="J1935" s="74" t="s">
        <v>125</v>
      </c>
      <c r="K1935" s="79" t="s">
        <v>8901</v>
      </c>
      <c r="L1935" s="79" t="s">
        <v>453</v>
      </c>
      <c r="M1935" s="79"/>
      <c r="N1935" s="79">
        <v>0.0</v>
      </c>
      <c r="O1935" s="74"/>
      <c r="P1935" s="80"/>
      <c r="Q1935" s="79"/>
      <c r="R1935" s="80"/>
      <c r="S1935" s="78" t="s">
        <v>11728</v>
      </c>
      <c r="T1935" s="101" t="s">
        <v>332</v>
      </c>
      <c r="U1935" s="80" t="s">
        <v>332</v>
      </c>
      <c r="V1935" s="102" t="s">
        <v>11729</v>
      </c>
      <c r="W1935" s="79" t="s">
        <v>306</v>
      </c>
      <c r="X1935" s="79" t="s">
        <v>306</v>
      </c>
      <c r="Y1935" s="79"/>
      <c r="Z1935" s="79"/>
    </row>
    <row r="1936" ht="15.75" customHeight="1">
      <c r="A1936" s="76" t="s">
        <v>247</v>
      </c>
      <c r="B1936" s="77" t="s">
        <v>9044</v>
      </c>
      <c r="C1936" s="239">
        <v>3.0714866733E10</v>
      </c>
      <c r="D1936" s="79" t="s">
        <v>264</v>
      </c>
      <c r="E1936" s="79" t="s">
        <v>11730</v>
      </c>
      <c r="F1936" s="44">
        <v>230.0</v>
      </c>
      <c r="G1936" s="79" t="s">
        <v>68</v>
      </c>
      <c r="H1936" s="80">
        <v>1702.0</v>
      </c>
      <c r="I1936" s="79">
        <v>329090.0</v>
      </c>
      <c r="J1936" s="74" t="s">
        <v>316</v>
      </c>
      <c r="K1936" s="77" t="s">
        <v>11731</v>
      </c>
      <c r="L1936" s="79"/>
      <c r="M1936" s="79" t="s">
        <v>11732</v>
      </c>
      <c r="N1936" s="79">
        <v>146.0</v>
      </c>
      <c r="O1936" s="79" t="s">
        <v>11733</v>
      </c>
      <c r="P1936" s="78" t="s">
        <v>11734</v>
      </c>
      <c r="Q1936" s="79" t="s">
        <v>11735</v>
      </c>
      <c r="R1936" s="78" t="s">
        <v>11736</v>
      </c>
      <c r="S1936" s="78" t="s">
        <v>11737</v>
      </c>
      <c r="T1936" s="101"/>
      <c r="U1936" s="80"/>
      <c r="V1936" s="102" t="s">
        <v>11738</v>
      </c>
      <c r="W1936" s="79" t="s">
        <v>1963</v>
      </c>
      <c r="X1936" s="79" t="s">
        <v>1963</v>
      </c>
      <c r="Y1936" s="79"/>
      <c r="Z1936" s="79"/>
    </row>
    <row r="1937">
      <c r="A1937" s="103" t="s">
        <v>24</v>
      </c>
      <c r="B1937" s="77" t="s">
        <v>11739</v>
      </c>
      <c r="C1937" s="114">
        <v>3.0702194616E10</v>
      </c>
      <c r="D1937" s="79" t="s">
        <v>264</v>
      </c>
      <c r="E1937" s="79" t="s">
        <v>2410</v>
      </c>
      <c r="F1937" s="44">
        <v>251.0</v>
      </c>
      <c r="G1937" s="79" t="s">
        <v>68</v>
      </c>
      <c r="H1937" s="80">
        <v>1702.0</v>
      </c>
      <c r="I1937" s="79">
        <v>432990.0</v>
      </c>
      <c r="J1937" s="74" t="s">
        <v>433</v>
      </c>
      <c r="K1937" s="77" t="s">
        <v>4038</v>
      </c>
      <c r="L1937" s="79"/>
      <c r="M1937" s="79"/>
      <c r="N1937" s="79">
        <v>29.0</v>
      </c>
      <c r="O1937" s="74"/>
      <c r="P1937" s="80"/>
      <c r="Q1937" s="79"/>
      <c r="R1937" s="80"/>
      <c r="S1937" s="80" t="s">
        <v>11740</v>
      </c>
      <c r="T1937" s="85"/>
      <c r="U1937" s="80" t="s">
        <v>332</v>
      </c>
      <c r="V1937" s="102" t="s">
        <v>429</v>
      </c>
      <c r="W1937" s="79" t="s">
        <v>309</v>
      </c>
      <c r="X1937" s="79" t="s">
        <v>309</v>
      </c>
      <c r="Y1937" s="79"/>
      <c r="Z1937" s="79"/>
    </row>
    <row r="1938" ht="15.75" customHeight="1">
      <c r="A1938" s="103" t="s">
        <v>24</v>
      </c>
      <c r="B1938" s="79" t="s">
        <v>11741</v>
      </c>
      <c r="C1938" s="80">
        <v>2.7333449E10</v>
      </c>
      <c r="D1938" s="77" t="s">
        <v>631</v>
      </c>
      <c r="E1938" s="79" t="s">
        <v>3333</v>
      </c>
      <c r="F1938" s="44">
        <v>3454.0</v>
      </c>
      <c r="G1938" s="79" t="s">
        <v>15</v>
      </c>
      <c r="H1938" s="80">
        <v>1678.0</v>
      </c>
      <c r="I1938" s="79">
        <v>324000.0</v>
      </c>
      <c r="J1938" s="83" t="s">
        <v>568</v>
      </c>
      <c r="K1938" s="77" t="s">
        <v>11742</v>
      </c>
      <c r="L1938" s="79" t="s">
        <v>286</v>
      </c>
      <c r="M1938" s="79"/>
      <c r="N1938" s="79"/>
      <c r="O1938" s="126"/>
      <c r="P1938" s="80"/>
      <c r="Q1938" s="79"/>
      <c r="R1938" s="80"/>
      <c r="S1938" s="80" t="s">
        <v>11743</v>
      </c>
      <c r="T1938" s="101"/>
      <c r="U1938" s="80"/>
      <c r="V1938" s="102" t="s">
        <v>11744</v>
      </c>
      <c r="W1938" s="79"/>
      <c r="X1938" s="79"/>
      <c r="Y1938" s="79"/>
      <c r="Z1938" s="79"/>
    </row>
    <row r="1939" ht="15.75" customHeight="1">
      <c r="A1939" s="76" t="s">
        <v>247</v>
      </c>
      <c r="B1939" s="77" t="s">
        <v>9047</v>
      </c>
      <c r="C1939" s="80">
        <v>3.0643957333E10</v>
      </c>
      <c r="D1939" s="79" t="s">
        <v>264</v>
      </c>
      <c r="E1939" s="79" t="s">
        <v>2312</v>
      </c>
      <c r="F1939" s="44">
        <v>5271.0</v>
      </c>
      <c r="G1939" s="79" t="s">
        <v>15</v>
      </c>
      <c r="H1939" s="80">
        <v>1678.0</v>
      </c>
      <c r="I1939" s="79">
        <v>222010.0</v>
      </c>
      <c r="J1939" s="83" t="s">
        <v>568</v>
      </c>
      <c r="K1939" s="79" t="s">
        <v>11745</v>
      </c>
      <c r="L1939" s="79" t="s">
        <v>453</v>
      </c>
      <c r="M1939" s="79"/>
      <c r="N1939" s="79">
        <v>43.0</v>
      </c>
      <c r="O1939" s="129" t="s">
        <v>11746</v>
      </c>
      <c r="P1939" s="78" t="s">
        <v>11747</v>
      </c>
      <c r="Q1939" s="79" t="s">
        <v>11748</v>
      </c>
      <c r="R1939" s="80"/>
      <c r="S1939" s="80" t="s">
        <v>11749</v>
      </c>
      <c r="T1939" s="101" t="s">
        <v>11750</v>
      </c>
      <c r="U1939" s="80" t="s">
        <v>11751</v>
      </c>
      <c r="V1939" s="102" t="s">
        <v>11752</v>
      </c>
      <c r="W1939" s="79" t="s">
        <v>309</v>
      </c>
      <c r="X1939" s="79" t="s">
        <v>306</v>
      </c>
      <c r="Y1939" s="79" t="s">
        <v>309</v>
      </c>
      <c r="Z1939" s="79"/>
    </row>
    <row r="1940" ht="15.75" customHeight="1">
      <c r="A1940" s="76" t="s">
        <v>247</v>
      </c>
      <c r="B1940" s="77" t="s">
        <v>9050</v>
      </c>
      <c r="C1940" s="114">
        <v>3.0598530684E10</v>
      </c>
      <c r="D1940" s="79" t="s">
        <v>264</v>
      </c>
      <c r="E1940" s="79" t="s">
        <v>11753</v>
      </c>
      <c r="F1940" s="44">
        <v>53.0</v>
      </c>
      <c r="G1940" s="79" t="s">
        <v>68</v>
      </c>
      <c r="H1940" s="80">
        <v>1702.0</v>
      </c>
      <c r="I1940" s="79">
        <v>432990.0</v>
      </c>
      <c r="J1940" s="74" t="s">
        <v>433</v>
      </c>
      <c r="K1940" s="77" t="s">
        <v>4038</v>
      </c>
      <c r="L1940" s="79"/>
      <c r="M1940" s="79"/>
      <c r="N1940" s="79">
        <v>26.0</v>
      </c>
      <c r="O1940" s="74"/>
      <c r="P1940" s="80"/>
      <c r="Q1940" s="79"/>
      <c r="R1940" s="80"/>
      <c r="S1940" s="78" t="s">
        <v>11754</v>
      </c>
      <c r="T1940" s="386" t="s">
        <v>11755</v>
      </c>
      <c r="U1940" s="386" t="s">
        <v>11756</v>
      </c>
      <c r="V1940" s="102" t="s">
        <v>11757</v>
      </c>
      <c r="W1940" s="79" t="s">
        <v>306</v>
      </c>
      <c r="X1940" s="79" t="s">
        <v>306</v>
      </c>
      <c r="Y1940" s="79" t="s">
        <v>309</v>
      </c>
      <c r="Z1940" s="79"/>
    </row>
    <row r="1941" ht="15.75" customHeight="1">
      <c r="A1941" s="76" t="s">
        <v>247</v>
      </c>
      <c r="B1941" s="77" t="s">
        <v>9055</v>
      </c>
      <c r="C1941" s="80">
        <v>3.0568969274E10</v>
      </c>
      <c r="D1941" s="119" t="s">
        <v>264</v>
      </c>
      <c r="E1941" s="79" t="s">
        <v>9661</v>
      </c>
      <c r="F1941" s="44">
        <v>2068.0</v>
      </c>
      <c r="G1941" s="79" t="s">
        <v>68</v>
      </c>
      <c r="H1941" s="80">
        <v>1702.0</v>
      </c>
      <c r="I1941" s="79">
        <v>202908.0</v>
      </c>
      <c r="J1941" s="74" t="s">
        <v>316</v>
      </c>
      <c r="K1941" s="77" t="s">
        <v>1153</v>
      </c>
      <c r="L1941" s="79"/>
      <c r="M1941" s="79"/>
      <c r="N1941" s="79">
        <v>108.0</v>
      </c>
      <c r="O1941" s="83" t="s">
        <v>11758</v>
      </c>
      <c r="P1941" s="78" t="s">
        <v>11759</v>
      </c>
      <c r="Q1941" s="79"/>
      <c r="R1941" s="80"/>
      <c r="S1941" s="78" t="s">
        <v>11760</v>
      </c>
      <c r="T1941" s="101" t="s">
        <v>11761</v>
      </c>
      <c r="U1941" s="80" t="s">
        <v>11762</v>
      </c>
      <c r="V1941" s="98" t="s">
        <v>11763</v>
      </c>
      <c r="W1941" s="79" t="s">
        <v>309</v>
      </c>
      <c r="X1941" s="79" t="s">
        <v>309</v>
      </c>
      <c r="Y1941" s="79" t="s">
        <v>309</v>
      </c>
      <c r="Z1941" s="79"/>
    </row>
    <row r="1942" ht="15.75" customHeight="1">
      <c r="A1942" s="103" t="s">
        <v>24</v>
      </c>
      <c r="B1942" s="77" t="s">
        <v>11764</v>
      </c>
      <c r="C1942" s="80">
        <v>3.0707140417E10</v>
      </c>
      <c r="D1942" s="119" t="s">
        <v>264</v>
      </c>
      <c r="E1942" s="77" t="s">
        <v>5795</v>
      </c>
      <c r="F1942" s="44">
        <v>5534.0</v>
      </c>
      <c r="G1942" s="79" t="s">
        <v>269</v>
      </c>
      <c r="H1942" s="80">
        <v>1682.0</v>
      </c>
      <c r="I1942" s="79">
        <v>154199.0</v>
      </c>
      <c r="J1942" s="74" t="s">
        <v>22</v>
      </c>
      <c r="K1942" s="77" t="s">
        <v>11712</v>
      </c>
      <c r="L1942" s="79"/>
      <c r="M1942" s="79"/>
      <c r="N1942" s="79">
        <v>6.0</v>
      </c>
      <c r="O1942" s="74"/>
      <c r="P1942" s="80"/>
      <c r="Q1942" s="79"/>
      <c r="R1942" s="80"/>
      <c r="S1942" s="78" t="s">
        <v>11765</v>
      </c>
      <c r="T1942" s="101" t="s">
        <v>332</v>
      </c>
      <c r="U1942" s="80" t="s">
        <v>332</v>
      </c>
      <c r="V1942" s="102" t="s">
        <v>429</v>
      </c>
      <c r="W1942" s="79" t="s">
        <v>306</v>
      </c>
      <c r="X1942" s="79" t="s">
        <v>306</v>
      </c>
      <c r="Y1942" s="79"/>
      <c r="Z1942" s="79"/>
    </row>
    <row r="1943" ht="15.75" customHeight="1">
      <c r="A1943" s="76" t="s">
        <v>247</v>
      </c>
      <c r="B1943" s="77" t="s">
        <v>9059</v>
      </c>
      <c r="C1943" s="80">
        <v>3.0712286713E10</v>
      </c>
      <c r="D1943" s="119" t="s">
        <v>264</v>
      </c>
      <c r="E1943" s="79" t="s">
        <v>2669</v>
      </c>
      <c r="F1943" s="44">
        <v>3534.0</v>
      </c>
      <c r="G1943" s="79" t="s">
        <v>15</v>
      </c>
      <c r="H1943" s="80">
        <v>1678.0</v>
      </c>
      <c r="I1943" s="79">
        <v>222090.0</v>
      </c>
      <c r="J1943" s="83" t="s">
        <v>568</v>
      </c>
      <c r="K1943" s="77" t="s">
        <v>569</v>
      </c>
      <c r="L1943" s="79" t="s">
        <v>453</v>
      </c>
      <c r="M1943" s="79"/>
      <c r="N1943" s="79">
        <v>2.0</v>
      </c>
      <c r="O1943" s="74"/>
      <c r="P1943" s="80"/>
      <c r="Q1943" s="79"/>
      <c r="R1943" s="80"/>
      <c r="S1943" s="85" t="s">
        <v>11766</v>
      </c>
      <c r="T1943" s="331" t="s">
        <v>11767</v>
      </c>
      <c r="U1943" s="331" t="s">
        <v>11768</v>
      </c>
      <c r="V1943" s="102" t="s">
        <v>11769</v>
      </c>
      <c r="W1943" s="79" t="s">
        <v>306</v>
      </c>
      <c r="X1943" s="79" t="s">
        <v>306</v>
      </c>
      <c r="Y1943" s="79"/>
      <c r="Z1943" s="79"/>
    </row>
    <row r="1944" ht="15.75" customHeight="1">
      <c r="A1944" s="103" t="s">
        <v>24</v>
      </c>
      <c r="B1944" s="77" t="s">
        <v>11770</v>
      </c>
      <c r="C1944" s="114">
        <v>3.0709591637E10</v>
      </c>
      <c r="D1944" s="119" t="s">
        <v>264</v>
      </c>
      <c r="E1944" s="79" t="s">
        <v>2348</v>
      </c>
      <c r="F1944" s="44">
        <v>1723.0</v>
      </c>
      <c r="G1944" s="79" t="s">
        <v>68</v>
      </c>
      <c r="H1944" s="80">
        <v>1702.0</v>
      </c>
      <c r="I1944" s="77">
        <v>275010.0</v>
      </c>
      <c r="J1944" s="74" t="s">
        <v>347</v>
      </c>
      <c r="K1944" s="79" t="s">
        <v>9944</v>
      </c>
      <c r="L1944" s="79"/>
      <c r="M1944" s="79"/>
      <c r="N1944" s="79">
        <v>0.0</v>
      </c>
      <c r="O1944" s="74"/>
      <c r="P1944" s="80"/>
      <c r="Q1944" s="79"/>
      <c r="R1944" s="80"/>
      <c r="S1944" s="78" t="s">
        <v>11771</v>
      </c>
      <c r="T1944" s="101" t="s">
        <v>332</v>
      </c>
      <c r="U1944" s="80" t="s">
        <v>332</v>
      </c>
      <c r="V1944" s="102" t="s">
        <v>429</v>
      </c>
      <c r="W1944" s="79"/>
      <c r="X1944" s="79"/>
      <c r="Y1944" s="79" t="s">
        <v>306</v>
      </c>
      <c r="Z1944" s="79"/>
    </row>
    <row r="1945" ht="15.75" customHeight="1">
      <c r="A1945" s="76" t="s">
        <v>247</v>
      </c>
      <c r="B1945" s="77" t="s">
        <v>2829</v>
      </c>
      <c r="C1945" s="80">
        <v>3.0710874944E10</v>
      </c>
      <c r="D1945" s="79" t="s">
        <v>264</v>
      </c>
      <c r="E1945" s="79" t="s">
        <v>3130</v>
      </c>
      <c r="F1945" s="44">
        <v>7875.0</v>
      </c>
      <c r="G1945" s="79" t="s">
        <v>134</v>
      </c>
      <c r="H1945" s="80">
        <v>1682.0</v>
      </c>
      <c r="I1945" s="79">
        <v>143020.0</v>
      </c>
      <c r="J1945" s="74" t="s">
        <v>448</v>
      </c>
      <c r="K1945" s="79" t="s">
        <v>7912</v>
      </c>
      <c r="L1945" s="79" t="s">
        <v>369</v>
      </c>
      <c r="M1945" s="79" t="s">
        <v>11772</v>
      </c>
      <c r="N1945" s="79">
        <v>11.0</v>
      </c>
      <c r="O1945" s="74" t="s">
        <v>11773</v>
      </c>
      <c r="P1945" s="78" t="s">
        <v>11774</v>
      </c>
      <c r="Q1945" s="79"/>
      <c r="R1945" s="80"/>
      <c r="S1945" s="78" t="s">
        <v>11775</v>
      </c>
      <c r="T1945" s="101" t="s">
        <v>11776</v>
      </c>
      <c r="U1945" s="80" t="s">
        <v>332</v>
      </c>
      <c r="V1945" s="102" t="s">
        <v>11777</v>
      </c>
      <c r="W1945" s="79" t="s">
        <v>306</v>
      </c>
      <c r="X1945" s="79" t="s">
        <v>306</v>
      </c>
      <c r="Y1945" s="79" t="s">
        <v>309</v>
      </c>
      <c r="Z1945" s="79"/>
    </row>
    <row r="1946" ht="15.75" customHeight="1">
      <c r="A1946" s="76" t="s">
        <v>247</v>
      </c>
      <c r="B1946" s="79" t="s">
        <v>9067</v>
      </c>
      <c r="C1946" s="101">
        <v>3.0697679134E10</v>
      </c>
      <c r="D1946" s="79" t="s">
        <v>264</v>
      </c>
      <c r="E1946" s="79" t="s">
        <v>4492</v>
      </c>
      <c r="F1946" s="44">
        <v>868.0</v>
      </c>
      <c r="G1946" s="79" t="s">
        <v>119</v>
      </c>
      <c r="H1946" s="80">
        <v>1657.0</v>
      </c>
      <c r="I1946" s="79">
        <v>259999.0</v>
      </c>
      <c r="J1946" s="74" t="s">
        <v>347</v>
      </c>
      <c r="K1946" s="144" t="s">
        <v>839</v>
      </c>
      <c r="L1946" s="79"/>
      <c r="M1946" s="79"/>
      <c r="N1946" s="79"/>
      <c r="O1946" s="79"/>
      <c r="P1946" s="80"/>
      <c r="Q1946" s="79"/>
      <c r="R1946" s="80"/>
      <c r="S1946" s="78" t="s">
        <v>11778</v>
      </c>
      <c r="T1946" s="85" t="s">
        <v>11779</v>
      </c>
      <c r="U1946" s="80"/>
      <c r="V1946" s="98" t="s">
        <v>11780</v>
      </c>
      <c r="W1946" s="79"/>
      <c r="X1946" s="79"/>
      <c r="Y1946" s="79"/>
      <c r="Z1946" s="79"/>
    </row>
    <row r="1947" ht="15.75" customHeight="1">
      <c r="A1947" s="76" t="s">
        <v>247</v>
      </c>
      <c r="B1947" s="77" t="s">
        <v>2836</v>
      </c>
      <c r="C1947" s="80">
        <v>3.0710526008E10</v>
      </c>
      <c r="D1947" s="119" t="s">
        <v>264</v>
      </c>
      <c r="E1947" s="77" t="s">
        <v>4273</v>
      </c>
      <c r="F1947" s="44">
        <v>1925.0</v>
      </c>
      <c r="G1947" s="79" t="s">
        <v>249</v>
      </c>
      <c r="H1947" s="80">
        <v>1676.0</v>
      </c>
      <c r="I1947" s="79">
        <v>773090.0</v>
      </c>
      <c r="J1947" s="74" t="s">
        <v>433</v>
      </c>
      <c r="K1947" s="77" t="s">
        <v>3395</v>
      </c>
      <c r="L1947" s="79"/>
      <c r="M1947" s="79"/>
      <c r="N1947" s="79">
        <v>2.0</v>
      </c>
      <c r="O1947" s="126" t="s">
        <v>11781</v>
      </c>
      <c r="P1947" s="85" t="s">
        <v>11782</v>
      </c>
      <c r="Q1947" s="79"/>
      <c r="R1947" s="80"/>
      <c r="S1947" s="80"/>
      <c r="T1947" s="101" t="s">
        <v>332</v>
      </c>
      <c r="U1947" s="80" t="s">
        <v>332</v>
      </c>
      <c r="V1947" s="102" t="s">
        <v>11783</v>
      </c>
      <c r="W1947" s="79" t="s">
        <v>306</v>
      </c>
      <c r="X1947" s="79" t="s">
        <v>306</v>
      </c>
      <c r="Y1947" s="79"/>
      <c r="Z1947" s="79"/>
    </row>
    <row r="1948" ht="15.75" customHeight="1">
      <c r="A1948" s="103" t="s">
        <v>24</v>
      </c>
      <c r="B1948" s="77" t="s">
        <v>11784</v>
      </c>
      <c r="C1948" s="114">
        <v>3.0685781987E10</v>
      </c>
      <c r="D1948" s="119" t="s">
        <v>264</v>
      </c>
      <c r="E1948" s="126" t="s">
        <v>985</v>
      </c>
      <c r="F1948" s="44">
        <v>3414.0</v>
      </c>
      <c r="G1948" s="79" t="s">
        <v>15</v>
      </c>
      <c r="H1948" s="80">
        <v>1678.0</v>
      </c>
      <c r="I1948" s="79">
        <v>282300.0</v>
      </c>
      <c r="J1948" s="74" t="s">
        <v>347</v>
      </c>
      <c r="K1948" s="79" t="s">
        <v>4825</v>
      </c>
      <c r="L1948" s="79" t="s">
        <v>662</v>
      </c>
      <c r="M1948" s="79"/>
      <c r="N1948" s="79">
        <v>3.0</v>
      </c>
      <c r="O1948" s="74"/>
      <c r="P1948" s="80"/>
      <c r="Q1948" s="79"/>
      <c r="R1948" s="80"/>
      <c r="S1948" s="80" t="s">
        <v>4826</v>
      </c>
      <c r="T1948" s="101" t="s">
        <v>11785</v>
      </c>
      <c r="U1948" s="78" t="s">
        <v>11786</v>
      </c>
      <c r="V1948" s="102" t="s">
        <v>11787</v>
      </c>
      <c r="W1948" s="79" t="s">
        <v>309</v>
      </c>
      <c r="X1948" s="79" t="s">
        <v>309</v>
      </c>
      <c r="Y1948" s="79" t="s">
        <v>309</v>
      </c>
      <c r="Z1948" s="79"/>
    </row>
    <row r="1949" ht="15.75" customHeight="1">
      <c r="A1949" s="76" t="s">
        <v>247</v>
      </c>
      <c r="B1949" s="79" t="s">
        <v>11788</v>
      </c>
      <c r="C1949" s="80">
        <v>2.0177401847E10</v>
      </c>
      <c r="D1949" s="77" t="s">
        <v>631</v>
      </c>
      <c r="E1949" s="79" t="s">
        <v>3833</v>
      </c>
      <c r="F1949" s="44">
        <v>4821.0</v>
      </c>
      <c r="G1949" s="79" t="s">
        <v>15</v>
      </c>
      <c r="H1949" s="80">
        <v>1678.0</v>
      </c>
      <c r="I1949" s="77">
        <v>691001.0</v>
      </c>
      <c r="J1949" s="74" t="s">
        <v>433</v>
      </c>
      <c r="K1949" s="77" t="s">
        <v>11789</v>
      </c>
      <c r="L1949" s="79"/>
      <c r="M1949" s="79"/>
      <c r="N1949" s="79"/>
      <c r="O1949" s="42"/>
      <c r="P1949" s="78" t="s">
        <v>11790</v>
      </c>
      <c r="Q1949" s="176"/>
      <c r="R1949" s="78" t="s">
        <v>11791</v>
      </c>
      <c r="S1949" s="80"/>
      <c r="T1949" s="101"/>
      <c r="U1949" s="80"/>
      <c r="V1949" s="102" t="s">
        <v>429</v>
      </c>
      <c r="W1949" s="79"/>
      <c r="X1949" s="79"/>
      <c r="Y1949" s="79"/>
      <c r="Z1949" s="79"/>
    </row>
    <row r="1950" ht="15.75" customHeight="1">
      <c r="A1950" s="103" t="s">
        <v>24</v>
      </c>
      <c r="B1950" s="77" t="s">
        <v>11792</v>
      </c>
      <c r="C1950" s="114">
        <v>3.0708493372E10</v>
      </c>
      <c r="D1950" s="119" t="s">
        <v>264</v>
      </c>
      <c r="E1950" s="77" t="s">
        <v>943</v>
      </c>
      <c r="F1950" s="44">
        <v>4630.0</v>
      </c>
      <c r="G1950" s="79" t="s">
        <v>68</v>
      </c>
      <c r="H1950" s="80">
        <v>1702.0</v>
      </c>
      <c r="I1950" s="79">
        <v>282300.0</v>
      </c>
      <c r="J1950" s="74" t="s">
        <v>347</v>
      </c>
      <c r="K1950" s="176" t="s">
        <v>4825</v>
      </c>
      <c r="L1950" s="79" t="s">
        <v>662</v>
      </c>
      <c r="M1950" s="79"/>
      <c r="N1950" s="79">
        <v>4.0</v>
      </c>
      <c r="O1950" s="74"/>
      <c r="P1950" s="80"/>
      <c r="Q1950" s="79"/>
      <c r="R1950" s="80"/>
      <c r="S1950" s="101" t="s">
        <v>11793</v>
      </c>
      <c r="T1950" s="101" t="s">
        <v>332</v>
      </c>
      <c r="U1950" s="80" t="s">
        <v>332</v>
      </c>
      <c r="V1950" s="102" t="s">
        <v>429</v>
      </c>
      <c r="W1950" s="79" t="s">
        <v>306</v>
      </c>
      <c r="X1950" s="79" t="s">
        <v>306</v>
      </c>
      <c r="Y1950" s="79"/>
      <c r="Z1950" s="79"/>
    </row>
    <row r="1951" ht="15.75" customHeight="1">
      <c r="A1951" s="103" t="s">
        <v>24</v>
      </c>
      <c r="B1951" s="77" t="s">
        <v>11794</v>
      </c>
      <c r="C1951" s="80">
        <v>3.0714638722E10</v>
      </c>
      <c r="D1951" s="119" t="s">
        <v>264</v>
      </c>
      <c r="E1951" s="77" t="s">
        <v>97</v>
      </c>
      <c r="F1951" s="128" t="s">
        <v>11795</v>
      </c>
      <c r="G1951" s="79" t="s">
        <v>97</v>
      </c>
      <c r="H1951" s="80">
        <v>1702.0</v>
      </c>
      <c r="I1951" s="79">
        <v>801090.0</v>
      </c>
      <c r="J1951" s="74" t="s">
        <v>433</v>
      </c>
      <c r="K1951" s="77" t="s">
        <v>484</v>
      </c>
      <c r="L1951" s="79"/>
      <c r="M1951" s="79"/>
      <c r="N1951" s="79">
        <v>12.0</v>
      </c>
      <c r="O1951" s="74"/>
      <c r="P1951" s="80"/>
      <c r="Q1951" s="79"/>
      <c r="R1951" s="80"/>
      <c r="S1951" s="78" t="s">
        <v>11796</v>
      </c>
      <c r="T1951" s="85" t="s">
        <v>11767</v>
      </c>
      <c r="U1951" s="80" t="s">
        <v>332</v>
      </c>
      <c r="V1951" s="102" t="s">
        <v>429</v>
      </c>
      <c r="W1951" s="79" t="s">
        <v>306</v>
      </c>
      <c r="X1951" s="79" t="s">
        <v>306</v>
      </c>
      <c r="Y1951" s="79"/>
      <c r="Z1951" s="79"/>
    </row>
    <row r="1952" ht="15.75" customHeight="1">
      <c r="A1952" s="76" t="s">
        <v>247</v>
      </c>
      <c r="B1952" s="77" t="s">
        <v>2843</v>
      </c>
      <c r="C1952" s="80">
        <v>3.068148913E10</v>
      </c>
      <c r="D1952" s="79" t="s">
        <v>264</v>
      </c>
      <c r="E1952" s="79" t="s">
        <v>11797</v>
      </c>
      <c r="F1952" s="44">
        <v>1192.0</v>
      </c>
      <c r="G1952" s="79" t="s">
        <v>68</v>
      </c>
      <c r="H1952" s="80">
        <v>1702.0</v>
      </c>
      <c r="I1952" s="77">
        <v>329090.0</v>
      </c>
      <c r="J1952" s="83" t="s">
        <v>327</v>
      </c>
      <c r="K1952" s="77" t="s">
        <v>4140</v>
      </c>
      <c r="L1952" s="79"/>
      <c r="M1952" s="79" t="s">
        <v>6013</v>
      </c>
      <c r="N1952" s="79"/>
      <c r="O1952" s="74" t="s">
        <v>11798</v>
      </c>
      <c r="P1952" s="78" t="s">
        <v>11799</v>
      </c>
      <c r="Q1952" s="79"/>
      <c r="R1952" s="80"/>
      <c r="S1952" s="80" t="s">
        <v>11800</v>
      </c>
      <c r="T1952" s="101"/>
      <c r="U1952" s="80"/>
      <c r="V1952" s="102" t="s">
        <v>11801</v>
      </c>
      <c r="W1952" s="79"/>
      <c r="X1952" s="79"/>
      <c r="Y1952" s="79"/>
      <c r="Z1952" s="79"/>
    </row>
    <row r="1953" ht="15.75" customHeight="1">
      <c r="A1953" s="103" t="s">
        <v>24</v>
      </c>
      <c r="B1953" s="77" t="s">
        <v>11802</v>
      </c>
      <c r="C1953" s="79">
        <v>2.7260739854E10</v>
      </c>
      <c r="D1953" s="144" t="s">
        <v>631</v>
      </c>
      <c r="E1953" s="77" t="s">
        <v>5869</v>
      </c>
      <c r="F1953" s="44">
        <v>3820.0</v>
      </c>
      <c r="G1953" s="77" t="s">
        <v>249</v>
      </c>
      <c r="H1953" s="80">
        <v>1676.0</v>
      </c>
      <c r="I1953" s="77">
        <v>562010.0</v>
      </c>
      <c r="J1953" s="74" t="s">
        <v>433</v>
      </c>
      <c r="K1953" s="77" t="s">
        <v>11803</v>
      </c>
      <c r="L1953" s="79"/>
      <c r="M1953" s="79"/>
      <c r="N1953" s="79"/>
      <c r="O1953" s="74"/>
      <c r="P1953" s="80"/>
      <c r="Q1953" s="79"/>
      <c r="R1953" s="80"/>
      <c r="S1953" s="78" t="s">
        <v>11804</v>
      </c>
      <c r="T1953" s="85">
        <v>1.130120673E9</v>
      </c>
      <c r="U1953" s="80"/>
      <c r="V1953" s="102" t="s">
        <v>429</v>
      </c>
      <c r="W1953" s="79"/>
      <c r="X1953" s="79"/>
      <c r="Y1953" s="79"/>
      <c r="Z1953" s="79"/>
    </row>
    <row r="1954" ht="15.75" customHeight="1">
      <c r="A1954" s="76" t="s">
        <v>247</v>
      </c>
      <c r="B1954" s="77" t="s">
        <v>11805</v>
      </c>
      <c r="C1954" s="80">
        <v>3.0502498572E10</v>
      </c>
      <c r="D1954" s="79" t="s">
        <v>264</v>
      </c>
      <c r="E1954" s="79" t="s">
        <v>742</v>
      </c>
      <c r="F1954" s="44">
        <v>4437.0</v>
      </c>
      <c r="G1954" s="79" t="s">
        <v>15</v>
      </c>
      <c r="H1954" s="80">
        <v>1678.0</v>
      </c>
      <c r="I1954" s="79">
        <v>309100.0</v>
      </c>
      <c r="J1954" s="74" t="s">
        <v>347</v>
      </c>
      <c r="K1954" s="79" t="s">
        <v>2697</v>
      </c>
      <c r="L1954" s="79" t="s">
        <v>286</v>
      </c>
      <c r="M1954" s="79"/>
      <c r="N1954" s="79">
        <v>11.0</v>
      </c>
      <c r="O1954" s="126" t="s">
        <v>11806</v>
      </c>
      <c r="P1954" s="78" t="s">
        <v>11807</v>
      </c>
      <c r="Q1954" s="79" t="s">
        <v>11808</v>
      </c>
      <c r="R1954" s="78" t="s">
        <v>11809</v>
      </c>
      <c r="S1954" s="78" t="s">
        <v>11810</v>
      </c>
      <c r="T1954" s="85" t="s">
        <v>11811</v>
      </c>
      <c r="U1954" s="78" t="s">
        <v>11812</v>
      </c>
      <c r="V1954" s="102" t="s">
        <v>11813</v>
      </c>
      <c r="W1954" s="79" t="s">
        <v>309</v>
      </c>
      <c r="X1954" s="79" t="s">
        <v>306</v>
      </c>
      <c r="Y1954" s="79" t="s">
        <v>309</v>
      </c>
      <c r="Z1954" s="79"/>
    </row>
    <row r="1955" ht="15.75" customHeight="1">
      <c r="A1955" s="76" t="s">
        <v>247</v>
      </c>
      <c r="B1955" s="77" t="s">
        <v>2848</v>
      </c>
      <c r="C1955" s="80">
        <v>3.0710479689E10</v>
      </c>
      <c r="D1955" s="79" t="s">
        <v>264</v>
      </c>
      <c r="E1955" s="126" t="s">
        <v>985</v>
      </c>
      <c r="F1955" s="44">
        <v>5339.0</v>
      </c>
      <c r="G1955" s="79" t="s">
        <v>15</v>
      </c>
      <c r="H1955" s="80">
        <v>1678.0</v>
      </c>
      <c r="I1955" s="79">
        <v>152021.0</v>
      </c>
      <c r="J1955" s="74" t="s">
        <v>73</v>
      </c>
      <c r="K1955" s="77" t="s">
        <v>1693</v>
      </c>
      <c r="L1955" s="79" t="s">
        <v>369</v>
      </c>
      <c r="M1955" s="79"/>
      <c r="N1955" s="79"/>
      <c r="O1955" s="74" t="s">
        <v>11814</v>
      </c>
      <c r="P1955" s="78" t="s">
        <v>11815</v>
      </c>
      <c r="Q1955" s="77" t="s">
        <v>11816</v>
      </c>
      <c r="R1955" s="80"/>
      <c r="S1955" s="78" t="s">
        <v>11817</v>
      </c>
      <c r="T1955" s="85" t="s">
        <v>11818</v>
      </c>
      <c r="U1955" s="80"/>
      <c r="V1955" s="102" t="s">
        <v>11819</v>
      </c>
      <c r="W1955" s="79"/>
      <c r="X1955" s="79"/>
      <c r="Y1955" s="79"/>
      <c r="Z1955" s="79"/>
    </row>
    <row r="1956" ht="15.75" customHeight="1">
      <c r="A1956" s="76" t="s">
        <v>247</v>
      </c>
      <c r="B1956" s="77" t="s">
        <v>9073</v>
      </c>
      <c r="C1956" s="114">
        <v>3.0684803588E10</v>
      </c>
      <c r="D1956" s="144" t="s">
        <v>264</v>
      </c>
      <c r="E1956" s="387" t="s">
        <v>1770</v>
      </c>
      <c r="F1956" s="44">
        <v>8744.0</v>
      </c>
      <c r="G1956" s="176" t="s">
        <v>119</v>
      </c>
      <c r="H1956" s="80">
        <v>1657.0</v>
      </c>
      <c r="I1956" s="79">
        <v>222010.0</v>
      </c>
      <c r="J1956" s="83" t="s">
        <v>568</v>
      </c>
      <c r="K1956" s="79" t="s">
        <v>1170</v>
      </c>
      <c r="L1956" s="79" t="s">
        <v>453</v>
      </c>
      <c r="M1956" s="79"/>
      <c r="N1956" s="79">
        <v>0.0</v>
      </c>
      <c r="O1956" s="74"/>
      <c r="P1956" s="80"/>
      <c r="Q1956" s="79"/>
      <c r="R1956" s="80"/>
      <c r="S1956" s="114" t="s">
        <v>11820</v>
      </c>
      <c r="T1956" s="101" t="s">
        <v>11821</v>
      </c>
      <c r="U1956" s="80" t="s">
        <v>11820</v>
      </c>
      <c r="V1956" s="102" t="s">
        <v>429</v>
      </c>
      <c r="W1956" s="79" t="s">
        <v>309</v>
      </c>
      <c r="X1956" s="79" t="s">
        <v>309</v>
      </c>
      <c r="Y1956" s="79" t="s">
        <v>309</v>
      </c>
      <c r="Z1956" s="79"/>
    </row>
    <row r="1957" ht="15.75" customHeight="1">
      <c r="A1957" s="103" t="s">
        <v>24</v>
      </c>
      <c r="B1957" s="79" t="s">
        <v>11822</v>
      </c>
      <c r="C1957" s="80">
        <v>2.0181539519E10</v>
      </c>
      <c r="D1957" s="77" t="s">
        <v>631</v>
      </c>
      <c r="E1957" s="79" t="s">
        <v>1629</v>
      </c>
      <c r="F1957" s="44">
        <v>811.0</v>
      </c>
      <c r="G1957" s="79" t="s">
        <v>269</v>
      </c>
      <c r="H1957" s="80">
        <v>1682.0</v>
      </c>
      <c r="I1957" s="79">
        <v>492280.0</v>
      </c>
      <c r="J1957" s="74" t="s">
        <v>433</v>
      </c>
      <c r="K1957" s="77" t="s">
        <v>4065</v>
      </c>
      <c r="L1957" s="79"/>
      <c r="M1957" s="79"/>
      <c r="N1957" s="79"/>
      <c r="O1957" s="74"/>
      <c r="P1957" s="80"/>
      <c r="Q1957" s="79"/>
      <c r="R1957" s="80"/>
      <c r="S1957" s="78" t="s">
        <v>3806</v>
      </c>
      <c r="T1957" s="101"/>
      <c r="U1957" s="80"/>
      <c r="V1957" s="102" t="s">
        <v>429</v>
      </c>
      <c r="W1957" s="79"/>
      <c r="X1957" s="79"/>
      <c r="Y1957" s="79"/>
      <c r="Z1957" s="79"/>
    </row>
    <row r="1958" ht="15.75" customHeight="1">
      <c r="A1958" s="103" t="s">
        <v>24</v>
      </c>
      <c r="B1958" s="77" t="s">
        <v>11823</v>
      </c>
      <c r="C1958" s="80">
        <v>3.0715135082E10</v>
      </c>
      <c r="D1958" s="79" t="s">
        <v>264</v>
      </c>
      <c r="E1958" s="79" t="s">
        <v>660</v>
      </c>
      <c r="F1958" s="44">
        <v>5427.0</v>
      </c>
      <c r="G1958" s="79" t="s">
        <v>15</v>
      </c>
      <c r="H1958" s="80">
        <v>1678.0</v>
      </c>
      <c r="I1958" s="77">
        <v>465400.0</v>
      </c>
      <c r="J1958" s="74" t="s">
        <v>347</v>
      </c>
      <c r="K1958" s="77" t="s">
        <v>11824</v>
      </c>
      <c r="L1958" s="79" t="s">
        <v>369</v>
      </c>
      <c r="M1958" s="79" t="s">
        <v>11825</v>
      </c>
      <c r="N1958" s="79">
        <v>0.0</v>
      </c>
      <c r="O1958" s="74"/>
      <c r="P1958" s="80"/>
      <c r="Q1958" s="79"/>
      <c r="R1958" s="80"/>
      <c r="S1958" s="78" t="s">
        <v>11826</v>
      </c>
      <c r="T1958" s="101" t="s">
        <v>332</v>
      </c>
      <c r="U1958" s="80" t="s">
        <v>332</v>
      </c>
      <c r="V1958" s="102" t="s">
        <v>11827</v>
      </c>
      <c r="W1958" s="79" t="s">
        <v>309</v>
      </c>
      <c r="X1958" s="79" t="s">
        <v>309</v>
      </c>
      <c r="Y1958" s="79"/>
      <c r="Z1958" s="79"/>
    </row>
    <row r="1959" ht="15.75" customHeight="1">
      <c r="A1959" s="76" t="s">
        <v>247</v>
      </c>
      <c r="B1959" s="77" t="s">
        <v>9076</v>
      </c>
      <c r="C1959" s="80">
        <v>2.3047533449E10</v>
      </c>
      <c r="D1959" s="144" t="s">
        <v>631</v>
      </c>
      <c r="E1959" s="79" t="s">
        <v>3845</v>
      </c>
      <c r="F1959" s="44">
        <v>1330.0</v>
      </c>
      <c r="G1959" s="79" t="s">
        <v>269</v>
      </c>
      <c r="H1959" s="80">
        <v>1682.0</v>
      </c>
      <c r="I1959" s="79">
        <v>309200.0</v>
      </c>
      <c r="J1959" s="74" t="s">
        <v>347</v>
      </c>
      <c r="K1959" s="77" t="s">
        <v>7283</v>
      </c>
      <c r="L1959" s="79" t="s">
        <v>286</v>
      </c>
      <c r="M1959" s="79" t="s">
        <v>11828</v>
      </c>
      <c r="N1959" s="79">
        <v>26.0</v>
      </c>
      <c r="O1959" s="74" t="s">
        <v>11829</v>
      </c>
      <c r="P1959" s="78" t="s">
        <v>11830</v>
      </c>
      <c r="Q1959" s="79" t="s">
        <v>11831</v>
      </c>
      <c r="R1959" s="78" t="s">
        <v>11832</v>
      </c>
      <c r="S1959" s="80" t="s">
        <v>11833</v>
      </c>
      <c r="T1959" s="101"/>
      <c r="U1959" s="80"/>
      <c r="V1959" s="102" t="s">
        <v>11834</v>
      </c>
      <c r="W1959" s="79" t="s">
        <v>309</v>
      </c>
      <c r="X1959" s="79"/>
      <c r="Y1959" s="79" t="s">
        <v>309</v>
      </c>
      <c r="Z1959" s="79"/>
    </row>
    <row r="1960" ht="15.75" customHeight="1">
      <c r="A1960" s="76" t="s">
        <v>247</v>
      </c>
      <c r="B1960" s="77" t="s">
        <v>2855</v>
      </c>
      <c r="C1960" s="80">
        <v>3.0710365667E10</v>
      </c>
      <c r="D1960" s="119" t="s">
        <v>264</v>
      </c>
      <c r="E1960" s="119" t="s">
        <v>1422</v>
      </c>
      <c r="F1960" s="44">
        <v>740.0</v>
      </c>
      <c r="G1960" s="79" t="s">
        <v>269</v>
      </c>
      <c r="H1960" s="80">
        <v>1682.0</v>
      </c>
      <c r="I1960" s="79">
        <v>429090.0</v>
      </c>
      <c r="J1960" s="74" t="s">
        <v>125</v>
      </c>
      <c r="K1960" s="77" t="s">
        <v>2860</v>
      </c>
      <c r="L1960" s="79" t="s">
        <v>453</v>
      </c>
      <c r="M1960" s="79"/>
      <c r="N1960" s="79">
        <v>20.0</v>
      </c>
      <c r="O1960" s="126" t="s">
        <v>11835</v>
      </c>
      <c r="P1960" s="78" t="s">
        <v>11836</v>
      </c>
      <c r="Q1960" s="79"/>
      <c r="R1960" s="80"/>
      <c r="S1960" s="80" t="s">
        <v>11837</v>
      </c>
      <c r="T1960" s="101" t="s">
        <v>332</v>
      </c>
      <c r="U1960" s="80" t="s">
        <v>332</v>
      </c>
      <c r="V1960" s="102" t="s">
        <v>11838</v>
      </c>
      <c r="W1960" s="79" t="s">
        <v>306</v>
      </c>
      <c r="X1960" s="79" t="s">
        <v>306</v>
      </c>
      <c r="Y1960" s="79" t="s">
        <v>309</v>
      </c>
      <c r="Z1960" s="79"/>
    </row>
    <row r="1961" ht="15.75" customHeight="1">
      <c r="A1961" s="76" t="s">
        <v>247</v>
      </c>
      <c r="B1961" s="79" t="s">
        <v>11839</v>
      </c>
      <c r="C1961" s="80">
        <v>2.7229806349E10</v>
      </c>
      <c r="D1961" s="77" t="s">
        <v>631</v>
      </c>
      <c r="E1961" s="77" t="s">
        <v>266</v>
      </c>
      <c r="F1961" s="44">
        <v>3280.0</v>
      </c>
      <c r="G1961" s="79" t="s">
        <v>15</v>
      </c>
      <c r="H1961" s="80">
        <v>1678.0</v>
      </c>
      <c r="I1961" s="77">
        <v>692000.0</v>
      </c>
      <c r="J1961" s="74" t="s">
        <v>433</v>
      </c>
      <c r="K1961" s="77" t="s">
        <v>5467</v>
      </c>
      <c r="L1961" s="79"/>
      <c r="M1961" s="79"/>
      <c r="N1961" s="79"/>
      <c r="O1961" s="74"/>
      <c r="P1961" s="80"/>
      <c r="Q1961" s="79"/>
      <c r="R1961" s="80"/>
      <c r="S1961" s="78" t="s">
        <v>11840</v>
      </c>
      <c r="T1961" s="101"/>
      <c r="U1961" s="80"/>
      <c r="V1961" s="102" t="s">
        <v>429</v>
      </c>
      <c r="W1961" s="79"/>
      <c r="X1961" s="79"/>
      <c r="Y1961" s="79"/>
      <c r="Z1961" s="79"/>
    </row>
    <row r="1962" ht="15.75" customHeight="1">
      <c r="A1962" s="76" t="s">
        <v>247</v>
      </c>
      <c r="B1962" s="77" t="s">
        <v>9084</v>
      </c>
      <c r="C1962" s="80">
        <v>3.0709448176E10</v>
      </c>
      <c r="D1962" s="119" t="s">
        <v>264</v>
      </c>
      <c r="E1962" s="79" t="s">
        <v>3987</v>
      </c>
      <c r="F1962" s="44">
        <v>10204.0</v>
      </c>
      <c r="G1962" s="79" t="s">
        <v>119</v>
      </c>
      <c r="H1962" s="80">
        <v>1657.0</v>
      </c>
      <c r="I1962" s="79">
        <v>222090.0</v>
      </c>
      <c r="J1962" s="83" t="s">
        <v>568</v>
      </c>
      <c r="K1962" s="77" t="s">
        <v>569</v>
      </c>
      <c r="L1962" s="79" t="s">
        <v>453</v>
      </c>
      <c r="M1962" s="79"/>
      <c r="N1962" s="79">
        <v>4.0</v>
      </c>
      <c r="O1962" s="74"/>
      <c r="P1962" s="80"/>
      <c r="Q1962" s="79" t="s">
        <v>11841</v>
      </c>
      <c r="R1962" s="80"/>
      <c r="S1962" s="80" t="s">
        <v>9874</v>
      </c>
      <c r="T1962" s="101" t="s">
        <v>11842</v>
      </c>
      <c r="U1962" s="80" t="s">
        <v>332</v>
      </c>
      <c r="V1962" s="102" t="s">
        <v>11843</v>
      </c>
      <c r="W1962" s="79" t="s">
        <v>306</v>
      </c>
      <c r="X1962" s="79" t="s">
        <v>306</v>
      </c>
      <c r="Y1962" s="79" t="s">
        <v>309</v>
      </c>
      <c r="Z1962" s="79"/>
    </row>
    <row r="1963" ht="15.75" customHeight="1">
      <c r="A1963" s="76" t="s">
        <v>247</v>
      </c>
      <c r="B1963" s="77" t="s">
        <v>10529</v>
      </c>
      <c r="C1963" s="79">
        <v>2.0183622871E10</v>
      </c>
      <c r="D1963" s="77" t="s">
        <v>631</v>
      </c>
      <c r="E1963" s="79" t="s">
        <v>1114</v>
      </c>
      <c r="F1963" s="44">
        <v>4547.0</v>
      </c>
      <c r="G1963" s="79" t="s">
        <v>68</v>
      </c>
      <c r="H1963" s="80">
        <v>1702.0</v>
      </c>
      <c r="I1963" s="79">
        <v>273190.0</v>
      </c>
      <c r="J1963" s="74" t="s">
        <v>337</v>
      </c>
      <c r="K1963" s="77" t="s">
        <v>3591</v>
      </c>
      <c r="L1963" s="79" t="s">
        <v>453</v>
      </c>
      <c r="M1963" s="79"/>
      <c r="N1963" s="79"/>
      <c r="O1963" s="74"/>
      <c r="P1963" s="80"/>
      <c r="Q1963" s="79"/>
      <c r="R1963" s="80"/>
      <c r="S1963" s="78" t="s">
        <v>11844</v>
      </c>
      <c r="T1963" s="85" t="s">
        <v>11845</v>
      </c>
      <c r="U1963" s="80" t="s">
        <v>11846</v>
      </c>
      <c r="V1963" s="102" t="s">
        <v>11847</v>
      </c>
      <c r="W1963" s="79"/>
      <c r="X1963" s="79"/>
      <c r="Y1963" s="79"/>
      <c r="Z1963" s="79"/>
    </row>
    <row r="1964" ht="15.75" customHeight="1">
      <c r="A1964" s="76" t="s">
        <v>247</v>
      </c>
      <c r="B1964" s="77" t="s">
        <v>9088</v>
      </c>
      <c r="C1964" s="238">
        <v>3.3708444419E10</v>
      </c>
      <c r="D1964" s="77" t="s">
        <v>264</v>
      </c>
      <c r="E1964" s="77" t="s">
        <v>1944</v>
      </c>
      <c r="F1964" s="128">
        <v>1816.0</v>
      </c>
      <c r="G1964" s="77" t="s">
        <v>68</v>
      </c>
      <c r="H1964" s="78">
        <v>1702.0</v>
      </c>
      <c r="I1964" s="78">
        <v>463199.0</v>
      </c>
      <c r="J1964" s="83" t="s">
        <v>22</v>
      </c>
      <c r="K1964" s="77" t="s">
        <v>11848</v>
      </c>
      <c r="L1964" s="79"/>
      <c r="M1964" s="79"/>
      <c r="N1964" s="79"/>
      <c r="O1964" s="77" t="s">
        <v>11349</v>
      </c>
      <c r="P1964" s="78" t="s">
        <v>11350</v>
      </c>
      <c r="Q1964" s="77" t="s">
        <v>11351</v>
      </c>
      <c r="R1964" s="78">
        <v>1.162771682E9</v>
      </c>
      <c r="S1964" s="78" t="s">
        <v>11353</v>
      </c>
      <c r="T1964" s="101"/>
      <c r="U1964" s="80"/>
      <c r="V1964" s="388"/>
      <c r="W1964" s="79"/>
      <c r="X1964" s="79"/>
      <c r="Y1964" s="79"/>
      <c r="Z1964" s="79"/>
    </row>
    <row r="1965" ht="15.75" customHeight="1">
      <c r="A1965" s="44"/>
      <c r="B1965" s="77" t="s">
        <v>2866</v>
      </c>
      <c r="C1965" s="85">
        <v>3.071008148E10</v>
      </c>
      <c r="D1965" s="77" t="s">
        <v>264</v>
      </c>
      <c r="E1965" s="77" t="s">
        <v>1882</v>
      </c>
      <c r="F1965" s="128" t="s">
        <v>11849</v>
      </c>
      <c r="G1965" s="77" t="s">
        <v>15</v>
      </c>
      <c r="H1965" s="78">
        <v>1678.0</v>
      </c>
      <c r="I1965" s="80"/>
      <c r="J1965" s="74"/>
      <c r="K1965" s="79"/>
      <c r="L1965" s="79"/>
      <c r="M1965" s="79"/>
      <c r="N1965" s="79"/>
      <c r="O1965" s="77" t="s">
        <v>11850</v>
      </c>
      <c r="P1965" s="78">
        <v>1.161419882E9</v>
      </c>
      <c r="Q1965" s="79"/>
      <c r="R1965" s="80"/>
      <c r="S1965" s="80"/>
      <c r="T1965" s="101"/>
      <c r="U1965" s="80"/>
      <c r="V1965" s="388"/>
      <c r="W1965" s="79"/>
      <c r="X1965" s="79"/>
      <c r="Y1965" s="79"/>
      <c r="Z1965" s="79"/>
    </row>
    <row r="1966" ht="15.75" customHeight="1">
      <c r="A1966" s="44"/>
      <c r="B1966" s="77" t="s">
        <v>2873</v>
      </c>
      <c r="C1966" s="101"/>
      <c r="D1966" s="77" t="s">
        <v>264</v>
      </c>
      <c r="E1966" s="77" t="s">
        <v>1336</v>
      </c>
      <c r="F1966" s="128">
        <v>1576.0</v>
      </c>
      <c r="G1966" s="77" t="s">
        <v>68</v>
      </c>
      <c r="H1966" s="78">
        <v>1702.0</v>
      </c>
      <c r="I1966" s="80"/>
      <c r="J1966" s="83" t="s">
        <v>125</v>
      </c>
      <c r="K1966" s="77" t="s">
        <v>11851</v>
      </c>
      <c r="L1966" s="79"/>
      <c r="M1966" s="77" t="s">
        <v>11852</v>
      </c>
      <c r="N1966" s="79"/>
      <c r="O1966" s="77" t="s">
        <v>11853</v>
      </c>
      <c r="P1966" s="78">
        <v>1.144786546E9</v>
      </c>
      <c r="Q1966" s="79"/>
      <c r="R1966" s="80"/>
      <c r="S1966" s="80"/>
      <c r="T1966" s="101"/>
      <c r="U1966" s="80"/>
      <c r="V1966" s="388"/>
      <c r="W1966" s="79"/>
      <c r="X1966" s="79"/>
      <c r="Y1966" s="79"/>
      <c r="Z1966" s="79"/>
    </row>
    <row r="1967" ht="15.75" customHeight="1">
      <c r="A1967" s="44"/>
      <c r="B1967" s="77" t="s">
        <v>11854</v>
      </c>
      <c r="C1967" s="238">
        <v>3.0715999141E10</v>
      </c>
      <c r="D1967" s="77" t="s">
        <v>11855</v>
      </c>
      <c r="E1967" s="389" t="s">
        <v>11117</v>
      </c>
      <c r="F1967" s="390">
        <v>2539.0</v>
      </c>
      <c r="G1967" s="77" t="s">
        <v>15</v>
      </c>
      <c r="H1967" s="78">
        <v>1678.0</v>
      </c>
      <c r="I1967" s="78">
        <v>475250.0</v>
      </c>
      <c r="J1967" s="83" t="s">
        <v>125</v>
      </c>
      <c r="K1967" s="77" t="s">
        <v>11856</v>
      </c>
      <c r="L1967" s="79"/>
      <c r="M1967" s="79"/>
      <c r="N1967" s="79"/>
      <c r="O1967" s="77" t="s">
        <v>11857</v>
      </c>
      <c r="P1967" s="78">
        <v>1.153830551E9</v>
      </c>
      <c r="Q1967" s="79"/>
      <c r="R1967" s="80"/>
      <c r="S1967" s="80"/>
      <c r="T1967" s="101"/>
      <c r="U1967" s="80"/>
      <c r="V1967" s="388"/>
      <c r="W1967" s="79"/>
      <c r="X1967" s="79"/>
      <c r="Y1967" s="79"/>
      <c r="Z1967" s="79"/>
    </row>
    <row r="1968" ht="15.75" customHeight="1">
      <c r="A1968" s="44"/>
      <c r="B1968" s="77" t="s">
        <v>11858</v>
      </c>
      <c r="C1968" s="85">
        <v>3.0552142912E10</v>
      </c>
      <c r="D1968" s="77" t="s">
        <v>264</v>
      </c>
      <c r="E1968" s="77" t="s">
        <v>9661</v>
      </c>
      <c r="F1968" s="128">
        <v>2068.0</v>
      </c>
      <c r="G1968" s="77" t="s">
        <v>68</v>
      </c>
      <c r="H1968" s="78">
        <v>1702.0</v>
      </c>
      <c r="I1968" s="78">
        <v>242909.0</v>
      </c>
      <c r="J1968" s="83" t="s">
        <v>316</v>
      </c>
      <c r="K1968" s="77" t="s">
        <v>11859</v>
      </c>
      <c r="L1968" s="79"/>
      <c r="M1968" s="79"/>
      <c r="N1968" s="79"/>
      <c r="O1968" s="77" t="s">
        <v>11860</v>
      </c>
      <c r="P1968" s="78">
        <v>1.157490405E9</v>
      </c>
      <c r="Q1968" s="79"/>
      <c r="R1968" s="80"/>
      <c r="S1968" s="80"/>
      <c r="T1968" s="101"/>
      <c r="U1968" s="80"/>
      <c r="V1968" s="388"/>
      <c r="W1968" s="79"/>
      <c r="X1968" s="79"/>
      <c r="Y1968" s="79"/>
      <c r="Z1968" s="79"/>
    </row>
    <row r="1969" ht="15.75" customHeight="1">
      <c r="A1969" s="44"/>
      <c r="B1969" s="77" t="s">
        <v>9091</v>
      </c>
      <c r="C1969" s="85">
        <v>3.3718151479E10</v>
      </c>
      <c r="D1969" s="77" t="s">
        <v>264</v>
      </c>
      <c r="E1969" s="77" t="s">
        <v>11861</v>
      </c>
      <c r="F1969" s="128">
        <v>5530.0</v>
      </c>
      <c r="G1969" s="77" t="s">
        <v>15</v>
      </c>
      <c r="H1969" s="78">
        <v>1678.0</v>
      </c>
      <c r="I1969" s="83">
        <v>251101.0</v>
      </c>
      <c r="J1969" s="83" t="s">
        <v>125</v>
      </c>
      <c r="K1969" s="77" t="s">
        <v>11862</v>
      </c>
      <c r="L1969" s="79"/>
      <c r="M1969" s="77" t="s">
        <v>11863</v>
      </c>
      <c r="N1969" s="79"/>
      <c r="O1969" s="77" t="s">
        <v>11864</v>
      </c>
      <c r="P1969" s="78">
        <v>1.14053021E9</v>
      </c>
      <c r="Q1969" s="79"/>
      <c r="R1969" s="391"/>
      <c r="S1969" s="80"/>
      <c r="T1969" s="101"/>
      <c r="U1969" s="80"/>
      <c r="V1969" s="388"/>
      <c r="W1969" s="79"/>
      <c r="X1969" s="79"/>
      <c r="Y1969" s="79"/>
      <c r="Z1969" s="79"/>
    </row>
    <row r="1970" ht="15.75" customHeight="1">
      <c r="A1970" s="44"/>
      <c r="B1970" s="77" t="s">
        <v>9097</v>
      </c>
      <c r="C1970" s="85">
        <v>3.0632256864E10</v>
      </c>
      <c r="D1970" s="77" t="s">
        <v>264</v>
      </c>
      <c r="E1970" s="77" t="s">
        <v>11865</v>
      </c>
      <c r="F1970" s="128">
        <v>2833.0</v>
      </c>
      <c r="G1970" s="77" t="s">
        <v>15</v>
      </c>
      <c r="H1970" s="78" t="s">
        <v>11866</v>
      </c>
      <c r="I1970" s="83">
        <v>282400.0</v>
      </c>
      <c r="J1970" s="83" t="s">
        <v>347</v>
      </c>
      <c r="K1970" s="77" t="s">
        <v>11867</v>
      </c>
      <c r="L1970" s="77" t="s">
        <v>453</v>
      </c>
      <c r="M1970" s="77" t="s">
        <v>11868</v>
      </c>
      <c r="N1970" s="79"/>
      <c r="O1970" s="77" t="s">
        <v>11869</v>
      </c>
      <c r="P1970" s="80"/>
      <c r="Q1970" s="77" t="s">
        <v>11870</v>
      </c>
      <c r="R1970" s="392">
        <v>1.157276389E9</v>
      </c>
      <c r="S1970" s="78" t="s">
        <v>11871</v>
      </c>
      <c r="T1970" s="101"/>
      <c r="U1970" s="80"/>
      <c r="V1970" s="388"/>
      <c r="W1970" s="79"/>
      <c r="X1970" s="79"/>
      <c r="Y1970" s="79"/>
      <c r="Z1970" s="79"/>
    </row>
    <row r="1971" ht="15.75" customHeight="1">
      <c r="A1971" s="44"/>
      <c r="B1971" s="77" t="s">
        <v>9099</v>
      </c>
      <c r="C1971" s="85">
        <v>3.0626705932E10</v>
      </c>
      <c r="D1971" s="77" t="s">
        <v>264</v>
      </c>
      <c r="E1971" s="77" t="s">
        <v>11872</v>
      </c>
      <c r="F1971" s="128">
        <v>5129.0</v>
      </c>
      <c r="G1971" s="77" t="s">
        <v>15</v>
      </c>
      <c r="H1971" s="78">
        <v>1678.0</v>
      </c>
      <c r="I1971" s="83">
        <v>259200.0</v>
      </c>
      <c r="J1971" s="83" t="s">
        <v>347</v>
      </c>
      <c r="K1971" s="77" t="s">
        <v>1324</v>
      </c>
      <c r="L1971" s="77" t="s">
        <v>453</v>
      </c>
      <c r="M1971" s="79"/>
      <c r="N1971" s="77">
        <v>16.0</v>
      </c>
      <c r="O1971" s="77" t="s">
        <v>11873</v>
      </c>
      <c r="P1971" s="78" t="s">
        <v>11874</v>
      </c>
      <c r="Q1971" s="79"/>
      <c r="R1971" s="80"/>
      <c r="S1971" s="78" t="s">
        <v>1843</v>
      </c>
      <c r="T1971" s="101"/>
      <c r="U1971" s="80"/>
      <c r="V1971" s="388"/>
      <c r="W1971" s="79"/>
      <c r="X1971" s="79"/>
      <c r="Y1971" s="79"/>
      <c r="Z1971" s="79"/>
    </row>
    <row r="1972" ht="15.75" customHeight="1">
      <c r="A1972" s="44"/>
      <c r="B1972" s="77" t="s">
        <v>9106</v>
      </c>
      <c r="C1972" s="85">
        <v>2.0119118523E10</v>
      </c>
      <c r="D1972" s="77" t="s">
        <v>631</v>
      </c>
      <c r="E1972" s="77" t="s">
        <v>11875</v>
      </c>
      <c r="F1972" s="128">
        <v>5618.0</v>
      </c>
      <c r="G1972" s="77" t="s">
        <v>15</v>
      </c>
      <c r="H1972" s="78">
        <v>1678.0</v>
      </c>
      <c r="I1972" s="83">
        <v>259993.0</v>
      </c>
      <c r="J1972" s="83" t="s">
        <v>347</v>
      </c>
      <c r="K1972" s="77" t="s">
        <v>11876</v>
      </c>
      <c r="L1972" s="79"/>
      <c r="M1972" s="79"/>
      <c r="N1972" s="79"/>
      <c r="O1972" s="77" t="s">
        <v>11877</v>
      </c>
      <c r="P1972" s="78">
        <v>1.159192882E9</v>
      </c>
      <c r="Q1972" s="79"/>
      <c r="R1972" s="80"/>
      <c r="S1972" s="78" t="s">
        <v>11878</v>
      </c>
      <c r="T1972" s="101"/>
      <c r="U1972" s="80"/>
      <c r="V1972" s="388"/>
      <c r="W1972" s="79"/>
      <c r="X1972" s="79"/>
      <c r="Y1972" s="79"/>
      <c r="Z1972" s="79"/>
    </row>
    <row r="1973" ht="15.75" customHeight="1">
      <c r="A1973" s="44"/>
      <c r="B1973" s="77" t="s">
        <v>11879</v>
      </c>
      <c r="C1973" s="85">
        <v>3.0503874497E10</v>
      </c>
      <c r="D1973" s="77" t="s">
        <v>264</v>
      </c>
      <c r="E1973" s="77" t="s">
        <v>11880</v>
      </c>
      <c r="F1973" s="128">
        <v>5354.0</v>
      </c>
      <c r="G1973" s="77" t="s">
        <v>15</v>
      </c>
      <c r="H1973" s="78">
        <v>1678.0</v>
      </c>
      <c r="I1973" s="83">
        <v>239421.0</v>
      </c>
      <c r="J1973" s="83" t="s">
        <v>125</v>
      </c>
      <c r="K1973" s="77" t="s">
        <v>11881</v>
      </c>
      <c r="L1973" s="79"/>
      <c r="M1973" s="77"/>
      <c r="N1973" s="79"/>
      <c r="O1973" s="77" t="s">
        <v>11882</v>
      </c>
      <c r="P1973" s="78">
        <v>1.137659037E9</v>
      </c>
      <c r="Q1973" s="79"/>
      <c r="R1973" s="80"/>
      <c r="S1973" s="80"/>
      <c r="T1973" s="101"/>
      <c r="U1973" s="80"/>
      <c r="V1973" s="388"/>
      <c r="W1973" s="79"/>
      <c r="X1973" s="79"/>
      <c r="Y1973" s="79"/>
      <c r="Z1973" s="79"/>
    </row>
    <row r="1974" ht="15.75" customHeight="1">
      <c r="A1974" s="44"/>
      <c r="B1974" s="77" t="s">
        <v>2881</v>
      </c>
      <c r="C1974" s="85">
        <v>3.0580446457E10</v>
      </c>
      <c r="D1974" s="77" t="s">
        <v>264</v>
      </c>
      <c r="E1974" s="77" t="s">
        <v>1711</v>
      </c>
      <c r="F1974" s="128">
        <v>5401.0</v>
      </c>
      <c r="G1974" s="77" t="s">
        <v>15</v>
      </c>
      <c r="H1974" s="78">
        <v>1678.0</v>
      </c>
      <c r="I1974" s="83">
        <v>293090.0</v>
      </c>
      <c r="J1974" s="83" t="s">
        <v>4430</v>
      </c>
      <c r="K1974" s="77" t="s">
        <v>11883</v>
      </c>
      <c r="L1974" s="79"/>
      <c r="M1974" s="79"/>
      <c r="N1974" s="79"/>
      <c r="O1974" s="77" t="s">
        <v>11884</v>
      </c>
      <c r="P1974" s="78">
        <v>1.123038804E9</v>
      </c>
      <c r="Q1974" s="77"/>
      <c r="R1974" s="80"/>
      <c r="S1974" s="80"/>
      <c r="T1974" s="101"/>
      <c r="U1974" s="80"/>
      <c r="V1974" s="388"/>
      <c r="W1974" s="79"/>
      <c r="X1974" s="79"/>
      <c r="Y1974" s="79"/>
      <c r="Z1974" s="79"/>
    </row>
    <row r="1975" ht="15.75" customHeight="1">
      <c r="A1975" s="44"/>
      <c r="B1975" s="77" t="s">
        <v>11885</v>
      </c>
      <c r="C1975" s="85">
        <v>3.0707000666E10</v>
      </c>
      <c r="D1975" s="77" t="s">
        <v>264</v>
      </c>
      <c r="E1975" s="77" t="s">
        <v>3339</v>
      </c>
      <c r="F1975" s="128">
        <v>5235.0</v>
      </c>
      <c r="G1975" s="77" t="s">
        <v>15</v>
      </c>
      <c r="H1975" s="78">
        <v>1678.0</v>
      </c>
      <c r="I1975" s="83">
        <v>293090.0</v>
      </c>
      <c r="J1975" s="83" t="s">
        <v>4430</v>
      </c>
      <c r="K1975" s="77" t="s">
        <v>407</v>
      </c>
      <c r="L1975" s="79"/>
      <c r="M1975" s="79"/>
      <c r="N1975" s="79"/>
      <c r="O1975" s="77" t="s">
        <v>11884</v>
      </c>
      <c r="P1975" s="78">
        <v>1.123038804E9</v>
      </c>
      <c r="Q1975" s="79"/>
      <c r="R1975" s="80"/>
      <c r="S1975" s="80"/>
      <c r="T1975" s="101"/>
      <c r="U1975" s="80"/>
      <c r="V1975" s="388"/>
      <c r="W1975" s="79"/>
      <c r="X1975" s="79"/>
      <c r="Y1975" s="79"/>
      <c r="Z1975" s="79"/>
    </row>
    <row r="1976" ht="15.75" customHeight="1">
      <c r="A1976" s="44"/>
      <c r="B1976" s="77" t="s">
        <v>2888</v>
      </c>
      <c r="C1976" s="85">
        <v>2.0148957305E10</v>
      </c>
      <c r="D1976" s="77" t="s">
        <v>631</v>
      </c>
      <c r="E1976" s="77" t="s">
        <v>1596</v>
      </c>
      <c r="F1976" s="128">
        <v>4057.0</v>
      </c>
      <c r="G1976" s="77" t="s">
        <v>249</v>
      </c>
      <c r="H1976" s="78">
        <v>1676.0</v>
      </c>
      <c r="I1976" s="83">
        <v>279000.0</v>
      </c>
      <c r="J1976" s="83" t="s">
        <v>347</v>
      </c>
      <c r="K1976" s="77" t="s">
        <v>11886</v>
      </c>
      <c r="L1976" s="79"/>
      <c r="M1976" s="79"/>
      <c r="N1976" s="79"/>
      <c r="O1976" s="77" t="s">
        <v>11887</v>
      </c>
      <c r="P1976" s="78">
        <v>1.144052607E9</v>
      </c>
      <c r="Q1976" s="77"/>
      <c r="R1976" s="80"/>
      <c r="S1976" s="80"/>
      <c r="T1976" s="101"/>
      <c r="U1976" s="80"/>
      <c r="V1976" s="388"/>
      <c r="W1976" s="79"/>
      <c r="X1976" s="79"/>
      <c r="Y1976" s="79"/>
      <c r="Z1976" s="79"/>
    </row>
    <row r="1977" ht="15.75" customHeight="1">
      <c r="A1977" s="44"/>
      <c r="B1977" s="77" t="s">
        <v>2897</v>
      </c>
      <c r="C1977" s="85">
        <v>2.7367296114E10</v>
      </c>
      <c r="D1977" s="77" t="s">
        <v>631</v>
      </c>
      <c r="E1977" s="77" t="s">
        <v>1323</v>
      </c>
      <c r="F1977" s="128">
        <v>3206.0</v>
      </c>
      <c r="G1977" s="77" t="s">
        <v>15</v>
      </c>
      <c r="H1977" s="78">
        <v>1678.0</v>
      </c>
      <c r="I1977" s="83">
        <v>259991.0</v>
      </c>
      <c r="J1977" s="83" t="s">
        <v>347</v>
      </c>
      <c r="K1977" s="77" t="s">
        <v>11888</v>
      </c>
      <c r="L1977" s="79"/>
      <c r="M1977" s="79"/>
      <c r="N1977" s="79"/>
      <c r="O1977" s="77" t="s">
        <v>11889</v>
      </c>
      <c r="P1977" s="78" t="s">
        <v>11890</v>
      </c>
      <c r="Q1977" s="79"/>
      <c r="R1977" s="80"/>
      <c r="S1977" s="80"/>
      <c r="T1977" s="101"/>
      <c r="U1977" s="80"/>
      <c r="V1977" s="388"/>
      <c r="W1977" s="79"/>
      <c r="X1977" s="79"/>
      <c r="Y1977" s="79"/>
      <c r="Z1977" s="79"/>
    </row>
    <row r="1978" ht="15.75" customHeight="1">
      <c r="A1978" s="44"/>
      <c r="B1978" s="77" t="s">
        <v>2903</v>
      </c>
      <c r="C1978" s="85">
        <v>2.0148954292E10</v>
      </c>
      <c r="D1978" s="77" t="s">
        <v>631</v>
      </c>
      <c r="E1978" s="77" t="s">
        <v>1540</v>
      </c>
      <c r="F1978" s="128">
        <v>4278.0</v>
      </c>
      <c r="G1978" s="77" t="s">
        <v>249</v>
      </c>
      <c r="H1978" s="78">
        <v>1676.0</v>
      </c>
      <c r="I1978" s="83">
        <v>139900.0</v>
      </c>
      <c r="J1978" s="83" t="s">
        <v>448</v>
      </c>
      <c r="K1978" s="77" t="s">
        <v>11891</v>
      </c>
      <c r="L1978" s="79"/>
      <c r="M1978" s="79"/>
      <c r="N1978" s="79"/>
      <c r="O1978" s="77" t="s">
        <v>11892</v>
      </c>
      <c r="P1978" s="78" t="s">
        <v>11893</v>
      </c>
      <c r="Q1978" s="79"/>
      <c r="R1978" s="80"/>
      <c r="S1978" s="80"/>
      <c r="T1978" s="101"/>
      <c r="U1978" s="80"/>
      <c r="V1978" s="388"/>
      <c r="W1978" s="79"/>
      <c r="X1978" s="79"/>
      <c r="Y1978" s="79"/>
      <c r="Z1978" s="79"/>
    </row>
    <row r="1979" ht="15.75" customHeight="1">
      <c r="A1979" s="44"/>
      <c r="B1979" s="77" t="s">
        <v>2910</v>
      </c>
      <c r="C1979" s="85">
        <v>3.3718151479E10</v>
      </c>
      <c r="D1979" s="77" t="s">
        <v>264</v>
      </c>
      <c r="E1979" s="77" t="s">
        <v>1607</v>
      </c>
      <c r="F1979" s="128">
        <v>5530.0</v>
      </c>
      <c r="G1979" s="77" t="s">
        <v>15</v>
      </c>
      <c r="H1979" s="78">
        <v>1678.0</v>
      </c>
      <c r="I1979" s="74"/>
      <c r="J1979" s="74"/>
      <c r="K1979" s="79"/>
      <c r="L1979" s="79"/>
      <c r="M1979" s="77" t="s">
        <v>11894</v>
      </c>
      <c r="N1979" s="79"/>
      <c r="O1979" s="77" t="s">
        <v>11895</v>
      </c>
      <c r="P1979" s="78">
        <v>1.14053021E9</v>
      </c>
      <c r="Q1979" s="79"/>
      <c r="R1979" s="80"/>
      <c r="S1979" s="80"/>
      <c r="T1979" s="101"/>
      <c r="U1979" s="80"/>
      <c r="V1979" s="388"/>
      <c r="W1979" s="79"/>
      <c r="X1979" s="79"/>
      <c r="Y1979" s="79"/>
      <c r="Z1979" s="79"/>
    </row>
    <row r="1980" ht="15.75" customHeight="1">
      <c r="A1980" s="44"/>
      <c r="B1980" s="77" t="s">
        <v>2917</v>
      </c>
      <c r="C1980" s="85">
        <v>2.0280119556E10</v>
      </c>
      <c r="D1980" s="77" t="s">
        <v>631</v>
      </c>
      <c r="E1980" s="77" t="s">
        <v>1079</v>
      </c>
      <c r="F1980" s="128">
        <v>5136.0</v>
      </c>
      <c r="G1980" s="77" t="s">
        <v>15</v>
      </c>
      <c r="H1980" s="78">
        <v>1678.0</v>
      </c>
      <c r="I1980" s="74"/>
      <c r="J1980" s="74"/>
      <c r="K1980" s="77" t="s">
        <v>11896</v>
      </c>
      <c r="L1980" s="79"/>
      <c r="M1980" s="79"/>
      <c r="N1980" s="79"/>
      <c r="O1980" s="77" t="s">
        <v>11897</v>
      </c>
      <c r="P1980" s="78" t="s">
        <v>11898</v>
      </c>
      <c r="Q1980" s="79"/>
      <c r="R1980" s="80"/>
      <c r="S1980" s="80"/>
      <c r="T1980" s="101"/>
      <c r="U1980" s="80"/>
      <c r="V1980" s="388"/>
      <c r="W1980" s="79"/>
      <c r="X1980" s="79"/>
      <c r="Y1980" s="79"/>
      <c r="Z1980" s="79"/>
    </row>
    <row r="1981" ht="15.75" customHeight="1">
      <c r="A1981" s="44"/>
      <c r="B1981" s="77" t="s">
        <v>2923</v>
      </c>
      <c r="C1981" s="85">
        <v>3.0709410144E10</v>
      </c>
      <c r="D1981" s="77" t="s">
        <v>11899</v>
      </c>
      <c r="E1981" s="77" t="s">
        <v>1711</v>
      </c>
      <c r="F1981" s="128">
        <v>5144.0</v>
      </c>
      <c r="G1981" s="77" t="s">
        <v>15</v>
      </c>
      <c r="H1981" s="78">
        <v>1678.0</v>
      </c>
      <c r="I1981" s="83">
        <v>466399.0</v>
      </c>
      <c r="J1981" s="83" t="s">
        <v>433</v>
      </c>
      <c r="K1981" s="77" t="s">
        <v>11900</v>
      </c>
      <c r="L1981" s="79"/>
      <c r="M1981" s="79"/>
      <c r="N1981" s="79"/>
      <c r="O1981" s="77" t="s">
        <v>11901</v>
      </c>
      <c r="P1981" s="78">
        <v>1.136366688E9</v>
      </c>
      <c r="Q1981" s="79"/>
      <c r="R1981" s="80"/>
      <c r="S1981" s="80"/>
      <c r="T1981" s="101"/>
      <c r="U1981" s="80"/>
      <c r="V1981" s="388"/>
      <c r="W1981" s="79"/>
      <c r="X1981" s="79"/>
      <c r="Y1981" s="79"/>
      <c r="Z1981" s="79"/>
    </row>
    <row r="1982" ht="15.75" customHeight="1">
      <c r="A1982" s="44"/>
      <c r="B1982" s="77" t="s">
        <v>2928</v>
      </c>
      <c r="C1982" s="85">
        <v>3.0638224506E10</v>
      </c>
      <c r="D1982" s="77" t="s">
        <v>264</v>
      </c>
      <c r="E1982" s="77" t="s">
        <v>1045</v>
      </c>
      <c r="F1982" s="128">
        <v>5748.0</v>
      </c>
      <c r="G1982" s="77" t="s">
        <v>15</v>
      </c>
      <c r="H1982" s="78">
        <v>1678.0</v>
      </c>
      <c r="I1982" s="83">
        <v>139209.0</v>
      </c>
      <c r="J1982" s="83" t="s">
        <v>448</v>
      </c>
      <c r="K1982" s="77" t="s">
        <v>11902</v>
      </c>
      <c r="L1982" s="79"/>
      <c r="M1982" s="79"/>
      <c r="N1982" s="79"/>
      <c r="O1982" s="77" t="s">
        <v>11903</v>
      </c>
      <c r="P1982" s="78">
        <v>1.144370553E9</v>
      </c>
      <c r="Q1982" s="79"/>
      <c r="R1982" s="80"/>
      <c r="S1982" s="80"/>
      <c r="T1982" s="101"/>
      <c r="U1982" s="80"/>
      <c r="V1982" s="388"/>
      <c r="W1982" s="79"/>
      <c r="X1982" s="79"/>
      <c r="Y1982" s="79"/>
      <c r="Z1982" s="79"/>
    </row>
    <row r="1983" ht="15.75" customHeight="1">
      <c r="A1983" s="44"/>
      <c r="B1983" s="77" t="s">
        <v>2932</v>
      </c>
      <c r="C1983" s="85">
        <v>2.013139411E10</v>
      </c>
      <c r="D1983" s="77" t="s">
        <v>631</v>
      </c>
      <c r="E1983" s="77" t="s">
        <v>1422</v>
      </c>
      <c r="F1983" s="128">
        <v>2366.0</v>
      </c>
      <c r="G1983" s="77" t="s">
        <v>134</v>
      </c>
      <c r="H1983" s="78">
        <v>1682.0</v>
      </c>
      <c r="I1983" s="83">
        <v>239510.0</v>
      </c>
      <c r="J1983" s="83" t="s">
        <v>261</v>
      </c>
      <c r="K1983" s="77" t="s">
        <v>11904</v>
      </c>
      <c r="L1983" s="79"/>
      <c r="M1983" s="79"/>
      <c r="N1983" s="79"/>
      <c r="O1983" s="77" t="s">
        <v>11905</v>
      </c>
      <c r="P1983" s="78" t="s">
        <v>11906</v>
      </c>
      <c r="Q1983" s="79"/>
      <c r="R1983" s="80"/>
      <c r="S1983" s="80"/>
      <c r="T1983" s="101"/>
      <c r="U1983" s="80"/>
      <c r="V1983" s="388"/>
      <c r="W1983" s="79"/>
      <c r="X1983" s="79"/>
      <c r="Y1983" s="79"/>
      <c r="Z1983" s="79"/>
    </row>
    <row r="1984" ht="15.75" customHeight="1">
      <c r="A1984" s="44"/>
      <c r="B1984" s="77" t="s">
        <v>2940</v>
      </c>
      <c r="C1984" s="85">
        <v>3.0717547388E10</v>
      </c>
      <c r="D1984" s="77" t="s">
        <v>264</v>
      </c>
      <c r="E1984" s="77" t="s">
        <v>11907</v>
      </c>
      <c r="F1984" s="128">
        <v>8044.0</v>
      </c>
      <c r="G1984" s="77" t="s">
        <v>134</v>
      </c>
      <c r="H1984" s="78">
        <v>1682.0</v>
      </c>
      <c r="I1984" s="83">
        <v>310020.0</v>
      </c>
      <c r="J1984" s="83" t="s">
        <v>313</v>
      </c>
      <c r="K1984" s="77" t="s">
        <v>11908</v>
      </c>
      <c r="L1984" s="79"/>
      <c r="M1984" s="79"/>
      <c r="N1984" s="79"/>
      <c r="O1984" s="77" t="s">
        <v>11909</v>
      </c>
      <c r="P1984" s="78">
        <v>1.161466085E9</v>
      </c>
      <c r="Q1984" s="79"/>
      <c r="R1984" s="80"/>
      <c r="S1984" s="80"/>
      <c r="T1984" s="101"/>
      <c r="U1984" s="80"/>
      <c r="V1984" s="388"/>
      <c r="W1984" s="79"/>
      <c r="X1984" s="79"/>
      <c r="Y1984" s="79"/>
      <c r="Z1984" s="79"/>
    </row>
    <row r="1985" ht="15.75" customHeight="1">
      <c r="A1985" s="44"/>
      <c r="B1985" s="77" t="s">
        <v>2947</v>
      </c>
      <c r="C1985" s="85">
        <v>3.0715912305E10</v>
      </c>
      <c r="D1985" s="77" t="s">
        <v>264</v>
      </c>
      <c r="E1985" s="77" t="s">
        <v>1088</v>
      </c>
      <c r="F1985" s="128">
        <v>5183.0</v>
      </c>
      <c r="G1985" s="77" t="s">
        <v>15</v>
      </c>
      <c r="H1985" s="78">
        <v>1678.0</v>
      </c>
      <c r="I1985" s="83">
        <v>259200.0</v>
      </c>
      <c r="J1985" s="83" t="s">
        <v>433</v>
      </c>
      <c r="K1985" s="77" t="s">
        <v>11910</v>
      </c>
      <c r="L1985" s="79"/>
      <c r="M1985" s="79"/>
      <c r="N1985" s="79"/>
      <c r="O1985" s="77" t="s">
        <v>11911</v>
      </c>
      <c r="P1985" s="78">
        <v>1.168520818E9</v>
      </c>
      <c r="Q1985" s="79"/>
      <c r="R1985" s="80"/>
      <c r="S1985" s="80"/>
      <c r="T1985" s="101"/>
      <c r="U1985" s="80"/>
      <c r="V1985" s="388"/>
      <c r="W1985" s="79"/>
      <c r="X1985" s="79"/>
      <c r="Y1985" s="79"/>
      <c r="Z1985" s="79"/>
    </row>
    <row r="1986" ht="15.75" customHeight="1">
      <c r="A1986" s="44"/>
      <c r="B1986" s="77" t="s">
        <v>2956</v>
      </c>
      <c r="C1986" s="85">
        <v>3.0715750763E10</v>
      </c>
      <c r="D1986" s="77" t="s">
        <v>264</v>
      </c>
      <c r="E1986" s="77" t="s">
        <v>11912</v>
      </c>
      <c r="F1986" s="128">
        <v>1721.0</v>
      </c>
      <c r="G1986" s="77" t="s">
        <v>15</v>
      </c>
      <c r="H1986" s="78">
        <v>1678.0</v>
      </c>
      <c r="I1986" s="83">
        <v>22010.0</v>
      </c>
      <c r="J1986" s="83" t="s">
        <v>568</v>
      </c>
      <c r="K1986" s="77" t="s">
        <v>11913</v>
      </c>
      <c r="L1986" s="79"/>
      <c r="M1986" s="79"/>
      <c r="N1986" s="79"/>
      <c r="O1986" s="77" t="s">
        <v>11914</v>
      </c>
      <c r="P1986" s="78">
        <v>1.151407502E9</v>
      </c>
      <c r="Q1986" s="79"/>
      <c r="R1986" s="80"/>
      <c r="S1986" s="80"/>
      <c r="T1986" s="101"/>
      <c r="U1986" s="80"/>
      <c r="V1986" s="388"/>
      <c r="W1986" s="79"/>
      <c r="X1986" s="79"/>
      <c r="Y1986" s="79"/>
      <c r="Z1986" s="79"/>
    </row>
    <row r="1987" ht="15.75" customHeight="1">
      <c r="A1987" s="44"/>
      <c r="B1987" s="77" t="s">
        <v>2962</v>
      </c>
      <c r="C1987" s="85">
        <v>3.0709719633E10</v>
      </c>
      <c r="D1987" s="77" t="s">
        <v>264</v>
      </c>
      <c r="E1987" s="77" t="s">
        <v>11915</v>
      </c>
      <c r="F1987" s="128">
        <v>2044.0</v>
      </c>
      <c r="G1987" s="77" t="s">
        <v>15</v>
      </c>
      <c r="H1987" s="78">
        <v>1678.0</v>
      </c>
      <c r="I1987" s="83">
        <v>293090.0</v>
      </c>
      <c r="J1987" s="83" t="s">
        <v>337</v>
      </c>
      <c r="K1987" s="77" t="s">
        <v>11916</v>
      </c>
      <c r="L1987" s="79"/>
      <c r="M1987" s="79"/>
      <c r="N1987" s="79"/>
      <c r="O1987" s="79"/>
      <c r="P1987" s="80"/>
      <c r="Q1987" s="79"/>
      <c r="R1987" s="80"/>
      <c r="S1987" s="80"/>
      <c r="T1987" s="101"/>
      <c r="U1987" s="80"/>
      <c r="V1987" s="388"/>
      <c r="W1987" s="79"/>
      <c r="X1987" s="79"/>
      <c r="Y1987" s="79"/>
      <c r="Z1987" s="79"/>
    </row>
    <row r="1988" ht="15.75" customHeight="1">
      <c r="A1988" s="44"/>
      <c r="B1988" s="77" t="s">
        <v>2968</v>
      </c>
      <c r="C1988" s="85">
        <v>3.0574151259E10</v>
      </c>
      <c r="D1988" s="77" t="s">
        <v>264</v>
      </c>
      <c r="E1988" s="77" t="s">
        <v>1143</v>
      </c>
      <c r="F1988" s="128">
        <v>3591.0</v>
      </c>
      <c r="G1988" s="77" t="s">
        <v>15</v>
      </c>
      <c r="H1988" s="78">
        <v>1678.0</v>
      </c>
      <c r="I1988" s="83">
        <v>103011.0</v>
      </c>
      <c r="J1988" s="83" t="s">
        <v>22</v>
      </c>
      <c r="K1988" s="77" t="s">
        <v>11917</v>
      </c>
      <c r="L1988" s="79"/>
      <c r="M1988" s="79"/>
      <c r="N1988" s="77">
        <v>23.0</v>
      </c>
      <c r="O1988" s="77" t="s">
        <v>11918</v>
      </c>
      <c r="P1988" s="78">
        <v>1.147505392E9</v>
      </c>
      <c r="Q1988" s="79"/>
      <c r="R1988" s="80"/>
      <c r="S1988" s="80"/>
      <c r="T1988" s="101"/>
      <c r="U1988" s="80"/>
      <c r="V1988" s="388"/>
      <c r="W1988" s="79"/>
      <c r="X1988" s="79"/>
      <c r="Y1988" s="79"/>
      <c r="Z1988" s="79"/>
    </row>
    <row r="1989" ht="15.75" customHeight="1">
      <c r="A1989" s="44"/>
      <c r="B1989" s="77" t="s">
        <v>2975</v>
      </c>
      <c r="C1989" s="85">
        <v>2.0254000702E10</v>
      </c>
      <c r="D1989" s="77" t="s">
        <v>631</v>
      </c>
      <c r="E1989" s="77" t="s">
        <v>11919</v>
      </c>
      <c r="F1989" s="128">
        <v>3752.0</v>
      </c>
      <c r="G1989" s="77" t="s">
        <v>15</v>
      </c>
      <c r="H1989" s="78">
        <v>1678.0</v>
      </c>
      <c r="I1989" s="83">
        <v>293090.0</v>
      </c>
      <c r="J1989" s="83" t="s">
        <v>337</v>
      </c>
      <c r="K1989" s="77" t="s">
        <v>11916</v>
      </c>
      <c r="L1989" s="79"/>
      <c r="M1989" s="79"/>
      <c r="N1989" s="79"/>
      <c r="O1989" s="77" t="s">
        <v>11920</v>
      </c>
      <c r="P1989" s="78">
        <v>1.16570023E8</v>
      </c>
      <c r="Q1989" s="79"/>
      <c r="R1989" s="80"/>
      <c r="S1989" s="80"/>
      <c r="T1989" s="101"/>
      <c r="U1989" s="80"/>
      <c r="V1989" s="388"/>
      <c r="W1989" s="79"/>
      <c r="X1989" s="79"/>
      <c r="Y1989" s="79"/>
      <c r="Z1989" s="79"/>
    </row>
    <row r="1990" ht="15.75" customHeight="1">
      <c r="A1990" s="44"/>
      <c r="B1990" s="77" t="s">
        <v>2983</v>
      </c>
      <c r="C1990" s="85">
        <v>2.034150256E10</v>
      </c>
      <c r="D1990" s="77" t="s">
        <v>631</v>
      </c>
      <c r="E1990" s="77" t="s">
        <v>359</v>
      </c>
      <c r="F1990" s="128">
        <v>4160.0</v>
      </c>
      <c r="G1990" s="77" t="s">
        <v>15</v>
      </c>
      <c r="H1990" s="78">
        <v>1678.0</v>
      </c>
      <c r="I1990" s="83">
        <v>106131.0</v>
      </c>
      <c r="J1990" s="83" t="s">
        <v>22</v>
      </c>
      <c r="K1990" s="77" t="s">
        <v>11921</v>
      </c>
      <c r="L1990" s="79"/>
      <c r="M1990" s="79"/>
      <c r="N1990" s="79"/>
      <c r="O1990" s="77" t="s">
        <v>11922</v>
      </c>
      <c r="P1990" s="78">
        <v>1.152602677E9</v>
      </c>
      <c r="Q1990" s="79"/>
      <c r="R1990" s="80"/>
      <c r="S1990" s="80"/>
      <c r="T1990" s="101"/>
      <c r="U1990" s="80"/>
      <c r="V1990" s="388"/>
      <c r="W1990" s="79"/>
      <c r="X1990" s="79"/>
      <c r="Y1990" s="79"/>
      <c r="Z1990" s="79"/>
    </row>
    <row r="1991" ht="15.75" customHeight="1">
      <c r="A1991" s="44"/>
      <c r="B1991" s="77" t="s">
        <v>2990</v>
      </c>
      <c r="C1991" s="85">
        <v>3.0715641492E10</v>
      </c>
      <c r="D1991" s="77" t="s">
        <v>264</v>
      </c>
      <c r="E1991" s="77" t="s">
        <v>3333</v>
      </c>
      <c r="F1991" s="128">
        <v>3342.0</v>
      </c>
      <c r="G1991" s="77" t="s">
        <v>15</v>
      </c>
      <c r="H1991" s="78">
        <v>1678.0</v>
      </c>
      <c r="I1991" s="74"/>
      <c r="J1991" s="83" t="s">
        <v>57</v>
      </c>
      <c r="K1991" s="77" t="s">
        <v>3305</v>
      </c>
      <c r="L1991" s="79"/>
      <c r="M1991" s="79"/>
      <c r="N1991" s="79"/>
      <c r="O1991" s="77" t="s">
        <v>11923</v>
      </c>
      <c r="P1991" s="78">
        <v>1.168600277E9</v>
      </c>
      <c r="Q1991" s="77" t="s">
        <v>11924</v>
      </c>
      <c r="R1991" s="78">
        <v>1.131126291E9</v>
      </c>
      <c r="S1991" s="80"/>
      <c r="T1991" s="85"/>
      <c r="U1991" s="80"/>
      <c r="V1991" s="388"/>
      <c r="W1991" s="79"/>
      <c r="X1991" s="79"/>
      <c r="Y1991" s="79"/>
      <c r="Z1991" s="79"/>
    </row>
    <row r="1992" ht="15.75" customHeight="1">
      <c r="A1992" s="44"/>
      <c r="B1992" s="77" t="s">
        <v>2996</v>
      </c>
      <c r="C1992" s="85">
        <v>2.0220396321E10</v>
      </c>
      <c r="D1992" s="77" t="s">
        <v>631</v>
      </c>
      <c r="E1992" s="77" t="s">
        <v>11907</v>
      </c>
      <c r="F1992" s="128">
        <v>5935.0</v>
      </c>
      <c r="G1992" s="77" t="s">
        <v>134</v>
      </c>
      <c r="H1992" s="78">
        <v>1682.0</v>
      </c>
      <c r="I1992" s="83">
        <v>329090.0</v>
      </c>
      <c r="J1992" s="83" t="s">
        <v>347</v>
      </c>
      <c r="K1992" s="77" t="s">
        <v>11925</v>
      </c>
      <c r="L1992" s="79"/>
      <c r="M1992" s="77" t="s">
        <v>11926</v>
      </c>
      <c r="N1992" s="79"/>
      <c r="O1992" s="77" t="s">
        <v>11927</v>
      </c>
      <c r="P1992" s="78">
        <v>1.544923731E9</v>
      </c>
      <c r="Q1992" s="79"/>
      <c r="R1992" s="80"/>
      <c r="S1992" s="80"/>
      <c r="T1992" s="101"/>
      <c r="U1992" s="80"/>
      <c r="V1992" s="388"/>
      <c r="W1992" s="79"/>
      <c r="X1992" s="79"/>
      <c r="Y1992" s="79"/>
      <c r="Z1992" s="79"/>
    </row>
    <row r="1993" ht="15.75" customHeight="1">
      <c r="A1993" s="44"/>
      <c r="B1993" s="77" t="s">
        <v>11928</v>
      </c>
      <c r="C1993" s="85">
        <v>3.0707731032E10</v>
      </c>
      <c r="D1993" s="77" t="s">
        <v>264</v>
      </c>
      <c r="E1993" s="77" t="s">
        <v>11929</v>
      </c>
      <c r="F1993" s="128">
        <v>1932.0</v>
      </c>
      <c r="G1993" s="77" t="s">
        <v>134</v>
      </c>
      <c r="H1993" s="78">
        <v>1682.0</v>
      </c>
      <c r="I1993" s="83">
        <v>105030.0</v>
      </c>
      <c r="J1993" s="83" t="s">
        <v>22</v>
      </c>
      <c r="K1993" s="77" t="s">
        <v>1052</v>
      </c>
      <c r="L1993" s="79"/>
      <c r="M1993" s="79"/>
      <c r="N1993" s="79"/>
      <c r="O1993" s="79"/>
      <c r="P1993" s="80"/>
      <c r="Q1993" s="79"/>
      <c r="R1993" s="80"/>
      <c r="S1993" s="80"/>
      <c r="T1993" s="101"/>
      <c r="U1993" s="80"/>
      <c r="V1993" s="388"/>
      <c r="W1993" s="79"/>
      <c r="X1993" s="79"/>
      <c r="Y1993" s="79"/>
      <c r="Z1993" s="79"/>
    </row>
    <row r="1994" ht="15.75" customHeight="1">
      <c r="A1994" s="44"/>
      <c r="B1994" s="77" t="s">
        <v>3006</v>
      </c>
      <c r="C1994" s="85">
        <v>2.73291208E10</v>
      </c>
      <c r="D1994" s="77" t="s">
        <v>631</v>
      </c>
      <c r="E1994" s="77" t="s">
        <v>6580</v>
      </c>
      <c r="F1994" s="128">
        <v>6051.0</v>
      </c>
      <c r="G1994" s="77" t="s">
        <v>134</v>
      </c>
      <c r="H1994" s="78">
        <v>1682.0</v>
      </c>
      <c r="I1994" s="83">
        <v>310010.0</v>
      </c>
      <c r="J1994" s="83" t="s">
        <v>313</v>
      </c>
      <c r="K1994" s="77" t="s">
        <v>11930</v>
      </c>
      <c r="L1994" s="79"/>
      <c r="M1994" s="79"/>
      <c r="N1994" s="79"/>
      <c r="O1994" s="77" t="s">
        <v>11931</v>
      </c>
      <c r="P1994" s="78">
        <v>1.139544282E9</v>
      </c>
      <c r="Q1994" s="79"/>
      <c r="R1994" s="80"/>
      <c r="S1994" s="80"/>
      <c r="T1994" s="101"/>
      <c r="U1994" s="80"/>
      <c r="V1994" s="388"/>
      <c r="W1994" s="79"/>
      <c r="X1994" s="79"/>
      <c r="Y1994" s="79"/>
      <c r="Z1994" s="79"/>
    </row>
    <row r="1995" ht="15.75" customHeight="1">
      <c r="A1995" s="44"/>
      <c r="B1995" s="77" t="s">
        <v>3018</v>
      </c>
      <c r="C1995" s="85">
        <v>3.0714517291E10</v>
      </c>
      <c r="D1995" s="77" t="s">
        <v>264</v>
      </c>
      <c r="E1995" s="77" t="s">
        <v>11932</v>
      </c>
      <c r="F1995" s="128">
        <v>1940.0</v>
      </c>
      <c r="G1995" s="77" t="s">
        <v>134</v>
      </c>
      <c r="H1995" s="78">
        <v>1682.0</v>
      </c>
      <c r="I1995" s="83">
        <v>251101.0</v>
      </c>
      <c r="J1995" s="83" t="s">
        <v>347</v>
      </c>
      <c r="K1995" s="77" t="s">
        <v>11933</v>
      </c>
      <c r="L1995" s="79"/>
      <c r="M1995" s="79"/>
      <c r="N1995" s="79"/>
      <c r="O1995" s="77" t="s">
        <v>11934</v>
      </c>
      <c r="P1995" s="78">
        <v>1.124648265E9</v>
      </c>
      <c r="Q1995" s="79"/>
      <c r="R1995" s="80"/>
      <c r="S1995" s="80"/>
      <c r="T1995" s="101"/>
      <c r="U1995" s="80"/>
      <c r="V1995" s="388"/>
      <c r="W1995" s="79"/>
      <c r="X1995" s="79"/>
      <c r="Y1995" s="79"/>
      <c r="Z1995" s="79"/>
    </row>
    <row r="1996" ht="15.75" customHeight="1">
      <c r="A1996" s="44"/>
      <c r="B1996" s="77" t="s">
        <v>3028</v>
      </c>
      <c r="C1996" s="85">
        <v>3.0697111634E10</v>
      </c>
      <c r="D1996" s="77" t="s">
        <v>264</v>
      </c>
      <c r="E1996" s="77" t="s">
        <v>1095</v>
      </c>
      <c r="F1996" s="128">
        <v>3276.0</v>
      </c>
      <c r="G1996" s="77" t="s">
        <v>15</v>
      </c>
      <c r="H1996" s="78">
        <v>1678.0</v>
      </c>
      <c r="I1996" s="83">
        <v>139209.0</v>
      </c>
      <c r="J1996" s="83" t="s">
        <v>448</v>
      </c>
      <c r="K1996" s="77" t="s">
        <v>11902</v>
      </c>
      <c r="L1996" s="79"/>
      <c r="M1996" s="79"/>
      <c r="N1996" s="79"/>
      <c r="O1996" s="77" t="s">
        <v>11935</v>
      </c>
      <c r="P1996" s="78">
        <v>1.140708304E9</v>
      </c>
      <c r="Q1996" s="79"/>
      <c r="R1996" s="80"/>
      <c r="S1996" s="80"/>
      <c r="T1996" s="101"/>
      <c r="U1996" s="80"/>
      <c r="V1996" s="388"/>
      <c r="W1996" s="79"/>
      <c r="X1996" s="79"/>
      <c r="Y1996" s="79"/>
      <c r="Z1996" s="79"/>
    </row>
    <row r="1997" ht="15.75" customHeight="1">
      <c r="A1997" s="44"/>
      <c r="B1997" s="77" t="s">
        <v>3039</v>
      </c>
      <c r="C1997" s="85">
        <v>2.0429996938E10</v>
      </c>
      <c r="D1997" s="77" t="s">
        <v>631</v>
      </c>
      <c r="E1997" s="77" t="s">
        <v>1088</v>
      </c>
      <c r="F1997" s="128">
        <v>5261.0</v>
      </c>
      <c r="G1997" s="77" t="s">
        <v>15</v>
      </c>
      <c r="H1997" s="78">
        <v>1678.0</v>
      </c>
      <c r="I1997" s="83">
        <v>222010.0</v>
      </c>
      <c r="J1997" s="83" t="s">
        <v>568</v>
      </c>
      <c r="K1997" s="77" t="s">
        <v>11913</v>
      </c>
      <c r="L1997" s="79"/>
      <c r="M1997" s="79"/>
      <c r="N1997" s="79"/>
      <c r="O1997" s="77" t="s">
        <v>3922</v>
      </c>
      <c r="P1997" s="78">
        <v>1.130915772E9</v>
      </c>
      <c r="Q1997" s="79"/>
      <c r="R1997" s="80"/>
      <c r="S1997" s="80"/>
      <c r="T1997" s="101"/>
      <c r="U1997" s="80"/>
      <c r="V1997" s="388"/>
      <c r="W1997" s="79"/>
      <c r="X1997" s="79"/>
      <c r="Y1997" s="79"/>
      <c r="Z1997" s="79"/>
    </row>
    <row r="1998" ht="15.75" customHeight="1">
      <c r="A1998" s="44"/>
      <c r="B1998" s="77" t="s">
        <v>3043</v>
      </c>
      <c r="C1998" s="85">
        <v>3.0716826895E10</v>
      </c>
      <c r="D1998" s="77" t="s">
        <v>264</v>
      </c>
      <c r="E1998" s="77" t="s">
        <v>1683</v>
      </c>
      <c r="F1998" s="128">
        <v>3442.0</v>
      </c>
      <c r="G1998" s="77" t="s">
        <v>15</v>
      </c>
      <c r="H1998" s="78">
        <v>1678.0</v>
      </c>
      <c r="I1998" s="83">
        <v>243100.0</v>
      </c>
      <c r="J1998" s="83" t="s">
        <v>11936</v>
      </c>
      <c r="K1998" s="77" t="s">
        <v>11937</v>
      </c>
      <c r="L1998" s="79"/>
      <c r="M1998" s="79"/>
      <c r="N1998" s="79"/>
      <c r="O1998" s="79"/>
      <c r="P1998" s="80"/>
      <c r="Q1998" s="79"/>
      <c r="R1998" s="80"/>
      <c r="S1998" s="80"/>
      <c r="T1998" s="101"/>
      <c r="U1998" s="80"/>
      <c r="V1998" s="388"/>
      <c r="W1998" s="79"/>
      <c r="X1998" s="79"/>
      <c r="Y1998" s="79"/>
      <c r="Z1998" s="79"/>
    </row>
    <row r="1999" ht="15.75" customHeight="1">
      <c r="A1999" s="44"/>
      <c r="B1999" s="77" t="s">
        <v>3048</v>
      </c>
      <c r="C1999" s="85">
        <v>2.0223028633E10</v>
      </c>
      <c r="D1999" s="77" t="s">
        <v>631</v>
      </c>
      <c r="E1999" s="77" t="s">
        <v>1323</v>
      </c>
      <c r="F1999" s="128">
        <v>2969.0</v>
      </c>
      <c r="G1999" s="77" t="s">
        <v>15</v>
      </c>
      <c r="H1999" s="78">
        <v>1678.0</v>
      </c>
      <c r="I1999" s="83">
        <v>243200.0</v>
      </c>
      <c r="J1999" s="83" t="s">
        <v>11936</v>
      </c>
      <c r="K1999" s="77" t="s">
        <v>11938</v>
      </c>
      <c r="L1999" s="79"/>
      <c r="M1999" s="79"/>
      <c r="N1999" s="79"/>
      <c r="O1999" s="77" t="s">
        <v>11939</v>
      </c>
      <c r="P1999" s="78">
        <v>1.155682332E9</v>
      </c>
      <c r="Q1999" s="79"/>
      <c r="R1999" s="80"/>
      <c r="S1999" s="80"/>
      <c r="T1999" s="101"/>
      <c r="U1999" s="80"/>
      <c r="V1999" s="388"/>
      <c r="W1999" s="79"/>
      <c r="X1999" s="79"/>
      <c r="Y1999" s="79"/>
      <c r="Z1999" s="79"/>
    </row>
    <row r="2000" ht="15.75" customHeight="1">
      <c r="A2000" s="44"/>
      <c r="B2000" s="77" t="s">
        <v>11940</v>
      </c>
      <c r="C2000" s="85">
        <v>3.0715165399E10</v>
      </c>
      <c r="D2000" s="77" t="s">
        <v>264</v>
      </c>
      <c r="E2000" s="77" t="s">
        <v>1458</v>
      </c>
      <c r="F2000" s="128">
        <v>5025.0</v>
      </c>
      <c r="G2000" s="77" t="s">
        <v>15</v>
      </c>
      <c r="H2000" s="78">
        <v>1678.0</v>
      </c>
      <c r="I2000" s="83">
        <v>310010.0</v>
      </c>
      <c r="J2000" s="83" t="s">
        <v>313</v>
      </c>
      <c r="K2000" s="77" t="s">
        <v>11941</v>
      </c>
      <c r="L2000" s="79"/>
      <c r="M2000" s="79"/>
      <c r="N2000" s="79"/>
      <c r="O2000" s="79"/>
      <c r="P2000" s="80"/>
      <c r="Q2000" s="79"/>
      <c r="R2000" s="80"/>
      <c r="S2000" s="78" t="s">
        <v>11942</v>
      </c>
      <c r="T2000" s="101"/>
      <c r="U2000" s="80"/>
      <c r="V2000" s="388"/>
      <c r="W2000" s="79"/>
      <c r="X2000" s="79"/>
      <c r="Y2000" s="79"/>
      <c r="Z2000" s="79"/>
    </row>
    <row r="2001" ht="15.75" customHeight="1">
      <c r="A2001" s="44"/>
      <c r="B2001" s="77" t="s">
        <v>3055</v>
      </c>
      <c r="C2001" s="85">
        <v>3.0710077556E10</v>
      </c>
      <c r="D2001" s="77" t="s">
        <v>264</v>
      </c>
      <c r="E2001" s="77" t="s">
        <v>11943</v>
      </c>
      <c r="F2001" s="128">
        <v>5172.0</v>
      </c>
      <c r="G2001" s="77" t="s">
        <v>15</v>
      </c>
      <c r="H2001" s="78">
        <v>1678.0</v>
      </c>
      <c r="I2001" s="83">
        <v>131209.0</v>
      </c>
      <c r="J2001" s="83" t="s">
        <v>448</v>
      </c>
      <c r="K2001" s="77" t="s">
        <v>11944</v>
      </c>
      <c r="L2001" s="79"/>
      <c r="M2001" s="79"/>
      <c r="N2001" s="79"/>
      <c r="O2001" s="77" t="s">
        <v>11945</v>
      </c>
      <c r="P2001" s="78">
        <v>1.14446064E9</v>
      </c>
      <c r="Q2001" s="79"/>
      <c r="R2001" s="80"/>
      <c r="S2001" s="80"/>
      <c r="T2001" s="101"/>
      <c r="U2001" s="80"/>
      <c r="V2001" s="388"/>
      <c r="W2001" s="79"/>
      <c r="X2001" s="79"/>
      <c r="Y2001" s="79"/>
      <c r="Z2001" s="79"/>
    </row>
    <row r="2002" ht="15.75" customHeight="1">
      <c r="A2002" s="44"/>
      <c r="B2002" s="77" t="s">
        <v>3061</v>
      </c>
      <c r="C2002" s="85">
        <v>3.0710105045E10</v>
      </c>
      <c r="D2002" s="77" t="s">
        <v>264</v>
      </c>
      <c r="E2002" s="77" t="s">
        <v>11946</v>
      </c>
      <c r="F2002" s="128">
        <v>1979.0</v>
      </c>
      <c r="G2002" s="77" t="s">
        <v>15</v>
      </c>
      <c r="H2002" s="78">
        <v>1678.0</v>
      </c>
      <c r="I2002" s="83">
        <v>222090.0</v>
      </c>
      <c r="J2002" s="83" t="s">
        <v>568</v>
      </c>
      <c r="K2002" s="77" t="s">
        <v>11947</v>
      </c>
      <c r="L2002" s="79"/>
      <c r="M2002" s="79"/>
      <c r="N2002" s="79"/>
      <c r="O2002" s="77" t="s">
        <v>11948</v>
      </c>
      <c r="P2002" s="78">
        <v>1.156395443E9</v>
      </c>
      <c r="Q2002" s="79"/>
      <c r="R2002" s="80"/>
      <c r="S2002" s="80"/>
      <c r="T2002" s="101"/>
      <c r="U2002" s="80"/>
      <c r="V2002" s="388"/>
      <c r="W2002" s="79"/>
      <c r="X2002" s="79"/>
      <c r="Y2002" s="79"/>
      <c r="Z2002" s="79"/>
    </row>
    <row r="2003" ht="15.75" customHeight="1">
      <c r="A2003" s="44"/>
      <c r="B2003" s="77" t="s">
        <v>3066</v>
      </c>
      <c r="C2003" s="85">
        <v>2.0279392923E10</v>
      </c>
      <c r="D2003" s="77" t="s">
        <v>631</v>
      </c>
      <c r="E2003" s="77" t="s">
        <v>2678</v>
      </c>
      <c r="F2003" s="128">
        <v>8170.0</v>
      </c>
      <c r="G2003" s="77" t="s">
        <v>119</v>
      </c>
      <c r="H2003" s="78">
        <v>1657.0</v>
      </c>
      <c r="I2003" s="83">
        <v>310010.0</v>
      </c>
      <c r="J2003" s="83" t="s">
        <v>313</v>
      </c>
      <c r="K2003" s="77" t="s">
        <v>11930</v>
      </c>
      <c r="L2003" s="79"/>
      <c r="M2003" s="79"/>
      <c r="N2003" s="79"/>
      <c r="O2003" s="77" t="s">
        <v>11949</v>
      </c>
      <c r="P2003" s="78">
        <v>1.169419619E9</v>
      </c>
      <c r="Q2003" s="79"/>
      <c r="R2003" s="80"/>
      <c r="S2003" s="80"/>
      <c r="T2003" s="101"/>
      <c r="U2003" s="80"/>
      <c r="V2003" s="388"/>
      <c r="W2003" s="79"/>
      <c r="X2003" s="79"/>
      <c r="Y2003" s="79"/>
      <c r="Z2003" s="79"/>
    </row>
    <row r="2004" ht="15.75" customHeight="1">
      <c r="A2004" s="44"/>
      <c r="B2004" s="77" t="s">
        <v>3072</v>
      </c>
      <c r="C2004" s="85">
        <v>2.0235941156E10</v>
      </c>
      <c r="D2004" s="77" t="s">
        <v>631</v>
      </c>
      <c r="E2004" s="77" t="s">
        <v>11950</v>
      </c>
      <c r="F2004" s="128">
        <v>8277.0</v>
      </c>
      <c r="G2004" s="77" t="s">
        <v>119</v>
      </c>
      <c r="H2004" s="78">
        <v>1657.0</v>
      </c>
      <c r="I2004" s="83">
        <v>110491.0</v>
      </c>
      <c r="J2004" s="83" t="s">
        <v>57</v>
      </c>
      <c r="K2004" s="77" t="s">
        <v>11951</v>
      </c>
      <c r="L2004" s="79"/>
      <c r="M2004" s="79"/>
      <c r="N2004" s="79"/>
      <c r="O2004" s="77" t="s">
        <v>11952</v>
      </c>
      <c r="P2004" s="78">
        <v>1.169889993E9</v>
      </c>
      <c r="Q2004" s="79"/>
      <c r="R2004" s="80"/>
      <c r="S2004" s="78" t="s">
        <v>11953</v>
      </c>
      <c r="T2004" s="101"/>
      <c r="U2004" s="80"/>
      <c r="V2004" s="388"/>
      <c r="W2004" s="79"/>
      <c r="X2004" s="79"/>
      <c r="Y2004" s="79"/>
      <c r="Z2004" s="79"/>
    </row>
    <row r="2005" ht="15.75" customHeight="1">
      <c r="A2005" s="44"/>
      <c r="B2005" s="77" t="s">
        <v>3077</v>
      </c>
      <c r="C2005" s="85">
        <v>3.0718183428E10</v>
      </c>
      <c r="D2005" s="77" t="s">
        <v>264</v>
      </c>
      <c r="E2005" s="77" t="s">
        <v>2048</v>
      </c>
      <c r="F2005" s="128">
        <v>8725.0</v>
      </c>
      <c r="G2005" s="77" t="s">
        <v>119</v>
      </c>
      <c r="H2005" s="78">
        <v>1657.0</v>
      </c>
      <c r="I2005" s="83">
        <v>259999.0</v>
      </c>
      <c r="J2005" s="83" t="s">
        <v>347</v>
      </c>
      <c r="K2005" s="77" t="s">
        <v>11954</v>
      </c>
      <c r="L2005" s="79"/>
      <c r="M2005" s="79"/>
      <c r="N2005" s="79"/>
      <c r="O2005" s="77" t="s">
        <v>11955</v>
      </c>
      <c r="P2005" s="78">
        <v>1.139194466E9</v>
      </c>
      <c r="Q2005" s="79"/>
      <c r="R2005" s="80"/>
      <c r="S2005" s="80"/>
      <c r="T2005" s="101"/>
      <c r="U2005" s="80"/>
      <c r="V2005" s="388"/>
      <c r="W2005" s="79"/>
      <c r="X2005" s="79"/>
      <c r="Y2005" s="79"/>
      <c r="Z2005" s="79"/>
    </row>
    <row r="2006" ht="15.75" customHeight="1">
      <c r="A2006" s="44"/>
      <c r="B2006" s="77" t="s">
        <v>3083</v>
      </c>
      <c r="C2006" s="85">
        <v>3.3719029359E10</v>
      </c>
      <c r="D2006" s="77" t="s">
        <v>264</v>
      </c>
      <c r="E2006" s="77" t="s">
        <v>11956</v>
      </c>
      <c r="F2006" s="128">
        <v>2262.0</v>
      </c>
      <c r="G2006" s="77" t="s">
        <v>134</v>
      </c>
      <c r="H2006" s="78">
        <v>1682.0</v>
      </c>
      <c r="I2006" s="74"/>
      <c r="J2006" s="83"/>
      <c r="K2006" s="77" t="s">
        <v>11957</v>
      </c>
      <c r="L2006" s="79"/>
      <c r="M2006" s="79"/>
      <c r="N2006" s="79"/>
      <c r="O2006" s="77" t="s">
        <v>11958</v>
      </c>
      <c r="P2006" s="78">
        <v>1.121860812E9</v>
      </c>
      <c r="Q2006" s="79"/>
      <c r="R2006" s="80"/>
      <c r="S2006" s="80"/>
      <c r="T2006" s="101"/>
      <c r="U2006" s="80"/>
      <c r="V2006" s="388"/>
      <c r="W2006" s="79"/>
      <c r="X2006" s="79"/>
      <c r="Y2006" s="79"/>
      <c r="Z2006" s="79"/>
    </row>
    <row r="2007" ht="15.75" customHeight="1">
      <c r="A2007" s="44"/>
      <c r="B2007" s="77" t="s">
        <v>3090</v>
      </c>
      <c r="C2007" s="85">
        <v>3.0701136884E10</v>
      </c>
      <c r="D2007" s="77" t="s">
        <v>264</v>
      </c>
      <c r="E2007" s="393" t="s">
        <v>11959</v>
      </c>
      <c r="F2007" s="128">
        <v>3427.0</v>
      </c>
      <c r="G2007" s="77" t="s">
        <v>15</v>
      </c>
      <c r="H2007" s="78">
        <v>1678.0</v>
      </c>
      <c r="I2007" s="83">
        <v>282909.0</v>
      </c>
      <c r="J2007" s="83" t="s">
        <v>347</v>
      </c>
      <c r="K2007" s="77" t="s">
        <v>11960</v>
      </c>
      <c r="L2007" s="79"/>
      <c r="M2007" s="79"/>
      <c r="N2007" s="79"/>
      <c r="O2007" s="77" t="s">
        <v>11961</v>
      </c>
      <c r="P2007" s="78">
        <v>1.130276941E9</v>
      </c>
      <c r="Q2007" s="79"/>
      <c r="R2007" s="80"/>
      <c r="S2007" s="80"/>
      <c r="T2007" s="101"/>
      <c r="U2007" s="80"/>
      <c r="V2007" s="388"/>
      <c r="W2007" s="79"/>
      <c r="X2007" s="79"/>
      <c r="Y2007" s="79"/>
      <c r="Z2007" s="79"/>
    </row>
    <row r="2008" ht="15.75" customHeight="1">
      <c r="A2008" s="44"/>
      <c r="B2008" s="144" t="s">
        <v>3095</v>
      </c>
      <c r="C2008" s="85">
        <v>2.0323795887E10</v>
      </c>
      <c r="D2008" s="77" t="s">
        <v>631</v>
      </c>
      <c r="E2008" s="77" t="s">
        <v>4857</v>
      </c>
      <c r="F2008" s="128">
        <v>10380.0</v>
      </c>
      <c r="G2008" s="77" t="s">
        <v>119</v>
      </c>
      <c r="H2008" s="78">
        <v>1657.0</v>
      </c>
      <c r="I2008" s="83">
        <v>251101.0</v>
      </c>
      <c r="J2008" s="83" t="s">
        <v>347</v>
      </c>
      <c r="K2008" s="77" t="s">
        <v>11933</v>
      </c>
      <c r="L2008" s="79"/>
      <c r="M2008" s="79"/>
      <c r="N2008" s="79"/>
      <c r="O2008" s="77" t="s">
        <v>11962</v>
      </c>
      <c r="P2008" s="78">
        <v>1.153148459E9</v>
      </c>
      <c r="Q2008" s="79"/>
      <c r="R2008" s="80"/>
      <c r="S2008" s="80"/>
      <c r="T2008" s="101"/>
      <c r="U2008" s="80"/>
      <c r="V2008" s="388"/>
      <c r="W2008" s="79"/>
      <c r="X2008" s="79"/>
      <c r="Y2008" s="79"/>
      <c r="Z2008" s="79"/>
    </row>
    <row r="2009" ht="15.75" customHeight="1">
      <c r="A2009" s="44"/>
      <c r="B2009" s="77" t="s">
        <v>3104</v>
      </c>
      <c r="C2009" s="85">
        <v>3.0708318597E10</v>
      </c>
      <c r="D2009" s="77" t="s">
        <v>264</v>
      </c>
      <c r="E2009" s="77" t="s">
        <v>11959</v>
      </c>
      <c r="F2009" s="128">
        <v>1437.0</v>
      </c>
      <c r="G2009" s="77" t="s">
        <v>15</v>
      </c>
      <c r="H2009" s="78">
        <v>1678.0</v>
      </c>
      <c r="I2009" s="83">
        <v>241009.0</v>
      </c>
      <c r="J2009" s="83" t="s">
        <v>347</v>
      </c>
      <c r="K2009" s="77" t="s">
        <v>6805</v>
      </c>
      <c r="L2009" s="79"/>
      <c r="M2009" s="79"/>
      <c r="N2009" s="79"/>
      <c r="O2009" s="77" t="s">
        <v>11963</v>
      </c>
      <c r="P2009" s="78" t="s">
        <v>11964</v>
      </c>
      <c r="Q2009" s="79"/>
      <c r="R2009" s="80"/>
      <c r="S2009" s="80"/>
      <c r="T2009" s="101"/>
      <c r="U2009" s="80"/>
      <c r="V2009" s="388"/>
      <c r="W2009" s="79"/>
      <c r="X2009" s="79"/>
      <c r="Y2009" s="79"/>
      <c r="Z2009" s="79"/>
    </row>
    <row r="2010" ht="15.75" customHeight="1">
      <c r="A2010" s="44"/>
      <c r="B2010" s="77" t="s">
        <v>4437</v>
      </c>
      <c r="C2010" s="85">
        <v>2.73222408E10</v>
      </c>
      <c r="D2010" s="77" t="s">
        <v>631</v>
      </c>
      <c r="E2010" s="77" t="s">
        <v>2678</v>
      </c>
      <c r="F2010" s="128">
        <v>8269.0</v>
      </c>
      <c r="G2010" s="77" t="s">
        <v>119</v>
      </c>
      <c r="H2010" s="78">
        <v>1657.0</v>
      </c>
      <c r="I2010" s="83">
        <v>222090.0</v>
      </c>
      <c r="J2010" s="83" t="s">
        <v>568</v>
      </c>
      <c r="K2010" s="77" t="s">
        <v>11965</v>
      </c>
      <c r="L2010" s="79"/>
      <c r="M2010" s="79"/>
      <c r="N2010" s="79"/>
      <c r="O2010" s="77" t="s">
        <v>11966</v>
      </c>
      <c r="P2010" s="78">
        <v>1.158545687E9</v>
      </c>
      <c r="Q2010" s="79"/>
      <c r="R2010" s="78" t="s">
        <v>11967</v>
      </c>
      <c r="S2010" s="78" t="s">
        <v>11968</v>
      </c>
      <c r="T2010" s="101"/>
      <c r="U2010" s="80"/>
      <c r="V2010" s="388"/>
      <c r="W2010" s="79"/>
      <c r="X2010" s="79"/>
      <c r="Y2010" s="79"/>
      <c r="Z2010" s="79"/>
    </row>
    <row r="2011" ht="15.75" customHeight="1">
      <c r="A2011" s="44"/>
      <c r="B2011" s="77" t="s">
        <v>3108</v>
      </c>
      <c r="C2011" s="85">
        <v>2.0332985141E10</v>
      </c>
      <c r="D2011" s="77" t="s">
        <v>631</v>
      </c>
      <c r="E2011" s="77" t="s">
        <v>11969</v>
      </c>
      <c r="F2011" s="128">
        <v>8231.0</v>
      </c>
      <c r="G2011" s="77" t="s">
        <v>119</v>
      </c>
      <c r="H2011" s="78">
        <v>1657.0</v>
      </c>
      <c r="I2011" s="83">
        <v>222090.0</v>
      </c>
      <c r="J2011" s="83" t="s">
        <v>568</v>
      </c>
      <c r="K2011" s="77" t="s">
        <v>11970</v>
      </c>
      <c r="L2011" s="79"/>
      <c r="M2011" s="79"/>
      <c r="N2011" s="79"/>
      <c r="O2011" s="77" t="s">
        <v>11966</v>
      </c>
      <c r="P2011" s="78" t="s">
        <v>11971</v>
      </c>
      <c r="Q2011" s="79"/>
      <c r="R2011" s="80"/>
      <c r="S2011" s="80"/>
      <c r="T2011" s="101"/>
      <c r="U2011" s="80"/>
      <c r="V2011" s="388"/>
      <c r="W2011" s="79"/>
      <c r="X2011" s="79"/>
      <c r="Y2011" s="79"/>
      <c r="Z2011" s="79"/>
    </row>
    <row r="2012" ht="15.75" customHeight="1">
      <c r="A2012" s="44"/>
      <c r="B2012" s="77" t="s">
        <v>3114</v>
      </c>
      <c r="C2012" s="85">
        <v>3.3715777539E10</v>
      </c>
      <c r="D2012" s="77" t="s">
        <v>264</v>
      </c>
      <c r="E2012" s="77" t="s">
        <v>3256</v>
      </c>
      <c r="F2012" s="128">
        <v>957.0</v>
      </c>
      <c r="G2012" s="77" t="s">
        <v>269</v>
      </c>
      <c r="H2012" s="78">
        <v>1682.0</v>
      </c>
      <c r="I2012" s="83">
        <v>309200.0</v>
      </c>
      <c r="J2012" s="83" t="s">
        <v>347</v>
      </c>
      <c r="K2012" s="77" t="s">
        <v>11972</v>
      </c>
      <c r="L2012" s="79"/>
      <c r="M2012" s="79"/>
      <c r="N2012" s="79"/>
      <c r="O2012" s="79"/>
      <c r="P2012" s="78" t="s">
        <v>11973</v>
      </c>
      <c r="Q2012" s="79"/>
      <c r="R2012" s="80"/>
      <c r="S2012" s="80"/>
      <c r="T2012" s="101"/>
      <c r="U2012" s="80"/>
      <c r="V2012" s="388"/>
      <c r="W2012" s="79"/>
      <c r="X2012" s="79"/>
      <c r="Y2012" s="79"/>
      <c r="Z2012" s="79"/>
    </row>
    <row r="2013" ht="15.75" customHeight="1">
      <c r="A2013" s="44"/>
      <c r="B2013" s="77" t="s">
        <v>3120</v>
      </c>
      <c r="C2013" s="85">
        <v>2.0177873366E10</v>
      </c>
      <c r="D2013" s="77" t="s">
        <v>631</v>
      </c>
      <c r="E2013" s="77" t="s">
        <v>11974</v>
      </c>
      <c r="F2013" s="128">
        <v>7648.0</v>
      </c>
      <c r="G2013" s="77" t="s">
        <v>269</v>
      </c>
      <c r="H2013" s="78">
        <v>1682.0</v>
      </c>
      <c r="I2013" s="83">
        <v>170990.0</v>
      </c>
      <c r="J2013" s="83" t="s">
        <v>283</v>
      </c>
      <c r="K2013" s="77" t="s">
        <v>11975</v>
      </c>
      <c r="L2013" s="79"/>
      <c r="M2013" s="79"/>
      <c r="N2013" s="79"/>
      <c r="O2013" s="79"/>
      <c r="P2013" s="78">
        <v>1.544343757E9</v>
      </c>
      <c r="Q2013" s="79"/>
      <c r="R2013" s="80"/>
      <c r="S2013" s="80"/>
      <c r="T2013" s="101"/>
      <c r="U2013" s="80"/>
      <c r="V2013" s="388"/>
      <c r="W2013" s="79"/>
      <c r="X2013" s="79"/>
      <c r="Y2013" s="79"/>
      <c r="Z2013" s="79"/>
    </row>
    <row r="2014" ht="15.75" customHeight="1">
      <c r="A2014" s="44"/>
      <c r="B2014" s="77" t="s">
        <v>3124</v>
      </c>
      <c r="C2014" s="101"/>
      <c r="D2014" s="77" t="s">
        <v>264</v>
      </c>
      <c r="E2014" s="77" t="s">
        <v>11174</v>
      </c>
      <c r="F2014" s="128">
        <v>5425.0</v>
      </c>
      <c r="G2014" s="77" t="s">
        <v>15</v>
      </c>
      <c r="H2014" s="78">
        <v>1678.0</v>
      </c>
      <c r="I2014" s="74"/>
      <c r="J2014" s="83" t="s">
        <v>313</v>
      </c>
      <c r="K2014" s="79"/>
      <c r="L2014" s="79"/>
      <c r="M2014" s="79"/>
      <c r="N2014" s="79"/>
      <c r="O2014" s="77" t="s">
        <v>11976</v>
      </c>
      <c r="P2014" s="78">
        <v>4.7599602E7</v>
      </c>
      <c r="Q2014" s="79"/>
      <c r="R2014" s="80"/>
      <c r="S2014" s="80"/>
      <c r="T2014" s="101"/>
      <c r="U2014" s="80"/>
      <c r="V2014" s="388"/>
      <c r="W2014" s="79"/>
      <c r="X2014" s="79"/>
      <c r="Y2014" s="79"/>
      <c r="Z2014" s="79"/>
    </row>
    <row r="2015" ht="15.75" customHeight="1">
      <c r="A2015" s="44"/>
      <c r="B2015" s="77" t="s">
        <v>3131</v>
      </c>
      <c r="C2015" s="85">
        <v>2.0202141006E10</v>
      </c>
      <c r="D2015" s="77" t="s">
        <v>631</v>
      </c>
      <c r="E2015" s="77" t="s">
        <v>8346</v>
      </c>
      <c r="F2015" s="128">
        <v>8016.0</v>
      </c>
      <c r="G2015" s="77" t="s">
        <v>269</v>
      </c>
      <c r="H2015" s="78">
        <v>1682.0</v>
      </c>
      <c r="I2015" s="83">
        <v>239600.0</v>
      </c>
      <c r="J2015" s="83" t="s">
        <v>11977</v>
      </c>
      <c r="K2015" s="77" t="s">
        <v>11978</v>
      </c>
      <c r="L2015" s="79"/>
      <c r="M2015" s="79"/>
      <c r="N2015" s="79"/>
      <c r="O2015" s="77" t="s">
        <v>11979</v>
      </c>
      <c r="P2015" s="78">
        <v>1.165014123E9</v>
      </c>
      <c r="Q2015" s="79"/>
      <c r="R2015" s="80"/>
      <c r="S2015" s="80"/>
      <c r="T2015" s="101"/>
      <c r="U2015" s="80"/>
      <c r="V2015" s="388"/>
      <c r="W2015" s="79"/>
      <c r="X2015" s="79"/>
      <c r="Y2015" s="79"/>
      <c r="Z2015" s="79"/>
    </row>
    <row r="2016" ht="15.75" customHeight="1">
      <c r="A2016" s="44"/>
      <c r="B2016" s="77" t="s">
        <v>11980</v>
      </c>
      <c r="C2016" s="85">
        <v>2.3183149229E10</v>
      </c>
      <c r="D2016" s="77" t="s">
        <v>631</v>
      </c>
      <c r="E2016" s="77" t="s">
        <v>11981</v>
      </c>
      <c r="F2016" s="128">
        <v>9930.0</v>
      </c>
      <c r="G2016" s="77" t="s">
        <v>119</v>
      </c>
      <c r="H2016" s="78">
        <v>1657.0</v>
      </c>
      <c r="I2016" s="83">
        <v>310010.0</v>
      </c>
      <c r="J2016" s="83" t="s">
        <v>313</v>
      </c>
      <c r="K2016" s="77" t="s">
        <v>11982</v>
      </c>
      <c r="L2016" s="79"/>
      <c r="M2016" s="79"/>
      <c r="N2016" s="79"/>
      <c r="O2016" s="77" t="s">
        <v>11983</v>
      </c>
      <c r="P2016" s="80"/>
      <c r="Q2016" s="79"/>
      <c r="R2016" s="80"/>
      <c r="S2016" s="80"/>
      <c r="T2016" s="101"/>
      <c r="U2016" s="80"/>
      <c r="V2016" s="388"/>
      <c r="W2016" s="79"/>
      <c r="X2016" s="79"/>
      <c r="Y2016" s="79"/>
      <c r="Z2016" s="79"/>
    </row>
    <row r="2017" ht="15.75" customHeight="1">
      <c r="A2017" s="44"/>
      <c r="B2017" s="77" t="s">
        <v>11984</v>
      </c>
      <c r="C2017" s="85">
        <v>3.070925298E10</v>
      </c>
      <c r="D2017" s="77" t="s">
        <v>264</v>
      </c>
      <c r="E2017" s="77" t="s">
        <v>11985</v>
      </c>
      <c r="F2017" s="128">
        <v>6695.0</v>
      </c>
      <c r="G2017" s="77" t="s">
        <v>269</v>
      </c>
      <c r="H2017" s="78">
        <v>1682.0</v>
      </c>
      <c r="I2017" s="83">
        <v>259999.0</v>
      </c>
      <c r="J2017" s="83" t="s">
        <v>347</v>
      </c>
      <c r="K2017" s="77" t="s">
        <v>11954</v>
      </c>
      <c r="L2017" s="79"/>
      <c r="M2017" s="79"/>
      <c r="N2017" s="79"/>
      <c r="O2017" s="77" t="s">
        <v>11986</v>
      </c>
      <c r="P2017" s="78" t="s">
        <v>11987</v>
      </c>
      <c r="Q2017" s="79"/>
      <c r="R2017" s="80"/>
      <c r="S2017" s="80"/>
      <c r="T2017" s="101"/>
      <c r="U2017" s="80"/>
      <c r="V2017" s="388"/>
      <c r="W2017" s="79"/>
      <c r="X2017" s="79"/>
      <c r="Y2017" s="79"/>
      <c r="Z2017" s="79"/>
    </row>
    <row r="2018" ht="15.75" customHeight="1">
      <c r="A2018" s="44"/>
      <c r="B2018" s="77" t="s">
        <v>3134</v>
      </c>
      <c r="C2018" s="85">
        <v>2.0128687107E10</v>
      </c>
      <c r="D2018" s="77" t="s">
        <v>631</v>
      </c>
      <c r="E2018" s="77" t="s">
        <v>1644</v>
      </c>
      <c r="F2018" s="128">
        <v>1141.0</v>
      </c>
      <c r="G2018" s="77" t="s">
        <v>119</v>
      </c>
      <c r="H2018" s="78">
        <v>1657.0</v>
      </c>
      <c r="I2018" s="83">
        <v>251102.0</v>
      </c>
      <c r="J2018" s="83" t="s">
        <v>347</v>
      </c>
      <c r="K2018" s="77" t="s">
        <v>11988</v>
      </c>
      <c r="L2018" s="79"/>
      <c r="M2018" s="79"/>
      <c r="N2018" s="79"/>
      <c r="O2018" s="79"/>
      <c r="P2018" s="78">
        <v>1.55633845E9</v>
      </c>
      <c r="Q2018" s="79"/>
      <c r="R2018" s="80"/>
      <c r="S2018" s="80"/>
      <c r="T2018" s="101"/>
      <c r="U2018" s="80"/>
      <c r="V2018" s="388"/>
      <c r="W2018" s="79"/>
      <c r="X2018" s="79"/>
      <c r="Y2018" s="79"/>
      <c r="Z2018" s="79"/>
    </row>
    <row r="2019" ht="15.75" customHeight="1">
      <c r="A2019" s="44"/>
      <c r="B2019" s="77" t="s">
        <v>3142</v>
      </c>
      <c r="C2019" s="85">
        <v>3.070925298E10</v>
      </c>
      <c r="D2019" s="77" t="s">
        <v>264</v>
      </c>
      <c r="E2019" s="77" t="s">
        <v>11985</v>
      </c>
      <c r="F2019" s="128">
        <v>6695.0</v>
      </c>
      <c r="G2019" s="77" t="s">
        <v>269</v>
      </c>
      <c r="H2019" s="78">
        <v>1682.0</v>
      </c>
      <c r="I2019" s="83">
        <v>259999.0</v>
      </c>
      <c r="J2019" s="83" t="s">
        <v>347</v>
      </c>
      <c r="K2019" s="77" t="s">
        <v>11989</v>
      </c>
      <c r="L2019" s="79"/>
      <c r="M2019" s="79"/>
      <c r="N2019" s="79"/>
      <c r="O2019" s="77" t="s">
        <v>11990</v>
      </c>
      <c r="P2019" s="78" t="s">
        <v>11991</v>
      </c>
      <c r="Q2019" s="79"/>
      <c r="R2019" s="80"/>
      <c r="S2019" s="80"/>
      <c r="T2019" s="101"/>
      <c r="U2019" s="80"/>
      <c r="V2019" s="388"/>
      <c r="W2019" s="79"/>
      <c r="X2019" s="79"/>
      <c r="Y2019" s="79"/>
      <c r="Z2019" s="79"/>
    </row>
    <row r="2020" ht="15.75" customHeight="1">
      <c r="A2020" s="44"/>
      <c r="B2020" s="77" t="s">
        <v>3148</v>
      </c>
      <c r="C2020" s="85">
        <v>2.0254276635E10</v>
      </c>
      <c r="D2020" s="77" t="s">
        <v>631</v>
      </c>
      <c r="E2020" s="77" t="s">
        <v>1323</v>
      </c>
      <c r="F2020" s="128">
        <v>3638.0</v>
      </c>
      <c r="G2020" s="77" t="s">
        <v>15</v>
      </c>
      <c r="H2020" s="78">
        <v>1678.0</v>
      </c>
      <c r="I2020" s="74"/>
      <c r="J2020" s="83" t="s">
        <v>313</v>
      </c>
      <c r="K2020" s="79"/>
      <c r="L2020" s="79"/>
      <c r="M2020" s="79"/>
      <c r="N2020" s="79"/>
      <c r="O2020" s="77" t="s">
        <v>11949</v>
      </c>
      <c r="P2020" s="78">
        <v>1.135515789E9</v>
      </c>
      <c r="Q2020" s="79"/>
      <c r="R2020" s="80"/>
      <c r="S2020" s="80"/>
      <c r="T2020" s="101"/>
      <c r="U2020" s="80"/>
      <c r="V2020" s="388"/>
      <c r="W2020" s="79"/>
      <c r="X2020" s="79"/>
      <c r="Y2020" s="79"/>
      <c r="Z2020" s="79"/>
    </row>
    <row r="2021" ht="15.75" customHeight="1">
      <c r="A2021" s="44"/>
      <c r="B2021" s="77" t="s">
        <v>3158</v>
      </c>
      <c r="C2021" s="85">
        <v>3.066114361E10</v>
      </c>
      <c r="D2021" s="77" t="s">
        <v>264</v>
      </c>
      <c r="E2021" s="77" t="s">
        <v>1607</v>
      </c>
      <c r="F2021" s="128">
        <v>5542.0</v>
      </c>
      <c r="G2021" s="77" t="s">
        <v>15</v>
      </c>
      <c r="H2021" s="78">
        <v>1678.0</v>
      </c>
      <c r="I2021" s="83">
        <v>266090.0</v>
      </c>
      <c r="J2021" s="83" t="s">
        <v>347</v>
      </c>
      <c r="K2021" s="77" t="s">
        <v>11992</v>
      </c>
      <c r="L2021" s="79"/>
      <c r="M2021" s="79"/>
      <c r="N2021" s="79"/>
      <c r="O2021" s="77" t="s">
        <v>11993</v>
      </c>
      <c r="P2021" s="78" t="s">
        <v>11994</v>
      </c>
      <c r="Q2021" s="79"/>
      <c r="R2021" s="80"/>
      <c r="S2021" s="80"/>
      <c r="T2021" s="101"/>
      <c r="U2021" s="80"/>
      <c r="V2021" s="388"/>
      <c r="W2021" s="79"/>
      <c r="X2021" s="79"/>
      <c r="Y2021" s="79"/>
      <c r="Z2021" s="79"/>
    </row>
    <row r="2022" ht="15.75" customHeight="1">
      <c r="A2022" s="44"/>
      <c r="B2022" s="77" t="s">
        <v>11995</v>
      </c>
      <c r="C2022" s="85">
        <v>3.0697276676E10</v>
      </c>
      <c r="D2022" s="77" t="s">
        <v>264</v>
      </c>
      <c r="E2022" s="77" t="s">
        <v>1422</v>
      </c>
      <c r="F2022" s="128">
        <v>970.0</v>
      </c>
      <c r="G2022" s="77" t="s">
        <v>269</v>
      </c>
      <c r="H2022" s="78">
        <v>1682.0</v>
      </c>
      <c r="I2022" s="83">
        <v>202311.0</v>
      </c>
      <c r="J2022" s="83" t="s">
        <v>316</v>
      </c>
      <c r="K2022" s="77" t="s">
        <v>4406</v>
      </c>
      <c r="L2022" s="79"/>
      <c r="M2022" s="79"/>
      <c r="N2022" s="77">
        <v>343.0</v>
      </c>
      <c r="O2022" s="77" t="s">
        <v>11996</v>
      </c>
      <c r="P2022" s="78">
        <v>1.16043904E9</v>
      </c>
      <c r="Q2022" s="79"/>
      <c r="R2022" s="80"/>
      <c r="S2022" s="78" t="s">
        <v>11997</v>
      </c>
      <c r="T2022" s="85" t="s">
        <v>4412</v>
      </c>
      <c r="U2022" s="80"/>
      <c r="V2022" s="388"/>
      <c r="W2022" s="79"/>
      <c r="X2022" s="79"/>
      <c r="Y2022" s="79"/>
      <c r="Z2022" s="79"/>
    </row>
    <row r="2023" ht="15.75" customHeight="1">
      <c r="A2023" s="44"/>
      <c r="B2023" s="77" t="s">
        <v>11998</v>
      </c>
      <c r="C2023" s="85">
        <v>3.0714754013E10</v>
      </c>
      <c r="D2023" s="77" t="s">
        <v>264</v>
      </c>
      <c r="E2023" s="77" t="s">
        <v>2254</v>
      </c>
      <c r="F2023" s="128">
        <v>1134.0</v>
      </c>
      <c r="G2023" s="77" t="s">
        <v>119</v>
      </c>
      <c r="H2023" s="78">
        <v>1657.0</v>
      </c>
      <c r="I2023" s="83">
        <v>259999.0</v>
      </c>
      <c r="J2023" s="83" t="s">
        <v>347</v>
      </c>
      <c r="K2023" s="77" t="s">
        <v>11999</v>
      </c>
      <c r="L2023" s="77" t="s">
        <v>453</v>
      </c>
      <c r="M2023" s="77" t="s">
        <v>12000</v>
      </c>
      <c r="N2023" s="77">
        <v>21.0</v>
      </c>
      <c r="O2023" s="79"/>
      <c r="P2023" s="80"/>
      <c r="Q2023" s="79"/>
      <c r="R2023" s="80"/>
      <c r="S2023" s="78" t="s">
        <v>12001</v>
      </c>
      <c r="T2023" s="85" t="s">
        <v>11209</v>
      </c>
      <c r="U2023" s="78" t="s">
        <v>12002</v>
      </c>
      <c r="V2023" s="388"/>
      <c r="W2023" s="79"/>
      <c r="X2023" s="79"/>
      <c r="Y2023" s="79"/>
      <c r="Z2023" s="79"/>
    </row>
    <row r="2024" ht="15.75" customHeight="1">
      <c r="A2024" s="44"/>
      <c r="B2024" s="77" t="s">
        <v>12003</v>
      </c>
      <c r="C2024" s="85">
        <v>3.0712205853E10</v>
      </c>
      <c r="D2024" s="77" t="s">
        <v>264</v>
      </c>
      <c r="E2024" s="77" t="s">
        <v>12004</v>
      </c>
      <c r="F2024" s="128">
        <v>340.0</v>
      </c>
      <c r="G2024" s="77" t="s">
        <v>12005</v>
      </c>
      <c r="H2024" s="78">
        <v>1650.0</v>
      </c>
      <c r="I2024" s="83">
        <v>107110.0</v>
      </c>
      <c r="J2024" s="83" t="s">
        <v>22</v>
      </c>
      <c r="K2024" s="77" t="s">
        <v>12006</v>
      </c>
      <c r="L2024" s="79"/>
      <c r="M2024" s="79"/>
      <c r="N2024" s="79"/>
      <c r="O2024" s="77" t="s">
        <v>12007</v>
      </c>
      <c r="P2024" s="78">
        <v>1.154516411E9</v>
      </c>
      <c r="Q2024" s="79"/>
      <c r="R2024" s="80"/>
      <c r="S2024" s="78"/>
      <c r="T2024" s="101"/>
      <c r="U2024" s="80"/>
      <c r="V2024" s="388"/>
      <c r="W2024" s="79"/>
      <c r="X2024" s="79"/>
      <c r="Y2024" s="79"/>
      <c r="Z2024" s="79"/>
    </row>
    <row r="2025" ht="15.75" customHeight="1">
      <c r="A2025" s="44"/>
      <c r="B2025" s="77" t="s">
        <v>12008</v>
      </c>
      <c r="C2025" s="307">
        <v>3.0712557555E10</v>
      </c>
      <c r="D2025" s="77" t="s">
        <v>264</v>
      </c>
      <c r="E2025" s="77" t="s">
        <v>9673</v>
      </c>
      <c r="F2025" s="128">
        <v>2780.0</v>
      </c>
      <c r="G2025" s="77" t="s">
        <v>15</v>
      </c>
      <c r="H2025" s="78">
        <v>1678.0</v>
      </c>
      <c r="I2025" s="83">
        <v>222090.0</v>
      </c>
      <c r="J2025" s="83" t="s">
        <v>568</v>
      </c>
      <c r="K2025" s="307" t="s">
        <v>11970</v>
      </c>
      <c r="L2025" s="79"/>
      <c r="M2025" s="79"/>
      <c r="N2025" s="79"/>
      <c r="O2025" s="77" t="s">
        <v>12009</v>
      </c>
      <c r="P2025" s="78" t="s">
        <v>12010</v>
      </c>
      <c r="Q2025" s="79"/>
      <c r="R2025" s="80"/>
      <c r="S2025" s="80"/>
      <c r="T2025" s="101"/>
      <c r="U2025" s="80"/>
      <c r="V2025" s="388"/>
      <c r="W2025" s="79"/>
      <c r="X2025" s="79"/>
      <c r="Y2025" s="79"/>
      <c r="Z2025" s="79"/>
    </row>
    <row r="2026" ht="15.75" customHeight="1">
      <c r="A2026" s="44"/>
      <c r="B2026" s="394" t="s">
        <v>12011</v>
      </c>
      <c r="C2026" s="395">
        <v>3.0552459357E10</v>
      </c>
      <c r="D2026" s="77" t="s">
        <v>264</v>
      </c>
      <c r="E2026" s="307" t="s">
        <v>2872</v>
      </c>
      <c r="F2026" s="128">
        <v>2783.0</v>
      </c>
      <c r="G2026" s="77" t="s">
        <v>15</v>
      </c>
      <c r="H2026" s="78">
        <v>1678.0</v>
      </c>
      <c r="I2026" s="83">
        <v>131139.0</v>
      </c>
      <c r="J2026" s="83" t="s">
        <v>568</v>
      </c>
      <c r="K2026" s="307" t="s">
        <v>12012</v>
      </c>
      <c r="L2026" s="79"/>
      <c r="M2026" s="79"/>
      <c r="N2026" s="79"/>
      <c r="O2026" s="77" t="s">
        <v>12013</v>
      </c>
      <c r="P2026" s="78" t="s">
        <v>12014</v>
      </c>
      <c r="Q2026" s="79"/>
      <c r="R2026" s="80"/>
      <c r="S2026" s="80"/>
      <c r="T2026" s="101"/>
      <c r="U2026" s="80"/>
      <c r="V2026" s="388"/>
      <c r="W2026" s="79"/>
      <c r="X2026" s="79"/>
      <c r="Y2026" s="79"/>
      <c r="Z2026" s="79"/>
    </row>
    <row r="2027" ht="15.75" customHeight="1">
      <c r="A2027" s="44"/>
      <c r="B2027" s="77" t="s">
        <v>3163</v>
      </c>
      <c r="C2027" s="85">
        <v>2.0225453226E10</v>
      </c>
      <c r="D2027" s="77" t="s">
        <v>631</v>
      </c>
      <c r="E2027" s="77" t="s">
        <v>12015</v>
      </c>
      <c r="F2027" s="128">
        <v>5121.0</v>
      </c>
      <c r="G2027" s="77" t="s">
        <v>15</v>
      </c>
      <c r="H2027" s="78">
        <v>1678.0</v>
      </c>
      <c r="I2027" s="74"/>
      <c r="J2027" s="83" t="s">
        <v>433</v>
      </c>
      <c r="K2027" s="77" t="s">
        <v>12016</v>
      </c>
      <c r="L2027" s="79"/>
      <c r="M2027" s="79"/>
      <c r="N2027" s="79"/>
      <c r="O2027" s="77" t="s">
        <v>12017</v>
      </c>
      <c r="P2027" s="78">
        <v>1.149165945E9</v>
      </c>
      <c r="Q2027" s="79"/>
      <c r="R2027" s="80"/>
      <c r="S2027" s="80"/>
      <c r="T2027" s="101"/>
      <c r="U2027" s="80"/>
      <c r="V2027" s="388"/>
      <c r="W2027" s="79"/>
      <c r="X2027" s="79"/>
      <c r="Y2027" s="79"/>
      <c r="Z2027" s="79"/>
    </row>
    <row r="2028" ht="15.75" customHeight="1">
      <c r="A2028" s="44"/>
      <c r="B2028" s="77" t="s">
        <v>12018</v>
      </c>
      <c r="C2028" s="85">
        <v>3.0623356856E10</v>
      </c>
      <c r="D2028" s="77" t="s">
        <v>264</v>
      </c>
      <c r="E2028" s="77" t="s">
        <v>1801</v>
      </c>
      <c r="F2028" s="128">
        <v>4460.0</v>
      </c>
      <c r="G2028" s="77" t="s">
        <v>68</v>
      </c>
      <c r="H2028" s="78">
        <v>1702.0</v>
      </c>
      <c r="I2028" s="83">
        <v>530010.0</v>
      </c>
      <c r="J2028" s="83" t="s">
        <v>433</v>
      </c>
      <c r="K2028" s="77" t="s">
        <v>12019</v>
      </c>
      <c r="L2028" s="79"/>
      <c r="M2028" s="77" t="s">
        <v>10064</v>
      </c>
      <c r="N2028" s="79"/>
      <c r="O2028" s="77" t="s">
        <v>10065</v>
      </c>
      <c r="P2028" s="78">
        <v>1.162034089E9</v>
      </c>
      <c r="Q2028" s="77" t="s">
        <v>10067</v>
      </c>
      <c r="R2028" s="78">
        <v>1.166541479E9</v>
      </c>
      <c r="S2028" s="78">
        <v>8.101227771E9</v>
      </c>
      <c r="T2028" s="101"/>
      <c r="U2028" s="80"/>
      <c r="V2028" s="388"/>
      <c r="W2028" s="79"/>
      <c r="X2028" s="79"/>
      <c r="Y2028" s="79"/>
      <c r="Z2028" s="79"/>
    </row>
    <row r="2029" ht="15.75" customHeight="1">
      <c r="A2029" s="210"/>
      <c r="B2029" s="396" t="s">
        <v>3172</v>
      </c>
      <c r="C2029" s="396">
        <v>3.071642303E10</v>
      </c>
      <c r="D2029" s="144" t="s">
        <v>264</v>
      </c>
      <c r="E2029" s="396" t="s">
        <v>1357</v>
      </c>
      <c r="F2029" s="397">
        <v>4717.0</v>
      </c>
      <c r="G2029" s="396" t="s">
        <v>15</v>
      </c>
      <c r="H2029" s="85">
        <v>1678.0</v>
      </c>
      <c r="I2029" s="129">
        <v>107301.0</v>
      </c>
      <c r="J2029" s="129" t="s">
        <v>22</v>
      </c>
      <c r="K2029" s="396" t="s">
        <v>12020</v>
      </c>
      <c r="L2029" s="119"/>
      <c r="M2029" s="119"/>
      <c r="N2029" s="119"/>
      <c r="O2029" s="396" t="s">
        <v>12021</v>
      </c>
      <c r="P2029" s="398"/>
      <c r="Q2029" s="119"/>
      <c r="R2029" s="101"/>
      <c r="S2029" s="396" t="s">
        <v>12022</v>
      </c>
      <c r="T2029" s="101"/>
      <c r="U2029" s="101"/>
      <c r="V2029" s="399"/>
      <c r="W2029" s="119"/>
      <c r="X2029" s="119"/>
      <c r="Y2029" s="119"/>
      <c r="Z2029" s="119"/>
    </row>
    <row r="2030" ht="15.75" customHeight="1">
      <c r="A2030" s="44"/>
      <c r="B2030" s="396" t="s">
        <v>3180</v>
      </c>
      <c r="C2030" s="400">
        <v>3.0709676276E10</v>
      </c>
      <c r="D2030" s="77" t="s">
        <v>264</v>
      </c>
      <c r="E2030" s="400" t="s">
        <v>12023</v>
      </c>
      <c r="F2030" s="401">
        <v>5800.0</v>
      </c>
      <c r="G2030" s="400" t="s">
        <v>15</v>
      </c>
      <c r="H2030" s="78">
        <v>1678.0</v>
      </c>
      <c r="I2030" s="83">
        <v>293090.0</v>
      </c>
      <c r="J2030" s="83" t="s">
        <v>337</v>
      </c>
      <c r="K2030" s="400" t="s">
        <v>12024</v>
      </c>
      <c r="L2030" s="79"/>
      <c r="M2030" s="79"/>
      <c r="N2030" s="79"/>
      <c r="O2030" s="400" t="s">
        <v>12025</v>
      </c>
      <c r="P2030" s="400" t="s">
        <v>12026</v>
      </c>
      <c r="Q2030" s="79"/>
      <c r="R2030" s="80"/>
      <c r="S2030" s="402"/>
      <c r="T2030" s="101"/>
      <c r="U2030" s="80"/>
      <c r="V2030" s="388"/>
      <c r="W2030" s="79"/>
      <c r="X2030" s="79"/>
      <c r="Y2030" s="79"/>
      <c r="Z2030" s="79"/>
    </row>
    <row r="2031" ht="15.75" customHeight="1">
      <c r="A2031" s="210"/>
      <c r="B2031" s="396" t="s">
        <v>3192</v>
      </c>
      <c r="C2031" s="396">
        <v>2.0217913226E10</v>
      </c>
      <c r="D2031" s="77" t="s">
        <v>631</v>
      </c>
      <c r="E2031" s="396" t="s">
        <v>6787</v>
      </c>
      <c r="F2031" s="397">
        <v>775.0</v>
      </c>
      <c r="G2031" s="396" t="s">
        <v>175</v>
      </c>
      <c r="H2031" s="85">
        <v>1657.0</v>
      </c>
      <c r="I2031" s="403">
        <v>301200.0</v>
      </c>
      <c r="J2031" s="404" t="s">
        <v>568</v>
      </c>
      <c r="K2031" s="307" t="s">
        <v>5889</v>
      </c>
      <c r="L2031" s="119"/>
      <c r="M2031" s="119"/>
      <c r="N2031" s="119"/>
      <c r="O2031" s="396" t="s">
        <v>3192</v>
      </c>
      <c r="P2031" s="396">
        <v>1.135598653E9</v>
      </c>
      <c r="Q2031" s="119"/>
      <c r="R2031" s="101"/>
      <c r="S2031" s="405"/>
      <c r="T2031" s="101"/>
      <c r="U2031" s="101"/>
      <c r="V2031" s="399"/>
      <c r="W2031" s="119"/>
      <c r="X2031" s="119"/>
      <c r="Y2031" s="119"/>
      <c r="Z2031" s="119"/>
    </row>
    <row r="2032" ht="15.75" customHeight="1">
      <c r="A2032" s="210"/>
      <c r="B2032" s="396" t="s">
        <v>12027</v>
      </c>
      <c r="C2032" s="396">
        <v>3.0716911868E10</v>
      </c>
      <c r="D2032" s="144" t="s">
        <v>264</v>
      </c>
      <c r="E2032" s="396" t="s">
        <v>12028</v>
      </c>
      <c r="F2032" s="397">
        <v>4346.0</v>
      </c>
      <c r="G2032" s="396" t="s">
        <v>68</v>
      </c>
      <c r="H2032" s="85">
        <v>1702.0</v>
      </c>
      <c r="I2032" s="129">
        <v>266090.0</v>
      </c>
      <c r="J2032" s="129" t="s">
        <v>347</v>
      </c>
      <c r="K2032" s="396" t="s">
        <v>12029</v>
      </c>
      <c r="L2032" s="119"/>
      <c r="M2032" s="119"/>
      <c r="N2032" s="119"/>
      <c r="O2032" s="396" t="s">
        <v>12030</v>
      </c>
      <c r="P2032" s="396">
        <v>1.160019453E9</v>
      </c>
      <c r="Q2032" s="119"/>
      <c r="R2032" s="101"/>
      <c r="S2032" s="405"/>
      <c r="T2032" s="101"/>
      <c r="U2032" s="101"/>
      <c r="V2032" s="399"/>
      <c r="W2032" s="119"/>
      <c r="X2032" s="119"/>
      <c r="Y2032" s="119"/>
      <c r="Z2032" s="119"/>
    </row>
    <row r="2033" ht="15.75" customHeight="1">
      <c r="A2033" s="44"/>
      <c r="B2033" s="396" t="s">
        <v>3196</v>
      </c>
      <c r="C2033" s="400">
        <v>3.0708366486E10</v>
      </c>
      <c r="D2033" s="77" t="s">
        <v>264</v>
      </c>
      <c r="E2033" s="400" t="s">
        <v>12031</v>
      </c>
      <c r="F2033" s="401">
        <v>3157.0</v>
      </c>
      <c r="G2033" s="400" t="s">
        <v>15</v>
      </c>
      <c r="H2033" s="78">
        <v>1678.0</v>
      </c>
      <c r="I2033" s="403">
        <v>170990.0</v>
      </c>
      <c r="J2033" s="406" t="s">
        <v>283</v>
      </c>
      <c r="K2033" s="400" t="s">
        <v>12032</v>
      </c>
      <c r="L2033" s="79"/>
      <c r="M2033" s="79"/>
      <c r="N2033" s="79"/>
      <c r="O2033" s="400" t="s">
        <v>12033</v>
      </c>
      <c r="P2033" s="407"/>
      <c r="Q2033" s="79"/>
      <c r="R2033" s="80"/>
      <c r="S2033" s="400" t="s">
        <v>12034</v>
      </c>
      <c r="T2033" s="101"/>
      <c r="U2033" s="80"/>
      <c r="V2033" s="388"/>
      <c r="W2033" s="79"/>
      <c r="X2033" s="79"/>
      <c r="Y2033" s="79"/>
      <c r="Z2033" s="79"/>
    </row>
    <row r="2034" ht="15.75" customHeight="1">
      <c r="A2034" s="210"/>
      <c r="B2034" s="396" t="s">
        <v>3203</v>
      </c>
      <c r="C2034" s="396">
        <v>3.0716052279E10</v>
      </c>
      <c r="D2034" s="144" t="s">
        <v>264</v>
      </c>
      <c r="E2034" s="396" t="s">
        <v>2254</v>
      </c>
      <c r="F2034" s="397">
        <v>2070.0</v>
      </c>
      <c r="G2034" s="396" t="s">
        <v>175</v>
      </c>
      <c r="H2034" s="85">
        <v>1657.0</v>
      </c>
      <c r="I2034" s="126"/>
      <c r="J2034" s="129" t="s">
        <v>347</v>
      </c>
      <c r="K2034" s="396" t="s">
        <v>12035</v>
      </c>
      <c r="L2034" s="119"/>
      <c r="M2034" s="119"/>
      <c r="N2034" s="119"/>
      <c r="O2034" s="396" t="s">
        <v>12036</v>
      </c>
      <c r="P2034" s="396">
        <v>1.520573941E9</v>
      </c>
      <c r="Q2034" s="119"/>
      <c r="R2034" s="101"/>
      <c r="S2034" s="405"/>
      <c r="T2034" s="101"/>
      <c r="U2034" s="101"/>
      <c r="V2034" s="399"/>
      <c r="W2034" s="119"/>
      <c r="X2034" s="119"/>
      <c r="Y2034" s="119"/>
      <c r="Z2034" s="119"/>
    </row>
    <row r="2035" ht="15.75" customHeight="1">
      <c r="A2035" s="44"/>
      <c r="B2035" s="396" t="s">
        <v>3207</v>
      </c>
      <c r="C2035" s="400">
        <v>3.0715886568E10</v>
      </c>
      <c r="D2035" s="77" t="s">
        <v>264</v>
      </c>
      <c r="E2035" s="400" t="s">
        <v>12037</v>
      </c>
      <c r="F2035" s="401">
        <v>8936.0</v>
      </c>
      <c r="G2035" s="396" t="s">
        <v>175</v>
      </c>
      <c r="H2035" s="78">
        <v>1654.0</v>
      </c>
      <c r="I2035" s="83">
        <v>202101.0</v>
      </c>
      <c r="J2035" s="129" t="s">
        <v>316</v>
      </c>
      <c r="K2035" s="400" t="s">
        <v>12038</v>
      </c>
      <c r="L2035" s="79"/>
      <c r="M2035" s="79"/>
      <c r="N2035" s="79"/>
      <c r="O2035" s="400" t="s">
        <v>12039</v>
      </c>
      <c r="P2035" s="400" t="s">
        <v>12040</v>
      </c>
      <c r="Q2035" s="79"/>
      <c r="R2035" s="80"/>
      <c r="S2035" s="402"/>
      <c r="T2035" s="101"/>
      <c r="U2035" s="80"/>
      <c r="V2035" s="388"/>
      <c r="W2035" s="79"/>
      <c r="X2035" s="79"/>
      <c r="Y2035" s="79"/>
      <c r="Z2035" s="79"/>
    </row>
    <row r="2036" ht="15.75" customHeight="1">
      <c r="A2036" s="210"/>
      <c r="B2036" s="396" t="s">
        <v>12041</v>
      </c>
      <c r="C2036" s="396">
        <v>3.071091256E10</v>
      </c>
      <c r="D2036" s="144" t="s">
        <v>264</v>
      </c>
      <c r="E2036" s="396" t="s">
        <v>12042</v>
      </c>
      <c r="F2036" s="397">
        <v>2255.0</v>
      </c>
      <c r="G2036" s="396" t="s">
        <v>175</v>
      </c>
      <c r="H2036" s="101"/>
      <c r="I2036" s="129">
        <v>141120.0</v>
      </c>
      <c r="J2036" s="129" t="s">
        <v>448</v>
      </c>
      <c r="K2036" s="396" t="s">
        <v>12043</v>
      </c>
      <c r="L2036" s="119"/>
      <c r="M2036" s="119"/>
      <c r="N2036" s="119"/>
      <c r="O2036" s="396" t="s">
        <v>12044</v>
      </c>
      <c r="P2036" s="398"/>
      <c r="Q2036" s="119"/>
      <c r="R2036" s="101"/>
      <c r="S2036" s="396">
        <v>1.549865381E9</v>
      </c>
      <c r="T2036" s="101"/>
      <c r="U2036" s="101"/>
      <c r="V2036" s="399"/>
      <c r="W2036" s="119"/>
      <c r="X2036" s="119"/>
      <c r="Y2036" s="119"/>
      <c r="Z2036" s="119"/>
    </row>
    <row r="2037" ht="15.75" customHeight="1">
      <c r="A2037" s="210"/>
      <c r="B2037" s="396" t="s">
        <v>3211</v>
      </c>
      <c r="C2037" s="396">
        <v>2.0251303127E10</v>
      </c>
      <c r="D2037" s="77" t="s">
        <v>631</v>
      </c>
      <c r="E2037" s="396" t="s">
        <v>12045</v>
      </c>
      <c r="F2037" s="397">
        <v>1814.0</v>
      </c>
      <c r="G2037" s="77" t="s">
        <v>134</v>
      </c>
      <c r="H2037" s="85">
        <v>1682.0</v>
      </c>
      <c r="I2037" s="129">
        <v>259999.0</v>
      </c>
      <c r="J2037" s="129" t="s">
        <v>347</v>
      </c>
      <c r="K2037" s="396" t="s">
        <v>12046</v>
      </c>
      <c r="L2037" s="119"/>
      <c r="M2037" s="119"/>
      <c r="N2037" s="119"/>
      <c r="O2037" s="396" t="s">
        <v>3211</v>
      </c>
      <c r="P2037" s="396">
        <v>1.144709857E9</v>
      </c>
      <c r="Q2037" s="119"/>
      <c r="R2037" s="101"/>
      <c r="S2037" s="405"/>
      <c r="T2037" s="101"/>
      <c r="U2037" s="101"/>
      <c r="V2037" s="399"/>
      <c r="W2037" s="119"/>
      <c r="X2037" s="119"/>
      <c r="Y2037" s="119"/>
      <c r="Z2037" s="119"/>
    </row>
    <row r="2038" ht="15.75" customHeight="1">
      <c r="A2038" s="210"/>
      <c r="B2038" s="396" t="s">
        <v>3215</v>
      </c>
      <c r="C2038" s="396">
        <v>3.3711979439E10</v>
      </c>
      <c r="D2038" s="144" t="s">
        <v>264</v>
      </c>
      <c r="E2038" s="396" t="s">
        <v>12047</v>
      </c>
      <c r="F2038" s="397">
        <v>750.0</v>
      </c>
      <c r="G2038" s="396" t="s">
        <v>68</v>
      </c>
      <c r="H2038" s="85">
        <v>1702.0</v>
      </c>
      <c r="I2038" s="126"/>
      <c r="J2038" s="129" t="s">
        <v>12048</v>
      </c>
      <c r="K2038" s="396" t="s">
        <v>12049</v>
      </c>
      <c r="L2038" s="119"/>
      <c r="M2038" s="119"/>
      <c r="N2038" s="119"/>
      <c r="O2038" s="396" t="s">
        <v>12050</v>
      </c>
      <c r="P2038" s="398"/>
      <c r="Q2038" s="119"/>
      <c r="R2038" s="101"/>
      <c r="S2038" s="396">
        <v>5.5782023E7</v>
      </c>
      <c r="T2038" s="101"/>
      <c r="U2038" s="101"/>
      <c r="V2038" s="399"/>
      <c r="W2038" s="119"/>
      <c r="X2038" s="119"/>
      <c r="Y2038" s="119"/>
      <c r="Z2038" s="119"/>
    </row>
    <row r="2039" ht="15.75" customHeight="1">
      <c r="A2039" s="44"/>
      <c r="B2039" s="396" t="s">
        <v>3218</v>
      </c>
      <c r="C2039" s="400">
        <v>3.3716445769E10</v>
      </c>
      <c r="D2039" s="77" t="s">
        <v>264</v>
      </c>
      <c r="E2039" s="400" t="s">
        <v>12051</v>
      </c>
      <c r="F2039" s="401">
        <v>4904.0</v>
      </c>
      <c r="G2039" s="400" t="s">
        <v>15</v>
      </c>
      <c r="H2039" s="78">
        <v>1678.0</v>
      </c>
      <c r="I2039" s="83">
        <v>139900.0</v>
      </c>
      <c r="J2039" s="83" t="s">
        <v>448</v>
      </c>
      <c r="K2039" s="400" t="s">
        <v>12052</v>
      </c>
      <c r="L2039" s="79"/>
      <c r="M2039" s="79"/>
      <c r="N2039" s="79"/>
      <c r="O2039" s="400" t="s">
        <v>12053</v>
      </c>
      <c r="P2039" s="400">
        <v>1.165497003E9</v>
      </c>
      <c r="Q2039" s="79"/>
      <c r="R2039" s="80"/>
      <c r="S2039" s="402"/>
      <c r="T2039" s="101"/>
      <c r="U2039" s="80"/>
      <c r="V2039" s="388"/>
      <c r="W2039" s="79"/>
      <c r="X2039" s="79"/>
      <c r="Y2039" s="79"/>
      <c r="Z2039" s="79"/>
    </row>
    <row r="2040" ht="15.75" customHeight="1">
      <c r="A2040" s="210"/>
      <c r="B2040" s="396" t="s">
        <v>12054</v>
      </c>
      <c r="C2040" s="396">
        <v>3.3710012259E10</v>
      </c>
      <c r="D2040" s="144" t="s">
        <v>264</v>
      </c>
      <c r="E2040" s="396" t="s">
        <v>12055</v>
      </c>
      <c r="F2040" s="397">
        <v>4442.0</v>
      </c>
      <c r="G2040" s="400" t="s">
        <v>15</v>
      </c>
      <c r="H2040" s="85">
        <v>1678.0</v>
      </c>
      <c r="I2040" s="129">
        <v>259999.0</v>
      </c>
      <c r="J2040" s="129" t="s">
        <v>347</v>
      </c>
      <c r="K2040" s="396" t="s">
        <v>12056</v>
      </c>
      <c r="L2040" s="119"/>
      <c r="M2040" s="119"/>
      <c r="N2040" s="119"/>
      <c r="O2040" s="396" t="s">
        <v>12057</v>
      </c>
      <c r="P2040" s="396">
        <v>1.561694595E9</v>
      </c>
      <c r="Q2040" s="119"/>
      <c r="R2040" s="101"/>
      <c r="S2040" s="405"/>
      <c r="T2040" s="101"/>
      <c r="U2040" s="101"/>
      <c r="V2040" s="399"/>
      <c r="W2040" s="119"/>
      <c r="X2040" s="119"/>
      <c r="Y2040" s="119"/>
      <c r="Z2040" s="119"/>
    </row>
    <row r="2041" ht="15.75" customHeight="1">
      <c r="A2041" s="408"/>
      <c r="B2041" s="409" t="s">
        <v>3219</v>
      </c>
      <c r="C2041" s="410">
        <v>3.3716100699E10</v>
      </c>
      <c r="D2041" s="144" t="s">
        <v>264</v>
      </c>
      <c r="E2041" s="411" t="s">
        <v>12037</v>
      </c>
      <c r="F2041" s="412">
        <v>8938.0</v>
      </c>
      <c r="G2041" s="77" t="s">
        <v>119</v>
      </c>
      <c r="H2041" s="240">
        <v>1657.0</v>
      </c>
      <c r="I2041" s="329">
        <v>202908.0</v>
      </c>
      <c r="J2041" s="329" t="s">
        <v>316</v>
      </c>
      <c r="K2041" s="411" t="s">
        <v>12058</v>
      </c>
      <c r="L2041" s="176"/>
      <c r="M2041" s="176"/>
      <c r="N2041" s="176"/>
      <c r="O2041" s="411" t="s">
        <v>12059</v>
      </c>
      <c r="P2041" s="411">
        <v>1.5736083E9</v>
      </c>
      <c r="Q2041" s="176"/>
      <c r="R2041" s="114"/>
      <c r="S2041" s="413"/>
      <c r="T2041" s="200"/>
      <c r="U2041" s="114"/>
      <c r="V2041" s="414"/>
      <c r="W2041" s="176"/>
      <c r="X2041" s="176"/>
      <c r="Y2041" s="176"/>
      <c r="Z2041" s="176"/>
    </row>
    <row r="2042" ht="15.75" customHeight="1">
      <c r="A2042" s="210"/>
      <c r="B2042" s="396" t="s">
        <v>3224</v>
      </c>
      <c r="C2042" s="396">
        <v>2.721936603E10</v>
      </c>
      <c r="D2042" s="77" t="s">
        <v>631</v>
      </c>
      <c r="E2042" s="396" t="s">
        <v>12060</v>
      </c>
      <c r="F2042" s="397">
        <v>3162.0</v>
      </c>
      <c r="G2042" s="400" t="s">
        <v>15</v>
      </c>
      <c r="H2042" s="85">
        <v>1678.0</v>
      </c>
      <c r="I2042" s="129">
        <v>139209.0</v>
      </c>
      <c r="J2042" s="129" t="s">
        <v>448</v>
      </c>
      <c r="K2042" s="396" t="s">
        <v>12061</v>
      </c>
      <c r="L2042" s="119"/>
      <c r="M2042" s="119"/>
      <c r="N2042" s="119"/>
      <c r="O2042" s="396" t="s">
        <v>3224</v>
      </c>
      <c r="P2042" s="398"/>
      <c r="Q2042" s="119"/>
      <c r="R2042" s="101"/>
      <c r="S2042" s="396">
        <v>2.8899461E7</v>
      </c>
      <c r="T2042" s="101"/>
      <c r="U2042" s="101"/>
      <c r="V2042" s="399"/>
      <c r="W2042" s="119"/>
      <c r="X2042" s="119"/>
      <c r="Y2042" s="119"/>
      <c r="Z2042" s="119"/>
    </row>
    <row r="2043" ht="15.75" customHeight="1">
      <c r="A2043" s="44"/>
      <c r="B2043" s="396" t="s">
        <v>3227</v>
      </c>
      <c r="C2043" s="400">
        <v>2.3135017299E10</v>
      </c>
      <c r="D2043" s="77" t="s">
        <v>631</v>
      </c>
      <c r="E2043" s="400" t="s">
        <v>12062</v>
      </c>
      <c r="F2043" s="401">
        <v>3460.0</v>
      </c>
      <c r="G2043" s="400" t="s">
        <v>249</v>
      </c>
      <c r="H2043" s="78">
        <v>1676.0</v>
      </c>
      <c r="I2043" s="83">
        <v>221909.0</v>
      </c>
      <c r="J2043" s="83" t="s">
        <v>88</v>
      </c>
      <c r="K2043" s="400" t="s">
        <v>12063</v>
      </c>
      <c r="L2043" s="79"/>
      <c r="M2043" s="79"/>
      <c r="N2043" s="79"/>
      <c r="O2043" s="400" t="s">
        <v>12064</v>
      </c>
      <c r="P2043" s="400" t="s">
        <v>12065</v>
      </c>
      <c r="Q2043" s="79"/>
      <c r="R2043" s="80"/>
      <c r="S2043" s="402"/>
      <c r="T2043" s="101"/>
      <c r="U2043" s="80"/>
      <c r="V2043" s="388"/>
      <c r="W2043" s="79"/>
      <c r="X2043" s="79"/>
      <c r="Y2043" s="79"/>
      <c r="Z2043" s="79"/>
    </row>
    <row r="2044" ht="15.75" customHeight="1">
      <c r="A2044" s="210"/>
      <c r="B2044" s="396" t="s">
        <v>3236</v>
      </c>
      <c r="C2044" s="396">
        <v>2.0107603418E10</v>
      </c>
      <c r="D2044" s="77" t="s">
        <v>631</v>
      </c>
      <c r="E2044" s="396" t="s">
        <v>1726</v>
      </c>
      <c r="F2044" s="397">
        <v>2943.0</v>
      </c>
      <c r="G2044" s="396" t="s">
        <v>15</v>
      </c>
      <c r="H2044" s="85">
        <v>1678.0</v>
      </c>
      <c r="I2044" s="129">
        <v>222090.0</v>
      </c>
      <c r="J2044" s="129" t="s">
        <v>568</v>
      </c>
      <c r="K2044" s="415" t="s">
        <v>11970</v>
      </c>
      <c r="L2044" s="119"/>
      <c r="M2044" s="119"/>
      <c r="N2044" s="119"/>
      <c r="O2044" s="396" t="s">
        <v>3236</v>
      </c>
      <c r="P2044" s="396" t="s">
        <v>12066</v>
      </c>
      <c r="Q2044" s="119"/>
      <c r="R2044" s="101"/>
      <c r="S2044" s="405"/>
      <c r="T2044" s="101"/>
      <c r="U2044" s="101"/>
      <c r="V2044" s="399"/>
      <c r="W2044" s="119"/>
      <c r="X2044" s="119"/>
      <c r="Y2044" s="119"/>
      <c r="Z2044" s="119"/>
    </row>
    <row r="2045" ht="15.75" customHeight="1">
      <c r="A2045" s="44"/>
      <c r="B2045" s="396" t="s">
        <v>3238</v>
      </c>
      <c r="C2045" s="400">
        <v>3.0716466147E10</v>
      </c>
      <c r="D2045" s="77" t="s">
        <v>264</v>
      </c>
      <c r="E2045" s="400" t="s">
        <v>12067</v>
      </c>
      <c r="F2045" s="401">
        <v>4323.0</v>
      </c>
      <c r="G2045" s="400" t="s">
        <v>15</v>
      </c>
      <c r="H2045" s="78">
        <v>1678.0</v>
      </c>
      <c r="I2045" s="83">
        <v>107410.0</v>
      </c>
      <c r="J2045" s="83" t="s">
        <v>22</v>
      </c>
      <c r="K2045" s="415" t="s">
        <v>12068</v>
      </c>
      <c r="L2045" s="79"/>
      <c r="M2045" s="79"/>
      <c r="N2045" s="79"/>
      <c r="O2045" s="400" t="s">
        <v>12069</v>
      </c>
      <c r="P2045" s="402"/>
      <c r="Q2045" s="79"/>
      <c r="R2045" s="80"/>
      <c r="S2045" s="400" t="s">
        <v>12070</v>
      </c>
      <c r="T2045" s="101"/>
      <c r="U2045" s="80"/>
      <c r="V2045" s="388"/>
      <c r="W2045" s="79"/>
      <c r="X2045" s="79"/>
      <c r="Y2045" s="79"/>
      <c r="Z2045" s="79"/>
    </row>
    <row r="2046" ht="15.75" customHeight="1">
      <c r="A2046" s="210"/>
      <c r="B2046" s="396" t="s">
        <v>3240</v>
      </c>
      <c r="C2046" s="396">
        <v>3.0715802887E10</v>
      </c>
      <c r="D2046" s="144" t="s">
        <v>264</v>
      </c>
      <c r="E2046" s="396" t="s">
        <v>2443</v>
      </c>
      <c r="F2046" s="397">
        <v>1221.0</v>
      </c>
      <c r="G2046" s="396" t="s">
        <v>68</v>
      </c>
      <c r="H2046" s="85">
        <v>1702.0</v>
      </c>
      <c r="I2046" s="129">
        <v>170990.0</v>
      </c>
      <c r="J2046" s="129" t="s">
        <v>283</v>
      </c>
      <c r="K2046" s="307" t="s">
        <v>12071</v>
      </c>
      <c r="L2046" s="119"/>
      <c r="M2046" s="119"/>
      <c r="N2046" s="119"/>
      <c r="O2046" s="396" t="s">
        <v>12072</v>
      </c>
      <c r="P2046" s="398"/>
      <c r="Q2046" s="119"/>
      <c r="R2046" s="101"/>
      <c r="S2046" s="396">
        <v>1.133920999E9</v>
      </c>
      <c r="T2046" s="101"/>
      <c r="U2046" s="101"/>
      <c r="V2046" s="399"/>
      <c r="W2046" s="119"/>
      <c r="X2046" s="119"/>
      <c r="Y2046" s="119"/>
      <c r="Z2046" s="119"/>
    </row>
    <row r="2047" ht="15.75" customHeight="1">
      <c r="A2047" s="408"/>
      <c r="B2047" s="409" t="s">
        <v>3242</v>
      </c>
      <c r="C2047" s="411">
        <v>3.0716481669E10</v>
      </c>
      <c r="D2047" s="291" t="s">
        <v>264</v>
      </c>
      <c r="E2047" s="411" t="s">
        <v>2496</v>
      </c>
      <c r="F2047" s="412">
        <v>614.0</v>
      </c>
      <c r="G2047" s="411" t="s">
        <v>119</v>
      </c>
      <c r="H2047" s="240">
        <v>1657.0</v>
      </c>
      <c r="I2047" s="329">
        <v>293090.0</v>
      </c>
      <c r="J2047" s="329" t="s">
        <v>347</v>
      </c>
      <c r="K2047" s="411" t="s">
        <v>12073</v>
      </c>
      <c r="L2047" s="176"/>
      <c r="M2047" s="176"/>
      <c r="N2047" s="176"/>
      <c r="O2047" s="411" t="s">
        <v>12074</v>
      </c>
      <c r="P2047" s="411" t="s">
        <v>12075</v>
      </c>
      <c r="Q2047" s="176"/>
      <c r="R2047" s="114"/>
      <c r="S2047" s="413"/>
      <c r="T2047" s="200"/>
      <c r="U2047" s="114"/>
      <c r="V2047" s="414"/>
      <c r="W2047" s="176"/>
      <c r="X2047" s="176"/>
      <c r="Y2047" s="176"/>
      <c r="Z2047" s="176"/>
    </row>
    <row r="2048" ht="15.75" customHeight="1">
      <c r="A2048" s="210"/>
      <c r="B2048" s="396" t="s">
        <v>3247</v>
      </c>
      <c r="C2048" s="396">
        <v>2.0143102743E10</v>
      </c>
      <c r="D2048" s="77" t="s">
        <v>631</v>
      </c>
      <c r="E2048" s="396" t="s">
        <v>4709</v>
      </c>
      <c r="F2048" s="397">
        <v>8015.0</v>
      </c>
      <c r="G2048" s="396" t="s">
        <v>269</v>
      </c>
      <c r="H2048" s="101"/>
      <c r="I2048" s="126"/>
      <c r="J2048" s="129" t="s">
        <v>12076</v>
      </c>
      <c r="K2048" s="396" t="s">
        <v>12077</v>
      </c>
      <c r="L2048" s="119"/>
      <c r="M2048" s="119"/>
      <c r="N2048" s="119"/>
      <c r="O2048" s="396" t="s">
        <v>3247</v>
      </c>
      <c r="P2048" s="398"/>
      <c r="Q2048" s="119"/>
      <c r="R2048" s="101"/>
      <c r="S2048" s="405"/>
      <c r="T2048" s="101"/>
      <c r="U2048" s="101"/>
      <c r="V2048" s="399"/>
      <c r="W2048" s="119"/>
      <c r="X2048" s="119"/>
      <c r="Y2048" s="119"/>
      <c r="Z2048" s="119"/>
    </row>
    <row r="2049" ht="15.75" customHeight="1">
      <c r="A2049" s="210"/>
      <c r="B2049" s="396" t="s">
        <v>3254</v>
      </c>
      <c r="C2049" s="396">
        <v>2.0082671308E10</v>
      </c>
      <c r="D2049" s="77" t="s">
        <v>631</v>
      </c>
      <c r="E2049" s="396" t="s">
        <v>12078</v>
      </c>
      <c r="F2049" s="397">
        <v>2731.0</v>
      </c>
      <c r="G2049" s="396" t="s">
        <v>15</v>
      </c>
      <c r="H2049" s="85">
        <v>1678.0</v>
      </c>
      <c r="I2049" s="129">
        <v>222090.0</v>
      </c>
      <c r="J2049" s="129" t="s">
        <v>568</v>
      </c>
      <c r="K2049" s="396" t="s">
        <v>12079</v>
      </c>
      <c r="L2049" s="119"/>
      <c r="M2049" s="119"/>
      <c r="N2049" s="119"/>
      <c r="O2049" s="396" t="s">
        <v>12080</v>
      </c>
      <c r="P2049" s="396" t="s">
        <v>12081</v>
      </c>
      <c r="Q2049" s="119"/>
      <c r="R2049" s="101"/>
      <c r="S2049" s="405"/>
      <c r="T2049" s="101"/>
      <c r="U2049" s="101"/>
      <c r="V2049" s="399"/>
      <c r="W2049" s="119"/>
      <c r="X2049" s="119"/>
      <c r="Y2049" s="119"/>
      <c r="Z2049" s="119"/>
    </row>
    <row r="2050" ht="15.75" customHeight="1">
      <c r="A2050" s="408"/>
      <c r="B2050" s="409" t="s">
        <v>3257</v>
      </c>
      <c r="C2050" s="411">
        <v>3.0717179842E10</v>
      </c>
      <c r="D2050" s="291" t="s">
        <v>264</v>
      </c>
      <c r="E2050" s="411" t="s">
        <v>2007</v>
      </c>
      <c r="F2050" s="412">
        <v>2846.0</v>
      </c>
      <c r="G2050" s="411" t="s">
        <v>15</v>
      </c>
      <c r="H2050" s="240">
        <v>1678.0</v>
      </c>
      <c r="I2050" s="329">
        <v>222010.0</v>
      </c>
      <c r="J2050" s="129" t="s">
        <v>568</v>
      </c>
      <c r="K2050" s="411" t="s">
        <v>12082</v>
      </c>
      <c r="L2050" s="176"/>
      <c r="M2050" s="176"/>
      <c r="N2050" s="176"/>
      <c r="O2050" s="411" t="s">
        <v>12083</v>
      </c>
      <c r="P2050" s="411" t="s">
        <v>12084</v>
      </c>
      <c r="Q2050" s="176"/>
      <c r="R2050" s="114"/>
      <c r="S2050" s="411" t="s">
        <v>12085</v>
      </c>
      <c r="T2050" s="200"/>
      <c r="U2050" s="114"/>
      <c r="V2050" s="414"/>
      <c r="W2050" s="176"/>
      <c r="X2050" s="176"/>
      <c r="Y2050" s="176"/>
      <c r="Z2050" s="176"/>
    </row>
    <row r="2051" ht="15.75" customHeight="1">
      <c r="A2051" s="210"/>
      <c r="B2051" s="396" t="s">
        <v>3262</v>
      </c>
      <c r="C2051" s="396">
        <v>3.0715599232E10</v>
      </c>
      <c r="D2051" s="144" t="s">
        <v>264</v>
      </c>
      <c r="E2051" s="396" t="s">
        <v>564</v>
      </c>
      <c r="F2051" s="397">
        <v>4373.0</v>
      </c>
      <c r="G2051" s="396" t="s">
        <v>68</v>
      </c>
      <c r="H2051" s="85">
        <v>1702.0</v>
      </c>
      <c r="I2051" s="129">
        <v>251200.0</v>
      </c>
      <c r="J2051" s="329" t="s">
        <v>347</v>
      </c>
      <c r="K2051" s="396" t="s">
        <v>12086</v>
      </c>
      <c r="L2051" s="119"/>
      <c r="M2051" s="119"/>
      <c r="N2051" s="119"/>
      <c r="O2051" s="396" t="s">
        <v>12087</v>
      </c>
      <c r="P2051" s="396" t="s">
        <v>12088</v>
      </c>
      <c r="Q2051" s="119"/>
      <c r="R2051" s="101"/>
      <c r="S2051" s="405"/>
      <c r="T2051" s="101"/>
      <c r="U2051" s="101"/>
      <c r="V2051" s="399"/>
      <c r="W2051" s="119"/>
      <c r="X2051" s="119"/>
      <c r="Y2051" s="119"/>
      <c r="Z2051" s="119"/>
    </row>
    <row r="2052" ht="15.75" customHeight="1">
      <c r="A2052" s="44"/>
      <c r="B2052" s="396" t="s">
        <v>3266</v>
      </c>
      <c r="C2052" s="400">
        <v>2.7119119907E10</v>
      </c>
      <c r="D2052" s="77" t="s">
        <v>631</v>
      </c>
      <c r="E2052" s="400" t="s">
        <v>12089</v>
      </c>
      <c r="F2052" s="401">
        <v>4611.0</v>
      </c>
      <c r="G2052" s="400" t="s">
        <v>15</v>
      </c>
      <c r="H2052" s="78">
        <v>1678.0</v>
      </c>
      <c r="I2052" s="83">
        <v>331101.0</v>
      </c>
      <c r="J2052" s="329" t="s">
        <v>347</v>
      </c>
      <c r="K2052" s="400" t="s">
        <v>12090</v>
      </c>
      <c r="L2052" s="79"/>
      <c r="M2052" s="79"/>
      <c r="N2052" s="79"/>
      <c r="O2052" s="400" t="s">
        <v>12091</v>
      </c>
      <c r="P2052" s="400" t="s">
        <v>12092</v>
      </c>
      <c r="Q2052" s="79"/>
      <c r="R2052" s="80"/>
      <c r="S2052" s="402"/>
      <c r="T2052" s="101"/>
      <c r="U2052" s="80"/>
      <c r="V2052" s="388"/>
      <c r="W2052" s="79"/>
      <c r="X2052" s="79"/>
      <c r="Y2052" s="79"/>
      <c r="Z2052" s="79"/>
    </row>
    <row r="2053" ht="15.75" customHeight="1">
      <c r="A2053" s="210"/>
      <c r="B2053" s="396" t="s">
        <v>3270</v>
      </c>
      <c r="C2053" s="396">
        <v>3.3717414379E10</v>
      </c>
      <c r="D2053" s="144" t="s">
        <v>264</v>
      </c>
      <c r="E2053" s="396" t="s">
        <v>12093</v>
      </c>
      <c r="F2053" s="397">
        <v>8787.0</v>
      </c>
      <c r="G2053" s="396" t="s">
        <v>175</v>
      </c>
      <c r="H2053" s="85">
        <v>1702.0</v>
      </c>
      <c r="I2053" s="129">
        <v>259999.0</v>
      </c>
      <c r="J2053" s="329" t="s">
        <v>347</v>
      </c>
      <c r="K2053" s="396" t="s">
        <v>12094</v>
      </c>
      <c r="L2053" s="119"/>
      <c r="M2053" s="119"/>
      <c r="N2053" s="119"/>
      <c r="O2053" s="396" t="s">
        <v>12095</v>
      </c>
      <c r="P2053" s="396" t="s">
        <v>12096</v>
      </c>
      <c r="Q2053" s="119"/>
      <c r="R2053" s="101"/>
      <c r="S2053" s="405"/>
      <c r="T2053" s="101"/>
      <c r="U2053" s="101"/>
      <c r="V2053" s="399"/>
      <c r="W2053" s="119"/>
      <c r="X2053" s="119"/>
      <c r="Y2053" s="119"/>
      <c r="Z2053" s="119"/>
    </row>
    <row r="2054" ht="15.75" customHeight="1">
      <c r="A2054" s="44"/>
      <c r="B2054" s="396" t="s">
        <v>3275</v>
      </c>
      <c r="C2054" s="400">
        <v>2.0227214865E10</v>
      </c>
      <c r="D2054" s="77" t="s">
        <v>631</v>
      </c>
      <c r="E2054" s="400" t="s">
        <v>12097</v>
      </c>
      <c r="F2054" s="401">
        <v>5370.0</v>
      </c>
      <c r="G2054" s="400" t="s">
        <v>15</v>
      </c>
      <c r="H2054" s="78">
        <v>1678.0</v>
      </c>
      <c r="I2054" s="83">
        <v>107912.0</v>
      </c>
      <c r="J2054" s="83" t="s">
        <v>22</v>
      </c>
      <c r="K2054" s="400" t="s">
        <v>12098</v>
      </c>
      <c r="L2054" s="79"/>
      <c r="M2054" s="79"/>
      <c r="N2054" s="79"/>
      <c r="O2054" s="400" t="s">
        <v>12099</v>
      </c>
      <c r="P2054" s="400" t="s">
        <v>12100</v>
      </c>
      <c r="Q2054" s="79"/>
      <c r="R2054" s="80"/>
      <c r="S2054" s="402"/>
      <c r="T2054" s="101"/>
      <c r="U2054" s="80"/>
      <c r="V2054" s="388"/>
      <c r="W2054" s="79"/>
      <c r="X2054" s="79"/>
      <c r="Y2054" s="79"/>
      <c r="Z2054" s="79"/>
    </row>
    <row r="2055" ht="15.75" customHeight="1">
      <c r="A2055" s="210"/>
      <c r="B2055" s="396" t="s">
        <v>3280</v>
      </c>
      <c r="C2055" s="396">
        <v>3.0717619753E10</v>
      </c>
      <c r="D2055" s="144" t="s">
        <v>264</v>
      </c>
      <c r="E2055" s="396" t="s">
        <v>12101</v>
      </c>
      <c r="F2055" s="397">
        <v>3065.0</v>
      </c>
      <c r="G2055" s="396" t="s">
        <v>68</v>
      </c>
      <c r="H2055" s="85">
        <v>1702.0</v>
      </c>
      <c r="I2055" s="129">
        <v>107129.0</v>
      </c>
      <c r="J2055" s="129" t="s">
        <v>22</v>
      </c>
      <c r="K2055" s="396" t="s">
        <v>12102</v>
      </c>
      <c r="L2055" s="119"/>
      <c r="M2055" s="119"/>
      <c r="N2055" s="119"/>
      <c r="O2055" s="396" t="s">
        <v>12103</v>
      </c>
      <c r="P2055" s="396" t="s">
        <v>12104</v>
      </c>
      <c r="Q2055" s="119"/>
      <c r="R2055" s="101"/>
      <c r="S2055" s="405"/>
      <c r="T2055" s="101"/>
      <c r="U2055" s="101"/>
      <c r="V2055" s="399"/>
      <c r="W2055" s="119"/>
      <c r="X2055" s="119"/>
      <c r="Y2055" s="119"/>
      <c r="Z2055" s="119"/>
    </row>
    <row r="2056" ht="15.75" customHeight="1">
      <c r="A2056" s="210"/>
      <c r="B2056" s="396" t="s">
        <v>3285</v>
      </c>
      <c r="C2056" s="396">
        <v>3.0715604635E10</v>
      </c>
      <c r="D2056" s="144" t="s">
        <v>264</v>
      </c>
      <c r="E2056" s="396" t="s">
        <v>12105</v>
      </c>
      <c r="F2056" s="397">
        <v>4843.0</v>
      </c>
      <c r="G2056" s="396" t="s">
        <v>15</v>
      </c>
      <c r="H2056" s="85">
        <v>1678.0</v>
      </c>
      <c r="I2056" s="129">
        <v>107999.0</v>
      </c>
      <c r="J2056" s="129" t="s">
        <v>22</v>
      </c>
      <c r="K2056" s="396" t="s">
        <v>12106</v>
      </c>
      <c r="L2056" s="119"/>
      <c r="M2056" s="119"/>
      <c r="N2056" s="119"/>
      <c r="O2056" s="396" t="s">
        <v>12107</v>
      </c>
      <c r="P2056" s="396" t="s">
        <v>12108</v>
      </c>
      <c r="Q2056" s="119"/>
      <c r="R2056" s="101"/>
      <c r="S2056" s="405"/>
      <c r="T2056" s="101"/>
      <c r="U2056" s="101"/>
      <c r="V2056" s="399"/>
      <c r="W2056" s="119"/>
      <c r="X2056" s="119"/>
      <c r="Y2056" s="119"/>
      <c r="Z2056" s="119"/>
    </row>
    <row r="2057" ht="15.75" customHeight="1">
      <c r="A2057" s="210"/>
      <c r="B2057" s="396" t="s">
        <v>3291</v>
      </c>
      <c r="C2057" s="396">
        <v>2.0308378498E10</v>
      </c>
      <c r="D2057" s="77" t="s">
        <v>631</v>
      </c>
      <c r="E2057" s="396" t="s">
        <v>12109</v>
      </c>
      <c r="F2057" s="397">
        <v>2040.0</v>
      </c>
      <c r="G2057" s="396" t="s">
        <v>68</v>
      </c>
      <c r="H2057" s="85">
        <v>1702.0</v>
      </c>
      <c r="I2057" s="126"/>
      <c r="J2057" s="329" t="s">
        <v>316</v>
      </c>
      <c r="K2057" s="396" t="s">
        <v>12110</v>
      </c>
      <c r="L2057" s="119"/>
      <c r="M2057" s="119"/>
      <c r="N2057" s="119"/>
      <c r="O2057" s="396" t="s">
        <v>12111</v>
      </c>
      <c r="P2057" s="396" t="s">
        <v>12112</v>
      </c>
      <c r="Q2057" s="119"/>
      <c r="R2057" s="101"/>
      <c r="S2057" s="405"/>
      <c r="T2057" s="101"/>
      <c r="U2057" s="101"/>
      <c r="V2057" s="399"/>
      <c r="W2057" s="119"/>
      <c r="X2057" s="119"/>
      <c r="Y2057" s="119"/>
      <c r="Z2057" s="119"/>
    </row>
    <row r="2058" ht="15.75" customHeight="1">
      <c r="A2058" s="44"/>
      <c r="B2058" s="396" t="s">
        <v>3293</v>
      </c>
      <c r="C2058" s="400">
        <v>2.7052789597E10</v>
      </c>
      <c r="D2058" s="77" t="s">
        <v>631</v>
      </c>
      <c r="E2058" s="400" t="s">
        <v>12113</v>
      </c>
      <c r="F2058" s="401">
        <v>1622.0</v>
      </c>
      <c r="G2058" s="400" t="s">
        <v>68</v>
      </c>
      <c r="H2058" s="78">
        <v>1702.0</v>
      </c>
      <c r="I2058" s="83">
        <v>261000.0</v>
      </c>
      <c r="J2058" s="83" t="s">
        <v>207</v>
      </c>
      <c r="K2058" s="400" t="s">
        <v>12114</v>
      </c>
      <c r="L2058" s="79"/>
      <c r="M2058" s="79"/>
      <c r="N2058" s="79"/>
      <c r="O2058" s="400" t="s">
        <v>12115</v>
      </c>
      <c r="P2058" s="400" t="s">
        <v>12116</v>
      </c>
      <c r="Q2058" s="79"/>
      <c r="R2058" s="80"/>
      <c r="S2058" s="400" t="s">
        <v>12117</v>
      </c>
      <c r="T2058" s="101"/>
      <c r="U2058" s="80"/>
      <c r="V2058" s="388"/>
      <c r="W2058" s="79"/>
      <c r="X2058" s="79"/>
      <c r="Y2058" s="79"/>
      <c r="Z2058" s="79"/>
    </row>
    <row r="2059" ht="15.75" customHeight="1">
      <c r="A2059" s="210"/>
      <c r="B2059" s="396" t="s">
        <v>3299</v>
      </c>
      <c r="C2059" s="396">
        <v>2.0359896E10</v>
      </c>
      <c r="D2059" s="77" t="s">
        <v>631</v>
      </c>
      <c r="E2059" s="396" t="s">
        <v>12118</v>
      </c>
      <c r="F2059" s="397">
        <v>9999.0</v>
      </c>
      <c r="G2059" s="396" t="s">
        <v>175</v>
      </c>
      <c r="H2059" s="85">
        <v>1657.0</v>
      </c>
      <c r="I2059" s="126"/>
      <c r="J2059" s="129" t="s">
        <v>568</v>
      </c>
      <c r="K2059" s="396" t="s">
        <v>11970</v>
      </c>
      <c r="L2059" s="119"/>
      <c r="M2059" s="119"/>
      <c r="N2059" s="119"/>
      <c r="O2059" s="396" t="s">
        <v>12119</v>
      </c>
      <c r="P2059" s="396" t="s">
        <v>12120</v>
      </c>
      <c r="Q2059" s="119"/>
      <c r="R2059" s="101"/>
      <c r="S2059" s="405"/>
      <c r="T2059" s="101"/>
      <c r="U2059" s="101"/>
      <c r="V2059" s="399"/>
      <c r="W2059" s="119"/>
      <c r="X2059" s="119"/>
      <c r="Y2059" s="119"/>
      <c r="Z2059" s="119"/>
    </row>
    <row r="2060" ht="15.75" customHeight="1">
      <c r="A2060" s="210"/>
      <c r="B2060" s="396" t="s">
        <v>3303</v>
      </c>
      <c r="C2060" s="396">
        <v>2.0176021714E10</v>
      </c>
      <c r="D2060" s="77" t="s">
        <v>631</v>
      </c>
      <c r="E2060" s="396" t="s">
        <v>12121</v>
      </c>
      <c r="F2060" s="397">
        <v>32.0</v>
      </c>
      <c r="G2060" s="400" t="s">
        <v>68</v>
      </c>
      <c r="H2060" s="85">
        <v>1702.0</v>
      </c>
      <c r="I2060" s="129">
        <v>241009.0</v>
      </c>
      <c r="J2060" s="329" t="s">
        <v>347</v>
      </c>
      <c r="K2060" s="396" t="s">
        <v>12094</v>
      </c>
      <c r="L2060" s="119"/>
      <c r="M2060" s="119"/>
      <c r="N2060" s="119"/>
      <c r="O2060" s="396" t="s">
        <v>3303</v>
      </c>
      <c r="P2060" s="396">
        <v>1.146531644E9</v>
      </c>
      <c r="Q2060" s="119"/>
      <c r="R2060" s="101"/>
      <c r="S2060" s="396">
        <v>4.6531644E7</v>
      </c>
      <c r="T2060" s="101"/>
      <c r="U2060" s="101"/>
      <c r="V2060" s="399"/>
      <c r="W2060" s="119"/>
      <c r="X2060" s="119"/>
      <c r="Y2060" s="119"/>
      <c r="Z2060" s="119"/>
    </row>
    <row r="2061" ht="15.75" customHeight="1">
      <c r="A2061" s="210"/>
      <c r="B2061" s="396" t="s">
        <v>3304</v>
      </c>
      <c r="C2061" s="396">
        <v>3.0712373047E10</v>
      </c>
      <c r="D2061" s="144" t="s">
        <v>264</v>
      </c>
      <c r="E2061" s="396" t="s">
        <v>12122</v>
      </c>
      <c r="F2061" s="397">
        <v>8450.0</v>
      </c>
      <c r="G2061" s="396" t="s">
        <v>175</v>
      </c>
      <c r="H2061" s="85">
        <v>1657.0</v>
      </c>
      <c r="I2061" s="129">
        <v>310010.0</v>
      </c>
      <c r="J2061" s="129" t="s">
        <v>313</v>
      </c>
      <c r="K2061" s="396" t="s">
        <v>12123</v>
      </c>
      <c r="L2061" s="119"/>
      <c r="M2061" s="119"/>
      <c r="N2061" s="119"/>
      <c r="O2061" s="396" t="s">
        <v>12124</v>
      </c>
      <c r="P2061" s="396" t="s">
        <v>12125</v>
      </c>
      <c r="Q2061" s="119"/>
      <c r="R2061" s="101"/>
      <c r="S2061" s="405"/>
      <c r="T2061" s="101"/>
      <c r="U2061" s="101"/>
      <c r="V2061" s="399"/>
      <c r="W2061" s="119"/>
      <c r="X2061" s="119"/>
      <c r="Y2061" s="119"/>
      <c r="Z2061" s="119"/>
    </row>
    <row r="2062" ht="15.75" customHeight="1">
      <c r="A2062" s="210"/>
      <c r="B2062" s="396" t="s">
        <v>3310</v>
      </c>
      <c r="C2062" s="396">
        <v>2.0288571571E10</v>
      </c>
      <c r="D2062" s="77" t="s">
        <v>631</v>
      </c>
      <c r="E2062" s="396" t="s">
        <v>12126</v>
      </c>
      <c r="F2062" s="397">
        <v>1160.0</v>
      </c>
      <c r="G2062" s="396" t="s">
        <v>269</v>
      </c>
      <c r="H2062" s="85">
        <v>1682.0</v>
      </c>
      <c r="I2062" s="129">
        <v>310010.0</v>
      </c>
      <c r="J2062" s="129" t="s">
        <v>313</v>
      </c>
      <c r="K2062" s="396" t="s">
        <v>12127</v>
      </c>
      <c r="L2062" s="119"/>
      <c r="M2062" s="119"/>
      <c r="N2062" s="119"/>
      <c r="O2062" s="396" t="s">
        <v>12128</v>
      </c>
      <c r="P2062" s="396" t="s">
        <v>12129</v>
      </c>
      <c r="Q2062" s="119"/>
      <c r="R2062" s="101"/>
      <c r="S2062" s="396" t="s">
        <v>12130</v>
      </c>
      <c r="T2062" s="101"/>
      <c r="U2062" s="101"/>
      <c r="V2062" s="399"/>
      <c r="W2062" s="119"/>
      <c r="X2062" s="119"/>
      <c r="Y2062" s="119"/>
      <c r="Z2062" s="119"/>
    </row>
    <row r="2063" ht="15.75" customHeight="1">
      <c r="A2063" s="210"/>
      <c r="B2063" s="396" t="s">
        <v>3312</v>
      </c>
      <c r="C2063" s="396">
        <v>3.0717389529E10</v>
      </c>
      <c r="D2063" s="144" t="s">
        <v>264</v>
      </c>
      <c r="E2063" s="396" t="s">
        <v>12131</v>
      </c>
      <c r="F2063" s="397">
        <v>4386.0</v>
      </c>
      <c r="G2063" s="396" t="s">
        <v>15</v>
      </c>
      <c r="H2063" s="85">
        <v>1678.0</v>
      </c>
      <c r="I2063" s="129">
        <v>107999.0</v>
      </c>
      <c r="J2063" s="129" t="s">
        <v>22</v>
      </c>
      <c r="K2063" s="396" t="s">
        <v>12132</v>
      </c>
      <c r="L2063" s="119"/>
      <c r="M2063" s="119"/>
      <c r="N2063" s="119"/>
      <c r="O2063" s="396" t="s">
        <v>12133</v>
      </c>
      <c r="P2063" s="396" t="s">
        <v>12134</v>
      </c>
      <c r="Q2063" s="119"/>
      <c r="R2063" s="101"/>
      <c r="S2063" s="405"/>
      <c r="T2063" s="101"/>
      <c r="U2063" s="101"/>
      <c r="V2063" s="399"/>
      <c r="W2063" s="119"/>
      <c r="X2063" s="119"/>
      <c r="Y2063" s="119"/>
      <c r="Z2063" s="119"/>
    </row>
    <row r="2064" ht="15.75" customHeight="1">
      <c r="A2064" s="44"/>
      <c r="B2064" s="396" t="s">
        <v>3319</v>
      </c>
      <c r="C2064" s="400">
        <v>3.3716790369E10</v>
      </c>
      <c r="D2064" s="77" t="s">
        <v>264</v>
      </c>
      <c r="E2064" s="400" t="s">
        <v>10436</v>
      </c>
      <c r="F2064" s="401">
        <v>5860.0</v>
      </c>
      <c r="G2064" s="77" t="s">
        <v>134</v>
      </c>
      <c r="H2064" s="78">
        <v>1682.0</v>
      </c>
      <c r="I2064" s="83">
        <v>251101.0</v>
      </c>
      <c r="J2064" s="329" t="s">
        <v>347</v>
      </c>
      <c r="K2064" s="400" t="s">
        <v>12135</v>
      </c>
      <c r="L2064" s="79"/>
      <c r="M2064" s="79"/>
      <c r="N2064" s="79"/>
      <c r="O2064" s="400" t="s">
        <v>12136</v>
      </c>
      <c r="P2064" s="400" t="s">
        <v>12137</v>
      </c>
      <c r="Q2064" s="79"/>
      <c r="R2064" s="80"/>
      <c r="S2064" s="402"/>
      <c r="T2064" s="101"/>
      <c r="U2064" s="80"/>
      <c r="V2064" s="388"/>
      <c r="W2064" s="79"/>
      <c r="X2064" s="79"/>
      <c r="Y2064" s="79"/>
      <c r="Z2064" s="79"/>
    </row>
    <row r="2065" ht="15.75" customHeight="1">
      <c r="A2065" s="210"/>
      <c r="B2065" s="396" t="s">
        <v>3325</v>
      </c>
      <c r="C2065" s="396">
        <v>2.0940698198E10</v>
      </c>
      <c r="D2065" s="77" t="s">
        <v>631</v>
      </c>
      <c r="E2065" s="396" t="s">
        <v>2902</v>
      </c>
      <c r="F2065" s="397">
        <v>544.0</v>
      </c>
      <c r="G2065" s="396" t="s">
        <v>68</v>
      </c>
      <c r="H2065" s="85">
        <v>1702.0</v>
      </c>
      <c r="I2065" s="129">
        <v>141199.0</v>
      </c>
      <c r="J2065" s="129" t="s">
        <v>448</v>
      </c>
      <c r="K2065" s="396" t="s">
        <v>12138</v>
      </c>
      <c r="L2065" s="119"/>
      <c r="M2065" s="119"/>
      <c r="N2065" s="119"/>
      <c r="O2065" s="396" t="s">
        <v>3325</v>
      </c>
      <c r="P2065" s="396" t="s">
        <v>12139</v>
      </c>
      <c r="Q2065" s="119"/>
      <c r="R2065" s="101"/>
      <c r="S2065" s="405"/>
      <c r="T2065" s="101"/>
      <c r="U2065" s="101"/>
      <c r="V2065" s="399"/>
      <c r="W2065" s="119"/>
      <c r="X2065" s="119"/>
      <c r="Y2065" s="119"/>
      <c r="Z2065" s="119"/>
    </row>
    <row r="2066" ht="15.75" customHeight="1">
      <c r="A2066" s="408"/>
      <c r="B2066" s="409" t="s">
        <v>3327</v>
      </c>
      <c r="C2066" s="411">
        <v>3.0714112216E10</v>
      </c>
      <c r="D2066" s="291" t="s">
        <v>264</v>
      </c>
      <c r="E2066" s="411" t="s">
        <v>3130</v>
      </c>
      <c r="F2066" s="412">
        <v>6050.0</v>
      </c>
      <c r="G2066" s="77" t="s">
        <v>134</v>
      </c>
      <c r="H2066" s="240">
        <v>1683.0</v>
      </c>
      <c r="I2066" s="329">
        <v>259999.0</v>
      </c>
      <c r="J2066" s="329" t="s">
        <v>347</v>
      </c>
      <c r="K2066" s="411" t="s">
        <v>12094</v>
      </c>
      <c r="L2066" s="176"/>
      <c r="M2066" s="176"/>
      <c r="N2066" s="176"/>
      <c r="O2066" s="411" t="s">
        <v>12140</v>
      </c>
      <c r="P2066" s="411">
        <v>1.13005605E9</v>
      </c>
      <c r="Q2066" s="176"/>
      <c r="R2066" s="114"/>
      <c r="S2066" s="413"/>
      <c r="T2066" s="200"/>
      <c r="U2066" s="114"/>
      <c r="V2066" s="414"/>
      <c r="W2066" s="176"/>
      <c r="X2066" s="176"/>
      <c r="Y2066" s="176"/>
      <c r="Z2066" s="176"/>
    </row>
    <row r="2067" ht="15.75" customHeight="1">
      <c r="A2067" s="210"/>
      <c r="B2067" s="396" t="s">
        <v>3331</v>
      </c>
      <c r="C2067" s="396">
        <v>3.0612383983E10</v>
      </c>
      <c r="D2067" s="144" t="s">
        <v>264</v>
      </c>
      <c r="E2067" s="396" t="s">
        <v>12141</v>
      </c>
      <c r="F2067" s="397">
        <v>4073.0</v>
      </c>
      <c r="G2067" s="396" t="s">
        <v>15</v>
      </c>
      <c r="H2067" s="85">
        <v>1678.0</v>
      </c>
      <c r="I2067" s="129">
        <v>2511401.0</v>
      </c>
      <c r="J2067" s="329" t="s">
        <v>347</v>
      </c>
      <c r="K2067" s="396" t="s">
        <v>12142</v>
      </c>
      <c r="L2067" s="119"/>
      <c r="M2067" s="119"/>
      <c r="N2067" s="119"/>
      <c r="O2067" s="396" t="s">
        <v>12143</v>
      </c>
      <c r="P2067" s="398"/>
      <c r="Q2067" s="119"/>
      <c r="R2067" s="101"/>
      <c r="S2067" s="396" t="s">
        <v>12144</v>
      </c>
      <c r="T2067" s="101"/>
      <c r="U2067" s="101"/>
      <c r="V2067" s="399"/>
      <c r="W2067" s="119"/>
      <c r="X2067" s="119"/>
      <c r="Y2067" s="119"/>
      <c r="Z2067" s="119"/>
    </row>
    <row r="2068" ht="15.75" customHeight="1">
      <c r="A2068" s="210"/>
      <c r="B2068" s="396" t="s">
        <v>3336</v>
      </c>
      <c r="C2068" s="396">
        <v>3.0717324257E10</v>
      </c>
      <c r="D2068" s="144" t="s">
        <v>2519</v>
      </c>
      <c r="E2068" s="396" t="s">
        <v>1721</v>
      </c>
      <c r="F2068" s="397">
        <v>183.0</v>
      </c>
      <c r="G2068" s="396" t="s">
        <v>68</v>
      </c>
      <c r="H2068" s="85">
        <v>1702.0</v>
      </c>
      <c r="I2068" s="126"/>
      <c r="J2068" s="129" t="s">
        <v>22</v>
      </c>
      <c r="K2068" s="396" t="s">
        <v>12006</v>
      </c>
      <c r="L2068" s="119"/>
      <c r="M2068" s="119"/>
      <c r="N2068" s="119"/>
      <c r="O2068" s="396" t="s">
        <v>12145</v>
      </c>
      <c r="P2068" s="398"/>
      <c r="Q2068" s="119"/>
      <c r="R2068" s="101"/>
      <c r="S2068" s="396" t="s">
        <v>12146</v>
      </c>
      <c r="T2068" s="101"/>
      <c r="U2068" s="101"/>
      <c r="V2068" s="399"/>
      <c r="W2068" s="119"/>
      <c r="X2068" s="119"/>
      <c r="Y2068" s="119"/>
      <c r="Z2068" s="119"/>
    </row>
    <row r="2069" ht="15.75" customHeight="1">
      <c r="A2069" s="210"/>
      <c r="B2069" s="396" t="s">
        <v>3338</v>
      </c>
      <c r="C2069" s="396">
        <v>2.7347672055E10</v>
      </c>
      <c r="D2069" s="77" t="s">
        <v>631</v>
      </c>
      <c r="E2069" s="396" t="s">
        <v>12147</v>
      </c>
      <c r="F2069" s="397">
        <v>1366.0</v>
      </c>
      <c r="G2069" s="396" t="s">
        <v>269</v>
      </c>
      <c r="H2069" s="85">
        <v>1682.0</v>
      </c>
      <c r="I2069" s="129">
        <v>131131.0</v>
      </c>
      <c r="J2069" s="129" t="s">
        <v>448</v>
      </c>
      <c r="K2069" s="396" t="s">
        <v>12148</v>
      </c>
      <c r="L2069" s="119"/>
      <c r="M2069" s="119"/>
      <c r="N2069" s="119"/>
      <c r="O2069" s="396" t="s">
        <v>3338</v>
      </c>
      <c r="P2069" s="398"/>
      <c r="Q2069" s="119"/>
      <c r="R2069" s="101"/>
      <c r="S2069" s="405"/>
      <c r="T2069" s="101"/>
      <c r="U2069" s="101"/>
      <c r="V2069" s="399"/>
      <c r="W2069" s="119"/>
      <c r="X2069" s="119"/>
      <c r="Y2069" s="119"/>
      <c r="Z2069" s="119"/>
    </row>
    <row r="2070" ht="15.75" customHeight="1">
      <c r="A2070" s="210"/>
      <c r="B2070" s="396" t="s">
        <v>3347</v>
      </c>
      <c r="C2070" s="396">
        <v>2.0277185394E10</v>
      </c>
      <c r="D2070" s="77" t="s">
        <v>631</v>
      </c>
      <c r="E2070" s="396" t="s">
        <v>2528</v>
      </c>
      <c r="F2070" s="397">
        <v>2927.0</v>
      </c>
      <c r="G2070" s="396" t="s">
        <v>15</v>
      </c>
      <c r="H2070" s="85">
        <v>1678.0</v>
      </c>
      <c r="I2070" s="129">
        <v>434129.0</v>
      </c>
      <c r="J2070" s="129" t="s">
        <v>448</v>
      </c>
      <c r="K2070" s="396" t="s">
        <v>12149</v>
      </c>
      <c r="L2070" s="119"/>
      <c r="M2070" s="119"/>
      <c r="N2070" s="119"/>
      <c r="O2070" s="396" t="s">
        <v>12150</v>
      </c>
      <c r="P2070" s="398"/>
      <c r="Q2070" s="119"/>
      <c r="R2070" s="101"/>
      <c r="S2070" s="405"/>
      <c r="T2070" s="101"/>
      <c r="U2070" s="101"/>
      <c r="V2070" s="399"/>
      <c r="W2070" s="119"/>
      <c r="X2070" s="119"/>
      <c r="Y2070" s="119"/>
      <c r="Z2070" s="119"/>
    </row>
    <row r="2071" ht="15.75" customHeight="1">
      <c r="A2071" s="210"/>
      <c r="B2071" s="396" t="s">
        <v>3356</v>
      </c>
      <c r="C2071" s="396">
        <v>2.0143099491E10</v>
      </c>
      <c r="D2071" s="77" t="s">
        <v>631</v>
      </c>
      <c r="E2071" s="396" t="s">
        <v>11872</v>
      </c>
      <c r="F2071" s="397">
        <v>4649.0</v>
      </c>
      <c r="G2071" s="396" t="s">
        <v>15</v>
      </c>
      <c r="H2071" s="85">
        <v>1678.0</v>
      </c>
      <c r="I2071" s="129">
        <v>139202.0</v>
      </c>
      <c r="J2071" s="129" t="s">
        <v>448</v>
      </c>
      <c r="K2071" s="396" t="s">
        <v>12151</v>
      </c>
      <c r="L2071" s="119"/>
      <c r="M2071" s="119"/>
      <c r="N2071" s="119"/>
      <c r="O2071" s="396" t="s">
        <v>12152</v>
      </c>
      <c r="P2071" s="396" t="s">
        <v>12153</v>
      </c>
      <c r="Q2071" s="119"/>
      <c r="R2071" s="101"/>
      <c r="S2071" s="405"/>
      <c r="T2071" s="101"/>
      <c r="U2071" s="101"/>
      <c r="V2071" s="399"/>
      <c r="W2071" s="119"/>
      <c r="X2071" s="119"/>
      <c r="Y2071" s="119"/>
      <c r="Z2071" s="119"/>
    </row>
    <row r="2072" ht="15.75" customHeight="1">
      <c r="A2072" s="210"/>
      <c r="B2072" s="396" t="s">
        <v>3360</v>
      </c>
      <c r="C2072" s="396">
        <v>3.0717716651E10</v>
      </c>
      <c r="D2072" s="144" t="s">
        <v>264</v>
      </c>
      <c r="E2072" s="396" t="s">
        <v>12154</v>
      </c>
      <c r="F2072" s="397">
        <v>4240.0</v>
      </c>
      <c r="G2072" s="396" t="s">
        <v>68</v>
      </c>
      <c r="H2072" s="85">
        <v>1702.0</v>
      </c>
      <c r="I2072" s="126"/>
      <c r="J2072" s="129" t="s">
        <v>142</v>
      </c>
      <c r="K2072" s="396" t="s">
        <v>12155</v>
      </c>
      <c r="L2072" s="119"/>
      <c r="M2072" s="119"/>
      <c r="N2072" s="119"/>
      <c r="O2072" s="396" t="s">
        <v>12156</v>
      </c>
      <c r="P2072" s="396" t="s">
        <v>12157</v>
      </c>
      <c r="Q2072" s="119"/>
      <c r="R2072" s="101"/>
      <c r="S2072" s="405"/>
      <c r="T2072" s="101"/>
      <c r="U2072" s="101"/>
      <c r="V2072" s="399"/>
      <c r="W2072" s="119"/>
      <c r="X2072" s="119"/>
      <c r="Y2072" s="119"/>
      <c r="Z2072" s="119"/>
    </row>
    <row r="2073" ht="15.75" customHeight="1">
      <c r="A2073" s="210"/>
      <c r="B2073" s="396" t="s">
        <v>3364</v>
      </c>
      <c r="C2073" s="396">
        <v>3.071777944E10</v>
      </c>
      <c r="D2073" s="144" t="s">
        <v>264</v>
      </c>
      <c r="E2073" s="396" t="s">
        <v>12131</v>
      </c>
      <c r="F2073" s="397">
        <v>2837.0</v>
      </c>
      <c r="G2073" s="396" t="s">
        <v>15</v>
      </c>
      <c r="H2073" s="85">
        <v>1678.0</v>
      </c>
      <c r="I2073" s="129">
        <v>259100.0</v>
      </c>
      <c r="J2073" s="329" t="s">
        <v>347</v>
      </c>
      <c r="K2073" s="396" t="s">
        <v>12158</v>
      </c>
      <c r="L2073" s="119"/>
      <c r="M2073" s="119"/>
      <c r="N2073" s="119"/>
      <c r="O2073" s="396" t="s">
        <v>12159</v>
      </c>
      <c r="P2073" s="396" t="s">
        <v>12160</v>
      </c>
      <c r="Q2073" s="119"/>
      <c r="R2073" s="101"/>
      <c r="S2073" s="405"/>
      <c r="T2073" s="101"/>
      <c r="U2073" s="101"/>
      <c r="V2073" s="399"/>
      <c r="W2073" s="119"/>
      <c r="X2073" s="119"/>
      <c r="Y2073" s="119"/>
      <c r="Z2073" s="119"/>
    </row>
    <row r="2074" ht="15.75" customHeight="1">
      <c r="A2074" s="210"/>
      <c r="B2074" s="396" t="s">
        <v>3375</v>
      </c>
      <c r="C2074" s="396">
        <v>2.0343188537E10</v>
      </c>
      <c r="D2074" s="77" t="s">
        <v>631</v>
      </c>
      <c r="E2074" s="396" t="s">
        <v>2938</v>
      </c>
      <c r="F2074" s="397">
        <v>1567.0</v>
      </c>
      <c r="G2074" s="396" t="s">
        <v>68</v>
      </c>
      <c r="H2074" s="85">
        <v>1702.0</v>
      </c>
      <c r="I2074" s="129">
        <v>162902.0</v>
      </c>
      <c r="J2074" s="129" t="s">
        <v>313</v>
      </c>
      <c r="K2074" s="396" t="s">
        <v>12161</v>
      </c>
      <c r="L2074" s="119"/>
      <c r="M2074" s="119"/>
      <c r="N2074" s="119"/>
      <c r="O2074" s="396" t="s">
        <v>12162</v>
      </c>
      <c r="P2074" s="396" t="s">
        <v>12163</v>
      </c>
      <c r="Q2074" s="119"/>
      <c r="R2074" s="101"/>
      <c r="S2074" s="405"/>
      <c r="T2074" s="101"/>
      <c r="U2074" s="101"/>
      <c r="V2074" s="399"/>
      <c r="W2074" s="119"/>
      <c r="X2074" s="119"/>
      <c r="Y2074" s="119"/>
      <c r="Z2074" s="119"/>
    </row>
    <row r="2075" ht="15.75" customHeight="1">
      <c r="A2075" s="210"/>
      <c r="B2075" s="396" t="s">
        <v>3378</v>
      </c>
      <c r="C2075" s="396">
        <v>3.0715645617E10</v>
      </c>
      <c r="D2075" s="144" t="s">
        <v>264</v>
      </c>
      <c r="E2075" s="396" t="s">
        <v>33</v>
      </c>
      <c r="F2075" s="397">
        <v>8765.0</v>
      </c>
      <c r="G2075" s="396" t="s">
        <v>175</v>
      </c>
      <c r="H2075" s="85">
        <v>1657.0</v>
      </c>
      <c r="I2075" s="129">
        <v>107999.0</v>
      </c>
      <c r="J2075" s="129" t="s">
        <v>22</v>
      </c>
      <c r="K2075" s="396" t="s">
        <v>12164</v>
      </c>
      <c r="L2075" s="119"/>
      <c r="M2075" s="119"/>
      <c r="N2075" s="119"/>
      <c r="O2075" s="396" t="s">
        <v>12165</v>
      </c>
      <c r="P2075" s="396" t="s">
        <v>12166</v>
      </c>
      <c r="Q2075" s="119"/>
      <c r="R2075" s="101"/>
      <c r="S2075" s="405"/>
      <c r="T2075" s="101"/>
      <c r="U2075" s="101"/>
      <c r="V2075" s="399"/>
      <c r="W2075" s="119"/>
      <c r="X2075" s="119"/>
      <c r="Y2075" s="119"/>
      <c r="Z2075" s="119"/>
    </row>
    <row r="2076" ht="15.75" customHeight="1">
      <c r="A2076" s="210"/>
      <c r="B2076" s="396" t="s">
        <v>3382</v>
      </c>
      <c r="C2076" s="396">
        <v>3.0717400174E10</v>
      </c>
      <c r="D2076" s="144" t="s">
        <v>264</v>
      </c>
      <c r="E2076" s="396" t="s">
        <v>503</v>
      </c>
      <c r="F2076" s="397">
        <v>3210.0</v>
      </c>
      <c r="G2076" s="396" t="s">
        <v>68</v>
      </c>
      <c r="H2076" s="85">
        <v>1702.0</v>
      </c>
      <c r="I2076" s="126"/>
      <c r="J2076" s="129" t="s">
        <v>448</v>
      </c>
      <c r="K2076" s="396" t="s">
        <v>12167</v>
      </c>
      <c r="L2076" s="119"/>
      <c r="M2076" s="119"/>
      <c r="N2076" s="119"/>
      <c r="O2076" s="396" t="s">
        <v>12168</v>
      </c>
      <c r="P2076" s="396" t="s">
        <v>12169</v>
      </c>
      <c r="Q2076" s="119"/>
      <c r="R2076" s="101"/>
      <c r="S2076" s="405"/>
      <c r="T2076" s="101"/>
      <c r="U2076" s="101"/>
      <c r="V2076" s="399"/>
      <c r="W2076" s="119"/>
      <c r="X2076" s="119"/>
      <c r="Y2076" s="119"/>
      <c r="Z2076" s="119"/>
    </row>
    <row r="2077" ht="15.75" customHeight="1">
      <c r="A2077" s="210"/>
      <c r="B2077" s="396" t="s">
        <v>3385</v>
      </c>
      <c r="C2077" s="396">
        <v>3.0716120208E10</v>
      </c>
      <c r="D2077" s="144" t="s">
        <v>264</v>
      </c>
      <c r="E2077" s="396" t="s">
        <v>12170</v>
      </c>
      <c r="F2077" s="397">
        <v>5335.0</v>
      </c>
      <c r="G2077" s="396" t="s">
        <v>15</v>
      </c>
      <c r="H2077" s="85">
        <v>1678.0</v>
      </c>
      <c r="I2077" s="129">
        <v>310010.0</v>
      </c>
      <c r="J2077" s="129" t="s">
        <v>313</v>
      </c>
      <c r="K2077" s="396" t="s">
        <v>12171</v>
      </c>
      <c r="L2077" s="119"/>
      <c r="M2077" s="119"/>
      <c r="N2077" s="119"/>
      <c r="O2077" s="396" t="s">
        <v>12172</v>
      </c>
      <c r="P2077" s="396" t="s">
        <v>12173</v>
      </c>
      <c r="Q2077" s="119"/>
      <c r="R2077" s="101"/>
      <c r="S2077" s="405"/>
      <c r="T2077" s="101"/>
      <c r="U2077" s="101"/>
      <c r="V2077" s="399"/>
      <c r="W2077" s="119"/>
      <c r="X2077" s="119"/>
      <c r="Y2077" s="119"/>
      <c r="Z2077" s="119"/>
    </row>
    <row r="2078" ht="15.75" customHeight="1">
      <c r="A2078" s="44"/>
      <c r="B2078" s="396" t="s">
        <v>3393</v>
      </c>
      <c r="C2078" s="400">
        <v>3.0716483092E10</v>
      </c>
      <c r="D2078" s="77" t="s">
        <v>264</v>
      </c>
      <c r="E2078" s="400" t="s">
        <v>12174</v>
      </c>
      <c r="F2078" s="401">
        <v>2151.0</v>
      </c>
      <c r="G2078" s="400" t="s">
        <v>15</v>
      </c>
      <c r="H2078" s="78">
        <v>1678.0</v>
      </c>
      <c r="I2078" s="83">
        <v>141199.0</v>
      </c>
      <c r="J2078" s="83" t="s">
        <v>448</v>
      </c>
      <c r="K2078" s="400" t="s">
        <v>12175</v>
      </c>
      <c r="L2078" s="79"/>
      <c r="M2078" s="79"/>
      <c r="N2078" s="79"/>
      <c r="O2078" s="400" t="s">
        <v>12176</v>
      </c>
      <c r="P2078" s="400" t="s">
        <v>12177</v>
      </c>
      <c r="Q2078" s="79"/>
      <c r="R2078" s="80"/>
      <c r="S2078" s="402"/>
      <c r="T2078" s="101"/>
      <c r="U2078" s="80"/>
      <c r="V2078" s="388"/>
      <c r="W2078" s="79"/>
      <c r="X2078" s="79"/>
      <c r="Y2078" s="79"/>
      <c r="Z2078" s="79"/>
    </row>
    <row r="2079" ht="15.75" customHeight="1">
      <c r="A2079" s="416"/>
      <c r="B2079" s="409" t="s">
        <v>3397</v>
      </c>
      <c r="C2079" s="409">
        <v>3.0717486842E10</v>
      </c>
      <c r="D2079" s="417" t="s">
        <v>264</v>
      </c>
      <c r="E2079" s="409" t="s">
        <v>503</v>
      </c>
      <c r="F2079" s="418">
        <v>3266.0</v>
      </c>
      <c r="G2079" s="409" t="s">
        <v>68</v>
      </c>
      <c r="H2079" s="275">
        <v>1702.0</v>
      </c>
      <c r="I2079" s="419">
        <v>107309.0</v>
      </c>
      <c r="J2079" s="419" t="s">
        <v>12048</v>
      </c>
      <c r="K2079" s="409" t="s">
        <v>12178</v>
      </c>
      <c r="L2079" s="387"/>
      <c r="M2079" s="387"/>
      <c r="N2079" s="387"/>
      <c r="O2079" s="409" t="s">
        <v>12179</v>
      </c>
      <c r="P2079" s="409" t="s">
        <v>12180</v>
      </c>
      <c r="Q2079" s="387"/>
      <c r="R2079" s="200"/>
      <c r="S2079" s="420"/>
      <c r="T2079" s="200"/>
      <c r="U2079" s="200"/>
      <c r="V2079" s="421"/>
      <c r="W2079" s="387"/>
      <c r="X2079" s="387"/>
      <c r="Y2079" s="387"/>
      <c r="Z2079" s="387"/>
    </row>
    <row r="2080" ht="15.75" customHeight="1">
      <c r="A2080" s="44"/>
      <c r="B2080" s="396" t="s">
        <v>3401</v>
      </c>
      <c r="C2080" s="400">
        <v>2.0359570296E10</v>
      </c>
      <c r="D2080" s="77" t="s">
        <v>631</v>
      </c>
      <c r="E2080" s="400" t="s">
        <v>2443</v>
      </c>
      <c r="F2080" s="401">
        <v>1519.0</v>
      </c>
      <c r="G2080" s="400" t="s">
        <v>68</v>
      </c>
      <c r="H2080" s="78">
        <v>1702.0</v>
      </c>
      <c r="I2080" s="83">
        <v>259993.0</v>
      </c>
      <c r="J2080" s="329" t="s">
        <v>347</v>
      </c>
      <c r="K2080" s="400" t="s">
        <v>12035</v>
      </c>
      <c r="L2080" s="79"/>
      <c r="M2080" s="79"/>
      <c r="N2080" s="79"/>
      <c r="O2080" s="400" t="s">
        <v>12181</v>
      </c>
      <c r="P2080" s="400" t="s">
        <v>12182</v>
      </c>
      <c r="Q2080" s="79"/>
      <c r="R2080" s="80"/>
      <c r="S2080" s="402"/>
      <c r="T2080" s="101"/>
      <c r="U2080" s="80"/>
      <c r="V2080" s="388"/>
      <c r="W2080" s="79"/>
      <c r="X2080" s="79"/>
      <c r="Y2080" s="79"/>
      <c r="Z2080" s="79"/>
    </row>
    <row r="2081" ht="15.75" customHeight="1">
      <c r="A2081" s="210"/>
      <c r="B2081" s="396" t="s">
        <v>3406</v>
      </c>
      <c r="C2081" s="396">
        <v>3.0716112191E10</v>
      </c>
      <c r="D2081" s="144" t="s">
        <v>264</v>
      </c>
      <c r="E2081" s="396" t="s">
        <v>12183</v>
      </c>
      <c r="F2081" s="397">
        <v>5314.0</v>
      </c>
      <c r="G2081" s="400" t="s">
        <v>15</v>
      </c>
      <c r="H2081" s="85">
        <v>1678.0</v>
      </c>
      <c r="I2081" s="129">
        <v>152021.0</v>
      </c>
      <c r="J2081" s="129" t="s">
        <v>73</v>
      </c>
      <c r="K2081" s="396" t="s">
        <v>12184</v>
      </c>
      <c r="L2081" s="119"/>
      <c r="M2081" s="119"/>
      <c r="N2081" s="119"/>
      <c r="O2081" s="396" t="s">
        <v>12185</v>
      </c>
      <c r="P2081" s="396" t="s">
        <v>12186</v>
      </c>
      <c r="Q2081" s="119"/>
      <c r="R2081" s="101"/>
      <c r="S2081" s="405"/>
      <c r="T2081" s="101"/>
      <c r="U2081" s="101"/>
      <c r="V2081" s="399"/>
      <c r="W2081" s="119"/>
      <c r="X2081" s="119"/>
      <c r="Y2081" s="119"/>
      <c r="Z2081" s="119"/>
    </row>
    <row r="2082" ht="15.75" customHeight="1">
      <c r="A2082" s="210"/>
      <c r="B2082" s="396" t="s">
        <v>3409</v>
      </c>
      <c r="C2082" s="396">
        <v>2.0216517262E10</v>
      </c>
      <c r="D2082" s="77" t="s">
        <v>631</v>
      </c>
      <c r="E2082" s="396" t="s">
        <v>1427</v>
      </c>
      <c r="F2082" s="397">
        <v>3722.0</v>
      </c>
      <c r="G2082" s="400" t="s">
        <v>15</v>
      </c>
      <c r="H2082" s="85">
        <v>1678.0</v>
      </c>
      <c r="I2082" s="129">
        <v>107999.0</v>
      </c>
      <c r="J2082" s="129" t="s">
        <v>22</v>
      </c>
      <c r="K2082" s="396" t="s">
        <v>12187</v>
      </c>
      <c r="L2082" s="119"/>
      <c r="M2082" s="119"/>
      <c r="N2082" s="119"/>
      <c r="O2082" s="396" t="s">
        <v>12188</v>
      </c>
      <c r="P2082" s="396" t="s">
        <v>12189</v>
      </c>
      <c r="Q2082" s="119"/>
      <c r="R2082" s="101"/>
      <c r="S2082" s="405"/>
      <c r="T2082" s="101"/>
      <c r="U2082" s="101"/>
      <c r="V2082" s="399"/>
      <c r="W2082" s="119"/>
      <c r="X2082" s="119"/>
      <c r="Y2082" s="119"/>
      <c r="Z2082" s="119"/>
    </row>
    <row r="2083" ht="15.75" customHeight="1">
      <c r="A2083" s="210"/>
      <c r="B2083" s="396" t="s">
        <v>3414</v>
      </c>
      <c r="C2083" s="396">
        <v>3.0715102001E10</v>
      </c>
      <c r="D2083" s="144" t="s">
        <v>264</v>
      </c>
      <c r="E2083" s="396" t="s">
        <v>12190</v>
      </c>
      <c r="F2083" s="397">
        <v>1566.0</v>
      </c>
      <c r="G2083" s="396" t="s">
        <v>119</v>
      </c>
      <c r="H2083" s="85">
        <v>1657.0</v>
      </c>
      <c r="I2083" s="129">
        <v>310020.0</v>
      </c>
      <c r="J2083" s="329" t="s">
        <v>347</v>
      </c>
      <c r="K2083" s="396" t="s">
        <v>12191</v>
      </c>
      <c r="L2083" s="119"/>
      <c r="M2083" s="119"/>
      <c r="N2083" s="119"/>
      <c r="O2083" s="396" t="s">
        <v>12192</v>
      </c>
      <c r="P2083" s="396" t="s">
        <v>12193</v>
      </c>
      <c r="Q2083" s="119"/>
      <c r="R2083" s="101"/>
      <c r="S2083" s="405"/>
      <c r="T2083" s="101"/>
      <c r="U2083" s="101"/>
      <c r="V2083" s="399"/>
      <c r="W2083" s="119"/>
      <c r="X2083" s="119"/>
      <c r="Y2083" s="119"/>
      <c r="Z2083" s="119"/>
    </row>
    <row r="2084" ht="15.75" customHeight="1">
      <c r="A2084" s="210"/>
      <c r="B2084" s="396" t="s">
        <v>3417</v>
      </c>
      <c r="C2084" s="396">
        <v>3.0717601315E10</v>
      </c>
      <c r="D2084" s="144" t="s">
        <v>3841</v>
      </c>
      <c r="E2084" s="396" t="s">
        <v>12194</v>
      </c>
      <c r="F2084" s="397">
        <v>5461.0</v>
      </c>
      <c r="G2084" s="396" t="s">
        <v>68</v>
      </c>
      <c r="H2084" s="85">
        <v>1702.0</v>
      </c>
      <c r="I2084" s="129">
        <v>152011.0</v>
      </c>
      <c r="J2084" s="129" t="s">
        <v>73</v>
      </c>
      <c r="K2084" s="396" t="s">
        <v>12195</v>
      </c>
      <c r="L2084" s="119"/>
      <c r="M2084" s="119"/>
      <c r="N2084" s="119"/>
      <c r="O2084" s="396" t="s">
        <v>12196</v>
      </c>
      <c r="P2084" s="396" t="s">
        <v>12197</v>
      </c>
      <c r="Q2084" s="119"/>
      <c r="R2084" s="101"/>
      <c r="S2084" s="405"/>
      <c r="T2084" s="101"/>
      <c r="U2084" s="101"/>
      <c r="V2084" s="399"/>
      <c r="W2084" s="119"/>
      <c r="X2084" s="119"/>
      <c r="Y2084" s="119"/>
      <c r="Z2084" s="119"/>
    </row>
    <row r="2085" ht="15.75" customHeight="1">
      <c r="A2085" s="210"/>
      <c r="B2085" s="396" t="s">
        <v>3420</v>
      </c>
      <c r="C2085" s="396">
        <v>3.0716985748E10</v>
      </c>
      <c r="D2085" s="144" t="s">
        <v>264</v>
      </c>
      <c r="E2085" s="396" t="s">
        <v>2886</v>
      </c>
      <c r="F2085" s="397">
        <v>3602.0</v>
      </c>
      <c r="G2085" s="396" t="s">
        <v>68</v>
      </c>
      <c r="H2085" s="85">
        <v>1702.0</v>
      </c>
      <c r="I2085" s="129">
        <v>181109.0</v>
      </c>
      <c r="J2085" s="129" t="s">
        <v>238</v>
      </c>
      <c r="K2085" s="396" t="s">
        <v>12198</v>
      </c>
      <c r="L2085" s="119"/>
      <c r="M2085" s="119"/>
      <c r="N2085" s="119"/>
      <c r="O2085" s="396" t="s">
        <v>12199</v>
      </c>
      <c r="P2085" s="398"/>
      <c r="Q2085" s="119"/>
      <c r="R2085" s="101"/>
      <c r="S2085" s="396" t="s">
        <v>12200</v>
      </c>
      <c r="T2085" s="101"/>
      <c r="U2085" s="101"/>
      <c r="V2085" s="399"/>
      <c r="W2085" s="119"/>
      <c r="X2085" s="119"/>
      <c r="Y2085" s="119"/>
      <c r="Z2085" s="119"/>
    </row>
    <row r="2086" ht="15.75" customHeight="1">
      <c r="A2086" s="44"/>
      <c r="B2086" s="396" t="s">
        <v>3424</v>
      </c>
      <c r="C2086" s="400">
        <v>3.0709084131E10</v>
      </c>
      <c r="D2086" s="77" t="s">
        <v>264</v>
      </c>
      <c r="E2086" s="400" t="s">
        <v>12201</v>
      </c>
      <c r="F2086" s="401">
        <v>3542.0</v>
      </c>
      <c r="G2086" s="400" t="s">
        <v>68</v>
      </c>
      <c r="H2086" s="78">
        <v>1702.0</v>
      </c>
      <c r="I2086" s="83">
        <v>202200.0</v>
      </c>
      <c r="J2086" s="83" t="s">
        <v>316</v>
      </c>
      <c r="K2086" s="400" t="s">
        <v>12202</v>
      </c>
      <c r="L2086" s="79"/>
      <c r="M2086" s="79"/>
      <c r="N2086" s="79"/>
      <c r="O2086" s="400" t="s">
        <v>12203</v>
      </c>
      <c r="P2086" s="400" t="s">
        <v>12204</v>
      </c>
      <c r="Q2086" s="79"/>
      <c r="R2086" s="80"/>
      <c r="S2086" s="400" t="s">
        <v>12205</v>
      </c>
      <c r="T2086" s="101"/>
      <c r="U2086" s="80"/>
      <c r="V2086" s="388"/>
      <c r="W2086" s="79"/>
      <c r="X2086" s="79"/>
      <c r="Y2086" s="79"/>
      <c r="Z2086" s="79"/>
    </row>
    <row r="2087" ht="15.75" customHeight="1">
      <c r="A2087" s="210"/>
      <c r="B2087" s="396" t="s">
        <v>3433</v>
      </c>
      <c r="C2087" s="396">
        <v>2.0288577553E10</v>
      </c>
      <c r="D2087" s="77" t="s">
        <v>631</v>
      </c>
      <c r="E2087" s="396" t="s">
        <v>5304</v>
      </c>
      <c r="F2087" s="397">
        <v>1434.0</v>
      </c>
      <c r="G2087" s="77" t="s">
        <v>134</v>
      </c>
      <c r="H2087" s="85">
        <v>1683.0</v>
      </c>
      <c r="I2087" s="129">
        <v>107129.0</v>
      </c>
      <c r="J2087" s="129" t="s">
        <v>22</v>
      </c>
      <c r="K2087" s="396" t="s">
        <v>12206</v>
      </c>
      <c r="L2087" s="119"/>
      <c r="M2087" s="119"/>
      <c r="N2087" s="119"/>
      <c r="O2087" s="396" t="s">
        <v>12207</v>
      </c>
      <c r="P2087" s="396" t="s">
        <v>12208</v>
      </c>
      <c r="Q2087" s="119"/>
      <c r="R2087" s="101"/>
      <c r="S2087" s="405"/>
      <c r="T2087" s="101"/>
      <c r="U2087" s="101"/>
      <c r="V2087" s="399"/>
      <c r="W2087" s="119"/>
      <c r="X2087" s="119"/>
      <c r="Y2087" s="119"/>
      <c r="Z2087" s="119"/>
    </row>
    <row r="2088" ht="15.75" customHeight="1">
      <c r="A2088" s="44"/>
      <c r="B2088" s="396" t="s">
        <v>3434</v>
      </c>
      <c r="C2088" s="400">
        <v>3.0711949166E10</v>
      </c>
      <c r="D2088" s="77" t="s">
        <v>264</v>
      </c>
      <c r="E2088" s="400" t="s">
        <v>12209</v>
      </c>
      <c r="F2088" s="401">
        <v>3561.0</v>
      </c>
      <c r="G2088" s="400" t="s">
        <v>68</v>
      </c>
      <c r="H2088" s="78">
        <v>1702.0</v>
      </c>
      <c r="I2088" s="83">
        <v>273190.0</v>
      </c>
      <c r="J2088" s="329" t="s">
        <v>347</v>
      </c>
      <c r="K2088" s="400" t="s">
        <v>12210</v>
      </c>
      <c r="L2088" s="79"/>
      <c r="M2088" s="79"/>
      <c r="N2088" s="79"/>
      <c r="O2088" s="400" t="s">
        <v>12211</v>
      </c>
      <c r="P2088" s="400" t="s">
        <v>12212</v>
      </c>
      <c r="Q2088" s="79"/>
      <c r="R2088" s="80"/>
      <c r="S2088" s="400" t="s">
        <v>12213</v>
      </c>
      <c r="T2088" s="101"/>
      <c r="U2088" s="80"/>
      <c r="V2088" s="388"/>
      <c r="W2088" s="79"/>
      <c r="X2088" s="79"/>
      <c r="Y2088" s="79"/>
      <c r="Z2088" s="79"/>
    </row>
    <row r="2089" ht="15.75" customHeight="1">
      <c r="A2089" s="210"/>
      <c r="B2089" s="396" t="s">
        <v>3443</v>
      </c>
      <c r="C2089" s="396">
        <v>3.0717144038E10</v>
      </c>
      <c r="D2089" s="144" t="s">
        <v>264</v>
      </c>
      <c r="E2089" s="396" t="s">
        <v>11872</v>
      </c>
      <c r="F2089" s="397">
        <v>4567.0</v>
      </c>
      <c r="G2089" s="396" t="s">
        <v>15</v>
      </c>
      <c r="H2089" s="85">
        <v>1678.0</v>
      </c>
      <c r="I2089" s="129">
        <v>227909.0</v>
      </c>
      <c r="J2089" s="129" t="s">
        <v>88</v>
      </c>
      <c r="K2089" s="396" t="s">
        <v>12214</v>
      </c>
      <c r="L2089" s="119"/>
      <c r="M2089" s="119"/>
      <c r="N2089" s="119"/>
      <c r="O2089" s="396" t="s">
        <v>12215</v>
      </c>
      <c r="P2089" s="396" t="s">
        <v>12216</v>
      </c>
      <c r="Q2089" s="119"/>
      <c r="R2089" s="101"/>
      <c r="S2089" s="405"/>
      <c r="T2089" s="101"/>
      <c r="U2089" s="101"/>
      <c r="V2089" s="399"/>
      <c r="W2089" s="119"/>
      <c r="X2089" s="119"/>
      <c r="Y2089" s="119"/>
      <c r="Z2089" s="119"/>
    </row>
    <row r="2090" ht="15.75" customHeight="1">
      <c r="A2090" s="210"/>
      <c r="B2090" s="396" t="s">
        <v>3446</v>
      </c>
      <c r="C2090" s="396">
        <v>3.0715194321E10</v>
      </c>
      <c r="D2090" s="144" t="s">
        <v>264</v>
      </c>
      <c r="E2090" s="396" t="s">
        <v>12217</v>
      </c>
      <c r="F2090" s="397">
        <v>2067.0</v>
      </c>
      <c r="G2090" s="396" t="s">
        <v>68</v>
      </c>
      <c r="H2090" s="85">
        <v>1702.0</v>
      </c>
      <c r="I2090" s="129">
        <v>104011.0</v>
      </c>
      <c r="J2090" s="129" t="s">
        <v>22</v>
      </c>
      <c r="K2090" s="396" t="s">
        <v>12218</v>
      </c>
      <c r="L2090" s="119"/>
      <c r="M2090" s="119"/>
      <c r="N2090" s="119"/>
      <c r="O2090" s="396" t="s">
        <v>12219</v>
      </c>
      <c r="P2090" s="396" t="s">
        <v>12220</v>
      </c>
      <c r="Q2090" s="119"/>
      <c r="R2090" s="101"/>
      <c r="S2090" s="405"/>
      <c r="T2090" s="101"/>
      <c r="U2090" s="101"/>
      <c r="V2090" s="399"/>
      <c r="W2090" s="119"/>
      <c r="X2090" s="119"/>
      <c r="Y2090" s="119"/>
      <c r="Z2090" s="119"/>
    </row>
    <row r="2091" ht="15.75" customHeight="1">
      <c r="A2091" s="210"/>
      <c r="B2091" s="396" t="s">
        <v>3448</v>
      </c>
      <c r="C2091" s="396">
        <v>2.038027048E10</v>
      </c>
      <c r="D2091" s="77" t="s">
        <v>631</v>
      </c>
      <c r="E2091" s="396" t="s">
        <v>12221</v>
      </c>
      <c r="F2091" s="397">
        <v>12394.0</v>
      </c>
      <c r="G2091" s="396" t="s">
        <v>68</v>
      </c>
      <c r="H2091" s="85">
        <v>1702.0</v>
      </c>
      <c r="I2091" s="126"/>
      <c r="J2091" s="129" t="s">
        <v>57</v>
      </c>
      <c r="K2091" s="396" t="s">
        <v>12222</v>
      </c>
      <c r="L2091" s="119"/>
      <c r="M2091" s="119"/>
      <c r="N2091" s="119"/>
      <c r="O2091" s="396" t="s">
        <v>12223</v>
      </c>
      <c r="P2091" s="396" t="s">
        <v>12224</v>
      </c>
      <c r="Q2091" s="119"/>
      <c r="R2091" s="101"/>
      <c r="S2091" s="405"/>
      <c r="T2091" s="101"/>
      <c r="U2091" s="101"/>
      <c r="V2091" s="399"/>
      <c r="W2091" s="119"/>
      <c r="X2091" s="119"/>
      <c r="Y2091" s="119"/>
      <c r="Z2091" s="119"/>
    </row>
    <row r="2092" ht="15.75" customHeight="1">
      <c r="A2092" s="44"/>
      <c r="B2092" s="396" t="s">
        <v>3453</v>
      </c>
      <c r="C2092" s="400">
        <v>2.035324129E10</v>
      </c>
      <c r="D2092" s="77" t="s">
        <v>631</v>
      </c>
      <c r="E2092" s="400" t="s">
        <v>12028</v>
      </c>
      <c r="F2092" s="401">
        <v>3241.0</v>
      </c>
      <c r="G2092" s="400" t="s">
        <v>68</v>
      </c>
      <c r="H2092" s="78">
        <v>1702.0</v>
      </c>
      <c r="I2092" s="74"/>
      <c r="J2092" s="83" t="s">
        <v>57</v>
      </c>
      <c r="K2092" s="400" t="s">
        <v>12225</v>
      </c>
      <c r="L2092" s="79"/>
      <c r="M2092" s="79"/>
      <c r="N2092" s="79"/>
      <c r="O2092" s="400" t="s">
        <v>12226</v>
      </c>
      <c r="P2092" s="400" t="s">
        <v>12227</v>
      </c>
      <c r="Q2092" s="79"/>
      <c r="R2092" s="80"/>
      <c r="S2092" s="402"/>
      <c r="T2092" s="101"/>
      <c r="U2092" s="80"/>
      <c r="V2092" s="388"/>
      <c r="W2092" s="79"/>
      <c r="X2092" s="79"/>
      <c r="Y2092" s="79"/>
      <c r="Z2092" s="79"/>
    </row>
    <row r="2093" ht="15.75" customHeight="1">
      <c r="A2093" s="210"/>
      <c r="B2093" s="396" t="s">
        <v>3464</v>
      </c>
      <c r="C2093" s="396">
        <v>3.0716406772E10</v>
      </c>
      <c r="D2093" s="144" t="s">
        <v>264</v>
      </c>
      <c r="E2093" s="396" t="s">
        <v>12228</v>
      </c>
      <c r="F2093" s="397">
        <v>4620.0</v>
      </c>
      <c r="G2093" s="396" t="s">
        <v>68</v>
      </c>
      <c r="H2093" s="85">
        <v>1702.0</v>
      </c>
      <c r="I2093" s="129">
        <v>110411.0</v>
      </c>
      <c r="J2093" s="129" t="s">
        <v>57</v>
      </c>
      <c r="K2093" s="422" t="s">
        <v>12229</v>
      </c>
      <c r="L2093" s="119"/>
      <c r="M2093" s="119"/>
      <c r="N2093" s="119"/>
      <c r="O2093" s="396" t="s">
        <v>12230</v>
      </c>
      <c r="P2093" s="396" t="s">
        <v>12231</v>
      </c>
      <c r="Q2093" s="119"/>
      <c r="R2093" s="101"/>
      <c r="S2093" s="405"/>
      <c r="T2093" s="101"/>
      <c r="U2093" s="101"/>
      <c r="V2093" s="399"/>
      <c r="W2093" s="119"/>
      <c r="X2093" s="119"/>
      <c r="Y2093" s="119"/>
      <c r="Z2093" s="119"/>
    </row>
    <row r="2094" ht="15.75" customHeight="1">
      <c r="A2094" s="210"/>
      <c r="B2094" s="396" t="s">
        <v>3467</v>
      </c>
      <c r="C2094" s="396">
        <v>3.0716576937E10</v>
      </c>
      <c r="D2094" s="144" t="s">
        <v>264</v>
      </c>
      <c r="E2094" s="396" t="s">
        <v>6255</v>
      </c>
      <c r="F2094" s="397">
        <v>9840.0</v>
      </c>
      <c r="G2094" s="396" t="s">
        <v>119</v>
      </c>
      <c r="H2094" s="85">
        <v>1657.0</v>
      </c>
      <c r="I2094" s="129">
        <v>259993.0</v>
      </c>
      <c r="J2094" s="329" t="s">
        <v>347</v>
      </c>
      <c r="K2094" s="396" t="s">
        <v>12232</v>
      </c>
      <c r="L2094" s="119"/>
      <c r="M2094" s="119"/>
      <c r="N2094" s="119"/>
      <c r="O2094" s="396" t="s">
        <v>12233</v>
      </c>
      <c r="P2094" s="396" t="s">
        <v>12234</v>
      </c>
      <c r="Q2094" s="119"/>
      <c r="R2094" s="101"/>
      <c r="S2094" s="405"/>
      <c r="T2094" s="101"/>
      <c r="U2094" s="101"/>
      <c r="V2094" s="399"/>
      <c r="W2094" s="119"/>
      <c r="X2094" s="119"/>
      <c r="Y2094" s="119"/>
      <c r="Z2094" s="119"/>
    </row>
    <row r="2095" ht="15.75" customHeight="1">
      <c r="A2095" s="210"/>
      <c r="B2095" s="396" t="s">
        <v>3475</v>
      </c>
      <c r="C2095" s="396">
        <v>3.0717100278E10</v>
      </c>
      <c r="D2095" s="144" t="s">
        <v>264</v>
      </c>
      <c r="E2095" s="396" t="s">
        <v>12235</v>
      </c>
      <c r="F2095" s="397">
        <v>8963.0</v>
      </c>
      <c r="G2095" s="396" t="s">
        <v>119</v>
      </c>
      <c r="H2095" s="85">
        <v>1657.0</v>
      </c>
      <c r="I2095" s="129">
        <v>259993.0</v>
      </c>
      <c r="J2095" s="329" t="s">
        <v>347</v>
      </c>
      <c r="K2095" s="396" t="s">
        <v>12236</v>
      </c>
      <c r="L2095" s="119"/>
      <c r="M2095" s="119"/>
      <c r="N2095" s="119"/>
      <c r="O2095" s="396" t="s">
        <v>12237</v>
      </c>
      <c r="P2095" s="396" t="s">
        <v>12238</v>
      </c>
      <c r="Q2095" s="119"/>
      <c r="R2095" s="101"/>
      <c r="S2095" s="396" t="s">
        <v>12239</v>
      </c>
      <c r="T2095" s="101"/>
      <c r="U2095" s="101"/>
      <c r="V2095" s="399"/>
      <c r="W2095" s="119"/>
      <c r="X2095" s="119"/>
      <c r="Y2095" s="119"/>
      <c r="Z2095" s="119"/>
    </row>
    <row r="2096" ht="15.75" customHeight="1">
      <c r="A2096" s="44"/>
      <c r="B2096" s="396" t="s">
        <v>3479</v>
      </c>
      <c r="C2096" s="400">
        <v>2.3316602584E10</v>
      </c>
      <c r="D2096" s="77" t="s">
        <v>631</v>
      </c>
      <c r="E2096" s="400" t="s">
        <v>12240</v>
      </c>
      <c r="F2096" s="401">
        <v>3240.0</v>
      </c>
      <c r="G2096" s="400" t="s">
        <v>15</v>
      </c>
      <c r="H2096" s="78">
        <v>1678.0</v>
      </c>
      <c r="I2096" s="83">
        <v>259993.0</v>
      </c>
      <c r="J2096" s="329" t="s">
        <v>347</v>
      </c>
      <c r="K2096" s="400" t="s">
        <v>12241</v>
      </c>
      <c r="L2096" s="79"/>
      <c r="M2096" s="79"/>
      <c r="N2096" s="79"/>
      <c r="O2096" s="400" t="s">
        <v>3479</v>
      </c>
      <c r="P2096" s="400">
        <v>1.159120307E9</v>
      </c>
      <c r="Q2096" s="79"/>
      <c r="R2096" s="80"/>
      <c r="S2096" s="402"/>
      <c r="T2096" s="101"/>
      <c r="U2096" s="80"/>
      <c r="V2096" s="388"/>
      <c r="W2096" s="79"/>
      <c r="X2096" s="79"/>
      <c r="Y2096" s="79"/>
      <c r="Z2096" s="79"/>
    </row>
    <row r="2097" ht="15.75" customHeight="1">
      <c r="A2097" s="210"/>
      <c r="B2097" s="396" t="s">
        <v>12242</v>
      </c>
      <c r="C2097" s="423">
        <v>2.0180114905E10</v>
      </c>
      <c r="D2097" s="77" t="s">
        <v>631</v>
      </c>
      <c r="E2097" s="396" t="s">
        <v>12243</v>
      </c>
      <c r="F2097" s="397">
        <v>5069.0</v>
      </c>
      <c r="G2097" s="396" t="s">
        <v>15</v>
      </c>
      <c r="H2097" s="85">
        <v>1678.0</v>
      </c>
      <c r="I2097" s="403">
        <v>222090.0</v>
      </c>
      <c r="J2097" s="404" t="s">
        <v>568</v>
      </c>
      <c r="K2097" s="396" t="s">
        <v>11970</v>
      </c>
      <c r="L2097" s="119"/>
      <c r="M2097" s="119"/>
      <c r="N2097" s="119"/>
      <c r="O2097" s="396" t="s">
        <v>12242</v>
      </c>
      <c r="P2097" s="396">
        <v>1.161329075E9</v>
      </c>
      <c r="Q2097" s="119"/>
      <c r="R2097" s="101"/>
      <c r="S2097" s="405"/>
      <c r="T2097" s="101"/>
      <c r="U2097" s="101"/>
      <c r="V2097" s="399"/>
      <c r="W2097" s="119"/>
      <c r="X2097" s="119"/>
      <c r="Y2097" s="119"/>
      <c r="Z2097" s="119"/>
    </row>
    <row r="2098" ht="15.75" customHeight="1">
      <c r="A2098" s="210"/>
      <c r="B2098" s="396" t="s">
        <v>3484</v>
      </c>
      <c r="C2098" s="396">
        <v>2.7229802602E10</v>
      </c>
      <c r="D2098" s="77" t="s">
        <v>631</v>
      </c>
      <c r="E2098" s="396" t="s">
        <v>12244</v>
      </c>
      <c r="F2098" s="397">
        <v>10128.0</v>
      </c>
      <c r="G2098" s="396" t="s">
        <v>119</v>
      </c>
      <c r="H2098" s="85">
        <v>1657.0</v>
      </c>
      <c r="I2098" s="129">
        <v>259999.0</v>
      </c>
      <c r="J2098" s="329" t="s">
        <v>347</v>
      </c>
      <c r="K2098" s="396" t="s">
        <v>12245</v>
      </c>
      <c r="L2098" s="119"/>
      <c r="M2098" s="119"/>
      <c r="N2098" s="119"/>
      <c r="O2098" s="396" t="s">
        <v>3484</v>
      </c>
      <c r="P2098" s="396">
        <v>1.157726836E9</v>
      </c>
      <c r="Q2098" s="119"/>
      <c r="R2098" s="101"/>
      <c r="S2098" s="405"/>
      <c r="T2098" s="101"/>
      <c r="U2098" s="101"/>
      <c r="V2098" s="399"/>
      <c r="W2098" s="119"/>
      <c r="X2098" s="119"/>
      <c r="Y2098" s="119"/>
      <c r="Z2098" s="119"/>
    </row>
    <row r="2099" ht="15.75" customHeight="1">
      <c r="A2099" s="210"/>
      <c r="B2099" s="396" t="s">
        <v>3490</v>
      </c>
      <c r="C2099" s="396">
        <v>3.0711595356E10</v>
      </c>
      <c r="D2099" s="144" t="s">
        <v>264</v>
      </c>
      <c r="E2099" s="396" t="s">
        <v>12246</v>
      </c>
      <c r="F2099" s="397">
        <v>4548.0</v>
      </c>
      <c r="G2099" s="396" t="s">
        <v>15</v>
      </c>
      <c r="H2099" s="85">
        <v>1678.0</v>
      </c>
      <c r="I2099" s="129">
        <v>170990.0</v>
      </c>
      <c r="J2099" s="129" t="s">
        <v>283</v>
      </c>
      <c r="K2099" s="396" t="s">
        <v>12071</v>
      </c>
      <c r="L2099" s="119"/>
      <c r="M2099" s="119"/>
      <c r="N2099" s="119"/>
      <c r="O2099" s="396" t="s">
        <v>12247</v>
      </c>
      <c r="P2099" s="396" t="s">
        <v>12248</v>
      </c>
      <c r="Q2099" s="119"/>
      <c r="R2099" s="101"/>
      <c r="S2099" s="405"/>
      <c r="T2099" s="101"/>
      <c r="U2099" s="101"/>
      <c r="V2099" s="399"/>
      <c r="W2099" s="119"/>
      <c r="X2099" s="119"/>
      <c r="Y2099" s="119"/>
      <c r="Z2099" s="119"/>
    </row>
    <row r="2100" ht="15.75" customHeight="1">
      <c r="A2100" s="44"/>
      <c r="B2100" s="396" t="s">
        <v>3497</v>
      </c>
      <c r="C2100" s="400">
        <v>3.0714367265E10</v>
      </c>
      <c r="D2100" s="77" t="s">
        <v>264</v>
      </c>
      <c r="E2100" s="400" t="s">
        <v>3466</v>
      </c>
      <c r="F2100" s="401">
        <v>3684.0</v>
      </c>
      <c r="G2100" s="400" t="s">
        <v>68</v>
      </c>
      <c r="H2100" s="78">
        <v>1702.0</v>
      </c>
      <c r="I2100" s="83">
        <v>131300.0</v>
      </c>
      <c r="J2100" s="83" t="s">
        <v>448</v>
      </c>
      <c r="K2100" s="400" t="s">
        <v>12167</v>
      </c>
      <c r="L2100" s="79"/>
      <c r="M2100" s="79"/>
      <c r="N2100" s="79"/>
      <c r="O2100" s="400" t="s">
        <v>12249</v>
      </c>
      <c r="P2100" s="400" t="s">
        <v>2343</v>
      </c>
      <c r="Q2100" s="79"/>
      <c r="R2100" s="80"/>
      <c r="S2100" s="402"/>
      <c r="T2100" s="101"/>
      <c r="U2100" s="80"/>
      <c r="V2100" s="388"/>
      <c r="W2100" s="79"/>
      <c r="X2100" s="79"/>
      <c r="Y2100" s="79"/>
      <c r="Z2100" s="79"/>
    </row>
    <row r="2101" ht="15.75" customHeight="1">
      <c r="A2101" s="210"/>
      <c r="B2101" s="396" t="s">
        <v>3505</v>
      </c>
      <c r="C2101" s="396">
        <v>3.0693219821E10</v>
      </c>
      <c r="D2101" s="144" t="s">
        <v>264</v>
      </c>
      <c r="E2101" s="396" t="s">
        <v>12250</v>
      </c>
      <c r="F2101" s="397">
        <v>4567.0</v>
      </c>
      <c r="G2101" s="396" t="s">
        <v>68</v>
      </c>
      <c r="H2101" s="85">
        <v>1702.0</v>
      </c>
      <c r="I2101" s="129">
        <v>241009.0</v>
      </c>
      <c r="J2101" s="329" t="s">
        <v>347</v>
      </c>
      <c r="K2101" s="396" t="s">
        <v>12035</v>
      </c>
      <c r="L2101" s="119"/>
      <c r="M2101" s="119"/>
      <c r="N2101" s="119"/>
      <c r="O2101" s="396" t="s">
        <v>12251</v>
      </c>
      <c r="P2101" s="396" t="s">
        <v>12252</v>
      </c>
      <c r="Q2101" s="119"/>
      <c r="R2101" s="101"/>
      <c r="S2101" s="405"/>
      <c r="T2101" s="101"/>
      <c r="U2101" s="101"/>
      <c r="V2101" s="399"/>
      <c r="W2101" s="119"/>
      <c r="X2101" s="119"/>
      <c r="Y2101" s="119"/>
      <c r="Z2101" s="119"/>
    </row>
    <row r="2102" ht="15.75" customHeight="1">
      <c r="A2102" s="210"/>
      <c r="B2102" s="396" t="s">
        <v>3509</v>
      </c>
      <c r="C2102" s="396">
        <v>2.0337162658E10</v>
      </c>
      <c r="D2102" s="77" t="s">
        <v>631</v>
      </c>
      <c r="E2102" s="396" t="s">
        <v>12097</v>
      </c>
      <c r="F2102" s="397">
        <v>5548.0</v>
      </c>
      <c r="G2102" s="396" t="s">
        <v>15</v>
      </c>
      <c r="H2102" s="85">
        <v>1678.0</v>
      </c>
      <c r="I2102" s="129">
        <v>231090.0</v>
      </c>
      <c r="J2102" s="129" t="s">
        <v>457</v>
      </c>
      <c r="K2102" s="396" t="s">
        <v>12253</v>
      </c>
      <c r="L2102" s="119"/>
      <c r="M2102" s="119"/>
      <c r="N2102" s="119"/>
      <c r="O2102" s="396" t="s">
        <v>3509</v>
      </c>
      <c r="P2102" s="396" t="s">
        <v>12254</v>
      </c>
      <c r="Q2102" s="119"/>
      <c r="R2102" s="101"/>
      <c r="S2102" s="405"/>
      <c r="T2102" s="101"/>
      <c r="U2102" s="101"/>
      <c r="V2102" s="399"/>
      <c r="W2102" s="119"/>
      <c r="X2102" s="119"/>
      <c r="Y2102" s="119"/>
      <c r="Z2102" s="119"/>
    </row>
    <row r="2103" ht="15.75" customHeight="1">
      <c r="A2103" s="210"/>
      <c r="B2103" s="396" t="s">
        <v>3513</v>
      </c>
      <c r="C2103" s="396">
        <v>2.0331542424E10</v>
      </c>
      <c r="D2103" s="77" t="s">
        <v>631</v>
      </c>
      <c r="E2103" s="396" t="s">
        <v>1607</v>
      </c>
      <c r="F2103" s="397">
        <v>5636.0</v>
      </c>
      <c r="G2103" s="396" t="s">
        <v>15</v>
      </c>
      <c r="H2103" s="85">
        <v>1678.0</v>
      </c>
      <c r="I2103" s="129">
        <v>170910.0</v>
      </c>
      <c r="J2103" s="129" t="s">
        <v>283</v>
      </c>
      <c r="K2103" s="396" t="s">
        <v>12255</v>
      </c>
      <c r="L2103" s="119"/>
      <c r="M2103" s="119"/>
      <c r="N2103" s="119"/>
      <c r="O2103" s="396" t="s">
        <v>12256</v>
      </c>
      <c r="P2103" s="396" t="s">
        <v>12257</v>
      </c>
      <c r="Q2103" s="119"/>
      <c r="R2103" s="101"/>
      <c r="S2103" s="405"/>
      <c r="T2103" s="101"/>
      <c r="U2103" s="101"/>
      <c r="V2103" s="399"/>
      <c r="W2103" s="119"/>
      <c r="X2103" s="119"/>
      <c r="Y2103" s="119"/>
      <c r="Z2103" s="119"/>
    </row>
    <row r="2104" ht="15.75" customHeight="1">
      <c r="A2104" s="44"/>
      <c r="B2104" s="396" t="s">
        <v>3516</v>
      </c>
      <c r="C2104" s="400">
        <v>3.0717625362E10</v>
      </c>
      <c r="D2104" s="77" t="s">
        <v>264</v>
      </c>
      <c r="E2104" s="400" t="s">
        <v>12258</v>
      </c>
      <c r="F2104" s="401">
        <v>829.0</v>
      </c>
      <c r="G2104" s="400" t="s">
        <v>68</v>
      </c>
      <c r="H2104" s="78">
        <v>1702.0</v>
      </c>
      <c r="I2104" s="83">
        <v>259993.0</v>
      </c>
      <c r="J2104" s="329" t="s">
        <v>347</v>
      </c>
      <c r="K2104" s="400" t="s">
        <v>12035</v>
      </c>
      <c r="L2104" s="79"/>
      <c r="M2104" s="79"/>
      <c r="N2104" s="79"/>
      <c r="O2104" s="400" t="s">
        <v>12259</v>
      </c>
      <c r="P2104" s="407"/>
      <c r="Q2104" s="79"/>
      <c r="R2104" s="80"/>
      <c r="S2104" s="400" t="s">
        <v>4592</v>
      </c>
      <c r="T2104" s="101"/>
      <c r="U2104" s="80"/>
      <c r="V2104" s="388"/>
      <c r="W2104" s="79"/>
      <c r="X2104" s="79"/>
      <c r="Y2104" s="79"/>
      <c r="Z2104" s="79"/>
    </row>
    <row r="2105" ht="15.75" customHeight="1">
      <c r="A2105" s="210"/>
      <c r="B2105" s="307" t="s">
        <v>3522</v>
      </c>
      <c r="C2105" s="396">
        <v>3.0715728725E10</v>
      </c>
      <c r="D2105" s="144" t="s">
        <v>264</v>
      </c>
      <c r="E2105" s="424" t="s">
        <v>12260</v>
      </c>
      <c r="F2105" s="425">
        <v>3626.0</v>
      </c>
      <c r="G2105" s="396" t="s">
        <v>68</v>
      </c>
      <c r="H2105" s="85">
        <v>1702.0</v>
      </c>
      <c r="I2105" s="129">
        <v>281500.0</v>
      </c>
      <c r="J2105" s="329" t="s">
        <v>347</v>
      </c>
      <c r="K2105" s="396" t="s">
        <v>12261</v>
      </c>
      <c r="L2105" s="119"/>
      <c r="M2105" s="119"/>
      <c r="N2105" s="119"/>
      <c r="O2105" s="396" t="s">
        <v>12262</v>
      </c>
      <c r="P2105" s="396">
        <v>1.568768605E9</v>
      </c>
      <c r="Q2105" s="119"/>
      <c r="R2105" s="101"/>
      <c r="S2105" s="405"/>
      <c r="T2105" s="101"/>
      <c r="U2105" s="101"/>
      <c r="V2105" s="399"/>
      <c r="W2105" s="119"/>
      <c r="X2105" s="119"/>
      <c r="Y2105" s="119"/>
      <c r="Z2105" s="119"/>
    </row>
    <row r="2106" ht="15.75" customHeight="1">
      <c r="A2106" s="210"/>
      <c r="B2106" s="396" t="s">
        <v>12263</v>
      </c>
      <c r="C2106" s="396">
        <v>2.0293197912E10</v>
      </c>
      <c r="D2106" s="77" t="s">
        <v>631</v>
      </c>
      <c r="E2106" s="396" t="s">
        <v>12264</v>
      </c>
      <c r="F2106" s="397">
        <v>4476.0</v>
      </c>
      <c r="G2106" s="396" t="s">
        <v>15</v>
      </c>
      <c r="H2106" s="85">
        <v>1678.0</v>
      </c>
      <c r="I2106" s="129">
        <v>107129.0</v>
      </c>
      <c r="J2106" s="129" t="s">
        <v>22</v>
      </c>
      <c r="K2106" s="396" t="s">
        <v>12265</v>
      </c>
      <c r="L2106" s="119"/>
      <c r="M2106" s="119"/>
      <c r="N2106" s="119"/>
      <c r="O2106" s="396" t="s">
        <v>12263</v>
      </c>
      <c r="P2106" s="396" t="s">
        <v>12266</v>
      </c>
      <c r="Q2106" s="119"/>
      <c r="R2106" s="101"/>
      <c r="S2106" s="405"/>
      <c r="T2106" s="101"/>
      <c r="U2106" s="101"/>
      <c r="V2106" s="399"/>
      <c r="W2106" s="119"/>
      <c r="X2106" s="119"/>
      <c r="Y2106" s="119"/>
      <c r="Z2106" s="119"/>
    </row>
    <row r="2107" ht="15.75" customHeight="1">
      <c r="A2107" s="44"/>
      <c r="B2107" s="396" t="s">
        <v>3525</v>
      </c>
      <c r="C2107" s="400">
        <v>3.0710476884E10</v>
      </c>
      <c r="D2107" s="77" t="s">
        <v>264</v>
      </c>
      <c r="E2107" s="400" t="s">
        <v>314</v>
      </c>
      <c r="F2107" s="401">
        <v>5724.0</v>
      </c>
      <c r="G2107" s="400" t="s">
        <v>15</v>
      </c>
      <c r="H2107" s="78">
        <v>1678.0</v>
      </c>
      <c r="I2107" s="83">
        <v>139900.0</v>
      </c>
      <c r="J2107" s="83" t="s">
        <v>448</v>
      </c>
      <c r="K2107" s="400" t="s">
        <v>12267</v>
      </c>
      <c r="L2107" s="79"/>
      <c r="M2107" s="79"/>
      <c r="N2107" s="79"/>
      <c r="O2107" s="400" t="s">
        <v>12268</v>
      </c>
      <c r="P2107" s="400" t="s">
        <v>12269</v>
      </c>
      <c r="Q2107" s="79"/>
      <c r="R2107" s="80"/>
      <c r="S2107" s="402"/>
      <c r="T2107" s="101"/>
      <c r="U2107" s="80"/>
      <c r="V2107" s="388"/>
      <c r="W2107" s="79"/>
      <c r="X2107" s="79"/>
      <c r="Y2107" s="79"/>
      <c r="Z2107" s="79"/>
    </row>
    <row r="2108" ht="15.75" customHeight="1">
      <c r="A2108" s="210"/>
      <c r="B2108" s="396" t="s">
        <v>3528</v>
      </c>
      <c r="C2108" s="396">
        <v>2.0321976256E10</v>
      </c>
      <c r="D2108" s="77" t="s">
        <v>631</v>
      </c>
      <c r="E2108" s="396" t="s">
        <v>3333</v>
      </c>
      <c r="F2108" s="397">
        <v>2644.0</v>
      </c>
      <c r="G2108" s="396" t="s">
        <v>15</v>
      </c>
      <c r="H2108" s="85">
        <v>1678.0</v>
      </c>
      <c r="I2108" s="129">
        <v>282909.0</v>
      </c>
      <c r="J2108" s="329" t="s">
        <v>347</v>
      </c>
      <c r="K2108" s="307" t="s">
        <v>12270</v>
      </c>
      <c r="L2108" s="119"/>
      <c r="M2108" s="119"/>
      <c r="N2108" s="119"/>
      <c r="O2108" s="396" t="s">
        <v>12271</v>
      </c>
      <c r="P2108" s="396">
        <v>1.15935145E9</v>
      </c>
      <c r="Q2108" s="119"/>
      <c r="R2108" s="101"/>
      <c r="S2108" s="396" t="s">
        <v>12272</v>
      </c>
      <c r="T2108" s="101"/>
      <c r="U2108" s="101"/>
      <c r="V2108" s="399"/>
      <c r="W2108" s="119"/>
      <c r="X2108" s="119"/>
      <c r="Y2108" s="119"/>
      <c r="Z2108" s="119"/>
    </row>
    <row r="2109" ht="15.75" customHeight="1">
      <c r="A2109" s="210"/>
      <c r="B2109" s="396" t="s">
        <v>3532</v>
      </c>
      <c r="C2109" s="396">
        <v>2.3408556279E10</v>
      </c>
      <c r="D2109" s="77" t="s">
        <v>631</v>
      </c>
      <c r="E2109" s="396" t="s">
        <v>1726</v>
      </c>
      <c r="F2109" s="397">
        <v>2825.0</v>
      </c>
      <c r="G2109" s="396" t="s">
        <v>15</v>
      </c>
      <c r="H2109" s="85">
        <v>1678.0</v>
      </c>
      <c r="I2109" s="126"/>
      <c r="J2109" s="129" t="s">
        <v>22</v>
      </c>
      <c r="K2109" s="396" t="s">
        <v>12273</v>
      </c>
      <c r="L2109" s="119"/>
      <c r="M2109" s="119"/>
      <c r="N2109" s="119"/>
      <c r="O2109" s="396" t="s">
        <v>3532</v>
      </c>
      <c r="P2109" s="396" t="s">
        <v>12274</v>
      </c>
      <c r="Q2109" s="119"/>
      <c r="R2109" s="101"/>
      <c r="S2109" s="396" t="s">
        <v>12275</v>
      </c>
      <c r="T2109" s="101"/>
      <c r="U2109" s="101"/>
      <c r="V2109" s="399"/>
      <c r="W2109" s="119"/>
      <c r="X2109" s="119"/>
      <c r="Y2109" s="119"/>
      <c r="Z2109" s="119"/>
    </row>
    <row r="2110" ht="15.75" customHeight="1">
      <c r="A2110" s="210"/>
      <c r="B2110" s="396" t="s">
        <v>3536</v>
      </c>
      <c r="C2110" s="396">
        <v>3.0712150498E10</v>
      </c>
      <c r="D2110" s="144" t="s">
        <v>264</v>
      </c>
      <c r="E2110" s="396" t="s">
        <v>2007</v>
      </c>
      <c r="F2110" s="397">
        <v>5252.0</v>
      </c>
      <c r="G2110" s="396" t="s">
        <v>15</v>
      </c>
      <c r="H2110" s="85">
        <v>1678.0</v>
      </c>
      <c r="I2110" s="129">
        <v>107110.0</v>
      </c>
      <c r="J2110" s="129" t="s">
        <v>22</v>
      </c>
      <c r="K2110" s="396" t="s">
        <v>12006</v>
      </c>
      <c r="L2110" s="119"/>
      <c r="M2110" s="119"/>
      <c r="N2110" s="119"/>
      <c r="O2110" s="396" t="s">
        <v>12276</v>
      </c>
      <c r="P2110" s="396" t="s">
        <v>12277</v>
      </c>
      <c r="Q2110" s="119"/>
      <c r="R2110" s="101"/>
      <c r="S2110" s="405"/>
      <c r="T2110" s="101"/>
      <c r="U2110" s="101"/>
      <c r="V2110" s="399"/>
      <c r="W2110" s="119"/>
      <c r="X2110" s="119"/>
      <c r="Y2110" s="119"/>
      <c r="Z2110" s="119"/>
    </row>
    <row r="2111" ht="15.75" customHeight="1">
      <c r="A2111" s="210"/>
      <c r="B2111" s="396" t="s">
        <v>3541</v>
      </c>
      <c r="C2111" s="396">
        <v>3.0716594242E10</v>
      </c>
      <c r="D2111" s="144" t="s">
        <v>264</v>
      </c>
      <c r="E2111" s="396" t="s">
        <v>12278</v>
      </c>
      <c r="F2111" s="397">
        <v>4967.0</v>
      </c>
      <c r="G2111" s="396" t="s">
        <v>15</v>
      </c>
      <c r="H2111" s="85">
        <v>1678.0</v>
      </c>
      <c r="I2111" s="129">
        <v>273190.0</v>
      </c>
      <c r="J2111" s="129" t="s">
        <v>207</v>
      </c>
      <c r="K2111" s="396" t="s">
        <v>12279</v>
      </c>
      <c r="L2111" s="119"/>
      <c r="M2111" s="119"/>
      <c r="N2111" s="119"/>
      <c r="O2111" s="396" t="s">
        <v>12280</v>
      </c>
      <c r="P2111" s="396" t="s">
        <v>12281</v>
      </c>
      <c r="Q2111" s="119"/>
      <c r="R2111" s="101"/>
      <c r="S2111" s="405"/>
      <c r="T2111" s="101"/>
      <c r="U2111" s="101"/>
      <c r="V2111" s="399"/>
      <c r="W2111" s="119"/>
      <c r="X2111" s="119"/>
      <c r="Y2111" s="119"/>
      <c r="Z2111" s="119"/>
    </row>
    <row r="2112" ht="15.75" customHeight="1">
      <c r="A2112" s="210"/>
      <c r="B2112" s="396" t="s">
        <v>3543</v>
      </c>
      <c r="C2112" s="396">
        <v>2.0341087245E10</v>
      </c>
      <c r="D2112" s="77" t="s">
        <v>631</v>
      </c>
      <c r="E2112" s="396" t="s">
        <v>11730</v>
      </c>
      <c r="F2112" s="397">
        <v>1051.0</v>
      </c>
      <c r="G2112" s="396" t="s">
        <v>68</v>
      </c>
      <c r="H2112" s="85">
        <v>1702.0</v>
      </c>
      <c r="I2112" s="129">
        <v>162201.0</v>
      </c>
      <c r="J2112" s="129" t="s">
        <v>313</v>
      </c>
      <c r="K2112" s="396" t="s">
        <v>12282</v>
      </c>
      <c r="L2112" s="119"/>
      <c r="M2112" s="119"/>
      <c r="N2112" s="119"/>
      <c r="O2112" s="396" t="s">
        <v>3543</v>
      </c>
      <c r="P2112" s="396" t="s">
        <v>12283</v>
      </c>
      <c r="Q2112" s="119"/>
      <c r="R2112" s="101"/>
      <c r="S2112" s="405"/>
      <c r="T2112" s="101"/>
      <c r="U2112" s="101"/>
      <c r="V2112" s="399"/>
      <c r="W2112" s="119"/>
      <c r="X2112" s="119"/>
      <c r="Y2112" s="119"/>
      <c r="Z2112" s="119"/>
    </row>
    <row r="2113" ht="15.75" customHeight="1">
      <c r="A2113" s="210"/>
      <c r="B2113" s="396" t="s">
        <v>3546</v>
      </c>
      <c r="C2113" s="396">
        <v>3.0718593812E10</v>
      </c>
      <c r="D2113" s="144" t="s">
        <v>264</v>
      </c>
      <c r="E2113" s="396" t="s">
        <v>12284</v>
      </c>
      <c r="F2113" s="397">
        <v>4476.0</v>
      </c>
      <c r="G2113" s="396" t="s">
        <v>15</v>
      </c>
      <c r="H2113" s="85">
        <v>1678.0</v>
      </c>
      <c r="I2113" s="129">
        <v>202908.0</v>
      </c>
      <c r="J2113" s="129" t="s">
        <v>316</v>
      </c>
      <c r="K2113" s="396" t="s">
        <v>12285</v>
      </c>
      <c r="L2113" s="119"/>
      <c r="M2113" s="119"/>
      <c r="N2113" s="119"/>
      <c r="O2113" s="396" t="s">
        <v>12286</v>
      </c>
      <c r="P2113" s="396" t="s">
        <v>12287</v>
      </c>
      <c r="Q2113" s="119"/>
      <c r="R2113" s="101"/>
      <c r="S2113" s="405"/>
      <c r="T2113" s="101"/>
      <c r="U2113" s="101"/>
      <c r="V2113" s="399"/>
      <c r="W2113" s="119"/>
      <c r="X2113" s="119"/>
      <c r="Y2113" s="119"/>
      <c r="Z2113" s="119"/>
    </row>
    <row r="2114" ht="15.75" customHeight="1">
      <c r="A2114" s="210"/>
      <c r="B2114" s="396" t="s">
        <v>3551</v>
      </c>
      <c r="C2114" s="396">
        <v>2.0350874861E10</v>
      </c>
      <c r="D2114" s="77" t="s">
        <v>631</v>
      </c>
      <c r="E2114" s="396" t="s">
        <v>12288</v>
      </c>
      <c r="F2114" s="397">
        <v>3532.0</v>
      </c>
      <c r="G2114" s="396" t="s">
        <v>15</v>
      </c>
      <c r="H2114" s="85">
        <v>1678.0</v>
      </c>
      <c r="I2114" s="129">
        <v>141120.0</v>
      </c>
      <c r="J2114" s="129" t="s">
        <v>448</v>
      </c>
      <c r="K2114" s="307" t="s">
        <v>12289</v>
      </c>
      <c r="L2114" s="119"/>
      <c r="M2114" s="119"/>
      <c r="N2114" s="119"/>
      <c r="O2114" s="396" t="s">
        <v>3551</v>
      </c>
      <c r="P2114" s="396" t="s">
        <v>7449</v>
      </c>
      <c r="Q2114" s="119"/>
      <c r="R2114" s="101"/>
      <c r="S2114" s="405"/>
      <c r="T2114" s="101"/>
      <c r="U2114" s="101"/>
      <c r="V2114" s="399"/>
      <c r="W2114" s="119"/>
      <c r="X2114" s="119"/>
      <c r="Y2114" s="119"/>
      <c r="Z2114" s="119"/>
    </row>
    <row r="2115" ht="15.75" customHeight="1">
      <c r="A2115" s="44"/>
      <c r="B2115" s="396" t="s">
        <v>3553</v>
      </c>
      <c r="C2115" s="400">
        <v>3.0718039882E10</v>
      </c>
      <c r="D2115" s="77" t="s">
        <v>264</v>
      </c>
      <c r="E2115" s="400" t="s">
        <v>12288</v>
      </c>
      <c r="F2115" s="401">
        <v>3505.0</v>
      </c>
      <c r="G2115" s="400" t="s">
        <v>15</v>
      </c>
      <c r="H2115" s="78">
        <v>1678.0</v>
      </c>
      <c r="I2115" s="83">
        <v>222010.0</v>
      </c>
      <c r="J2115" s="83" t="s">
        <v>12290</v>
      </c>
      <c r="K2115" s="400" t="s">
        <v>12082</v>
      </c>
      <c r="L2115" s="79"/>
      <c r="M2115" s="79"/>
      <c r="N2115" s="79"/>
      <c r="O2115" s="400" t="s">
        <v>12291</v>
      </c>
      <c r="P2115" s="400" t="s">
        <v>12292</v>
      </c>
      <c r="Q2115" s="79"/>
      <c r="R2115" s="80"/>
      <c r="S2115" s="402"/>
      <c r="T2115" s="101"/>
      <c r="U2115" s="80"/>
      <c r="V2115" s="388"/>
      <c r="W2115" s="79"/>
      <c r="X2115" s="79"/>
      <c r="Y2115" s="79"/>
      <c r="Z2115" s="79"/>
    </row>
    <row r="2116" ht="15.75" customHeight="1">
      <c r="A2116" s="210"/>
      <c r="B2116" s="396" t="s">
        <v>3560</v>
      </c>
      <c r="C2116" s="396">
        <v>3.0718207033E10</v>
      </c>
      <c r="D2116" s="144" t="s">
        <v>264</v>
      </c>
      <c r="E2116" s="396" t="s">
        <v>12293</v>
      </c>
      <c r="F2116" s="397">
        <v>8340.0</v>
      </c>
      <c r="G2116" s="396" t="s">
        <v>119</v>
      </c>
      <c r="H2116" s="85">
        <v>1657.0</v>
      </c>
      <c r="I2116" s="129">
        <v>106131.0</v>
      </c>
      <c r="J2116" s="129" t="s">
        <v>22</v>
      </c>
      <c r="K2116" s="396" t="s">
        <v>12294</v>
      </c>
      <c r="L2116" s="119"/>
      <c r="M2116" s="119"/>
      <c r="N2116" s="119"/>
      <c r="O2116" s="396" t="s">
        <v>12295</v>
      </c>
      <c r="P2116" s="396" t="s">
        <v>12296</v>
      </c>
      <c r="Q2116" s="119"/>
      <c r="R2116" s="101"/>
      <c r="S2116" s="405"/>
      <c r="T2116" s="101"/>
      <c r="U2116" s="101"/>
      <c r="V2116" s="399"/>
      <c r="W2116" s="119"/>
      <c r="X2116" s="119"/>
      <c r="Y2116" s="119"/>
      <c r="Z2116" s="119"/>
    </row>
    <row r="2117" ht="15.75" customHeight="1">
      <c r="A2117" s="210"/>
      <c r="B2117" s="396" t="s">
        <v>3453</v>
      </c>
      <c r="C2117" s="396">
        <v>2.035324129E10</v>
      </c>
      <c r="D2117" s="77" t="s">
        <v>631</v>
      </c>
      <c r="E2117" s="396" t="s">
        <v>12297</v>
      </c>
      <c r="F2117" s="397">
        <v>3563.0</v>
      </c>
      <c r="G2117" s="396" t="s">
        <v>68</v>
      </c>
      <c r="H2117" s="85">
        <v>1702.0</v>
      </c>
      <c r="I2117" s="126"/>
      <c r="J2117" s="129" t="s">
        <v>57</v>
      </c>
      <c r="K2117" s="396" t="s">
        <v>12229</v>
      </c>
      <c r="L2117" s="119"/>
      <c r="M2117" s="119"/>
      <c r="N2117" s="119"/>
      <c r="O2117" s="396" t="s">
        <v>3453</v>
      </c>
      <c r="P2117" s="398"/>
      <c r="Q2117" s="119"/>
      <c r="R2117" s="101"/>
      <c r="S2117" s="405"/>
      <c r="T2117" s="101"/>
      <c r="U2117" s="101"/>
      <c r="V2117" s="399"/>
      <c r="W2117" s="119"/>
      <c r="X2117" s="119"/>
      <c r="Y2117" s="119"/>
      <c r="Z2117" s="119"/>
    </row>
    <row r="2118" ht="15.75" customHeight="1">
      <c r="A2118" s="210"/>
      <c r="B2118" s="396" t="s">
        <v>3570</v>
      </c>
      <c r="C2118" s="396">
        <v>2.035561607E10</v>
      </c>
      <c r="D2118" s="77" t="s">
        <v>631</v>
      </c>
      <c r="E2118" s="396" t="s">
        <v>12298</v>
      </c>
      <c r="F2118" s="397">
        <v>1129.0</v>
      </c>
      <c r="G2118" s="396" t="s">
        <v>15</v>
      </c>
      <c r="H2118" s="85">
        <v>1678.0</v>
      </c>
      <c r="I2118" s="129">
        <v>152021.0</v>
      </c>
      <c r="J2118" s="129" t="s">
        <v>73</v>
      </c>
      <c r="K2118" s="396" t="s">
        <v>12184</v>
      </c>
      <c r="L2118" s="119"/>
      <c r="M2118" s="119"/>
      <c r="N2118" s="119"/>
      <c r="O2118" s="396" t="s">
        <v>3570</v>
      </c>
      <c r="P2118" s="396" t="s">
        <v>12299</v>
      </c>
      <c r="Q2118" s="119"/>
      <c r="R2118" s="101"/>
      <c r="S2118" s="405"/>
      <c r="T2118" s="101"/>
      <c r="U2118" s="101"/>
      <c r="V2118" s="399"/>
      <c r="W2118" s="119"/>
      <c r="X2118" s="119"/>
      <c r="Y2118" s="119"/>
      <c r="Z2118" s="119"/>
    </row>
    <row r="2119" ht="15.75" customHeight="1">
      <c r="A2119" s="210"/>
      <c r="B2119" s="396" t="s">
        <v>3572</v>
      </c>
      <c r="C2119" s="396">
        <v>3.0718617401E10</v>
      </c>
      <c r="D2119" s="144" t="s">
        <v>264</v>
      </c>
      <c r="E2119" s="396" t="s">
        <v>1683</v>
      </c>
      <c r="F2119" s="397">
        <v>3229.0</v>
      </c>
      <c r="G2119" s="396" t="s">
        <v>15</v>
      </c>
      <c r="H2119" s="85">
        <v>1678.0</v>
      </c>
      <c r="I2119" s="129">
        <v>107999.0</v>
      </c>
      <c r="J2119" s="129" t="s">
        <v>22</v>
      </c>
      <c r="K2119" s="396" t="s">
        <v>12300</v>
      </c>
      <c r="L2119" s="119"/>
      <c r="M2119" s="119"/>
      <c r="N2119" s="119"/>
      <c r="O2119" s="396" t="s">
        <v>12301</v>
      </c>
      <c r="P2119" s="396">
        <v>1.164570398E9</v>
      </c>
      <c r="Q2119" s="119"/>
      <c r="R2119" s="101"/>
      <c r="S2119" s="405"/>
      <c r="T2119" s="101"/>
      <c r="U2119" s="101"/>
      <c r="V2119" s="399"/>
      <c r="W2119" s="119"/>
      <c r="X2119" s="119"/>
      <c r="Y2119" s="119"/>
      <c r="Z2119" s="119"/>
    </row>
    <row r="2120" ht="15.75" customHeight="1">
      <c r="A2120" s="210"/>
      <c r="B2120" s="396" t="s">
        <v>3577</v>
      </c>
      <c r="C2120" s="396">
        <v>3.0718361334E10</v>
      </c>
      <c r="D2120" s="144" t="s">
        <v>264</v>
      </c>
      <c r="E2120" s="396" t="s">
        <v>1136</v>
      </c>
      <c r="F2120" s="397">
        <v>3436.0</v>
      </c>
      <c r="G2120" s="396" t="s">
        <v>68</v>
      </c>
      <c r="H2120" s="85">
        <v>1702.0</v>
      </c>
      <c r="I2120" s="129">
        <v>105090.0</v>
      </c>
      <c r="J2120" s="129" t="s">
        <v>22</v>
      </c>
      <c r="K2120" s="396" t="s">
        <v>12302</v>
      </c>
      <c r="L2120" s="119"/>
      <c r="M2120" s="119"/>
      <c r="N2120" s="119"/>
      <c r="O2120" s="396" t="s">
        <v>12303</v>
      </c>
      <c r="P2120" s="396">
        <v>1.131668017E9</v>
      </c>
      <c r="Q2120" s="119"/>
      <c r="R2120" s="101"/>
      <c r="S2120" s="405"/>
      <c r="T2120" s="101"/>
      <c r="U2120" s="101"/>
      <c r="V2120" s="399"/>
      <c r="W2120" s="119"/>
      <c r="X2120" s="119"/>
      <c r="Y2120" s="119"/>
      <c r="Z2120" s="119"/>
    </row>
    <row r="2121" ht="15.75" customHeight="1">
      <c r="A2121" s="210"/>
      <c r="B2121" s="396" t="s">
        <v>3581</v>
      </c>
      <c r="C2121" s="396">
        <v>2.0333901774E10</v>
      </c>
      <c r="D2121" s="77" t="s">
        <v>631</v>
      </c>
      <c r="E2121" s="396" t="s">
        <v>12284</v>
      </c>
      <c r="F2121" s="397">
        <v>5660.0</v>
      </c>
      <c r="G2121" s="396" t="s">
        <v>15</v>
      </c>
      <c r="H2121" s="85">
        <v>1678.0</v>
      </c>
      <c r="I2121" s="129">
        <v>202908.0</v>
      </c>
      <c r="J2121" s="129" t="s">
        <v>316</v>
      </c>
      <c r="K2121" s="396" t="s">
        <v>12304</v>
      </c>
      <c r="L2121" s="119"/>
      <c r="M2121" s="119"/>
      <c r="N2121" s="119"/>
      <c r="O2121" s="396" t="s">
        <v>12305</v>
      </c>
      <c r="P2121" s="396" t="s">
        <v>12306</v>
      </c>
      <c r="Q2121" s="119"/>
      <c r="R2121" s="101"/>
      <c r="S2121" s="405"/>
      <c r="T2121" s="101"/>
      <c r="U2121" s="101"/>
      <c r="V2121" s="399"/>
      <c r="W2121" s="119"/>
      <c r="X2121" s="119"/>
      <c r="Y2121" s="119"/>
      <c r="Z2121" s="119"/>
    </row>
    <row r="2122" ht="15.75" customHeight="1">
      <c r="A2122" s="210"/>
      <c r="B2122" s="396" t="s">
        <v>3584</v>
      </c>
      <c r="C2122" s="396">
        <v>3.0715954156E10</v>
      </c>
      <c r="D2122" s="144" t="s">
        <v>264</v>
      </c>
      <c r="E2122" s="396" t="s">
        <v>12307</v>
      </c>
      <c r="F2122" s="397">
        <v>8334.0</v>
      </c>
      <c r="G2122" s="396" t="s">
        <v>119</v>
      </c>
      <c r="H2122" s="85">
        <v>1657.0</v>
      </c>
      <c r="I2122" s="129">
        <v>222010.0</v>
      </c>
      <c r="J2122" s="129" t="s">
        <v>568</v>
      </c>
      <c r="K2122" s="396" t="s">
        <v>12082</v>
      </c>
      <c r="L2122" s="119"/>
      <c r="M2122" s="119"/>
      <c r="N2122" s="119"/>
      <c r="O2122" s="396" t="s">
        <v>12308</v>
      </c>
      <c r="P2122" s="398"/>
      <c r="Q2122" s="119"/>
      <c r="R2122" s="101"/>
      <c r="S2122" s="405"/>
      <c r="T2122" s="101"/>
      <c r="U2122" s="101"/>
      <c r="V2122" s="399"/>
      <c r="W2122" s="119"/>
      <c r="X2122" s="119"/>
      <c r="Y2122" s="119"/>
      <c r="Z2122" s="119"/>
    </row>
    <row r="2123" ht="15.75" customHeight="1">
      <c r="A2123" s="210"/>
      <c r="B2123" s="396" t="s">
        <v>3589</v>
      </c>
      <c r="C2123" s="396">
        <v>2.3209572389E10</v>
      </c>
      <c r="D2123" s="77" t="s">
        <v>631</v>
      </c>
      <c r="E2123" s="396" t="s">
        <v>12309</v>
      </c>
      <c r="F2123" s="397">
        <v>3477.0</v>
      </c>
      <c r="G2123" s="396" t="s">
        <v>15</v>
      </c>
      <c r="H2123" s="85">
        <v>1678.0</v>
      </c>
      <c r="I2123" s="129">
        <v>259100.0</v>
      </c>
      <c r="J2123" s="329" t="s">
        <v>347</v>
      </c>
      <c r="K2123" s="396" t="s">
        <v>12310</v>
      </c>
      <c r="L2123" s="119"/>
      <c r="M2123" s="119"/>
      <c r="N2123" s="119"/>
      <c r="O2123" s="396" t="s">
        <v>3589</v>
      </c>
      <c r="P2123" s="396" t="s">
        <v>12311</v>
      </c>
      <c r="Q2123" s="119"/>
      <c r="R2123" s="101"/>
      <c r="S2123" s="405"/>
      <c r="T2123" s="101"/>
      <c r="U2123" s="101"/>
      <c r="V2123" s="399"/>
      <c r="W2123" s="119"/>
      <c r="X2123" s="119"/>
      <c r="Y2123" s="119"/>
      <c r="Z2123" s="119"/>
    </row>
    <row r="2124" ht="15.75" customHeight="1">
      <c r="A2124" s="210"/>
      <c r="B2124" s="396" t="s">
        <v>3593</v>
      </c>
      <c r="C2124" s="426">
        <v>2.094035109E10</v>
      </c>
      <c r="D2124" s="77" t="s">
        <v>631</v>
      </c>
      <c r="E2124" s="396" t="s">
        <v>4928</v>
      </c>
      <c r="F2124" s="397">
        <v>1171.0</v>
      </c>
      <c r="G2124" s="396" t="s">
        <v>15</v>
      </c>
      <c r="H2124" s="85">
        <v>1678.0</v>
      </c>
      <c r="I2124" s="129">
        <v>433010.0</v>
      </c>
      <c r="J2124" s="129" t="s">
        <v>313</v>
      </c>
      <c r="K2124" s="396" t="s">
        <v>11982</v>
      </c>
      <c r="L2124" s="119"/>
      <c r="M2124" s="119"/>
      <c r="N2124" s="119"/>
      <c r="O2124" s="396" t="s">
        <v>3593</v>
      </c>
      <c r="P2124" s="396" t="s">
        <v>12312</v>
      </c>
      <c r="Q2124" s="119"/>
      <c r="R2124" s="101"/>
      <c r="S2124" s="405"/>
      <c r="T2124" s="101"/>
      <c r="U2124" s="101"/>
      <c r="V2124" s="399"/>
      <c r="W2124" s="119"/>
      <c r="X2124" s="119"/>
      <c r="Y2124" s="119"/>
      <c r="Z2124" s="119"/>
    </row>
    <row r="2125" ht="15.75" customHeight="1">
      <c r="A2125" s="210"/>
      <c r="B2125" s="396" t="s">
        <v>3599</v>
      </c>
      <c r="C2125" s="396">
        <v>3.071656556E10</v>
      </c>
      <c r="D2125" s="144" t="s">
        <v>264</v>
      </c>
      <c r="E2125" s="396" t="s">
        <v>1819</v>
      </c>
      <c r="F2125" s="397">
        <v>3327.0</v>
      </c>
      <c r="G2125" s="396" t="s">
        <v>68</v>
      </c>
      <c r="H2125" s="85">
        <v>1702.0</v>
      </c>
      <c r="I2125" s="129">
        <v>259999.0</v>
      </c>
      <c r="J2125" s="329" t="s">
        <v>347</v>
      </c>
      <c r="K2125" s="396" t="s">
        <v>12313</v>
      </c>
      <c r="L2125" s="119"/>
      <c r="M2125" s="119"/>
      <c r="N2125" s="119"/>
      <c r="O2125" s="396" t="s">
        <v>12314</v>
      </c>
      <c r="P2125" s="396" t="s">
        <v>12315</v>
      </c>
      <c r="Q2125" s="119"/>
      <c r="R2125" s="101"/>
      <c r="S2125" s="405"/>
      <c r="T2125" s="101"/>
      <c r="U2125" s="101"/>
      <c r="V2125" s="399"/>
      <c r="W2125" s="119"/>
      <c r="X2125" s="119"/>
      <c r="Y2125" s="119"/>
      <c r="Z2125" s="119"/>
    </row>
    <row r="2126" ht="15.75" customHeight="1">
      <c r="A2126" s="44"/>
      <c r="B2126" s="396" t="s">
        <v>3605</v>
      </c>
      <c r="C2126" s="400">
        <v>3.0717661849E10</v>
      </c>
      <c r="D2126" s="77" t="s">
        <v>264</v>
      </c>
      <c r="E2126" s="400" t="s">
        <v>1246</v>
      </c>
      <c r="F2126" s="401">
        <v>656.0</v>
      </c>
      <c r="G2126" s="400" t="s">
        <v>68</v>
      </c>
      <c r="H2126" s="78">
        <v>1702.0</v>
      </c>
      <c r="I2126" s="74"/>
      <c r="J2126" s="83" t="s">
        <v>22</v>
      </c>
      <c r="K2126" s="400" t="s">
        <v>12316</v>
      </c>
      <c r="L2126" s="79"/>
      <c r="M2126" s="79"/>
      <c r="N2126" s="79"/>
      <c r="O2126" s="400" t="s">
        <v>12317</v>
      </c>
      <c r="P2126" s="400">
        <v>1.136787474E9</v>
      </c>
      <c r="Q2126" s="79"/>
      <c r="R2126" s="80"/>
      <c r="S2126" s="402"/>
      <c r="T2126" s="101"/>
      <c r="U2126" s="80"/>
      <c r="V2126" s="388"/>
      <c r="W2126" s="79"/>
      <c r="X2126" s="79"/>
      <c r="Y2126" s="79"/>
      <c r="Z2126" s="79"/>
    </row>
    <row r="2127" ht="15.75" customHeight="1">
      <c r="A2127" s="210"/>
      <c r="B2127" s="396" t="s">
        <v>12318</v>
      </c>
      <c r="C2127" s="396">
        <v>3.0717810909E10</v>
      </c>
      <c r="D2127" s="144" t="s">
        <v>264</v>
      </c>
      <c r="E2127" s="396" t="s">
        <v>4709</v>
      </c>
      <c r="F2127" s="397">
        <v>8015.0</v>
      </c>
      <c r="G2127" s="396" t="s">
        <v>119</v>
      </c>
      <c r="H2127" s="85">
        <v>1657.0</v>
      </c>
      <c r="I2127" s="129">
        <v>181109.0</v>
      </c>
      <c r="J2127" s="129" t="s">
        <v>12076</v>
      </c>
      <c r="K2127" s="396" t="s">
        <v>12319</v>
      </c>
      <c r="L2127" s="119"/>
      <c r="M2127" s="119"/>
      <c r="N2127" s="119"/>
      <c r="O2127" s="396" t="s">
        <v>12320</v>
      </c>
      <c r="P2127" s="396" t="s">
        <v>12321</v>
      </c>
      <c r="Q2127" s="119"/>
      <c r="R2127" s="101"/>
      <c r="S2127" s="405"/>
      <c r="T2127" s="101"/>
      <c r="U2127" s="101"/>
      <c r="V2127" s="399"/>
      <c r="W2127" s="119"/>
      <c r="X2127" s="119"/>
      <c r="Y2127" s="119"/>
      <c r="Z2127" s="119"/>
    </row>
    <row r="2128" ht="15.75" customHeight="1">
      <c r="A2128" s="210"/>
      <c r="B2128" s="396" t="s">
        <v>3606</v>
      </c>
      <c r="C2128" s="396">
        <v>2.027068212E10</v>
      </c>
      <c r="D2128" s="77" t="s">
        <v>631</v>
      </c>
      <c r="E2128" s="396" t="s">
        <v>12258</v>
      </c>
      <c r="F2128" s="397">
        <v>873.0</v>
      </c>
      <c r="G2128" s="396" t="s">
        <v>68</v>
      </c>
      <c r="H2128" s="85">
        <v>1702.0</v>
      </c>
      <c r="I2128" s="129">
        <v>202907.0</v>
      </c>
      <c r="J2128" s="129" t="s">
        <v>316</v>
      </c>
      <c r="K2128" s="396" t="s">
        <v>12322</v>
      </c>
      <c r="L2128" s="119"/>
      <c r="M2128" s="119"/>
      <c r="N2128" s="119"/>
      <c r="O2128" s="396" t="s">
        <v>3606</v>
      </c>
      <c r="P2128" s="396">
        <v>1.163721638E9</v>
      </c>
      <c r="Q2128" s="119"/>
      <c r="R2128" s="101"/>
      <c r="S2128" s="405"/>
      <c r="T2128" s="101"/>
      <c r="U2128" s="101"/>
      <c r="V2128" s="399"/>
      <c r="W2128" s="119"/>
      <c r="X2128" s="119"/>
      <c r="Y2128" s="119"/>
      <c r="Z2128" s="119"/>
    </row>
    <row r="2129" ht="15.75" customHeight="1">
      <c r="A2129" s="210"/>
      <c r="B2129" s="396" t="s">
        <v>3610</v>
      </c>
      <c r="C2129" s="307">
        <v>3.0716140454E10</v>
      </c>
      <c r="D2129" s="144" t="s">
        <v>264</v>
      </c>
      <c r="E2129" s="396" t="s">
        <v>314</v>
      </c>
      <c r="F2129" s="397">
        <v>5519.0</v>
      </c>
      <c r="G2129" s="396" t="s">
        <v>15</v>
      </c>
      <c r="H2129" s="85">
        <v>1678.0</v>
      </c>
      <c r="I2129" s="129">
        <v>231090.0</v>
      </c>
      <c r="J2129" s="129" t="s">
        <v>457</v>
      </c>
      <c r="K2129" s="396" t="s">
        <v>12323</v>
      </c>
      <c r="L2129" s="119"/>
      <c r="M2129" s="119"/>
      <c r="N2129" s="119"/>
      <c r="O2129" s="396" t="s">
        <v>12324</v>
      </c>
      <c r="P2129" s="396">
        <v>1.153061111E9</v>
      </c>
      <c r="Q2129" s="119"/>
      <c r="R2129" s="101"/>
      <c r="S2129" s="405"/>
      <c r="T2129" s="101"/>
      <c r="U2129" s="101"/>
      <c r="V2129" s="399"/>
      <c r="W2129" s="119"/>
      <c r="X2129" s="119"/>
      <c r="Y2129" s="119"/>
      <c r="Z2129" s="119"/>
    </row>
    <row r="2130" ht="15.75" customHeight="1">
      <c r="A2130" s="210"/>
      <c r="B2130" s="396" t="s">
        <v>3613</v>
      </c>
      <c r="C2130" s="396">
        <v>3.0717818373E10</v>
      </c>
      <c r="D2130" s="144" t="s">
        <v>264</v>
      </c>
      <c r="E2130" s="396" t="s">
        <v>1705</v>
      </c>
      <c r="F2130" s="397">
        <v>57.0</v>
      </c>
      <c r="G2130" s="396" t="s">
        <v>68</v>
      </c>
      <c r="H2130" s="85">
        <v>1702.0</v>
      </c>
      <c r="I2130" s="129">
        <v>231090.0</v>
      </c>
      <c r="J2130" s="129" t="s">
        <v>457</v>
      </c>
      <c r="K2130" s="396" t="s">
        <v>12325</v>
      </c>
      <c r="L2130" s="119"/>
      <c r="M2130" s="119"/>
      <c r="N2130" s="119"/>
      <c r="O2130" s="396" t="s">
        <v>188</v>
      </c>
      <c r="P2130" s="396" t="s">
        <v>188</v>
      </c>
      <c r="Q2130" s="119"/>
      <c r="R2130" s="101"/>
      <c r="S2130" s="405"/>
      <c r="T2130" s="101"/>
      <c r="U2130" s="101"/>
      <c r="V2130" s="399"/>
      <c r="W2130" s="119"/>
      <c r="X2130" s="119"/>
      <c r="Y2130" s="119"/>
      <c r="Z2130" s="119"/>
    </row>
    <row r="2131" ht="15.75" customHeight="1">
      <c r="A2131" s="210"/>
      <c r="B2131" s="396" t="s">
        <v>3623</v>
      </c>
      <c r="C2131" s="396">
        <v>3.055096083E10</v>
      </c>
      <c r="D2131" s="144" t="s">
        <v>264</v>
      </c>
      <c r="E2131" s="396" t="s">
        <v>12326</v>
      </c>
      <c r="F2131" s="397">
        <v>731.0</v>
      </c>
      <c r="G2131" s="396" t="s">
        <v>68</v>
      </c>
      <c r="H2131" s="85">
        <v>1702.0</v>
      </c>
      <c r="I2131" s="129">
        <v>107410.0</v>
      </c>
      <c r="J2131" s="129" t="s">
        <v>22</v>
      </c>
      <c r="K2131" s="396" t="s">
        <v>12327</v>
      </c>
      <c r="L2131" s="119"/>
      <c r="M2131" s="119"/>
      <c r="N2131" s="119"/>
      <c r="O2131" s="396" t="s">
        <v>12328</v>
      </c>
      <c r="P2131" s="396">
        <v>1.149389842E9</v>
      </c>
      <c r="Q2131" s="119"/>
      <c r="R2131" s="101"/>
      <c r="S2131" s="405"/>
      <c r="T2131" s="101"/>
      <c r="U2131" s="101"/>
      <c r="V2131" s="399"/>
      <c r="W2131" s="119"/>
      <c r="X2131" s="119"/>
      <c r="Y2131" s="119"/>
      <c r="Z2131" s="119"/>
    </row>
    <row r="2132" ht="15.75" customHeight="1">
      <c r="A2132" s="408"/>
      <c r="B2132" s="409" t="s">
        <v>3625</v>
      </c>
      <c r="C2132" s="411">
        <v>3.0718752406E10</v>
      </c>
      <c r="D2132" s="291" t="s">
        <v>264</v>
      </c>
      <c r="E2132" s="411" t="s">
        <v>12329</v>
      </c>
      <c r="F2132" s="412">
        <v>3688.0</v>
      </c>
      <c r="G2132" s="411" t="s">
        <v>15</v>
      </c>
      <c r="H2132" s="240">
        <v>1678.0</v>
      </c>
      <c r="I2132" s="329">
        <v>107309.0</v>
      </c>
      <c r="J2132" s="329" t="s">
        <v>22</v>
      </c>
      <c r="K2132" s="411" t="s">
        <v>12330</v>
      </c>
      <c r="L2132" s="176"/>
      <c r="M2132" s="176"/>
      <c r="N2132" s="176"/>
      <c r="O2132" s="411" t="s">
        <v>12331</v>
      </c>
      <c r="P2132" s="411" t="s">
        <v>12332</v>
      </c>
      <c r="Q2132" s="176"/>
      <c r="R2132" s="114"/>
      <c r="S2132" s="413"/>
      <c r="T2132" s="200"/>
      <c r="U2132" s="114"/>
      <c r="V2132" s="414"/>
      <c r="W2132" s="176"/>
      <c r="X2132" s="176"/>
      <c r="Y2132" s="176"/>
      <c r="Z2132" s="176"/>
    </row>
    <row r="2133" ht="15.75" customHeight="1">
      <c r="A2133" s="210"/>
      <c r="B2133" s="396" t="s">
        <v>3631</v>
      </c>
      <c r="C2133" s="396">
        <v>3.0715767933E10</v>
      </c>
      <c r="D2133" s="144" t="s">
        <v>264</v>
      </c>
      <c r="E2133" s="396" t="s">
        <v>12333</v>
      </c>
      <c r="F2133" s="397">
        <v>3628.0</v>
      </c>
      <c r="G2133" s="396" t="s">
        <v>68</v>
      </c>
      <c r="H2133" s="85">
        <v>1702.0</v>
      </c>
      <c r="I2133" s="129">
        <v>131300.0</v>
      </c>
      <c r="J2133" s="129" t="s">
        <v>448</v>
      </c>
      <c r="K2133" s="396" t="s">
        <v>12334</v>
      </c>
      <c r="L2133" s="119"/>
      <c r="M2133" s="119"/>
      <c r="N2133" s="119"/>
      <c r="O2133" s="396" t="s">
        <v>12335</v>
      </c>
      <c r="P2133" s="396">
        <v>1.159367496E9</v>
      </c>
      <c r="Q2133" s="119"/>
      <c r="R2133" s="101"/>
      <c r="S2133" s="405"/>
      <c r="T2133" s="101"/>
      <c r="U2133" s="101"/>
      <c r="V2133" s="399"/>
      <c r="W2133" s="119"/>
      <c r="X2133" s="119"/>
      <c r="Y2133" s="119"/>
      <c r="Z2133" s="119"/>
    </row>
    <row r="2134" ht="15.75" customHeight="1">
      <c r="A2134" s="210"/>
      <c r="B2134" s="396" t="s">
        <v>3639</v>
      </c>
      <c r="C2134" s="396">
        <v>3.3717045799E10</v>
      </c>
      <c r="D2134" s="144" t="s">
        <v>264</v>
      </c>
      <c r="E2134" s="396" t="s">
        <v>12336</v>
      </c>
      <c r="F2134" s="397">
        <v>3836.0</v>
      </c>
      <c r="G2134" s="396" t="s">
        <v>68</v>
      </c>
      <c r="H2134" s="85">
        <v>1702.0</v>
      </c>
      <c r="I2134" s="129">
        <v>241009.0</v>
      </c>
      <c r="J2134" s="329" t="s">
        <v>347</v>
      </c>
      <c r="K2134" s="396" t="s">
        <v>12337</v>
      </c>
      <c r="L2134" s="119"/>
      <c r="M2134" s="119"/>
      <c r="N2134" s="119"/>
      <c r="O2134" s="396" t="s">
        <v>12338</v>
      </c>
      <c r="P2134" s="396" t="s">
        <v>12339</v>
      </c>
      <c r="Q2134" s="119"/>
      <c r="R2134" s="101"/>
      <c r="S2134" s="405"/>
      <c r="T2134" s="101"/>
      <c r="U2134" s="101"/>
      <c r="V2134" s="399"/>
      <c r="W2134" s="119"/>
      <c r="X2134" s="119"/>
      <c r="Y2134" s="119"/>
      <c r="Z2134" s="119"/>
    </row>
    <row r="2135" ht="15.75" customHeight="1">
      <c r="A2135" s="210"/>
      <c r="B2135" s="396" t="s">
        <v>3642</v>
      </c>
      <c r="C2135" s="396">
        <v>3.0715750062E10</v>
      </c>
      <c r="D2135" s="144" t="s">
        <v>264</v>
      </c>
      <c r="E2135" s="396" t="s">
        <v>5790</v>
      </c>
      <c r="F2135" s="397">
        <v>4061.0</v>
      </c>
      <c r="G2135" s="396" t="s">
        <v>15</v>
      </c>
      <c r="H2135" s="85">
        <v>1678.0</v>
      </c>
      <c r="I2135" s="129">
        <v>261000.0</v>
      </c>
      <c r="J2135" s="129" t="s">
        <v>207</v>
      </c>
      <c r="K2135" s="396" t="s">
        <v>12340</v>
      </c>
      <c r="L2135" s="119"/>
      <c r="M2135" s="119"/>
      <c r="N2135" s="119"/>
      <c r="O2135" s="396" t="s">
        <v>12341</v>
      </c>
      <c r="P2135" s="396" t="s">
        <v>12342</v>
      </c>
      <c r="Q2135" s="119"/>
      <c r="R2135" s="101"/>
      <c r="S2135" s="405"/>
      <c r="T2135" s="101"/>
      <c r="U2135" s="101"/>
      <c r="V2135" s="399"/>
      <c r="W2135" s="119"/>
      <c r="X2135" s="119"/>
      <c r="Y2135" s="119"/>
      <c r="Z2135" s="119"/>
    </row>
    <row r="2136" ht="15.75" customHeight="1">
      <c r="A2136" s="210"/>
      <c r="B2136" s="396" t="s">
        <v>12343</v>
      </c>
      <c r="C2136" s="396">
        <v>2.0266208902E10</v>
      </c>
      <c r="D2136" s="77" t="s">
        <v>631</v>
      </c>
      <c r="E2136" s="396" t="s">
        <v>12344</v>
      </c>
      <c r="F2136" s="397">
        <v>3354.0</v>
      </c>
      <c r="G2136" s="396" t="s">
        <v>15</v>
      </c>
      <c r="H2136" s="85">
        <v>1678.0</v>
      </c>
      <c r="I2136" s="129">
        <v>107999.0</v>
      </c>
      <c r="J2136" s="129" t="s">
        <v>22</v>
      </c>
      <c r="K2136" s="396" t="s">
        <v>12345</v>
      </c>
      <c r="L2136" s="119"/>
      <c r="M2136" s="119"/>
      <c r="N2136" s="119"/>
      <c r="O2136" s="396" t="s">
        <v>12343</v>
      </c>
      <c r="P2136" s="396" t="s">
        <v>12346</v>
      </c>
      <c r="Q2136" s="119"/>
      <c r="R2136" s="101"/>
      <c r="S2136" s="405"/>
      <c r="T2136" s="101"/>
      <c r="U2136" s="101"/>
      <c r="V2136" s="399"/>
      <c r="W2136" s="119"/>
      <c r="X2136" s="119"/>
      <c r="Y2136" s="119"/>
      <c r="Z2136" s="119"/>
    </row>
    <row r="2137" ht="15.75" customHeight="1">
      <c r="A2137" s="210"/>
      <c r="B2137" s="396" t="s">
        <v>3649</v>
      </c>
      <c r="C2137" s="396">
        <v>3.0717201821E10</v>
      </c>
      <c r="D2137" s="144" t="s">
        <v>264</v>
      </c>
      <c r="E2137" s="396" t="s">
        <v>3875</v>
      </c>
      <c r="F2137" s="397">
        <v>3171.0</v>
      </c>
      <c r="G2137" s="396" t="s">
        <v>15</v>
      </c>
      <c r="H2137" s="85">
        <v>1678.0</v>
      </c>
      <c r="I2137" s="129">
        <v>465360.0</v>
      </c>
      <c r="J2137" s="129" t="s">
        <v>568</v>
      </c>
      <c r="K2137" s="396" t="s">
        <v>11913</v>
      </c>
      <c r="L2137" s="119"/>
      <c r="M2137" s="119"/>
      <c r="N2137" s="119"/>
      <c r="O2137" s="396" t="s">
        <v>12347</v>
      </c>
      <c r="P2137" s="396" t="s">
        <v>12348</v>
      </c>
      <c r="Q2137" s="119"/>
      <c r="R2137" s="101"/>
      <c r="S2137" s="405"/>
      <c r="T2137" s="101"/>
      <c r="U2137" s="101"/>
      <c r="V2137" s="399"/>
      <c r="W2137" s="119"/>
      <c r="X2137" s="119"/>
      <c r="Y2137" s="119"/>
      <c r="Z2137" s="119"/>
    </row>
    <row r="2138" ht="15.75" customHeight="1">
      <c r="A2138" s="210"/>
      <c r="B2138" s="396" t="s">
        <v>3652</v>
      </c>
      <c r="C2138" s="396">
        <v>2.0251200549E10</v>
      </c>
      <c r="D2138" s="144" t="s">
        <v>12349</v>
      </c>
      <c r="E2138" s="396" t="s">
        <v>1540</v>
      </c>
      <c r="F2138" s="397">
        <v>4664.0</v>
      </c>
      <c r="G2138" s="396" t="s">
        <v>15</v>
      </c>
      <c r="H2138" s="85">
        <v>1678.0</v>
      </c>
      <c r="I2138" s="129">
        <v>181200.0</v>
      </c>
      <c r="J2138" s="129" t="s">
        <v>12076</v>
      </c>
      <c r="K2138" s="396" t="s">
        <v>12350</v>
      </c>
      <c r="L2138" s="119"/>
      <c r="M2138" s="119"/>
      <c r="N2138" s="119"/>
      <c r="O2138" s="396" t="s">
        <v>3652</v>
      </c>
      <c r="P2138" s="396" t="s">
        <v>12351</v>
      </c>
      <c r="Q2138" s="119"/>
      <c r="R2138" s="101"/>
      <c r="S2138" s="405"/>
      <c r="T2138" s="101"/>
      <c r="U2138" s="101"/>
      <c r="V2138" s="399"/>
      <c r="W2138" s="119"/>
      <c r="X2138" s="119"/>
      <c r="Y2138" s="119"/>
      <c r="Z2138" s="119"/>
    </row>
    <row r="2139" ht="15.75" customHeight="1">
      <c r="A2139" s="210"/>
      <c r="B2139" s="396" t="s">
        <v>3660</v>
      </c>
      <c r="C2139" s="396">
        <v>3.0716852586E10</v>
      </c>
      <c r="D2139" s="144" t="s">
        <v>11899</v>
      </c>
      <c r="E2139" s="396" t="s">
        <v>12105</v>
      </c>
      <c r="F2139" s="397">
        <v>5066.0</v>
      </c>
      <c r="G2139" s="396" t="s">
        <v>15</v>
      </c>
      <c r="H2139" s="85">
        <v>1678.0</v>
      </c>
      <c r="I2139" s="129">
        <v>107999.0</v>
      </c>
      <c r="J2139" s="129" t="s">
        <v>22</v>
      </c>
      <c r="K2139" s="307" t="s">
        <v>12352</v>
      </c>
      <c r="L2139" s="119"/>
      <c r="M2139" s="119"/>
      <c r="N2139" s="119"/>
      <c r="O2139" s="396" t="s">
        <v>12353</v>
      </c>
      <c r="P2139" s="396">
        <v>1.131668017E9</v>
      </c>
      <c r="Q2139" s="119"/>
      <c r="R2139" s="101"/>
      <c r="S2139" s="405"/>
      <c r="T2139" s="101"/>
      <c r="U2139" s="101"/>
      <c r="V2139" s="399"/>
      <c r="W2139" s="119"/>
      <c r="X2139" s="119"/>
      <c r="Y2139" s="119"/>
      <c r="Z2139" s="119"/>
    </row>
    <row r="2140" ht="15.75" customHeight="1">
      <c r="A2140" s="210"/>
      <c r="B2140" s="396" t="s">
        <v>3665</v>
      </c>
      <c r="C2140" s="396">
        <v>2.3246892059E10</v>
      </c>
      <c r="D2140" s="77" t="s">
        <v>631</v>
      </c>
      <c r="E2140" s="396" t="s">
        <v>11943</v>
      </c>
      <c r="F2140" s="397">
        <v>5415.0</v>
      </c>
      <c r="G2140" s="396" t="s">
        <v>15</v>
      </c>
      <c r="H2140" s="85">
        <v>1678.0</v>
      </c>
      <c r="I2140" s="126"/>
      <c r="J2140" s="129" t="s">
        <v>57</v>
      </c>
      <c r="K2140" s="396" t="s">
        <v>12354</v>
      </c>
      <c r="L2140" s="119"/>
      <c r="M2140" s="119"/>
      <c r="N2140" s="119"/>
      <c r="O2140" s="396" t="s">
        <v>3665</v>
      </c>
      <c r="P2140" s="396" t="s">
        <v>12355</v>
      </c>
      <c r="Q2140" s="119"/>
      <c r="R2140" s="101"/>
      <c r="S2140" s="405"/>
      <c r="T2140" s="101"/>
      <c r="U2140" s="101"/>
      <c r="V2140" s="399"/>
      <c r="W2140" s="119"/>
      <c r="X2140" s="119"/>
      <c r="Y2140" s="119"/>
      <c r="Z2140" s="119"/>
    </row>
    <row r="2141" ht="15.75" customHeight="1">
      <c r="A2141" s="210"/>
      <c r="B2141" s="396" t="s">
        <v>3674</v>
      </c>
      <c r="C2141" s="396">
        <v>3.3718208039E10</v>
      </c>
      <c r="D2141" s="144" t="s">
        <v>264</v>
      </c>
      <c r="E2141" s="396" t="s">
        <v>12356</v>
      </c>
      <c r="F2141" s="397">
        <v>3585.0</v>
      </c>
      <c r="G2141" s="396" t="s">
        <v>68</v>
      </c>
      <c r="H2141" s="85">
        <v>1702.0</v>
      </c>
      <c r="I2141" s="129">
        <v>107309.0</v>
      </c>
      <c r="J2141" s="129" t="s">
        <v>22</v>
      </c>
      <c r="K2141" s="396" t="s">
        <v>12357</v>
      </c>
      <c r="L2141" s="119"/>
      <c r="M2141" s="119"/>
      <c r="N2141" s="119"/>
      <c r="O2141" s="396" t="s">
        <v>12358</v>
      </c>
      <c r="P2141" s="396" t="s">
        <v>12359</v>
      </c>
      <c r="Q2141" s="119"/>
      <c r="R2141" s="101"/>
      <c r="S2141" s="405"/>
      <c r="T2141" s="101"/>
      <c r="U2141" s="101"/>
      <c r="V2141" s="399"/>
      <c r="W2141" s="119"/>
      <c r="X2141" s="119"/>
      <c r="Y2141" s="119"/>
      <c r="Z2141" s="119"/>
    </row>
    <row r="2142" ht="15.75" customHeight="1">
      <c r="A2142" s="210"/>
      <c r="B2142" s="396" t="s">
        <v>3679</v>
      </c>
      <c r="C2142" s="396">
        <v>3.0715089439E10</v>
      </c>
      <c r="D2142" s="144" t="s">
        <v>264</v>
      </c>
      <c r="E2142" s="396" t="s">
        <v>1114</v>
      </c>
      <c r="F2142" s="397">
        <v>4272.0</v>
      </c>
      <c r="G2142" s="396" t="s">
        <v>68</v>
      </c>
      <c r="H2142" s="85">
        <v>1702.0</v>
      </c>
      <c r="I2142" s="129">
        <v>107999.0</v>
      </c>
      <c r="J2142" s="129" t="s">
        <v>22</v>
      </c>
      <c r="K2142" s="396" t="s">
        <v>12360</v>
      </c>
      <c r="L2142" s="119"/>
      <c r="M2142" s="119"/>
      <c r="N2142" s="119"/>
      <c r="O2142" s="396" t="s">
        <v>12361</v>
      </c>
      <c r="P2142" s="396" t="s">
        <v>12362</v>
      </c>
      <c r="Q2142" s="119"/>
      <c r="R2142" s="101"/>
      <c r="S2142" s="405"/>
      <c r="T2142" s="101"/>
      <c r="U2142" s="101"/>
      <c r="V2142" s="399"/>
      <c r="W2142" s="119"/>
      <c r="X2142" s="119"/>
      <c r="Y2142" s="119"/>
      <c r="Z2142" s="119"/>
    </row>
    <row r="2143" ht="15.75" customHeight="1">
      <c r="A2143" s="210"/>
      <c r="B2143" s="396" t="s">
        <v>3684</v>
      </c>
      <c r="C2143" s="396">
        <v>3.0717716953E10</v>
      </c>
      <c r="D2143" s="144" t="s">
        <v>264</v>
      </c>
      <c r="E2143" s="396" t="s">
        <v>12363</v>
      </c>
      <c r="F2143" s="397">
        <v>1968.0</v>
      </c>
      <c r="G2143" s="396" t="s">
        <v>68</v>
      </c>
      <c r="H2143" s="85">
        <v>1702.0</v>
      </c>
      <c r="I2143" s="129">
        <v>581100.0</v>
      </c>
      <c r="J2143" s="129" t="s">
        <v>12076</v>
      </c>
      <c r="K2143" s="396" t="s">
        <v>12364</v>
      </c>
      <c r="L2143" s="119"/>
      <c r="M2143" s="119"/>
      <c r="N2143" s="119"/>
      <c r="O2143" s="396" t="s">
        <v>12365</v>
      </c>
      <c r="P2143" s="396" t="s">
        <v>12366</v>
      </c>
      <c r="Q2143" s="119"/>
      <c r="R2143" s="101"/>
      <c r="S2143" s="405"/>
      <c r="T2143" s="101"/>
      <c r="U2143" s="101"/>
      <c r="V2143" s="399"/>
      <c r="W2143" s="119"/>
      <c r="X2143" s="119"/>
      <c r="Y2143" s="119"/>
      <c r="Z2143" s="119"/>
    </row>
    <row r="2144" ht="15.75" customHeight="1">
      <c r="A2144" s="210"/>
      <c r="B2144" s="396" t="s">
        <v>3687</v>
      </c>
      <c r="C2144" s="396">
        <v>3.3715265619E10</v>
      </c>
      <c r="D2144" s="144" t="s">
        <v>264</v>
      </c>
      <c r="E2144" s="396" t="s">
        <v>12367</v>
      </c>
      <c r="F2144" s="397">
        <v>2943.0</v>
      </c>
      <c r="G2144" s="396" t="s">
        <v>68</v>
      </c>
      <c r="H2144" s="85">
        <v>1702.0</v>
      </c>
      <c r="I2144" s="129">
        <v>310030.0</v>
      </c>
      <c r="J2144" s="129" t="s">
        <v>313</v>
      </c>
      <c r="K2144" s="396" t="s">
        <v>12368</v>
      </c>
      <c r="L2144" s="119"/>
      <c r="M2144" s="119"/>
      <c r="N2144" s="119"/>
      <c r="O2144" s="396" t="s">
        <v>12369</v>
      </c>
      <c r="P2144" s="396" t="s">
        <v>7449</v>
      </c>
      <c r="Q2144" s="119"/>
      <c r="R2144" s="101"/>
      <c r="S2144" s="405"/>
      <c r="T2144" s="101"/>
      <c r="U2144" s="101"/>
      <c r="V2144" s="399"/>
      <c r="W2144" s="119"/>
      <c r="X2144" s="119"/>
      <c r="Y2144" s="119"/>
      <c r="Z2144" s="119"/>
    </row>
    <row r="2145" ht="15.75" customHeight="1">
      <c r="A2145" s="210"/>
      <c r="B2145" s="396" t="s">
        <v>12370</v>
      </c>
      <c r="C2145" s="396">
        <v>3.0715802887E10</v>
      </c>
      <c r="D2145" s="144" t="s">
        <v>264</v>
      </c>
      <c r="E2145" s="396" t="s">
        <v>9395</v>
      </c>
      <c r="F2145" s="397">
        <v>1192.0</v>
      </c>
      <c r="G2145" s="396" t="s">
        <v>68</v>
      </c>
      <c r="H2145" s="85">
        <v>1702.0</v>
      </c>
      <c r="I2145" s="129">
        <v>170990.0</v>
      </c>
      <c r="J2145" s="129" t="s">
        <v>12371</v>
      </c>
      <c r="K2145" s="396" t="s">
        <v>12372</v>
      </c>
      <c r="L2145" s="119"/>
      <c r="M2145" s="119"/>
      <c r="N2145" s="119"/>
      <c r="O2145" s="396" t="s">
        <v>12373</v>
      </c>
      <c r="P2145" s="396" t="s">
        <v>12374</v>
      </c>
      <c r="Q2145" s="119"/>
      <c r="R2145" s="101"/>
      <c r="S2145" s="405"/>
      <c r="T2145" s="101"/>
      <c r="U2145" s="101"/>
      <c r="V2145" s="399"/>
      <c r="W2145" s="119"/>
      <c r="X2145" s="119"/>
      <c r="Y2145" s="119"/>
      <c r="Z2145" s="119"/>
    </row>
    <row r="2146" ht="15.75" customHeight="1">
      <c r="A2146" s="210"/>
      <c r="B2146" s="396" t="s">
        <v>3689</v>
      </c>
      <c r="C2146" s="396">
        <v>3.0719130662E10</v>
      </c>
      <c r="D2146" s="144" t="s">
        <v>264</v>
      </c>
      <c r="E2146" s="396" t="s">
        <v>5790</v>
      </c>
      <c r="F2146" s="397">
        <v>3121.0</v>
      </c>
      <c r="G2146" s="396" t="s">
        <v>15</v>
      </c>
      <c r="H2146" s="85">
        <v>1678.0</v>
      </c>
      <c r="I2146" s="129">
        <v>107309.0</v>
      </c>
      <c r="J2146" s="129" t="s">
        <v>22</v>
      </c>
      <c r="K2146" s="396" t="s">
        <v>12375</v>
      </c>
      <c r="L2146" s="119"/>
      <c r="M2146" s="119"/>
      <c r="N2146" s="119"/>
      <c r="O2146" s="396" t="s">
        <v>12376</v>
      </c>
      <c r="P2146" s="396" t="s">
        <v>7449</v>
      </c>
      <c r="Q2146" s="119"/>
      <c r="R2146" s="101"/>
      <c r="S2146" s="405"/>
      <c r="T2146" s="101"/>
      <c r="U2146" s="101"/>
      <c r="V2146" s="399"/>
      <c r="W2146" s="119"/>
      <c r="X2146" s="119"/>
      <c r="Y2146" s="119"/>
      <c r="Z2146" s="119"/>
    </row>
    <row r="2147" ht="15.75" customHeight="1">
      <c r="A2147" s="210"/>
      <c r="B2147" s="396" t="s">
        <v>3695</v>
      </c>
      <c r="C2147" s="396">
        <v>3.0718530608E10</v>
      </c>
      <c r="D2147" s="144" t="s">
        <v>264</v>
      </c>
      <c r="E2147" s="396" t="s">
        <v>12377</v>
      </c>
      <c r="F2147" s="397">
        <v>258.0</v>
      </c>
      <c r="G2147" s="396" t="s">
        <v>68</v>
      </c>
      <c r="H2147" s="85">
        <v>1702.0</v>
      </c>
      <c r="I2147" s="129">
        <v>202908.0</v>
      </c>
      <c r="J2147" s="129" t="s">
        <v>316</v>
      </c>
      <c r="K2147" s="396" t="s">
        <v>12378</v>
      </c>
      <c r="L2147" s="119"/>
      <c r="M2147" s="119"/>
      <c r="N2147" s="119"/>
      <c r="O2147" s="396" t="s">
        <v>12379</v>
      </c>
      <c r="P2147" s="396" t="s">
        <v>12380</v>
      </c>
      <c r="Q2147" s="119"/>
      <c r="R2147" s="101"/>
      <c r="S2147" s="396" t="s">
        <v>7841</v>
      </c>
      <c r="T2147" s="101"/>
      <c r="U2147" s="101"/>
      <c r="V2147" s="399"/>
      <c r="W2147" s="119"/>
      <c r="X2147" s="119"/>
      <c r="Y2147" s="119"/>
      <c r="Z2147" s="119"/>
    </row>
    <row r="2148" ht="15.75" customHeight="1">
      <c r="A2148" s="210"/>
      <c r="B2148" s="396" t="s">
        <v>3700</v>
      </c>
      <c r="C2148" s="396">
        <v>2.0253302721E10</v>
      </c>
      <c r="D2148" s="77" t="s">
        <v>631</v>
      </c>
      <c r="E2148" s="396" t="s">
        <v>266</v>
      </c>
      <c r="F2148" s="397">
        <v>2939.0</v>
      </c>
      <c r="G2148" s="396" t="s">
        <v>15</v>
      </c>
      <c r="H2148" s="85">
        <v>1678.0</v>
      </c>
      <c r="I2148" s="126"/>
      <c r="J2148" s="129" t="s">
        <v>448</v>
      </c>
      <c r="K2148" s="396" t="s">
        <v>12381</v>
      </c>
      <c r="L2148" s="119"/>
      <c r="M2148" s="119"/>
      <c r="N2148" s="119"/>
      <c r="O2148" s="396" t="s">
        <v>12382</v>
      </c>
      <c r="P2148" s="396" t="s">
        <v>12383</v>
      </c>
      <c r="Q2148" s="119"/>
      <c r="R2148" s="101"/>
      <c r="S2148" s="405"/>
      <c r="T2148" s="101"/>
      <c r="U2148" s="101"/>
      <c r="V2148" s="399"/>
      <c r="W2148" s="119"/>
      <c r="X2148" s="119"/>
      <c r="Y2148" s="119"/>
      <c r="Z2148" s="119"/>
    </row>
    <row r="2149" ht="15.75" customHeight="1">
      <c r="A2149" s="210"/>
      <c r="B2149" s="396" t="s">
        <v>12384</v>
      </c>
      <c r="C2149" s="396">
        <v>2.0268018647E10</v>
      </c>
      <c r="D2149" s="77" t="s">
        <v>631</v>
      </c>
      <c r="E2149" s="396" t="s">
        <v>2143</v>
      </c>
      <c r="F2149" s="397">
        <v>918.0</v>
      </c>
      <c r="G2149" s="396" t="s">
        <v>68</v>
      </c>
      <c r="H2149" s="85">
        <v>1702.0</v>
      </c>
      <c r="I2149" s="129">
        <v>310010.0</v>
      </c>
      <c r="J2149" s="129" t="s">
        <v>313</v>
      </c>
      <c r="K2149" s="396" t="s">
        <v>12385</v>
      </c>
      <c r="L2149" s="119"/>
      <c r="M2149" s="119"/>
      <c r="N2149" s="119"/>
      <c r="O2149" s="396" t="s">
        <v>12386</v>
      </c>
      <c r="P2149" s="396" t="s">
        <v>12387</v>
      </c>
      <c r="Q2149" s="119"/>
      <c r="R2149" s="101"/>
      <c r="S2149" s="405"/>
      <c r="T2149" s="101"/>
      <c r="U2149" s="101"/>
      <c r="V2149" s="399"/>
      <c r="W2149" s="119"/>
      <c r="X2149" s="119"/>
      <c r="Y2149" s="119"/>
      <c r="Z2149" s="119"/>
    </row>
    <row r="2150" ht="15.75" customHeight="1">
      <c r="A2150" s="210"/>
      <c r="B2150" s="396" t="s">
        <v>3706</v>
      </c>
      <c r="C2150" s="396">
        <v>3.0522982225E10</v>
      </c>
      <c r="D2150" s="144" t="s">
        <v>264</v>
      </c>
      <c r="E2150" s="396" t="s">
        <v>2443</v>
      </c>
      <c r="F2150" s="397">
        <v>179.0</v>
      </c>
      <c r="G2150" s="396" t="s">
        <v>68</v>
      </c>
      <c r="H2150" s="85">
        <v>1702.0</v>
      </c>
      <c r="I2150" s="129">
        <v>141199.0</v>
      </c>
      <c r="J2150" s="129" t="s">
        <v>448</v>
      </c>
      <c r="K2150" s="396" t="s">
        <v>12388</v>
      </c>
      <c r="L2150" s="119"/>
      <c r="M2150" s="119"/>
      <c r="N2150" s="119"/>
      <c r="O2150" s="396" t="s">
        <v>12389</v>
      </c>
      <c r="P2150" s="396" t="s">
        <v>12390</v>
      </c>
      <c r="Q2150" s="119"/>
      <c r="R2150" s="101"/>
      <c r="S2150" s="396" t="s">
        <v>12391</v>
      </c>
      <c r="T2150" s="101"/>
      <c r="U2150" s="101"/>
      <c r="V2150" s="399"/>
      <c r="W2150" s="119"/>
      <c r="X2150" s="119"/>
      <c r="Y2150" s="119"/>
      <c r="Z2150" s="119"/>
    </row>
    <row r="2151" ht="15.75" customHeight="1">
      <c r="A2151" s="210"/>
      <c r="B2151" s="396" t="s">
        <v>12392</v>
      </c>
      <c r="C2151" s="396">
        <v>2.0940340714E10</v>
      </c>
      <c r="D2151" s="77" t="s">
        <v>631</v>
      </c>
      <c r="E2151" s="396" t="s">
        <v>12393</v>
      </c>
      <c r="F2151" s="397">
        <v>3542.0</v>
      </c>
      <c r="G2151" s="396" t="s">
        <v>68</v>
      </c>
      <c r="H2151" s="85">
        <v>1702.0</v>
      </c>
      <c r="I2151" s="129">
        <v>141199.0</v>
      </c>
      <c r="J2151" s="129" t="s">
        <v>448</v>
      </c>
      <c r="K2151" s="396" t="s">
        <v>12394</v>
      </c>
      <c r="L2151" s="119"/>
      <c r="M2151" s="119"/>
      <c r="N2151" s="119"/>
      <c r="O2151" s="396" t="s">
        <v>12392</v>
      </c>
      <c r="P2151" s="396" t="s">
        <v>12395</v>
      </c>
      <c r="Q2151" s="119"/>
      <c r="R2151" s="101"/>
      <c r="S2151" s="405"/>
      <c r="T2151" s="101"/>
      <c r="U2151" s="101"/>
      <c r="V2151" s="399"/>
      <c r="W2151" s="119"/>
      <c r="X2151" s="119"/>
      <c r="Y2151" s="119"/>
      <c r="Z2151" s="119"/>
    </row>
    <row r="2152" ht="15.75" customHeight="1">
      <c r="A2152" s="210"/>
      <c r="B2152" s="396" t="s">
        <v>3711</v>
      </c>
      <c r="C2152" s="396">
        <v>3.071779046E10</v>
      </c>
      <c r="D2152" s="144" t="s">
        <v>264</v>
      </c>
      <c r="E2152" s="396" t="s">
        <v>12396</v>
      </c>
      <c r="F2152" s="397">
        <v>5453.0</v>
      </c>
      <c r="G2152" s="396" t="s">
        <v>15</v>
      </c>
      <c r="H2152" s="85">
        <v>1678.0</v>
      </c>
      <c r="I2152" s="129">
        <v>382020.0</v>
      </c>
      <c r="J2152" s="329" t="s">
        <v>347</v>
      </c>
      <c r="K2152" s="396" t="s">
        <v>12397</v>
      </c>
      <c r="L2152" s="119"/>
      <c r="M2152" s="119"/>
      <c r="N2152" s="119"/>
      <c r="O2152" s="396" t="s">
        <v>12398</v>
      </c>
      <c r="P2152" s="396" t="s">
        <v>12399</v>
      </c>
      <c r="Q2152" s="119"/>
      <c r="R2152" s="101"/>
      <c r="S2152" s="405"/>
      <c r="T2152" s="101"/>
      <c r="U2152" s="101"/>
      <c r="V2152" s="399"/>
      <c r="W2152" s="119"/>
      <c r="X2152" s="119"/>
      <c r="Y2152" s="119"/>
      <c r="Z2152" s="119"/>
    </row>
    <row r="2153" ht="15.75" customHeight="1">
      <c r="A2153" s="210"/>
      <c r="B2153" s="396" t="s">
        <v>3433</v>
      </c>
      <c r="C2153" s="396">
        <v>2.0288577553E10</v>
      </c>
      <c r="D2153" s="77" t="s">
        <v>631</v>
      </c>
      <c r="E2153" s="396" t="s">
        <v>12400</v>
      </c>
      <c r="F2153" s="397">
        <v>9835.0</v>
      </c>
      <c r="G2153" s="396" t="s">
        <v>119</v>
      </c>
      <c r="H2153" s="85">
        <v>1657.0</v>
      </c>
      <c r="I2153" s="129">
        <v>107129.0</v>
      </c>
      <c r="J2153" s="129" t="s">
        <v>22</v>
      </c>
      <c r="K2153" s="396" t="s">
        <v>12401</v>
      </c>
      <c r="L2153" s="119"/>
      <c r="M2153" s="119"/>
      <c r="N2153" s="119"/>
      <c r="O2153" s="396" t="s">
        <v>3433</v>
      </c>
      <c r="P2153" s="396" t="s">
        <v>12208</v>
      </c>
      <c r="Q2153" s="119"/>
      <c r="R2153" s="101"/>
      <c r="S2153" s="405"/>
      <c r="T2153" s="101"/>
      <c r="U2153" s="101"/>
      <c r="V2153" s="399"/>
      <c r="W2153" s="119"/>
      <c r="X2153" s="119"/>
      <c r="Y2153" s="119"/>
      <c r="Z2153" s="119"/>
    </row>
    <row r="2154" ht="15.75" customHeight="1">
      <c r="A2154" s="210"/>
      <c r="B2154" s="396" t="s">
        <v>3717</v>
      </c>
      <c r="C2154" s="396">
        <v>3.0715995936E10</v>
      </c>
      <c r="D2154" s="144" t="s">
        <v>264</v>
      </c>
      <c r="E2154" s="396" t="s">
        <v>12402</v>
      </c>
      <c r="F2154" s="397">
        <v>9454.0</v>
      </c>
      <c r="G2154" s="396" t="s">
        <v>119</v>
      </c>
      <c r="H2154" s="85">
        <v>1657.0</v>
      </c>
      <c r="I2154" s="129">
        <v>101011.0</v>
      </c>
      <c r="J2154" s="129" t="s">
        <v>22</v>
      </c>
      <c r="K2154" s="396" t="s">
        <v>12403</v>
      </c>
      <c r="L2154" s="119"/>
      <c r="M2154" s="119"/>
      <c r="N2154" s="119"/>
      <c r="O2154" s="396" t="s">
        <v>12404</v>
      </c>
      <c r="P2154" s="396" t="s">
        <v>7449</v>
      </c>
      <c r="Q2154" s="119"/>
      <c r="R2154" s="101"/>
      <c r="S2154" s="405"/>
      <c r="T2154" s="101"/>
      <c r="U2154" s="101"/>
      <c r="V2154" s="399"/>
      <c r="W2154" s="119"/>
      <c r="X2154" s="119"/>
      <c r="Y2154" s="119"/>
      <c r="Z2154" s="119"/>
    </row>
    <row r="2155" ht="15.75" customHeight="1">
      <c r="A2155" s="210"/>
      <c r="B2155" s="396" t="s">
        <v>3724</v>
      </c>
      <c r="C2155" s="396">
        <v>2.0347228002E10</v>
      </c>
      <c r="D2155" s="77" t="s">
        <v>631</v>
      </c>
      <c r="E2155" s="396" t="s">
        <v>9495</v>
      </c>
      <c r="F2155" s="397">
        <v>9825.0</v>
      </c>
      <c r="G2155" s="396" t="s">
        <v>119</v>
      </c>
      <c r="H2155" s="85">
        <v>1657.0</v>
      </c>
      <c r="I2155" s="129">
        <v>266090.0</v>
      </c>
      <c r="J2155" s="129" t="s">
        <v>12405</v>
      </c>
      <c r="K2155" s="396" t="s">
        <v>12406</v>
      </c>
      <c r="L2155" s="119"/>
      <c r="M2155" s="119"/>
      <c r="N2155" s="119"/>
      <c r="O2155" s="396" t="s">
        <v>12407</v>
      </c>
      <c r="P2155" s="396" t="s">
        <v>12408</v>
      </c>
      <c r="Q2155" s="119"/>
      <c r="R2155" s="101"/>
      <c r="S2155" s="405"/>
      <c r="T2155" s="101"/>
      <c r="U2155" s="101"/>
      <c r="V2155" s="399"/>
      <c r="W2155" s="119"/>
      <c r="X2155" s="119"/>
      <c r="Y2155" s="119"/>
      <c r="Z2155" s="119"/>
    </row>
    <row r="2156" ht="15.75" customHeight="1">
      <c r="A2156" s="210"/>
      <c r="B2156" s="396" t="s">
        <v>3730</v>
      </c>
      <c r="C2156" s="396">
        <v>3.0717736555E10</v>
      </c>
      <c r="D2156" s="144" t="s">
        <v>264</v>
      </c>
      <c r="E2156" s="396" t="s">
        <v>12409</v>
      </c>
      <c r="F2156" s="397">
        <v>8194.0</v>
      </c>
      <c r="G2156" s="396" t="s">
        <v>175</v>
      </c>
      <c r="H2156" s="85">
        <v>1657.0</v>
      </c>
      <c r="I2156" s="129">
        <v>22209.0</v>
      </c>
      <c r="J2156" s="129" t="s">
        <v>568</v>
      </c>
      <c r="K2156" s="396" t="s">
        <v>12410</v>
      </c>
      <c r="L2156" s="119"/>
      <c r="M2156" s="119"/>
      <c r="N2156" s="119"/>
      <c r="O2156" s="396" t="s">
        <v>12411</v>
      </c>
      <c r="P2156" s="396" t="s">
        <v>12412</v>
      </c>
      <c r="Q2156" s="119"/>
      <c r="R2156" s="101"/>
      <c r="S2156" s="405"/>
      <c r="T2156" s="101"/>
      <c r="U2156" s="101"/>
      <c r="V2156" s="399"/>
      <c r="W2156" s="119"/>
      <c r="X2156" s="119"/>
      <c r="Y2156" s="119"/>
      <c r="Z2156" s="119"/>
    </row>
    <row r="2157" ht="15.75" customHeight="1">
      <c r="A2157" s="210"/>
      <c r="B2157" s="396" t="s">
        <v>3734</v>
      </c>
      <c r="C2157" s="396">
        <v>3.0718608946E10</v>
      </c>
      <c r="D2157" s="144" t="s">
        <v>264</v>
      </c>
      <c r="E2157" s="396" t="s">
        <v>12413</v>
      </c>
      <c r="F2157" s="397">
        <v>4610.0</v>
      </c>
      <c r="G2157" s="396" t="s">
        <v>2519</v>
      </c>
      <c r="H2157" s="101"/>
      <c r="I2157" s="126"/>
      <c r="J2157" s="129" t="s">
        <v>22</v>
      </c>
      <c r="K2157" s="396" t="s">
        <v>12414</v>
      </c>
      <c r="L2157" s="119"/>
      <c r="M2157" s="119"/>
      <c r="N2157" s="119"/>
      <c r="O2157" s="396" t="s">
        <v>12415</v>
      </c>
      <c r="P2157" s="396" t="s">
        <v>12416</v>
      </c>
      <c r="Q2157" s="119"/>
      <c r="R2157" s="101"/>
      <c r="S2157" s="405"/>
      <c r="T2157" s="101"/>
      <c r="U2157" s="101"/>
      <c r="V2157" s="399"/>
      <c r="W2157" s="119"/>
      <c r="X2157" s="119"/>
      <c r="Y2157" s="119"/>
      <c r="Z2157" s="119"/>
    </row>
    <row r="2158" ht="15.75" customHeight="1">
      <c r="A2158" s="210"/>
      <c r="B2158" s="396" t="s">
        <v>3737</v>
      </c>
      <c r="C2158" s="396">
        <v>3.0716637081E10</v>
      </c>
      <c r="D2158" s="144" t="s">
        <v>264</v>
      </c>
      <c r="E2158" s="396" t="s">
        <v>12417</v>
      </c>
      <c r="F2158" s="397">
        <v>863.0</v>
      </c>
      <c r="G2158" s="396" t="s">
        <v>68</v>
      </c>
      <c r="H2158" s="85">
        <v>1702.0</v>
      </c>
      <c r="I2158" s="129">
        <v>310010.0</v>
      </c>
      <c r="J2158" s="129" t="s">
        <v>313</v>
      </c>
      <c r="K2158" s="396" t="s">
        <v>12418</v>
      </c>
      <c r="L2158" s="119"/>
      <c r="M2158" s="119"/>
      <c r="N2158" s="119"/>
      <c r="O2158" s="396" t="s">
        <v>12419</v>
      </c>
      <c r="P2158" s="396" t="s">
        <v>12420</v>
      </c>
      <c r="Q2158" s="119"/>
      <c r="R2158" s="101"/>
      <c r="S2158" s="405"/>
      <c r="T2158" s="101"/>
      <c r="U2158" s="101"/>
      <c r="V2158" s="399"/>
      <c r="W2158" s="119"/>
      <c r="X2158" s="119"/>
      <c r="Y2158" s="119"/>
      <c r="Z2158" s="119"/>
    </row>
    <row r="2159" ht="15.75" customHeight="1">
      <c r="A2159" s="210"/>
      <c r="B2159" s="396" t="s">
        <v>3746</v>
      </c>
      <c r="C2159" s="396">
        <v>2.7381508639E10</v>
      </c>
      <c r="D2159" s="77" t="s">
        <v>631</v>
      </c>
      <c r="E2159" s="396" t="s">
        <v>12421</v>
      </c>
      <c r="F2159" s="397">
        <v>2742.0</v>
      </c>
      <c r="G2159" s="396" t="s">
        <v>68</v>
      </c>
      <c r="H2159" s="85">
        <v>1702.0</v>
      </c>
      <c r="I2159" s="126"/>
      <c r="J2159" s="129" t="s">
        <v>568</v>
      </c>
      <c r="K2159" s="396" t="s">
        <v>12422</v>
      </c>
      <c r="L2159" s="119"/>
      <c r="M2159" s="119"/>
      <c r="N2159" s="119"/>
      <c r="O2159" s="396" t="s">
        <v>12423</v>
      </c>
      <c r="P2159" s="396" t="s">
        <v>12424</v>
      </c>
      <c r="Q2159" s="119"/>
      <c r="R2159" s="101"/>
      <c r="S2159" s="396" t="s">
        <v>12425</v>
      </c>
      <c r="T2159" s="101"/>
      <c r="U2159" s="101"/>
      <c r="V2159" s="399"/>
      <c r="W2159" s="119"/>
      <c r="X2159" s="119"/>
      <c r="Y2159" s="119"/>
      <c r="Z2159" s="119"/>
    </row>
    <row r="2160" ht="15.75" customHeight="1">
      <c r="A2160" s="210"/>
      <c r="B2160" s="396" t="s">
        <v>3748</v>
      </c>
      <c r="C2160" s="396">
        <v>3.0718020693E10</v>
      </c>
      <c r="D2160" s="144" t="s">
        <v>264</v>
      </c>
      <c r="E2160" s="396" t="s">
        <v>12426</v>
      </c>
      <c r="F2160" s="397">
        <v>3561.0</v>
      </c>
      <c r="G2160" s="400" t="s">
        <v>249</v>
      </c>
      <c r="H2160" s="85">
        <v>1676.0</v>
      </c>
      <c r="I2160" s="129">
        <v>251101.0</v>
      </c>
      <c r="J2160" s="329" t="s">
        <v>347</v>
      </c>
      <c r="K2160" s="396" t="s">
        <v>12427</v>
      </c>
      <c r="L2160" s="119"/>
      <c r="M2160" s="119"/>
      <c r="N2160" s="119"/>
      <c r="O2160" s="396" t="s">
        <v>12428</v>
      </c>
      <c r="P2160" s="396" t="s">
        <v>12429</v>
      </c>
      <c r="Q2160" s="119"/>
      <c r="R2160" s="101"/>
      <c r="S2160" s="396" t="s">
        <v>12430</v>
      </c>
      <c r="T2160" s="101"/>
      <c r="U2160" s="101"/>
      <c r="V2160" s="399"/>
      <c r="W2160" s="119"/>
      <c r="X2160" s="119"/>
      <c r="Y2160" s="119"/>
      <c r="Z2160" s="119"/>
    </row>
    <row r="2161" ht="15.75" customHeight="1">
      <c r="A2161" s="44"/>
      <c r="B2161" s="396" t="s">
        <v>3752</v>
      </c>
      <c r="C2161" s="400">
        <v>2.7377020605E10</v>
      </c>
      <c r="D2161" s="77" t="s">
        <v>631</v>
      </c>
      <c r="E2161" s="400" t="s">
        <v>1049</v>
      </c>
      <c r="F2161" s="401">
        <v>7017.0</v>
      </c>
      <c r="G2161" s="400" t="s">
        <v>269</v>
      </c>
      <c r="H2161" s="78">
        <v>1682.0</v>
      </c>
      <c r="I2161" s="83">
        <v>107999.0</v>
      </c>
      <c r="J2161" s="83" t="s">
        <v>22</v>
      </c>
      <c r="K2161" s="400" t="s">
        <v>12431</v>
      </c>
      <c r="L2161" s="79"/>
      <c r="M2161" s="79"/>
      <c r="N2161" s="79"/>
      <c r="O2161" s="400" t="s">
        <v>12432</v>
      </c>
      <c r="P2161" s="400" t="s">
        <v>12433</v>
      </c>
      <c r="Q2161" s="79"/>
      <c r="R2161" s="80"/>
      <c r="S2161" s="400" t="s">
        <v>12434</v>
      </c>
      <c r="T2161" s="101"/>
      <c r="U2161" s="80"/>
      <c r="V2161" s="388"/>
      <c r="W2161" s="79"/>
      <c r="X2161" s="79"/>
      <c r="Y2161" s="79"/>
      <c r="Z2161" s="79"/>
    </row>
    <row r="2162" ht="15.75" customHeight="1">
      <c r="A2162" s="44"/>
      <c r="B2162" s="396" t="s">
        <v>3756</v>
      </c>
      <c r="C2162" s="400">
        <v>3.071477868E10</v>
      </c>
      <c r="D2162" s="144" t="s">
        <v>264</v>
      </c>
      <c r="E2162" s="400" t="s">
        <v>12435</v>
      </c>
      <c r="F2162" s="401">
        <v>1863.0</v>
      </c>
      <c r="G2162" s="400" t="s">
        <v>285</v>
      </c>
      <c r="H2162" s="78">
        <v>1674.0</v>
      </c>
      <c r="I2162" s="83">
        <v>222090.0</v>
      </c>
      <c r="J2162" s="129" t="s">
        <v>568</v>
      </c>
      <c r="K2162" s="400" t="s">
        <v>12436</v>
      </c>
      <c r="L2162" s="79"/>
      <c r="M2162" s="79"/>
      <c r="N2162" s="79"/>
      <c r="O2162" s="400" t="s">
        <v>12437</v>
      </c>
      <c r="P2162" s="400" t="s">
        <v>12438</v>
      </c>
      <c r="Q2162" s="79"/>
      <c r="R2162" s="80"/>
      <c r="S2162" s="402"/>
      <c r="T2162" s="101"/>
      <c r="U2162" s="80"/>
      <c r="V2162" s="388"/>
      <c r="W2162" s="79"/>
      <c r="X2162" s="79"/>
      <c r="Y2162" s="79"/>
      <c r="Z2162" s="79"/>
    </row>
    <row r="2163" ht="15.75" customHeight="1">
      <c r="A2163" s="210"/>
      <c r="B2163" s="396" t="s">
        <v>3759</v>
      </c>
      <c r="C2163" s="396">
        <v>3.3715672079E10</v>
      </c>
      <c r="D2163" s="144" t="s">
        <v>264</v>
      </c>
      <c r="E2163" s="396" t="s">
        <v>266</v>
      </c>
      <c r="F2163" s="397">
        <v>4027.0</v>
      </c>
      <c r="G2163" s="396" t="s">
        <v>15</v>
      </c>
      <c r="H2163" s="85">
        <v>1678.0</v>
      </c>
      <c r="I2163" s="129">
        <v>107999.0</v>
      </c>
      <c r="J2163" s="129" t="s">
        <v>22</v>
      </c>
      <c r="K2163" s="396" t="s">
        <v>12439</v>
      </c>
      <c r="L2163" s="119"/>
      <c r="M2163" s="119"/>
      <c r="N2163" s="119"/>
      <c r="O2163" s="396" t="s">
        <v>12440</v>
      </c>
      <c r="P2163" s="396" t="s">
        <v>12441</v>
      </c>
      <c r="Q2163" s="119"/>
      <c r="R2163" s="101"/>
      <c r="S2163" s="405"/>
      <c r="T2163" s="101"/>
      <c r="U2163" s="101"/>
      <c r="V2163" s="399"/>
      <c r="W2163" s="119"/>
      <c r="X2163" s="119"/>
      <c r="Y2163" s="119"/>
      <c r="Z2163" s="119"/>
    </row>
    <row r="2164" ht="15.75" customHeight="1">
      <c r="A2164" s="44"/>
      <c r="B2164" s="396" t="s">
        <v>3763</v>
      </c>
      <c r="C2164" s="400">
        <v>3.3718739999E10</v>
      </c>
      <c r="D2164" s="144" t="s">
        <v>264</v>
      </c>
      <c r="E2164" s="400" t="s">
        <v>1314</v>
      </c>
      <c r="F2164" s="401">
        <v>5171.0</v>
      </c>
      <c r="G2164" s="400" t="s">
        <v>15</v>
      </c>
      <c r="H2164" s="78">
        <v>1678.0</v>
      </c>
      <c r="I2164" s="83">
        <v>131132.0</v>
      </c>
      <c r="J2164" s="83" t="s">
        <v>448</v>
      </c>
      <c r="K2164" s="400" t="s">
        <v>12442</v>
      </c>
      <c r="L2164" s="79"/>
      <c r="M2164" s="79"/>
      <c r="N2164" s="79"/>
      <c r="O2164" s="400" t="s">
        <v>12443</v>
      </c>
      <c r="P2164" s="400" t="s">
        <v>12444</v>
      </c>
      <c r="Q2164" s="79"/>
      <c r="R2164" s="80"/>
      <c r="S2164" s="402"/>
      <c r="T2164" s="101"/>
      <c r="U2164" s="80"/>
      <c r="V2164" s="388"/>
      <c r="W2164" s="79"/>
      <c r="X2164" s="79"/>
      <c r="Y2164" s="79"/>
      <c r="Z2164" s="79"/>
    </row>
    <row r="2165" ht="15.75" customHeight="1">
      <c r="A2165" s="44"/>
      <c r="B2165" s="396" t="s">
        <v>3767</v>
      </c>
      <c r="C2165" s="85">
        <v>3.0701150119E10</v>
      </c>
      <c r="D2165" s="77" t="s">
        <v>264</v>
      </c>
      <c r="E2165" s="77" t="s">
        <v>12445</v>
      </c>
      <c r="F2165" s="78">
        <v>4630.0</v>
      </c>
      <c r="G2165" s="77" t="s">
        <v>15</v>
      </c>
      <c r="H2165" s="78">
        <v>1678.0</v>
      </c>
      <c r="I2165" s="83">
        <v>222090.0</v>
      </c>
      <c r="J2165" s="129" t="s">
        <v>568</v>
      </c>
      <c r="K2165" s="77" t="s">
        <v>12446</v>
      </c>
      <c r="L2165" s="77" t="s">
        <v>453</v>
      </c>
      <c r="M2165" s="77" t="s">
        <v>12447</v>
      </c>
      <c r="N2165" s="77">
        <v>75.0</v>
      </c>
      <c r="O2165" s="77" t="s">
        <v>12448</v>
      </c>
      <c r="P2165" s="83" t="s">
        <v>12449</v>
      </c>
      <c r="Q2165" s="77" t="s">
        <v>12450</v>
      </c>
      <c r="R2165" s="78">
        <v>1.557581556E9</v>
      </c>
      <c r="S2165" s="78" t="s">
        <v>12451</v>
      </c>
      <c r="T2165" s="85" t="s">
        <v>12452</v>
      </c>
      <c r="U2165" s="78" t="s">
        <v>12453</v>
      </c>
      <c r="V2165" s="388"/>
      <c r="W2165" s="79"/>
      <c r="X2165" s="79"/>
      <c r="Y2165" s="79"/>
      <c r="Z2165" s="79"/>
    </row>
    <row r="2166" ht="15.75" customHeight="1">
      <c r="A2166" s="44"/>
      <c r="B2166" s="394" t="s">
        <v>3770</v>
      </c>
      <c r="C2166" s="307">
        <v>2.0308332323E10</v>
      </c>
      <c r="D2166" s="77" t="s">
        <v>11899</v>
      </c>
      <c r="E2166" s="394" t="s">
        <v>2902</v>
      </c>
      <c r="F2166" s="78">
        <v>530.0</v>
      </c>
      <c r="G2166" s="77" t="s">
        <v>68</v>
      </c>
      <c r="H2166" s="78">
        <v>1702.0</v>
      </c>
      <c r="I2166" s="83">
        <v>466330.0</v>
      </c>
      <c r="J2166" s="329" t="s">
        <v>347</v>
      </c>
      <c r="K2166" s="422" t="s">
        <v>12454</v>
      </c>
      <c r="L2166" s="79"/>
      <c r="M2166" s="79"/>
      <c r="N2166" s="79"/>
      <c r="O2166" s="79"/>
      <c r="P2166" s="427" t="s">
        <v>12455</v>
      </c>
      <c r="Q2166" s="79"/>
      <c r="R2166" s="80"/>
      <c r="S2166" s="80"/>
      <c r="T2166" s="101"/>
      <c r="U2166" s="80"/>
      <c r="V2166" s="388"/>
      <c r="W2166" s="79"/>
      <c r="X2166" s="79"/>
      <c r="Y2166" s="79"/>
      <c r="Z2166" s="79"/>
    </row>
    <row r="2167" ht="15.75" customHeight="1">
      <c r="A2167" s="408"/>
      <c r="B2167" s="428" t="s">
        <v>3778</v>
      </c>
      <c r="C2167" s="275">
        <v>3.0504173409E10</v>
      </c>
      <c r="D2167" s="77" t="s">
        <v>264</v>
      </c>
      <c r="E2167" s="291" t="s">
        <v>12456</v>
      </c>
      <c r="F2167" s="78">
        <v>1495.0</v>
      </c>
      <c r="G2167" s="291" t="s">
        <v>175</v>
      </c>
      <c r="H2167" s="78">
        <v>1657.0</v>
      </c>
      <c r="I2167" s="83">
        <v>139900.0</v>
      </c>
      <c r="J2167" s="83" t="s">
        <v>448</v>
      </c>
      <c r="K2167" s="291" t="s">
        <v>12457</v>
      </c>
      <c r="L2167" s="79"/>
      <c r="M2167" s="79"/>
      <c r="N2167" s="79"/>
      <c r="O2167" s="77" t="s">
        <v>12458</v>
      </c>
      <c r="P2167" s="429" t="s">
        <v>12459</v>
      </c>
      <c r="Q2167" s="79"/>
      <c r="R2167" s="80"/>
      <c r="S2167" s="78" t="s">
        <v>12460</v>
      </c>
      <c r="T2167" s="101"/>
      <c r="U2167" s="80"/>
      <c r="V2167" s="388"/>
      <c r="W2167" s="79"/>
      <c r="X2167" s="79"/>
      <c r="Y2167" s="79"/>
      <c r="Z2167" s="79"/>
    </row>
    <row r="2168" ht="15.75" customHeight="1">
      <c r="A2168" s="408"/>
      <c r="B2168" s="428" t="s">
        <v>3782</v>
      </c>
      <c r="C2168" s="275">
        <v>3.3717121169E10</v>
      </c>
      <c r="D2168" s="77" t="s">
        <v>264</v>
      </c>
      <c r="E2168" s="291" t="s">
        <v>12461</v>
      </c>
      <c r="F2168" s="78">
        <v>5385.0</v>
      </c>
      <c r="G2168" s="291" t="s">
        <v>15</v>
      </c>
      <c r="H2168" s="78">
        <v>1678.0</v>
      </c>
      <c r="I2168" s="83">
        <v>107999.0</v>
      </c>
      <c r="J2168" s="83" t="s">
        <v>22</v>
      </c>
      <c r="K2168" s="291" t="s">
        <v>12462</v>
      </c>
      <c r="L2168" s="79"/>
      <c r="M2168" s="79"/>
      <c r="N2168" s="79"/>
      <c r="O2168" s="77" t="s">
        <v>12463</v>
      </c>
      <c r="P2168" s="429" t="s">
        <v>12464</v>
      </c>
      <c r="Q2168" s="79"/>
      <c r="R2168" s="80"/>
      <c r="S2168" s="80"/>
      <c r="T2168" s="101"/>
      <c r="U2168" s="80"/>
      <c r="V2168" s="388"/>
      <c r="W2168" s="79"/>
      <c r="X2168" s="79"/>
      <c r="Y2168" s="79"/>
      <c r="Z2168" s="79"/>
    </row>
    <row r="2169" ht="15.75" customHeight="1">
      <c r="A2169" s="408"/>
      <c r="B2169" s="428" t="s">
        <v>3788</v>
      </c>
      <c r="C2169" s="275">
        <v>2.7290406876E10</v>
      </c>
      <c r="D2169" s="77" t="s">
        <v>2519</v>
      </c>
      <c r="E2169" s="291" t="s">
        <v>12465</v>
      </c>
      <c r="F2169" s="78">
        <v>891.0</v>
      </c>
      <c r="G2169" s="291" t="s">
        <v>119</v>
      </c>
      <c r="H2169" s="78">
        <v>1657.0</v>
      </c>
      <c r="I2169" s="83">
        <v>202200.0</v>
      </c>
      <c r="J2169" s="83" t="s">
        <v>316</v>
      </c>
      <c r="K2169" s="291" t="s">
        <v>12466</v>
      </c>
      <c r="L2169" s="79"/>
      <c r="M2169" s="79"/>
      <c r="N2169" s="79"/>
      <c r="O2169" s="77" t="s">
        <v>12467</v>
      </c>
      <c r="P2169" s="429" t="s">
        <v>2636</v>
      </c>
      <c r="Q2169" s="79"/>
      <c r="R2169" s="80"/>
      <c r="S2169" s="80"/>
      <c r="T2169" s="101"/>
      <c r="U2169" s="80"/>
      <c r="V2169" s="388"/>
      <c r="W2169" s="79"/>
      <c r="X2169" s="79"/>
      <c r="Y2169" s="79"/>
      <c r="Z2169" s="79"/>
    </row>
    <row r="2170" ht="15.75" customHeight="1">
      <c r="A2170" s="408"/>
      <c r="B2170" s="428" t="s">
        <v>3794</v>
      </c>
      <c r="C2170" s="275">
        <v>3.0716216442E10</v>
      </c>
      <c r="D2170" s="77" t="s">
        <v>264</v>
      </c>
      <c r="E2170" s="291" t="s">
        <v>314</v>
      </c>
      <c r="F2170" s="78">
        <v>5571.0</v>
      </c>
      <c r="G2170" s="291" t="s">
        <v>15</v>
      </c>
      <c r="H2170" s="78">
        <v>1678.0</v>
      </c>
      <c r="I2170" s="83">
        <v>231090.0</v>
      </c>
      <c r="J2170" s="83" t="s">
        <v>457</v>
      </c>
      <c r="K2170" s="291" t="s">
        <v>12468</v>
      </c>
      <c r="L2170" s="79"/>
      <c r="M2170" s="79"/>
      <c r="N2170" s="79"/>
      <c r="O2170" s="77" t="s">
        <v>12469</v>
      </c>
      <c r="P2170" s="429"/>
      <c r="Q2170" s="79"/>
      <c r="R2170" s="80"/>
      <c r="S2170" s="80"/>
      <c r="T2170" s="101"/>
      <c r="U2170" s="80"/>
      <c r="V2170" s="388"/>
      <c r="W2170" s="79"/>
      <c r="X2170" s="79"/>
      <c r="Y2170" s="79"/>
      <c r="Z2170" s="79"/>
    </row>
    <row r="2171" ht="15.75" customHeight="1">
      <c r="A2171" s="408"/>
      <c r="B2171" s="428" t="s">
        <v>12470</v>
      </c>
      <c r="C2171" s="275">
        <v>3.0709980951E10</v>
      </c>
      <c r="D2171" s="77" t="s">
        <v>264</v>
      </c>
      <c r="E2171" s="291" t="s">
        <v>5790</v>
      </c>
      <c r="F2171" s="78">
        <v>3758.0</v>
      </c>
      <c r="G2171" s="291" t="s">
        <v>15</v>
      </c>
      <c r="H2171" s="78">
        <v>1678.0</v>
      </c>
      <c r="I2171" s="83">
        <v>281900.0</v>
      </c>
      <c r="J2171" s="329" t="s">
        <v>347</v>
      </c>
      <c r="K2171" s="291" t="s">
        <v>11699</v>
      </c>
      <c r="L2171" s="79"/>
      <c r="M2171" s="79"/>
      <c r="N2171" s="79"/>
      <c r="O2171" s="77" t="s">
        <v>12471</v>
      </c>
      <c r="P2171" s="429" t="s">
        <v>12472</v>
      </c>
      <c r="Q2171" s="79"/>
      <c r="R2171" s="80"/>
      <c r="S2171" s="78" t="s">
        <v>12473</v>
      </c>
      <c r="T2171" s="101"/>
      <c r="U2171" s="80"/>
      <c r="V2171" s="388"/>
      <c r="W2171" s="79"/>
      <c r="X2171" s="79"/>
      <c r="Y2171" s="79"/>
      <c r="Z2171" s="79"/>
    </row>
    <row r="2172" ht="15.75" customHeight="1">
      <c r="A2172" s="408"/>
      <c r="B2172" s="428" t="s">
        <v>3797</v>
      </c>
      <c r="C2172" s="275">
        <v>2.3173048599E10</v>
      </c>
      <c r="D2172" s="77" t="s">
        <v>2519</v>
      </c>
      <c r="E2172" s="291" t="s">
        <v>678</v>
      </c>
      <c r="F2172" s="78">
        <v>4484.0</v>
      </c>
      <c r="G2172" s="291" t="s">
        <v>15</v>
      </c>
      <c r="H2172" s="78">
        <v>1678.0</v>
      </c>
      <c r="I2172" s="83">
        <v>310010.0</v>
      </c>
      <c r="J2172" s="83" t="s">
        <v>313</v>
      </c>
      <c r="K2172" s="291" t="s">
        <v>12474</v>
      </c>
      <c r="L2172" s="79"/>
      <c r="M2172" s="79"/>
      <c r="N2172" s="79"/>
      <c r="O2172" s="77" t="s">
        <v>12475</v>
      </c>
      <c r="P2172" s="429" t="s">
        <v>12476</v>
      </c>
      <c r="Q2172" s="79"/>
      <c r="R2172" s="80"/>
      <c r="S2172" s="80"/>
      <c r="T2172" s="101"/>
      <c r="U2172" s="80"/>
      <c r="V2172" s="388"/>
      <c r="W2172" s="79"/>
      <c r="X2172" s="79"/>
      <c r="Y2172" s="79"/>
      <c r="Z2172" s="79"/>
    </row>
    <row r="2173" ht="15.75" customHeight="1">
      <c r="A2173" s="408"/>
      <c r="B2173" s="428" t="s">
        <v>3799</v>
      </c>
      <c r="C2173" s="275">
        <v>2.0112933876E10</v>
      </c>
      <c r="D2173" s="77" t="s">
        <v>2519</v>
      </c>
      <c r="E2173" s="291" t="s">
        <v>12477</v>
      </c>
      <c r="F2173" s="78">
        <v>1919.0</v>
      </c>
      <c r="G2173" s="291" t="s">
        <v>97</v>
      </c>
      <c r="H2173" s="78">
        <v>1702.0</v>
      </c>
      <c r="I2173" s="83">
        <v>222090.0</v>
      </c>
      <c r="J2173" s="129" t="s">
        <v>568</v>
      </c>
      <c r="K2173" s="291" t="s">
        <v>12478</v>
      </c>
      <c r="L2173" s="79"/>
      <c r="M2173" s="79"/>
      <c r="N2173" s="79"/>
      <c r="O2173" s="77" t="s">
        <v>12479</v>
      </c>
      <c r="P2173" s="429" t="s">
        <v>12480</v>
      </c>
      <c r="Q2173" s="79"/>
      <c r="R2173" s="80"/>
      <c r="S2173" s="80"/>
      <c r="T2173" s="101"/>
      <c r="U2173" s="80"/>
      <c r="V2173" s="388"/>
      <c r="W2173" s="79"/>
      <c r="X2173" s="79"/>
      <c r="Y2173" s="79"/>
      <c r="Z2173" s="79"/>
    </row>
    <row r="2174" ht="15.75" customHeight="1">
      <c r="A2174" s="408"/>
      <c r="B2174" s="428" t="s">
        <v>3803</v>
      </c>
      <c r="C2174" s="275">
        <v>3.0717903931E10</v>
      </c>
      <c r="D2174" s="77" t="s">
        <v>264</v>
      </c>
      <c r="E2174" s="291" t="s">
        <v>2973</v>
      </c>
      <c r="F2174" s="78">
        <v>3180.0</v>
      </c>
      <c r="G2174" s="291" t="s">
        <v>15</v>
      </c>
      <c r="H2174" s="78">
        <v>1678.0</v>
      </c>
      <c r="I2174" s="83">
        <v>267001.0</v>
      </c>
      <c r="J2174" s="83" t="s">
        <v>2519</v>
      </c>
      <c r="K2174" s="291" t="s">
        <v>12481</v>
      </c>
      <c r="L2174" s="79"/>
      <c r="M2174" s="79"/>
      <c r="N2174" s="79"/>
      <c r="O2174" s="77" t="s">
        <v>12482</v>
      </c>
      <c r="P2174" s="429" t="s">
        <v>12483</v>
      </c>
      <c r="Q2174" s="79"/>
      <c r="R2174" s="80"/>
      <c r="S2174" s="80"/>
      <c r="T2174" s="101"/>
      <c r="U2174" s="80"/>
      <c r="V2174" s="388"/>
      <c r="W2174" s="79"/>
      <c r="X2174" s="79"/>
      <c r="Y2174" s="79"/>
      <c r="Z2174" s="79"/>
    </row>
    <row r="2175" ht="15.75" customHeight="1">
      <c r="A2175" s="408"/>
      <c r="B2175" s="428" t="s">
        <v>3805</v>
      </c>
      <c r="C2175" s="275">
        <v>3.0714549711E10</v>
      </c>
      <c r="D2175" s="77" t="s">
        <v>264</v>
      </c>
      <c r="E2175" s="291" t="s">
        <v>12240</v>
      </c>
      <c r="F2175" s="78">
        <v>3249.0</v>
      </c>
      <c r="G2175" s="291" t="s">
        <v>15</v>
      </c>
      <c r="H2175" s="78">
        <v>1678.0</v>
      </c>
      <c r="I2175" s="83">
        <v>107999.0</v>
      </c>
      <c r="J2175" s="83" t="s">
        <v>22</v>
      </c>
      <c r="K2175" s="291" t="s">
        <v>12484</v>
      </c>
      <c r="L2175" s="79"/>
      <c r="M2175" s="79"/>
      <c r="N2175" s="79"/>
      <c r="O2175" s="77" t="s">
        <v>12485</v>
      </c>
      <c r="P2175" s="429" t="s">
        <v>12486</v>
      </c>
      <c r="Q2175" s="79"/>
      <c r="R2175" s="80"/>
      <c r="S2175" s="80"/>
      <c r="T2175" s="101"/>
      <c r="U2175" s="80"/>
      <c r="V2175" s="388"/>
      <c r="W2175" s="79"/>
      <c r="X2175" s="79"/>
      <c r="Y2175" s="79"/>
      <c r="Z2175" s="79"/>
    </row>
    <row r="2176" ht="15.75" customHeight="1">
      <c r="A2176" s="408"/>
      <c r="B2176" s="428" t="s">
        <v>3808</v>
      </c>
      <c r="C2176" s="275">
        <v>3.0714790907E10</v>
      </c>
      <c r="D2176" s="77" t="s">
        <v>264</v>
      </c>
      <c r="E2176" s="291" t="s">
        <v>1246</v>
      </c>
      <c r="F2176" s="78">
        <v>20.0</v>
      </c>
      <c r="G2176" s="291" t="s">
        <v>2519</v>
      </c>
      <c r="H2176" s="78"/>
      <c r="I2176" s="83">
        <v>107999.0</v>
      </c>
      <c r="J2176" s="83" t="s">
        <v>22</v>
      </c>
      <c r="K2176" s="291" t="s">
        <v>12484</v>
      </c>
      <c r="L2176" s="79"/>
      <c r="M2176" s="79"/>
      <c r="N2176" s="79"/>
      <c r="O2176" s="77" t="s">
        <v>12487</v>
      </c>
      <c r="P2176" s="429" t="s">
        <v>7449</v>
      </c>
      <c r="Q2176" s="79"/>
      <c r="R2176" s="80"/>
      <c r="S2176" s="80"/>
      <c r="T2176" s="101"/>
      <c r="U2176" s="80"/>
      <c r="V2176" s="388"/>
      <c r="W2176" s="79"/>
      <c r="X2176" s="79"/>
      <c r="Y2176" s="79"/>
      <c r="Z2176" s="79"/>
    </row>
    <row r="2177" ht="15.75" customHeight="1">
      <c r="A2177" s="408"/>
      <c r="B2177" s="428" t="s">
        <v>3814</v>
      </c>
      <c r="C2177" s="275">
        <v>3.071472136E10</v>
      </c>
      <c r="D2177" s="77" t="s">
        <v>264</v>
      </c>
      <c r="E2177" s="291" t="s">
        <v>12488</v>
      </c>
      <c r="F2177" s="78">
        <v>1210.0</v>
      </c>
      <c r="G2177" s="291" t="s">
        <v>119</v>
      </c>
      <c r="H2177" s="78">
        <v>1657.0</v>
      </c>
      <c r="I2177" s="83">
        <v>271010.0</v>
      </c>
      <c r="J2177" s="329" t="s">
        <v>347</v>
      </c>
      <c r="K2177" s="291" t="s">
        <v>12489</v>
      </c>
      <c r="L2177" s="79"/>
      <c r="M2177" s="79"/>
      <c r="N2177" s="79"/>
      <c r="O2177" s="77" t="s">
        <v>12490</v>
      </c>
      <c r="P2177" s="429" t="s">
        <v>12491</v>
      </c>
      <c r="Q2177" s="79"/>
      <c r="R2177" s="80"/>
      <c r="S2177" s="78" t="s">
        <v>12492</v>
      </c>
      <c r="T2177" s="101"/>
      <c r="U2177" s="80"/>
      <c r="V2177" s="388"/>
      <c r="W2177" s="79"/>
      <c r="X2177" s="79"/>
      <c r="Y2177" s="79"/>
      <c r="Z2177" s="79"/>
    </row>
    <row r="2178" ht="15.75" customHeight="1">
      <c r="A2178" s="408"/>
      <c r="B2178" s="428" t="s">
        <v>3816</v>
      </c>
      <c r="C2178" s="275">
        <v>3.0708070994E10</v>
      </c>
      <c r="D2178" s="77" t="s">
        <v>264</v>
      </c>
      <c r="E2178" s="291" t="s">
        <v>1049</v>
      </c>
      <c r="F2178" s="78">
        <v>7325.0</v>
      </c>
      <c r="G2178" s="291" t="s">
        <v>269</v>
      </c>
      <c r="H2178" s="78">
        <v>1682.0</v>
      </c>
      <c r="I2178" s="83">
        <v>960102.0</v>
      </c>
      <c r="J2178" s="83" t="s">
        <v>433</v>
      </c>
      <c r="K2178" s="291" t="s">
        <v>12493</v>
      </c>
      <c r="L2178" s="79"/>
      <c r="M2178" s="79"/>
      <c r="N2178" s="79"/>
      <c r="O2178" s="77" t="s">
        <v>12494</v>
      </c>
      <c r="P2178" s="429" t="s">
        <v>12495</v>
      </c>
      <c r="Q2178" s="79"/>
      <c r="R2178" s="80"/>
      <c r="S2178" s="80"/>
      <c r="T2178" s="101"/>
      <c r="U2178" s="80"/>
      <c r="V2178" s="388"/>
      <c r="W2178" s="79"/>
      <c r="X2178" s="79"/>
      <c r="Y2178" s="79"/>
      <c r="Z2178" s="79"/>
    </row>
    <row r="2179" ht="15.75" customHeight="1">
      <c r="A2179" s="408"/>
      <c r="B2179" s="428" t="s">
        <v>3819</v>
      </c>
      <c r="C2179" s="275">
        <v>3.0714419362E10</v>
      </c>
      <c r="D2179" s="77" t="s">
        <v>264</v>
      </c>
      <c r="E2179" s="291" t="s">
        <v>12496</v>
      </c>
      <c r="F2179" s="78">
        <v>9541.0</v>
      </c>
      <c r="G2179" s="291" t="s">
        <v>119</v>
      </c>
      <c r="H2179" s="78">
        <v>1657.0</v>
      </c>
      <c r="I2179" s="83">
        <v>259999.0</v>
      </c>
      <c r="J2179" s="329" t="s">
        <v>347</v>
      </c>
      <c r="K2179" s="291" t="s">
        <v>12497</v>
      </c>
      <c r="L2179" s="79"/>
      <c r="M2179" s="79"/>
      <c r="N2179" s="79"/>
      <c r="O2179" s="77" t="s">
        <v>12498</v>
      </c>
      <c r="P2179" s="429" t="s">
        <v>12499</v>
      </c>
      <c r="Q2179" s="79"/>
      <c r="R2179" s="80"/>
      <c r="S2179" s="78" t="s">
        <v>12500</v>
      </c>
      <c r="T2179" s="101"/>
      <c r="U2179" s="80"/>
      <c r="V2179" s="388"/>
      <c r="W2179" s="79"/>
      <c r="X2179" s="79"/>
      <c r="Y2179" s="79"/>
      <c r="Z2179" s="79"/>
    </row>
    <row r="2180" ht="15.75" customHeight="1">
      <c r="A2180" s="408"/>
      <c r="B2180" s="428"/>
      <c r="C2180" s="200"/>
      <c r="D2180" s="176"/>
      <c r="E2180" s="176"/>
      <c r="F2180" s="408"/>
      <c r="G2180" s="176"/>
      <c r="H2180" s="114"/>
      <c r="I2180" s="42"/>
      <c r="J2180" s="329"/>
      <c r="K2180" s="176"/>
      <c r="L2180" s="176"/>
      <c r="M2180" s="176"/>
      <c r="N2180" s="176"/>
      <c r="O2180" s="176"/>
      <c r="P2180" s="114"/>
      <c r="Q2180" s="176"/>
      <c r="R2180" s="114"/>
      <c r="S2180" s="114"/>
      <c r="T2180" s="200"/>
      <c r="U2180" s="114"/>
      <c r="V2180" s="414"/>
      <c r="W2180" s="176"/>
      <c r="X2180" s="176"/>
      <c r="Y2180" s="176"/>
      <c r="Z2180" s="176"/>
    </row>
    <row r="2181" ht="15.75" customHeight="1">
      <c r="A2181" s="408"/>
      <c r="B2181" s="428"/>
      <c r="C2181" s="200"/>
      <c r="D2181" s="176"/>
      <c r="E2181" s="176"/>
      <c r="F2181" s="408"/>
      <c r="G2181" s="176"/>
      <c r="H2181" s="114"/>
      <c r="I2181" s="42"/>
      <c r="J2181" s="42"/>
      <c r="K2181" s="176"/>
      <c r="L2181" s="176"/>
      <c r="M2181" s="176"/>
      <c r="N2181" s="176"/>
      <c r="O2181" s="176"/>
      <c r="P2181" s="114"/>
      <c r="Q2181" s="176"/>
      <c r="R2181" s="114"/>
      <c r="S2181" s="114"/>
      <c r="T2181" s="200"/>
      <c r="U2181" s="114"/>
      <c r="V2181" s="414"/>
      <c r="W2181" s="176"/>
      <c r="X2181" s="176"/>
      <c r="Y2181" s="176"/>
      <c r="Z2181" s="176"/>
    </row>
    <row r="2182" ht="15.75" customHeight="1">
      <c r="A2182" s="408"/>
      <c r="B2182" s="428"/>
      <c r="C2182" s="200"/>
      <c r="D2182" s="176"/>
      <c r="E2182" s="176"/>
      <c r="F2182" s="408"/>
      <c r="G2182" s="176"/>
      <c r="H2182" s="114"/>
      <c r="I2182" s="42"/>
      <c r="J2182" s="42"/>
      <c r="K2182" s="176"/>
      <c r="L2182" s="176"/>
      <c r="M2182" s="176"/>
      <c r="N2182" s="176"/>
      <c r="O2182" s="176"/>
      <c r="P2182" s="114"/>
      <c r="Q2182" s="176"/>
      <c r="R2182" s="114"/>
      <c r="S2182" s="114"/>
      <c r="T2182" s="200"/>
      <c r="U2182" s="114"/>
      <c r="V2182" s="414"/>
      <c r="W2182" s="176"/>
      <c r="X2182" s="176"/>
      <c r="Y2182" s="176"/>
      <c r="Z2182" s="176"/>
    </row>
    <row r="2183" ht="15.75" customHeight="1">
      <c r="A2183" s="408"/>
      <c r="B2183" s="428"/>
      <c r="C2183" s="200"/>
      <c r="D2183" s="176"/>
      <c r="E2183" s="176"/>
      <c r="F2183" s="408"/>
      <c r="G2183" s="176"/>
      <c r="H2183" s="114"/>
      <c r="I2183" s="42"/>
      <c r="J2183" s="42"/>
      <c r="K2183" s="176"/>
      <c r="L2183" s="176"/>
      <c r="M2183" s="176"/>
      <c r="N2183" s="176"/>
      <c r="O2183" s="176"/>
      <c r="P2183" s="114"/>
      <c r="Q2183" s="176"/>
      <c r="R2183" s="114"/>
      <c r="S2183" s="114"/>
      <c r="T2183" s="200"/>
      <c r="U2183" s="114"/>
      <c r="V2183" s="414"/>
      <c r="W2183" s="176"/>
      <c r="X2183" s="176"/>
      <c r="Y2183" s="176"/>
      <c r="Z2183" s="176"/>
    </row>
    <row r="2184" ht="15.75" customHeight="1">
      <c r="A2184" s="408"/>
      <c r="B2184" s="428"/>
      <c r="C2184" s="200"/>
      <c r="D2184" s="176"/>
      <c r="E2184" s="176"/>
      <c r="F2184" s="408"/>
      <c r="G2184" s="176"/>
      <c r="H2184" s="114"/>
      <c r="I2184" s="42"/>
      <c r="J2184" s="42"/>
      <c r="K2184" s="176"/>
      <c r="L2184" s="176"/>
      <c r="M2184" s="176"/>
      <c r="N2184" s="176"/>
      <c r="O2184" s="176"/>
      <c r="P2184" s="114"/>
      <c r="Q2184" s="176"/>
      <c r="R2184" s="114"/>
      <c r="S2184" s="114"/>
      <c r="T2184" s="200"/>
      <c r="U2184" s="114"/>
      <c r="V2184" s="414"/>
      <c r="W2184" s="176"/>
      <c r="X2184" s="176"/>
      <c r="Y2184" s="176"/>
      <c r="Z2184" s="176"/>
    </row>
    <row r="2185" ht="15.75" customHeight="1">
      <c r="A2185" s="408"/>
      <c r="B2185" s="428"/>
      <c r="C2185" s="200"/>
      <c r="D2185" s="176"/>
      <c r="E2185" s="176"/>
      <c r="F2185" s="408"/>
      <c r="G2185" s="176"/>
      <c r="H2185" s="114"/>
      <c r="I2185" s="42"/>
      <c r="J2185" s="42"/>
      <c r="K2185" s="176"/>
      <c r="L2185" s="176"/>
      <c r="M2185" s="176"/>
      <c r="N2185" s="176"/>
      <c r="O2185" s="176"/>
      <c r="P2185" s="114"/>
      <c r="Q2185" s="176"/>
      <c r="R2185" s="114"/>
      <c r="S2185" s="114"/>
      <c r="T2185" s="200"/>
      <c r="U2185" s="114"/>
      <c r="V2185" s="414"/>
      <c r="W2185" s="176"/>
      <c r="X2185" s="176"/>
      <c r="Y2185" s="176"/>
      <c r="Z2185" s="176"/>
    </row>
    <row r="2186" ht="15.75" customHeight="1">
      <c r="A2186" s="408"/>
      <c r="B2186" s="428"/>
      <c r="C2186" s="200"/>
      <c r="D2186" s="176"/>
      <c r="E2186" s="176"/>
      <c r="F2186" s="408"/>
      <c r="G2186" s="176"/>
      <c r="H2186" s="114"/>
      <c r="I2186" s="42"/>
      <c r="J2186" s="42"/>
      <c r="K2186" s="176"/>
      <c r="L2186" s="176"/>
      <c r="M2186" s="176"/>
      <c r="N2186" s="176"/>
      <c r="O2186" s="176"/>
      <c r="P2186" s="114"/>
      <c r="Q2186" s="176"/>
      <c r="R2186" s="114"/>
      <c r="S2186" s="114"/>
      <c r="T2186" s="200"/>
      <c r="U2186" s="114"/>
      <c r="V2186" s="414"/>
      <c r="W2186" s="176"/>
      <c r="X2186" s="176"/>
      <c r="Y2186" s="176"/>
      <c r="Z2186" s="176"/>
    </row>
    <row r="2187" ht="15.75" customHeight="1">
      <c r="A2187" s="408"/>
      <c r="B2187" s="428"/>
      <c r="C2187" s="200"/>
      <c r="D2187" s="176"/>
      <c r="E2187" s="176"/>
      <c r="F2187" s="408"/>
      <c r="G2187" s="176"/>
      <c r="H2187" s="114"/>
      <c r="I2187" s="42"/>
      <c r="J2187" s="42"/>
      <c r="K2187" s="176"/>
      <c r="L2187" s="176"/>
      <c r="M2187" s="176"/>
      <c r="N2187" s="176"/>
      <c r="O2187" s="176"/>
      <c r="P2187" s="114"/>
      <c r="Q2187" s="176"/>
      <c r="R2187" s="114"/>
      <c r="S2187" s="114"/>
      <c r="T2187" s="200"/>
      <c r="U2187" s="114"/>
      <c r="V2187" s="414"/>
      <c r="W2187" s="176"/>
      <c r="X2187" s="176"/>
      <c r="Y2187" s="176"/>
      <c r="Z2187" s="176"/>
    </row>
    <row r="2188" ht="15.75" customHeight="1">
      <c r="A2188" s="408"/>
      <c r="B2188" s="428"/>
      <c r="C2188" s="200"/>
      <c r="D2188" s="176"/>
      <c r="E2188" s="176"/>
      <c r="F2188" s="408"/>
      <c r="G2188" s="176"/>
      <c r="H2188" s="114"/>
      <c r="I2188" s="42"/>
      <c r="J2188" s="42"/>
      <c r="K2188" s="176"/>
      <c r="L2188" s="176"/>
      <c r="M2188" s="176"/>
      <c r="N2188" s="176"/>
      <c r="O2188" s="176"/>
      <c r="P2188" s="114"/>
      <c r="Q2188" s="176"/>
      <c r="R2188" s="114"/>
      <c r="S2188" s="114"/>
      <c r="T2188" s="200"/>
      <c r="U2188" s="114"/>
      <c r="V2188" s="414"/>
      <c r="W2188" s="176"/>
      <c r="X2188" s="176"/>
      <c r="Y2188" s="176"/>
      <c r="Z2188" s="176"/>
    </row>
    <row r="2189" ht="15.75" customHeight="1">
      <c r="A2189" s="408"/>
      <c r="B2189" s="428"/>
      <c r="C2189" s="200"/>
      <c r="D2189" s="176"/>
      <c r="E2189" s="176"/>
      <c r="F2189" s="408"/>
      <c r="G2189" s="176"/>
      <c r="H2189" s="114"/>
      <c r="I2189" s="42"/>
      <c r="J2189" s="42"/>
      <c r="K2189" s="176"/>
      <c r="L2189" s="176"/>
      <c r="M2189" s="176"/>
      <c r="N2189" s="176"/>
      <c r="O2189" s="176"/>
      <c r="P2189" s="114"/>
      <c r="Q2189" s="176"/>
      <c r="R2189" s="114"/>
      <c r="S2189" s="114"/>
      <c r="T2189" s="200"/>
      <c r="U2189" s="114"/>
      <c r="V2189" s="414"/>
      <c r="W2189" s="176"/>
      <c r="X2189" s="176"/>
      <c r="Y2189" s="176"/>
      <c r="Z2189" s="176"/>
    </row>
    <row r="2190" ht="15.75" customHeight="1">
      <c r="A2190" s="408"/>
      <c r="B2190" s="428"/>
      <c r="C2190" s="200"/>
      <c r="D2190" s="176"/>
      <c r="E2190" s="176"/>
      <c r="F2190" s="408"/>
      <c r="G2190" s="176"/>
      <c r="H2190" s="114"/>
      <c r="I2190" s="42"/>
      <c r="J2190" s="42"/>
      <c r="K2190" s="176"/>
      <c r="L2190" s="176"/>
      <c r="M2190" s="176"/>
      <c r="N2190" s="176"/>
      <c r="O2190" s="176"/>
      <c r="P2190" s="114"/>
      <c r="Q2190" s="176"/>
      <c r="R2190" s="114"/>
      <c r="S2190" s="114"/>
      <c r="T2190" s="200"/>
      <c r="U2190" s="114"/>
      <c r="V2190" s="414"/>
      <c r="W2190" s="176"/>
      <c r="X2190" s="176"/>
      <c r="Y2190" s="176"/>
      <c r="Z2190" s="176"/>
    </row>
    <row r="2191" ht="15.75" customHeight="1">
      <c r="A2191" s="408"/>
      <c r="B2191" s="428"/>
      <c r="C2191" s="200"/>
      <c r="D2191" s="176"/>
      <c r="E2191" s="176"/>
      <c r="F2191" s="408"/>
      <c r="G2191" s="176"/>
      <c r="H2191" s="114"/>
      <c r="I2191" s="42"/>
      <c r="J2191" s="42"/>
      <c r="K2191" s="176"/>
      <c r="L2191" s="176"/>
      <c r="M2191" s="176"/>
      <c r="N2191" s="176"/>
      <c r="O2191" s="176"/>
      <c r="P2191" s="114"/>
      <c r="Q2191" s="176"/>
      <c r="R2191" s="114"/>
      <c r="S2191" s="114"/>
      <c r="T2191" s="200"/>
      <c r="U2191" s="114"/>
      <c r="V2191" s="414"/>
      <c r="W2191" s="176"/>
      <c r="X2191" s="176"/>
      <c r="Y2191" s="176"/>
      <c r="Z2191" s="176"/>
    </row>
    <row r="2192" ht="15.75" customHeight="1">
      <c r="A2192" s="408"/>
      <c r="B2192" s="428"/>
      <c r="C2192" s="200"/>
      <c r="D2192" s="176"/>
      <c r="E2192" s="176"/>
      <c r="F2192" s="408"/>
      <c r="G2192" s="176"/>
      <c r="H2192" s="114"/>
      <c r="I2192" s="42"/>
      <c r="J2192" s="42"/>
      <c r="K2192" s="176"/>
      <c r="L2192" s="176"/>
      <c r="M2192" s="176"/>
      <c r="N2192" s="176"/>
      <c r="O2192" s="176"/>
      <c r="P2192" s="114"/>
      <c r="Q2192" s="176"/>
      <c r="R2192" s="114"/>
      <c r="S2192" s="114"/>
      <c r="T2192" s="200"/>
      <c r="U2192" s="114"/>
      <c r="V2192" s="414"/>
      <c r="W2192" s="176"/>
      <c r="X2192" s="176"/>
      <c r="Y2192" s="176"/>
      <c r="Z2192" s="176"/>
    </row>
    <row r="2193" ht="15.75" customHeight="1">
      <c r="A2193" s="408"/>
      <c r="B2193" s="428"/>
      <c r="C2193" s="200"/>
      <c r="D2193" s="176"/>
      <c r="E2193" s="176"/>
      <c r="F2193" s="408"/>
      <c r="G2193" s="176"/>
      <c r="H2193" s="114"/>
      <c r="I2193" s="42"/>
      <c r="J2193" s="42"/>
      <c r="K2193" s="176"/>
      <c r="L2193" s="176"/>
      <c r="M2193" s="176"/>
      <c r="N2193" s="176"/>
      <c r="O2193" s="176"/>
      <c r="P2193" s="114"/>
      <c r="Q2193" s="176"/>
      <c r="R2193" s="114"/>
      <c r="S2193" s="114"/>
      <c r="T2193" s="200"/>
      <c r="U2193" s="114"/>
      <c r="V2193" s="414"/>
      <c r="W2193" s="176"/>
      <c r="X2193" s="176"/>
      <c r="Y2193" s="176"/>
      <c r="Z2193" s="176"/>
    </row>
    <row r="2194" ht="15.75" customHeight="1">
      <c r="A2194" s="408"/>
      <c r="B2194" s="428"/>
      <c r="C2194" s="200"/>
      <c r="D2194" s="176"/>
      <c r="E2194" s="176"/>
      <c r="F2194" s="408"/>
      <c r="G2194" s="176"/>
      <c r="H2194" s="114"/>
      <c r="I2194" s="42"/>
      <c r="J2194" s="42"/>
      <c r="K2194" s="176"/>
      <c r="L2194" s="176"/>
      <c r="M2194" s="176"/>
      <c r="N2194" s="176"/>
      <c r="O2194" s="176"/>
      <c r="P2194" s="114"/>
      <c r="Q2194" s="176"/>
      <c r="R2194" s="114"/>
      <c r="S2194" s="114"/>
      <c r="T2194" s="200"/>
      <c r="U2194" s="114"/>
      <c r="V2194" s="414"/>
      <c r="W2194" s="176"/>
      <c r="X2194" s="176"/>
      <c r="Y2194" s="176"/>
      <c r="Z2194" s="176"/>
    </row>
    <row r="2195" ht="15.75" customHeight="1">
      <c r="A2195" s="408"/>
      <c r="B2195" s="428"/>
      <c r="C2195" s="200"/>
      <c r="D2195" s="176"/>
      <c r="E2195" s="176"/>
      <c r="F2195" s="408"/>
      <c r="G2195" s="176"/>
      <c r="H2195" s="114"/>
      <c r="I2195" s="42"/>
      <c r="J2195" s="42"/>
      <c r="K2195" s="176"/>
      <c r="L2195" s="176"/>
      <c r="M2195" s="176"/>
      <c r="N2195" s="176"/>
      <c r="O2195" s="176"/>
      <c r="P2195" s="114"/>
      <c r="Q2195" s="176"/>
      <c r="R2195" s="114"/>
      <c r="S2195" s="114"/>
      <c r="T2195" s="200"/>
      <c r="U2195" s="114"/>
      <c r="V2195" s="414"/>
      <c r="W2195" s="176"/>
      <c r="X2195" s="176"/>
      <c r="Y2195" s="176"/>
      <c r="Z2195" s="176"/>
    </row>
    <row r="2196" ht="15.75" customHeight="1">
      <c r="A2196" s="408"/>
      <c r="B2196" s="428"/>
      <c r="C2196" s="200"/>
      <c r="D2196" s="176"/>
      <c r="E2196" s="176"/>
      <c r="F2196" s="408"/>
      <c r="G2196" s="176"/>
      <c r="H2196" s="114"/>
      <c r="I2196" s="42"/>
      <c r="J2196" s="42"/>
      <c r="K2196" s="176"/>
      <c r="L2196" s="176"/>
      <c r="M2196" s="176"/>
      <c r="N2196" s="176"/>
      <c r="O2196" s="176"/>
      <c r="P2196" s="114"/>
      <c r="Q2196" s="176"/>
      <c r="R2196" s="114"/>
      <c r="S2196" s="114"/>
      <c r="T2196" s="200"/>
      <c r="U2196" s="114"/>
      <c r="V2196" s="414"/>
      <c r="W2196" s="176"/>
      <c r="X2196" s="176"/>
      <c r="Y2196" s="176"/>
      <c r="Z2196" s="176"/>
    </row>
    <row r="2197" ht="15.75" customHeight="1">
      <c r="A2197" s="408"/>
      <c r="B2197" s="428"/>
      <c r="C2197" s="200"/>
      <c r="D2197" s="176"/>
      <c r="E2197" s="176"/>
      <c r="F2197" s="408"/>
      <c r="G2197" s="176"/>
      <c r="H2197" s="114"/>
      <c r="I2197" s="42"/>
      <c r="J2197" s="42"/>
      <c r="K2197" s="176"/>
      <c r="L2197" s="176"/>
      <c r="M2197" s="176"/>
      <c r="N2197" s="176"/>
      <c r="O2197" s="176"/>
      <c r="P2197" s="114"/>
      <c r="Q2197" s="176"/>
      <c r="R2197" s="114"/>
      <c r="S2197" s="114"/>
      <c r="T2197" s="200"/>
      <c r="U2197" s="114"/>
      <c r="V2197" s="414"/>
      <c r="W2197" s="176"/>
      <c r="X2197" s="176"/>
      <c r="Y2197" s="176"/>
      <c r="Z2197" s="176"/>
    </row>
    <row r="2198" ht="15.75" customHeight="1">
      <c r="A2198" s="408"/>
      <c r="B2198" s="428"/>
      <c r="C2198" s="200"/>
      <c r="D2198" s="176"/>
      <c r="E2198" s="176"/>
      <c r="F2198" s="408"/>
      <c r="G2198" s="176"/>
      <c r="H2198" s="114"/>
      <c r="I2198" s="42"/>
      <c r="J2198" s="42"/>
      <c r="K2198" s="176"/>
      <c r="L2198" s="176"/>
      <c r="M2198" s="176"/>
      <c r="N2198" s="176"/>
      <c r="O2198" s="176"/>
      <c r="P2198" s="114"/>
      <c r="Q2198" s="176"/>
      <c r="R2198" s="114"/>
      <c r="S2198" s="114"/>
      <c r="T2198" s="200"/>
      <c r="U2198" s="114"/>
      <c r="V2198" s="414"/>
      <c r="W2198" s="176"/>
      <c r="X2198" s="176"/>
      <c r="Y2198" s="176"/>
      <c r="Z2198" s="176"/>
    </row>
    <row r="2199" ht="15.75" customHeight="1">
      <c r="A2199" s="408"/>
      <c r="B2199" s="428"/>
      <c r="C2199" s="200"/>
      <c r="D2199" s="176"/>
      <c r="E2199" s="176"/>
      <c r="F2199" s="408"/>
      <c r="G2199" s="176"/>
      <c r="H2199" s="114"/>
      <c r="I2199" s="42"/>
      <c r="J2199" s="42"/>
      <c r="K2199" s="176"/>
      <c r="L2199" s="176"/>
      <c r="M2199" s="176"/>
      <c r="N2199" s="176"/>
      <c r="O2199" s="176"/>
      <c r="P2199" s="114"/>
      <c r="Q2199" s="176"/>
      <c r="R2199" s="114"/>
      <c r="S2199" s="114"/>
      <c r="T2199" s="200"/>
      <c r="U2199" s="114"/>
      <c r="V2199" s="414"/>
      <c r="W2199" s="176"/>
      <c r="X2199" s="176"/>
      <c r="Y2199" s="176"/>
      <c r="Z2199" s="176"/>
    </row>
    <row r="2200" ht="15.75" customHeight="1">
      <c r="A2200" s="408"/>
      <c r="B2200" s="428"/>
      <c r="C2200" s="200"/>
      <c r="D2200" s="176"/>
      <c r="E2200" s="176"/>
      <c r="F2200" s="408"/>
      <c r="G2200" s="176"/>
      <c r="H2200" s="114"/>
      <c r="I2200" s="42"/>
      <c r="J2200" s="42"/>
      <c r="K2200" s="176"/>
      <c r="L2200" s="176"/>
      <c r="M2200" s="176"/>
      <c r="N2200" s="176"/>
      <c r="O2200" s="176"/>
      <c r="P2200" s="114"/>
      <c r="Q2200" s="176"/>
      <c r="R2200" s="114"/>
      <c r="S2200" s="114"/>
      <c r="T2200" s="200"/>
      <c r="U2200" s="114"/>
      <c r="V2200" s="414"/>
      <c r="W2200" s="176"/>
      <c r="X2200" s="176"/>
      <c r="Y2200" s="176"/>
      <c r="Z2200" s="176"/>
    </row>
    <row r="2201" ht="15.75" customHeight="1">
      <c r="A2201" s="408"/>
      <c r="B2201" s="428"/>
      <c r="C2201" s="200"/>
      <c r="D2201" s="176"/>
      <c r="E2201" s="176"/>
      <c r="F2201" s="408"/>
      <c r="G2201" s="176"/>
      <c r="H2201" s="114"/>
      <c r="I2201" s="42"/>
      <c r="J2201" s="42"/>
      <c r="K2201" s="176"/>
      <c r="L2201" s="176"/>
      <c r="M2201" s="176"/>
      <c r="N2201" s="176"/>
      <c r="O2201" s="176"/>
      <c r="P2201" s="114"/>
      <c r="Q2201" s="176"/>
      <c r="R2201" s="114"/>
      <c r="S2201" s="114"/>
      <c r="T2201" s="200"/>
      <c r="U2201" s="114"/>
      <c r="V2201" s="414"/>
      <c r="W2201" s="176"/>
      <c r="X2201" s="176"/>
      <c r="Y2201" s="176"/>
      <c r="Z2201" s="176"/>
    </row>
    <row r="2202" ht="15.75" customHeight="1">
      <c r="A2202" s="408"/>
      <c r="B2202" s="428"/>
      <c r="C2202" s="200"/>
      <c r="D2202" s="176"/>
      <c r="E2202" s="176"/>
      <c r="F2202" s="408"/>
      <c r="G2202" s="176"/>
      <c r="H2202" s="114"/>
      <c r="I2202" s="42"/>
      <c r="J2202" s="42"/>
      <c r="K2202" s="176"/>
      <c r="L2202" s="176"/>
      <c r="M2202" s="176"/>
      <c r="N2202" s="176"/>
      <c r="O2202" s="176"/>
      <c r="P2202" s="114"/>
      <c r="Q2202" s="176"/>
      <c r="R2202" s="114"/>
      <c r="S2202" s="114"/>
      <c r="T2202" s="200"/>
      <c r="U2202" s="114"/>
      <c r="V2202" s="414"/>
      <c r="W2202" s="176"/>
      <c r="X2202" s="176"/>
      <c r="Y2202" s="176"/>
      <c r="Z2202" s="176"/>
    </row>
    <row r="2203" ht="15.75" customHeight="1">
      <c r="A2203" s="408"/>
      <c r="B2203" s="428"/>
      <c r="C2203" s="200"/>
      <c r="D2203" s="176"/>
      <c r="E2203" s="176"/>
      <c r="F2203" s="408"/>
      <c r="G2203" s="176"/>
      <c r="H2203" s="114"/>
      <c r="I2203" s="42"/>
      <c r="J2203" s="42"/>
      <c r="K2203" s="176"/>
      <c r="L2203" s="176"/>
      <c r="M2203" s="176"/>
      <c r="N2203" s="176"/>
      <c r="O2203" s="176"/>
      <c r="P2203" s="114"/>
      <c r="Q2203" s="176"/>
      <c r="R2203" s="114"/>
      <c r="S2203" s="114"/>
      <c r="T2203" s="200"/>
      <c r="U2203" s="114"/>
      <c r="V2203" s="414"/>
      <c r="W2203" s="176"/>
      <c r="X2203" s="176"/>
      <c r="Y2203" s="176"/>
      <c r="Z2203" s="176"/>
    </row>
    <row r="2204" ht="15.75" customHeight="1">
      <c r="A2204" s="408"/>
      <c r="B2204" s="428"/>
      <c r="C2204" s="200"/>
      <c r="D2204" s="176"/>
      <c r="E2204" s="176"/>
      <c r="F2204" s="408"/>
      <c r="G2204" s="176"/>
      <c r="H2204" s="114"/>
      <c r="I2204" s="42"/>
      <c r="J2204" s="42"/>
      <c r="K2204" s="176"/>
      <c r="L2204" s="176"/>
      <c r="M2204" s="176"/>
      <c r="N2204" s="176"/>
      <c r="O2204" s="176"/>
      <c r="P2204" s="114"/>
      <c r="Q2204" s="176"/>
      <c r="R2204" s="114"/>
      <c r="S2204" s="114"/>
      <c r="T2204" s="200"/>
      <c r="U2204" s="114"/>
      <c r="V2204" s="414"/>
      <c r="W2204" s="176"/>
      <c r="X2204" s="176"/>
      <c r="Y2204" s="176"/>
      <c r="Z2204" s="176"/>
    </row>
    <row r="2205" ht="15.75" customHeight="1">
      <c r="A2205" s="408"/>
      <c r="B2205" s="428"/>
      <c r="C2205" s="200"/>
      <c r="D2205" s="176"/>
      <c r="E2205" s="176"/>
      <c r="F2205" s="408"/>
      <c r="G2205" s="176"/>
      <c r="H2205" s="114"/>
      <c r="I2205" s="42"/>
      <c r="J2205" s="42"/>
      <c r="K2205" s="176"/>
      <c r="L2205" s="176"/>
      <c r="M2205" s="176"/>
      <c r="N2205" s="176"/>
      <c r="O2205" s="176"/>
      <c r="P2205" s="114"/>
      <c r="Q2205" s="176"/>
      <c r="R2205" s="114"/>
      <c r="S2205" s="114"/>
      <c r="T2205" s="200"/>
      <c r="U2205" s="114"/>
      <c r="V2205" s="414"/>
      <c r="W2205" s="176"/>
      <c r="X2205" s="176"/>
      <c r="Y2205" s="176"/>
      <c r="Z2205" s="176"/>
    </row>
    <row r="2206" ht="15.75" customHeight="1">
      <c r="A2206" s="408"/>
      <c r="B2206" s="428"/>
      <c r="C2206" s="200"/>
      <c r="D2206" s="176"/>
      <c r="E2206" s="176"/>
      <c r="F2206" s="408"/>
      <c r="G2206" s="176"/>
      <c r="H2206" s="114"/>
      <c r="I2206" s="42"/>
      <c r="J2206" s="42"/>
      <c r="K2206" s="176"/>
      <c r="L2206" s="176"/>
      <c r="M2206" s="176"/>
      <c r="N2206" s="176"/>
      <c r="O2206" s="176"/>
      <c r="P2206" s="114"/>
      <c r="Q2206" s="176"/>
      <c r="R2206" s="114"/>
      <c r="S2206" s="114"/>
      <c r="T2206" s="200"/>
      <c r="U2206" s="114"/>
      <c r="V2206" s="414"/>
      <c r="W2206" s="176"/>
      <c r="X2206" s="176"/>
      <c r="Y2206" s="176"/>
      <c r="Z2206" s="176"/>
    </row>
    <row r="2207" ht="15.75" customHeight="1">
      <c r="A2207" s="408"/>
      <c r="B2207" s="428"/>
      <c r="C2207" s="200"/>
      <c r="D2207" s="176"/>
      <c r="E2207" s="176"/>
      <c r="F2207" s="408"/>
      <c r="G2207" s="176"/>
      <c r="H2207" s="114"/>
      <c r="I2207" s="42"/>
      <c r="J2207" s="42"/>
      <c r="K2207" s="176"/>
      <c r="L2207" s="176"/>
      <c r="M2207" s="176"/>
      <c r="N2207" s="176"/>
      <c r="O2207" s="176"/>
      <c r="P2207" s="114"/>
      <c r="Q2207" s="176"/>
      <c r="R2207" s="114"/>
      <c r="S2207" s="114"/>
      <c r="T2207" s="200"/>
      <c r="U2207" s="114"/>
      <c r="V2207" s="414"/>
      <c r="W2207" s="176"/>
      <c r="X2207" s="176"/>
      <c r="Y2207" s="176"/>
      <c r="Z2207" s="176"/>
    </row>
    <row r="2208" ht="15.75" customHeight="1">
      <c r="A2208" s="408"/>
      <c r="B2208" s="428"/>
      <c r="C2208" s="200"/>
      <c r="D2208" s="176"/>
      <c r="E2208" s="176"/>
      <c r="F2208" s="408"/>
      <c r="G2208" s="176"/>
      <c r="H2208" s="114"/>
      <c r="I2208" s="42"/>
      <c r="J2208" s="42"/>
      <c r="K2208" s="176"/>
      <c r="L2208" s="176"/>
      <c r="M2208" s="176"/>
      <c r="N2208" s="176"/>
      <c r="O2208" s="176"/>
      <c r="P2208" s="114"/>
      <c r="Q2208" s="176"/>
      <c r="R2208" s="114"/>
      <c r="S2208" s="114"/>
      <c r="T2208" s="200"/>
      <c r="U2208" s="114"/>
      <c r="V2208" s="414"/>
      <c r="W2208" s="176"/>
      <c r="X2208" s="176"/>
      <c r="Y2208" s="176"/>
      <c r="Z2208" s="176"/>
    </row>
    <row r="2209" ht="15.75" customHeight="1">
      <c r="A2209" s="408"/>
      <c r="B2209" s="428"/>
      <c r="C2209" s="200"/>
      <c r="D2209" s="176"/>
      <c r="E2209" s="176"/>
      <c r="F2209" s="408"/>
      <c r="G2209" s="176"/>
      <c r="H2209" s="114"/>
      <c r="I2209" s="42"/>
      <c r="J2209" s="42"/>
      <c r="K2209" s="176"/>
      <c r="L2209" s="176"/>
      <c r="M2209" s="176"/>
      <c r="N2209" s="176"/>
      <c r="O2209" s="176"/>
      <c r="P2209" s="114"/>
      <c r="Q2209" s="176"/>
      <c r="R2209" s="114"/>
      <c r="S2209" s="114"/>
      <c r="T2209" s="200"/>
      <c r="U2209" s="114"/>
      <c r="V2209" s="414"/>
      <c r="W2209" s="176"/>
      <c r="X2209" s="176"/>
      <c r="Y2209" s="176"/>
      <c r="Z2209" s="176"/>
    </row>
    <row r="2210" ht="15.75" customHeight="1">
      <c r="A2210" s="408"/>
      <c r="B2210" s="428"/>
      <c r="C2210" s="200"/>
      <c r="D2210" s="176"/>
      <c r="E2210" s="176"/>
      <c r="F2210" s="408"/>
      <c r="G2210" s="176"/>
      <c r="H2210" s="114"/>
      <c r="I2210" s="42"/>
      <c r="J2210" s="42"/>
      <c r="K2210" s="176"/>
      <c r="L2210" s="176"/>
      <c r="M2210" s="176"/>
      <c r="N2210" s="176"/>
      <c r="O2210" s="176"/>
      <c r="P2210" s="114"/>
      <c r="Q2210" s="176"/>
      <c r="R2210" s="114"/>
      <c r="S2210" s="114"/>
      <c r="T2210" s="200"/>
      <c r="U2210" s="114"/>
      <c r="V2210" s="414"/>
      <c r="W2210" s="176"/>
      <c r="X2210" s="176"/>
      <c r="Y2210" s="176"/>
      <c r="Z2210" s="176"/>
    </row>
    <row r="2211" ht="15.75" customHeight="1">
      <c r="A2211" s="408"/>
      <c r="B2211" s="428"/>
      <c r="C2211" s="200"/>
      <c r="D2211" s="176"/>
      <c r="E2211" s="176"/>
      <c r="F2211" s="408"/>
      <c r="G2211" s="176"/>
      <c r="H2211" s="114"/>
      <c r="I2211" s="42"/>
      <c r="J2211" s="42"/>
      <c r="K2211" s="176"/>
      <c r="L2211" s="176"/>
      <c r="M2211" s="176"/>
      <c r="N2211" s="176"/>
      <c r="O2211" s="176"/>
      <c r="P2211" s="114"/>
      <c r="Q2211" s="176"/>
      <c r="R2211" s="114"/>
      <c r="S2211" s="114"/>
      <c r="T2211" s="200"/>
      <c r="U2211" s="114"/>
      <c r="V2211" s="414"/>
      <c r="W2211" s="176"/>
      <c r="X2211" s="176"/>
      <c r="Y2211" s="176"/>
      <c r="Z2211" s="176"/>
    </row>
    <row r="2212" ht="15.75" customHeight="1">
      <c r="A2212" s="408"/>
      <c r="B2212" s="428"/>
      <c r="C2212" s="200"/>
      <c r="D2212" s="176"/>
      <c r="E2212" s="176"/>
      <c r="F2212" s="408"/>
      <c r="G2212" s="176"/>
      <c r="H2212" s="114"/>
      <c r="I2212" s="42"/>
      <c r="J2212" s="42"/>
      <c r="K2212" s="176"/>
      <c r="L2212" s="176"/>
      <c r="M2212" s="176"/>
      <c r="N2212" s="176"/>
      <c r="O2212" s="176"/>
      <c r="P2212" s="114"/>
      <c r="Q2212" s="176"/>
      <c r="R2212" s="114"/>
      <c r="S2212" s="114"/>
      <c r="T2212" s="200"/>
      <c r="U2212" s="114"/>
      <c r="V2212" s="414"/>
      <c r="W2212" s="176"/>
      <c r="X2212" s="176"/>
      <c r="Y2212" s="176"/>
      <c r="Z2212" s="176"/>
    </row>
    <row r="2213" ht="15.75" customHeight="1">
      <c r="A2213" s="408"/>
      <c r="B2213" s="428"/>
      <c r="C2213" s="200"/>
      <c r="D2213" s="176"/>
      <c r="E2213" s="176"/>
      <c r="F2213" s="408"/>
      <c r="G2213" s="176"/>
      <c r="H2213" s="114"/>
      <c r="I2213" s="42"/>
      <c r="J2213" s="42"/>
      <c r="K2213" s="176"/>
      <c r="L2213" s="176"/>
      <c r="M2213" s="176"/>
      <c r="N2213" s="176"/>
      <c r="O2213" s="176"/>
      <c r="P2213" s="114"/>
      <c r="Q2213" s="176"/>
      <c r="R2213" s="114"/>
      <c r="S2213" s="114"/>
      <c r="T2213" s="200"/>
      <c r="U2213" s="114"/>
      <c r="V2213" s="414"/>
      <c r="W2213" s="176"/>
      <c r="X2213" s="176"/>
      <c r="Y2213" s="176"/>
      <c r="Z2213" s="176"/>
    </row>
    <row r="2214" ht="15.75" customHeight="1">
      <c r="A2214" s="408"/>
      <c r="B2214" s="428"/>
      <c r="C2214" s="200"/>
      <c r="D2214" s="176"/>
      <c r="E2214" s="176"/>
      <c r="F2214" s="408"/>
      <c r="G2214" s="176"/>
      <c r="H2214" s="114"/>
      <c r="I2214" s="42"/>
      <c r="J2214" s="42"/>
      <c r="K2214" s="176"/>
      <c r="L2214" s="176"/>
      <c r="M2214" s="176"/>
      <c r="N2214" s="176"/>
      <c r="O2214" s="176"/>
      <c r="P2214" s="114"/>
      <c r="Q2214" s="176"/>
      <c r="R2214" s="114"/>
      <c r="S2214" s="114"/>
      <c r="T2214" s="200"/>
      <c r="U2214" s="114"/>
      <c r="V2214" s="414"/>
      <c r="W2214" s="176"/>
      <c r="X2214" s="176"/>
      <c r="Y2214" s="176"/>
      <c r="Z2214" s="176"/>
    </row>
    <row r="2215" ht="15.75" customHeight="1">
      <c r="A2215" s="408"/>
      <c r="B2215" s="428"/>
      <c r="C2215" s="200"/>
      <c r="D2215" s="176"/>
      <c r="E2215" s="176"/>
      <c r="F2215" s="408"/>
      <c r="G2215" s="176"/>
      <c r="H2215" s="114"/>
      <c r="I2215" s="42"/>
      <c r="J2215" s="42"/>
      <c r="K2215" s="176"/>
      <c r="L2215" s="176"/>
      <c r="M2215" s="176"/>
      <c r="N2215" s="176"/>
      <c r="O2215" s="176"/>
      <c r="P2215" s="114"/>
      <c r="Q2215" s="176"/>
      <c r="R2215" s="114"/>
      <c r="S2215" s="114"/>
      <c r="T2215" s="200"/>
      <c r="U2215" s="114"/>
      <c r="V2215" s="414"/>
      <c r="W2215" s="176"/>
      <c r="X2215" s="176"/>
      <c r="Y2215" s="176"/>
      <c r="Z2215" s="176"/>
    </row>
    <row r="2216" ht="15.75" customHeight="1">
      <c r="A2216" s="408"/>
      <c r="B2216" s="428"/>
      <c r="C2216" s="200"/>
      <c r="D2216" s="176"/>
      <c r="E2216" s="176"/>
      <c r="F2216" s="408"/>
      <c r="G2216" s="176"/>
      <c r="H2216" s="114"/>
      <c r="I2216" s="42"/>
      <c r="J2216" s="42"/>
      <c r="K2216" s="176"/>
      <c r="L2216" s="176"/>
      <c r="M2216" s="176"/>
      <c r="N2216" s="176"/>
      <c r="O2216" s="176"/>
      <c r="P2216" s="114"/>
      <c r="Q2216" s="176"/>
      <c r="R2216" s="114"/>
      <c r="S2216" s="114"/>
      <c r="T2216" s="200"/>
      <c r="U2216" s="114"/>
      <c r="V2216" s="414"/>
      <c r="W2216" s="176"/>
      <c r="X2216" s="176"/>
      <c r="Y2216" s="176"/>
      <c r="Z2216" s="176"/>
    </row>
    <row r="2217" ht="15.75" customHeight="1">
      <c r="A2217" s="408"/>
      <c r="B2217" s="428"/>
      <c r="C2217" s="200"/>
      <c r="D2217" s="176"/>
      <c r="E2217" s="176"/>
      <c r="F2217" s="408"/>
      <c r="G2217" s="176"/>
      <c r="H2217" s="114"/>
      <c r="I2217" s="42"/>
      <c r="J2217" s="42"/>
      <c r="K2217" s="176"/>
      <c r="L2217" s="176"/>
      <c r="M2217" s="176"/>
      <c r="N2217" s="176"/>
      <c r="O2217" s="176"/>
      <c r="P2217" s="114"/>
      <c r="Q2217" s="176"/>
      <c r="R2217" s="114"/>
      <c r="S2217" s="114"/>
      <c r="T2217" s="200"/>
      <c r="U2217" s="114"/>
      <c r="V2217" s="414"/>
      <c r="W2217" s="176"/>
      <c r="X2217" s="176"/>
      <c r="Y2217" s="176"/>
      <c r="Z2217" s="176"/>
    </row>
    <row r="2218" ht="15.75" customHeight="1">
      <c r="A2218" s="408"/>
      <c r="B2218" s="428"/>
      <c r="C2218" s="200"/>
      <c r="D2218" s="176"/>
      <c r="E2218" s="176"/>
      <c r="F2218" s="408"/>
      <c r="G2218" s="176"/>
      <c r="H2218" s="114"/>
      <c r="I2218" s="42"/>
      <c r="J2218" s="42"/>
      <c r="K2218" s="176"/>
      <c r="L2218" s="176"/>
      <c r="M2218" s="176"/>
      <c r="N2218" s="176"/>
      <c r="O2218" s="176"/>
      <c r="P2218" s="114"/>
      <c r="Q2218" s="176"/>
      <c r="R2218" s="114"/>
      <c r="S2218" s="114"/>
      <c r="T2218" s="200"/>
      <c r="U2218" s="114"/>
      <c r="V2218" s="414"/>
      <c r="W2218" s="176"/>
      <c r="X2218" s="176"/>
      <c r="Y2218" s="176"/>
      <c r="Z2218" s="176"/>
    </row>
    <row r="2219" ht="15.75" customHeight="1">
      <c r="A2219" s="408"/>
      <c r="B2219" s="428"/>
      <c r="C2219" s="200"/>
      <c r="D2219" s="176"/>
      <c r="E2219" s="176"/>
      <c r="F2219" s="408"/>
      <c r="G2219" s="176"/>
      <c r="H2219" s="114"/>
      <c r="I2219" s="42"/>
      <c r="J2219" s="42"/>
      <c r="K2219" s="176"/>
      <c r="L2219" s="176"/>
      <c r="M2219" s="176"/>
      <c r="N2219" s="176"/>
      <c r="O2219" s="176"/>
      <c r="P2219" s="114"/>
      <c r="Q2219" s="176"/>
      <c r="R2219" s="114"/>
      <c r="S2219" s="114"/>
      <c r="T2219" s="200"/>
      <c r="U2219" s="114"/>
      <c r="V2219" s="414"/>
      <c r="W2219" s="176"/>
      <c r="X2219" s="176"/>
      <c r="Y2219" s="176"/>
      <c r="Z2219" s="176"/>
    </row>
    <row r="2220" ht="15.75" customHeight="1">
      <c r="A2220" s="408"/>
      <c r="B2220" s="428"/>
      <c r="C2220" s="200"/>
      <c r="D2220" s="176"/>
      <c r="E2220" s="176"/>
      <c r="F2220" s="408"/>
      <c r="G2220" s="176"/>
      <c r="H2220" s="114"/>
      <c r="I2220" s="42"/>
      <c r="J2220" s="42"/>
      <c r="K2220" s="176"/>
      <c r="L2220" s="176"/>
      <c r="M2220" s="176"/>
      <c r="N2220" s="176"/>
      <c r="O2220" s="176"/>
      <c r="P2220" s="114"/>
      <c r="Q2220" s="176"/>
      <c r="R2220" s="114"/>
      <c r="S2220" s="114"/>
      <c r="T2220" s="200"/>
      <c r="U2220" s="114"/>
      <c r="V2220" s="414"/>
      <c r="W2220" s="176"/>
      <c r="X2220" s="176"/>
      <c r="Y2220" s="176"/>
      <c r="Z2220" s="176"/>
    </row>
    <row r="2221" ht="15.75" customHeight="1">
      <c r="A2221" s="408"/>
      <c r="B2221" s="428"/>
      <c r="C2221" s="200"/>
      <c r="D2221" s="176"/>
      <c r="E2221" s="176"/>
      <c r="F2221" s="408"/>
      <c r="G2221" s="176"/>
      <c r="H2221" s="114"/>
      <c r="I2221" s="42"/>
      <c r="J2221" s="42"/>
      <c r="K2221" s="176"/>
      <c r="L2221" s="176"/>
      <c r="M2221" s="176"/>
      <c r="N2221" s="176"/>
      <c r="O2221" s="176"/>
      <c r="P2221" s="114"/>
      <c r="Q2221" s="176"/>
      <c r="R2221" s="114"/>
      <c r="S2221" s="114"/>
      <c r="T2221" s="200"/>
      <c r="U2221" s="114"/>
      <c r="V2221" s="414"/>
      <c r="W2221" s="176"/>
      <c r="X2221" s="176"/>
      <c r="Y2221" s="176"/>
      <c r="Z2221" s="176"/>
    </row>
    <row r="2222" ht="15.75" customHeight="1">
      <c r="A2222" s="408"/>
      <c r="B2222" s="428"/>
      <c r="C2222" s="200"/>
      <c r="D2222" s="176"/>
      <c r="E2222" s="176"/>
      <c r="F2222" s="408"/>
      <c r="G2222" s="176"/>
      <c r="H2222" s="114"/>
      <c r="I2222" s="42"/>
      <c r="J2222" s="42"/>
      <c r="K2222" s="176"/>
      <c r="L2222" s="176"/>
      <c r="M2222" s="176"/>
      <c r="N2222" s="176"/>
      <c r="O2222" s="176"/>
      <c r="P2222" s="114"/>
      <c r="Q2222" s="176"/>
      <c r="R2222" s="114"/>
      <c r="S2222" s="114"/>
      <c r="T2222" s="200"/>
      <c r="U2222" s="114"/>
      <c r="V2222" s="414"/>
      <c r="W2222" s="176"/>
      <c r="X2222" s="176"/>
      <c r="Y2222" s="176"/>
      <c r="Z2222" s="176"/>
    </row>
    <row r="2223" ht="15.75" customHeight="1">
      <c r="A2223" s="408"/>
      <c r="B2223" s="428"/>
      <c r="C2223" s="200"/>
      <c r="D2223" s="176"/>
      <c r="E2223" s="176"/>
      <c r="F2223" s="408"/>
      <c r="G2223" s="176"/>
      <c r="H2223" s="114"/>
      <c r="I2223" s="42"/>
      <c r="J2223" s="42"/>
      <c r="K2223" s="176"/>
      <c r="L2223" s="176"/>
      <c r="M2223" s="176"/>
      <c r="N2223" s="176"/>
      <c r="O2223" s="176"/>
      <c r="P2223" s="114"/>
      <c r="Q2223" s="176"/>
      <c r="R2223" s="114"/>
      <c r="S2223" s="114"/>
      <c r="T2223" s="200"/>
      <c r="U2223" s="114"/>
      <c r="V2223" s="414"/>
      <c r="W2223" s="176"/>
      <c r="X2223" s="176"/>
      <c r="Y2223" s="176"/>
      <c r="Z2223" s="176"/>
    </row>
    <row r="2224" ht="15.75" customHeight="1">
      <c r="A2224" s="408"/>
      <c r="B2224" s="428"/>
      <c r="C2224" s="200"/>
      <c r="D2224" s="176"/>
      <c r="E2224" s="176"/>
      <c r="F2224" s="408"/>
      <c r="G2224" s="176"/>
      <c r="H2224" s="114"/>
      <c r="I2224" s="42"/>
      <c r="J2224" s="42"/>
      <c r="K2224" s="176"/>
      <c r="L2224" s="176"/>
      <c r="M2224" s="176"/>
      <c r="N2224" s="176"/>
      <c r="O2224" s="176"/>
      <c r="P2224" s="114"/>
      <c r="Q2224" s="176"/>
      <c r="R2224" s="114"/>
      <c r="S2224" s="114"/>
      <c r="T2224" s="200"/>
      <c r="U2224" s="114"/>
      <c r="V2224" s="414"/>
      <c r="W2224" s="176"/>
      <c r="X2224" s="176"/>
      <c r="Y2224" s="176"/>
      <c r="Z2224" s="176"/>
    </row>
    <row r="2225" ht="15.75" customHeight="1">
      <c r="A2225" s="408"/>
      <c r="B2225" s="428"/>
      <c r="C2225" s="200"/>
      <c r="D2225" s="176"/>
      <c r="E2225" s="176"/>
      <c r="F2225" s="408"/>
      <c r="G2225" s="176"/>
      <c r="H2225" s="114"/>
      <c r="I2225" s="42"/>
      <c r="J2225" s="42"/>
      <c r="K2225" s="176"/>
      <c r="L2225" s="176"/>
      <c r="M2225" s="176"/>
      <c r="N2225" s="176"/>
      <c r="O2225" s="176"/>
      <c r="P2225" s="114"/>
      <c r="Q2225" s="176"/>
      <c r="R2225" s="114"/>
      <c r="S2225" s="114"/>
      <c r="T2225" s="200"/>
      <c r="U2225" s="114"/>
      <c r="V2225" s="414"/>
      <c r="W2225" s="176"/>
      <c r="X2225" s="176"/>
      <c r="Y2225" s="176"/>
      <c r="Z2225" s="176"/>
    </row>
    <row r="2226" ht="15.75" customHeight="1">
      <c r="A2226" s="408"/>
      <c r="B2226" s="428"/>
      <c r="C2226" s="200"/>
      <c r="D2226" s="176"/>
      <c r="E2226" s="176"/>
      <c r="F2226" s="408"/>
      <c r="G2226" s="176"/>
      <c r="H2226" s="114"/>
      <c r="I2226" s="42"/>
      <c r="J2226" s="42"/>
      <c r="K2226" s="176"/>
      <c r="L2226" s="176"/>
      <c r="M2226" s="176"/>
      <c r="N2226" s="176"/>
      <c r="O2226" s="176"/>
      <c r="P2226" s="114"/>
      <c r="Q2226" s="176"/>
      <c r="R2226" s="114"/>
      <c r="S2226" s="114"/>
      <c r="T2226" s="200"/>
      <c r="U2226" s="114"/>
      <c r="V2226" s="414"/>
      <c r="W2226" s="176"/>
      <c r="X2226" s="176"/>
      <c r="Y2226" s="176"/>
      <c r="Z2226" s="176"/>
    </row>
    <row r="2227" ht="15.75" customHeight="1">
      <c r="A2227" s="408"/>
      <c r="B2227" s="428"/>
      <c r="C2227" s="200"/>
      <c r="D2227" s="176"/>
      <c r="E2227" s="176"/>
      <c r="F2227" s="408"/>
      <c r="G2227" s="176"/>
      <c r="H2227" s="114"/>
      <c r="I2227" s="42"/>
      <c r="J2227" s="42"/>
      <c r="K2227" s="176"/>
      <c r="L2227" s="176"/>
      <c r="M2227" s="176"/>
      <c r="N2227" s="176"/>
      <c r="O2227" s="176"/>
      <c r="P2227" s="114"/>
      <c r="Q2227" s="176"/>
      <c r="R2227" s="114"/>
      <c r="S2227" s="114"/>
      <c r="T2227" s="200"/>
      <c r="U2227" s="114"/>
      <c r="V2227" s="414"/>
      <c r="W2227" s="176"/>
      <c r="X2227" s="176"/>
      <c r="Y2227" s="176"/>
      <c r="Z2227" s="176"/>
    </row>
    <row r="2228" ht="15.75" customHeight="1">
      <c r="A2228" s="408"/>
      <c r="B2228" s="428"/>
      <c r="C2228" s="200"/>
      <c r="D2228" s="176"/>
      <c r="E2228" s="176"/>
      <c r="F2228" s="408"/>
      <c r="G2228" s="176"/>
      <c r="H2228" s="114"/>
      <c r="I2228" s="42"/>
      <c r="J2228" s="42"/>
      <c r="K2228" s="176"/>
      <c r="L2228" s="176"/>
      <c r="M2228" s="176"/>
      <c r="N2228" s="176"/>
      <c r="O2228" s="176"/>
      <c r="P2228" s="114"/>
      <c r="Q2228" s="176"/>
      <c r="R2228" s="114"/>
      <c r="S2228" s="114"/>
      <c r="T2228" s="200"/>
      <c r="U2228" s="114"/>
      <c r="V2228" s="414"/>
      <c r="W2228" s="176"/>
      <c r="X2228" s="176"/>
      <c r="Y2228" s="176"/>
      <c r="Z2228" s="176"/>
    </row>
    <row r="2229" ht="15.75" customHeight="1">
      <c r="A2229" s="408"/>
      <c r="B2229" s="428"/>
      <c r="C2229" s="200"/>
      <c r="D2229" s="176"/>
      <c r="E2229" s="176"/>
      <c r="F2229" s="408"/>
      <c r="G2229" s="176"/>
      <c r="H2229" s="114"/>
      <c r="I2229" s="42"/>
      <c r="J2229" s="42"/>
      <c r="K2229" s="176"/>
      <c r="L2229" s="176"/>
      <c r="M2229" s="176"/>
      <c r="N2229" s="176"/>
      <c r="O2229" s="176"/>
      <c r="P2229" s="114"/>
      <c r="Q2229" s="176"/>
      <c r="R2229" s="114"/>
      <c r="S2229" s="114"/>
      <c r="T2229" s="200"/>
      <c r="U2229" s="114"/>
      <c r="V2229" s="414"/>
      <c r="W2229" s="176"/>
      <c r="X2229" s="176"/>
      <c r="Y2229" s="176"/>
      <c r="Z2229" s="176"/>
    </row>
    <row r="2230" ht="15.75" customHeight="1">
      <c r="A2230" s="408"/>
      <c r="B2230" s="428"/>
      <c r="C2230" s="200"/>
      <c r="D2230" s="176"/>
      <c r="E2230" s="176"/>
      <c r="F2230" s="408"/>
      <c r="G2230" s="176"/>
      <c r="H2230" s="114"/>
      <c r="I2230" s="42"/>
      <c r="J2230" s="42"/>
      <c r="K2230" s="176"/>
      <c r="L2230" s="176"/>
      <c r="M2230" s="176"/>
      <c r="N2230" s="176"/>
      <c r="O2230" s="176"/>
      <c r="P2230" s="114"/>
      <c r="Q2230" s="176"/>
      <c r="R2230" s="114"/>
      <c r="S2230" s="114"/>
      <c r="T2230" s="200"/>
      <c r="U2230" s="114"/>
      <c r="V2230" s="414"/>
      <c r="W2230" s="176"/>
      <c r="X2230" s="176"/>
      <c r="Y2230" s="176"/>
      <c r="Z2230" s="176"/>
    </row>
    <row r="2231" ht="15.75" customHeight="1">
      <c r="A2231" s="408"/>
      <c r="B2231" s="428"/>
      <c r="C2231" s="200"/>
      <c r="D2231" s="176"/>
      <c r="E2231" s="176"/>
      <c r="F2231" s="408"/>
      <c r="G2231" s="176"/>
      <c r="H2231" s="114"/>
      <c r="I2231" s="42"/>
      <c r="J2231" s="42"/>
      <c r="K2231" s="176"/>
      <c r="L2231" s="176"/>
      <c r="M2231" s="176"/>
      <c r="N2231" s="176"/>
      <c r="O2231" s="176"/>
      <c r="P2231" s="114"/>
      <c r="Q2231" s="176"/>
      <c r="R2231" s="114"/>
      <c r="S2231" s="114"/>
      <c r="T2231" s="200"/>
      <c r="U2231" s="114"/>
      <c r="V2231" s="414"/>
      <c r="W2231" s="176"/>
      <c r="X2231" s="176"/>
      <c r="Y2231" s="176"/>
      <c r="Z2231" s="176"/>
    </row>
    <row r="2232" ht="15.75" customHeight="1">
      <c r="A2232" s="408"/>
      <c r="B2232" s="428"/>
      <c r="C2232" s="200"/>
      <c r="D2232" s="176"/>
      <c r="E2232" s="176"/>
      <c r="F2232" s="408"/>
      <c r="G2232" s="176"/>
      <c r="H2232" s="114"/>
      <c r="I2232" s="42"/>
      <c r="J2232" s="42"/>
      <c r="K2232" s="176"/>
      <c r="L2232" s="176"/>
      <c r="M2232" s="176"/>
      <c r="N2232" s="176"/>
      <c r="O2232" s="176"/>
      <c r="P2232" s="114"/>
      <c r="Q2232" s="176"/>
      <c r="R2232" s="114"/>
      <c r="S2232" s="114"/>
      <c r="T2232" s="200"/>
      <c r="U2232" s="114"/>
      <c r="V2232" s="414"/>
      <c r="W2232" s="176"/>
      <c r="X2232" s="176"/>
      <c r="Y2232" s="176"/>
      <c r="Z2232" s="176"/>
    </row>
    <row r="2233" ht="15.75" customHeight="1">
      <c r="A2233" s="408"/>
      <c r="B2233" s="428"/>
      <c r="C2233" s="200"/>
      <c r="D2233" s="176"/>
      <c r="E2233" s="176"/>
      <c r="F2233" s="408"/>
      <c r="G2233" s="176"/>
      <c r="H2233" s="114"/>
      <c r="I2233" s="42"/>
      <c r="J2233" s="42"/>
      <c r="K2233" s="176"/>
      <c r="L2233" s="176"/>
      <c r="M2233" s="176"/>
      <c r="N2233" s="176"/>
      <c r="O2233" s="176"/>
      <c r="P2233" s="114"/>
      <c r="Q2233" s="176"/>
      <c r="R2233" s="114"/>
      <c r="S2233" s="114"/>
      <c r="T2233" s="200"/>
      <c r="U2233" s="114"/>
      <c r="V2233" s="414"/>
      <c r="W2233" s="176"/>
      <c r="X2233" s="176"/>
      <c r="Y2233" s="176"/>
      <c r="Z2233" s="176"/>
    </row>
    <row r="2234" ht="15.75" customHeight="1">
      <c r="A2234" s="408"/>
      <c r="B2234" s="428"/>
      <c r="C2234" s="200"/>
      <c r="D2234" s="176"/>
      <c r="E2234" s="176"/>
      <c r="F2234" s="408"/>
      <c r="G2234" s="176"/>
      <c r="H2234" s="114"/>
      <c r="I2234" s="42"/>
      <c r="J2234" s="42"/>
      <c r="K2234" s="176"/>
      <c r="L2234" s="176"/>
      <c r="M2234" s="176"/>
      <c r="N2234" s="176"/>
      <c r="O2234" s="176"/>
      <c r="P2234" s="114"/>
      <c r="Q2234" s="176"/>
      <c r="R2234" s="114"/>
      <c r="S2234" s="114"/>
      <c r="T2234" s="200"/>
      <c r="U2234" s="114"/>
      <c r="V2234" s="414"/>
      <c r="W2234" s="176"/>
      <c r="X2234" s="176"/>
      <c r="Y2234" s="176"/>
      <c r="Z2234" s="176"/>
    </row>
    <row r="2235" ht="15.75" customHeight="1">
      <c r="A2235" s="408"/>
      <c r="B2235" s="428"/>
      <c r="C2235" s="200"/>
      <c r="D2235" s="176"/>
      <c r="E2235" s="176"/>
      <c r="F2235" s="408"/>
      <c r="G2235" s="176"/>
      <c r="H2235" s="114"/>
      <c r="I2235" s="42"/>
      <c r="J2235" s="42"/>
      <c r="K2235" s="176"/>
      <c r="L2235" s="176"/>
      <c r="M2235" s="176"/>
      <c r="N2235" s="176"/>
      <c r="O2235" s="176"/>
      <c r="P2235" s="114"/>
      <c r="Q2235" s="176"/>
      <c r="R2235" s="114"/>
      <c r="S2235" s="114"/>
      <c r="T2235" s="200"/>
      <c r="U2235" s="114"/>
      <c r="V2235" s="414"/>
      <c r="W2235" s="176"/>
      <c r="X2235" s="176"/>
      <c r="Y2235" s="176"/>
      <c r="Z2235" s="176"/>
    </row>
    <row r="2236" ht="15.75" customHeight="1">
      <c r="A2236" s="408"/>
      <c r="B2236" s="428"/>
      <c r="C2236" s="200"/>
      <c r="D2236" s="176"/>
      <c r="E2236" s="176"/>
      <c r="F2236" s="408"/>
      <c r="G2236" s="176"/>
      <c r="H2236" s="114"/>
      <c r="I2236" s="42"/>
      <c r="J2236" s="42"/>
      <c r="K2236" s="176"/>
      <c r="L2236" s="176"/>
      <c r="M2236" s="176"/>
      <c r="N2236" s="176"/>
      <c r="O2236" s="176"/>
      <c r="P2236" s="114"/>
      <c r="Q2236" s="176"/>
      <c r="R2236" s="114"/>
      <c r="S2236" s="114"/>
      <c r="T2236" s="200"/>
      <c r="U2236" s="114"/>
      <c r="V2236" s="414"/>
      <c r="W2236" s="176"/>
      <c r="X2236" s="176"/>
      <c r="Y2236" s="176"/>
      <c r="Z2236" s="176"/>
    </row>
    <row r="2237" ht="15.75" customHeight="1">
      <c r="A2237" s="408"/>
      <c r="B2237" s="428"/>
      <c r="C2237" s="200"/>
      <c r="D2237" s="176"/>
      <c r="E2237" s="176"/>
      <c r="F2237" s="408"/>
      <c r="G2237" s="176"/>
      <c r="H2237" s="114"/>
      <c r="I2237" s="42"/>
      <c r="J2237" s="42"/>
      <c r="K2237" s="176"/>
      <c r="L2237" s="176"/>
      <c r="M2237" s="176"/>
      <c r="N2237" s="176"/>
      <c r="O2237" s="176"/>
      <c r="P2237" s="114"/>
      <c r="Q2237" s="176"/>
      <c r="R2237" s="114"/>
      <c r="S2237" s="114"/>
      <c r="T2237" s="200"/>
      <c r="U2237" s="114"/>
      <c r="V2237" s="414"/>
      <c r="W2237" s="176"/>
      <c r="X2237" s="176"/>
      <c r="Y2237" s="176"/>
      <c r="Z2237" s="176"/>
    </row>
    <row r="2238" ht="15.75" customHeight="1">
      <c r="A2238" s="408"/>
      <c r="B2238" s="428"/>
      <c r="C2238" s="200"/>
      <c r="D2238" s="176"/>
      <c r="E2238" s="176"/>
      <c r="F2238" s="408"/>
      <c r="G2238" s="176"/>
      <c r="H2238" s="114"/>
      <c r="I2238" s="42"/>
      <c r="J2238" s="42"/>
      <c r="K2238" s="176"/>
      <c r="L2238" s="176"/>
      <c r="M2238" s="176"/>
      <c r="N2238" s="176"/>
      <c r="O2238" s="176"/>
      <c r="P2238" s="114"/>
      <c r="Q2238" s="176"/>
      <c r="R2238" s="114"/>
      <c r="S2238" s="114"/>
      <c r="T2238" s="200"/>
      <c r="U2238" s="114"/>
      <c r="V2238" s="414"/>
      <c r="W2238" s="176"/>
      <c r="X2238" s="176"/>
      <c r="Y2238" s="176"/>
      <c r="Z2238" s="176"/>
    </row>
    <row r="2239" ht="15.75" customHeight="1">
      <c r="A2239" s="408"/>
      <c r="B2239" s="428"/>
      <c r="C2239" s="200"/>
      <c r="D2239" s="176"/>
      <c r="E2239" s="176"/>
      <c r="F2239" s="408"/>
      <c r="G2239" s="176"/>
      <c r="H2239" s="114"/>
      <c r="I2239" s="42"/>
      <c r="J2239" s="42"/>
      <c r="K2239" s="176"/>
      <c r="L2239" s="176"/>
      <c r="M2239" s="176"/>
      <c r="N2239" s="176"/>
      <c r="O2239" s="176"/>
      <c r="P2239" s="114"/>
      <c r="Q2239" s="176"/>
      <c r="R2239" s="114"/>
      <c r="S2239" s="114"/>
      <c r="T2239" s="200"/>
      <c r="U2239" s="114"/>
      <c r="V2239" s="414"/>
      <c r="W2239" s="176"/>
      <c r="X2239" s="176"/>
      <c r="Y2239" s="176"/>
      <c r="Z2239" s="176"/>
    </row>
    <row r="2240" ht="15.75" customHeight="1">
      <c r="A2240" s="408"/>
      <c r="B2240" s="428"/>
      <c r="C2240" s="200"/>
      <c r="D2240" s="176"/>
      <c r="E2240" s="176"/>
      <c r="F2240" s="408"/>
      <c r="G2240" s="176"/>
      <c r="H2240" s="114"/>
      <c r="I2240" s="42"/>
      <c r="J2240" s="42"/>
      <c r="K2240" s="176"/>
      <c r="L2240" s="176"/>
      <c r="M2240" s="176"/>
      <c r="N2240" s="176"/>
      <c r="O2240" s="176"/>
      <c r="P2240" s="114"/>
      <c r="Q2240" s="176"/>
      <c r="R2240" s="114"/>
      <c r="S2240" s="114"/>
      <c r="T2240" s="200"/>
      <c r="U2240" s="114"/>
      <c r="V2240" s="414"/>
      <c r="W2240" s="176"/>
      <c r="X2240" s="176"/>
      <c r="Y2240" s="176"/>
      <c r="Z2240" s="176"/>
    </row>
    <row r="2241" ht="15.75" customHeight="1">
      <c r="A2241" s="408"/>
      <c r="B2241" s="428"/>
      <c r="C2241" s="200"/>
      <c r="D2241" s="176"/>
      <c r="E2241" s="176"/>
      <c r="F2241" s="408"/>
      <c r="G2241" s="176"/>
      <c r="H2241" s="114"/>
      <c r="I2241" s="42"/>
      <c r="J2241" s="42"/>
      <c r="K2241" s="176"/>
      <c r="L2241" s="176"/>
      <c r="M2241" s="176"/>
      <c r="N2241" s="176"/>
      <c r="O2241" s="176"/>
      <c r="P2241" s="114"/>
      <c r="Q2241" s="176"/>
      <c r="R2241" s="114"/>
      <c r="S2241" s="114"/>
      <c r="T2241" s="200"/>
      <c r="U2241" s="114"/>
      <c r="V2241" s="414"/>
      <c r="W2241" s="176"/>
      <c r="X2241" s="176"/>
      <c r="Y2241" s="176"/>
      <c r="Z2241" s="176"/>
    </row>
    <row r="2242" ht="15.75" customHeight="1">
      <c r="A2242" s="408"/>
      <c r="B2242" s="428"/>
      <c r="C2242" s="200"/>
      <c r="D2242" s="176"/>
      <c r="E2242" s="176"/>
      <c r="F2242" s="408"/>
      <c r="G2242" s="176"/>
      <c r="H2242" s="114"/>
      <c r="I2242" s="42"/>
      <c r="J2242" s="42"/>
      <c r="K2242" s="176"/>
      <c r="L2242" s="176"/>
      <c r="M2242" s="176"/>
      <c r="N2242" s="176"/>
      <c r="O2242" s="176"/>
      <c r="P2242" s="114"/>
      <c r="Q2242" s="176"/>
      <c r="R2242" s="114"/>
      <c r="S2242" s="114"/>
      <c r="T2242" s="200"/>
      <c r="U2242" s="114"/>
      <c r="V2242" s="414"/>
      <c r="W2242" s="176"/>
      <c r="X2242" s="176"/>
      <c r="Y2242" s="176"/>
      <c r="Z2242" s="176"/>
    </row>
    <row r="2243" ht="15.75" customHeight="1">
      <c r="A2243" s="408"/>
      <c r="B2243" s="428"/>
      <c r="C2243" s="200"/>
      <c r="D2243" s="176"/>
      <c r="E2243" s="176"/>
      <c r="F2243" s="408"/>
      <c r="G2243" s="176"/>
      <c r="H2243" s="114"/>
      <c r="I2243" s="42"/>
      <c r="J2243" s="42"/>
      <c r="K2243" s="176"/>
      <c r="L2243" s="176"/>
      <c r="M2243" s="176"/>
      <c r="N2243" s="176"/>
      <c r="O2243" s="176"/>
      <c r="P2243" s="114"/>
      <c r="Q2243" s="176"/>
      <c r="R2243" s="114"/>
      <c r="S2243" s="114"/>
      <c r="T2243" s="200"/>
      <c r="U2243" s="114"/>
      <c r="V2243" s="414"/>
      <c r="W2243" s="176"/>
      <c r="X2243" s="176"/>
      <c r="Y2243" s="176"/>
      <c r="Z2243" s="176"/>
    </row>
    <row r="2244" ht="15.75" customHeight="1">
      <c r="A2244" s="408"/>
      <c r="B2244" s="428"/>
      <c r="C2244" s="200"/>
      <c r="D2244" s="176"/>
      <c r="E2244" s="176"/>
      <c r="F2244" s="408"/>
      <c r="G2244" s="176"/>
      <c r="H2244" s="114"/>
      <c r="I2244" s="42"/>
      <c r="J2244" s="42"/>
      <c r="K2244" s="176"/>
      <c r="L2244" s="176"/>
      <c r="M2244" s="176"/>
      <c r="N2244" s="176"/>
      <c r="O2244" s="176"/>
      <c r="P2244" s="114"/>
      <c r="Q2244" s="176"/>
      <c r="R2244" s="114"/>
      <c r="S2244" s="114"/>
      <c r="T2244" s="200"/>
      <c r="U2244" s="114"/>
      <c r="V2244" s="414"/>
      <c r="W2244" s="176"/>
      <c r="X2244" s="176"/>
      <c r="Y2244" s="176"/>
      <c r="Z2244" s="176"/>
    </row>
    <row r="2245" ht="15.75" customHeight="1">
      <c r="A2245" s="408"/>
      <c r="B2245" s="428"/>
      <c r="C2245" s="200"/>
      <c r="D2245" s="176"/>
      <c r="E2245" s="176"/>
      <c r="F2245" s="408"/>
      <c r="G2245" s="176"/>
      <c r="H2245" s="114"/>
      <c r="I2245" s="42"/>
      <c r="J2245" s="42"/>
      <c r="K2245" s="176"/>
      <c r="L2245" s="176"/>
      <c r="M2245" s="176"/>
      <c r="N2245" s="176"/>
      <c r="O2245" s="176"/>
      <c r="P2245" s="114"/>
      <c r="Q2245" s="176"/>
      <c r="R2245" s="114"/>
      <c r="S2245" s="114"/>
      <c r="T2245" s="200"/>
      <c r="U2245" s="114"/>
      <c r="V2245" s="414"/>
      <c r="W2245" s="176"/>
      <c r="X2245" s="176"/>
      <c r="Y2245" s="176"/>
      <c r="Z2245" s="176"/>
    </row>
    <row r="2246" ht="15.75" customHeight="1">
      <c r="A2246" s="408"/>
      <c r="B2246" s="428"/>
      <c r="C2246" s="200"/>
      <c r="D2246" s="176"/>
      <c r="E2246" s="176"/>
      <c r="F2246" s="408"/>
      <c r="G2246" s="176"/>
      <c r="H2246" s="114"/>
      <c r="I2246" s="42"/>
      <c r="J2246" s="42"/>
      <c r="K2246" s="176"/>
      <c r="L2246" s="176"/>
      <c r="M2246" s="176"/>
      <c r="N2246" s="176"/>
      <c r="O2246" s="176"/>
      <c r="P2246" s="114"/>
      <c r="Q2246" s="176"/>
      <c r="R2246" s="114"/>
      <c r="S2246" s="114"/>
      <c r="T2246" s="200"/>
      <c r="U2246" s="114"/>
      <c r="V2246" s="414"/>
      <c r="W2246" s="176"/>
      <c r="X2246" s="176"/>
      <c r="Y2246" s="176"/>
      <c r="Z2246" s="176"/>
    </row>
    <row r="2247" ht="15.75" customHeight="1">
      <c r="A2247" s="408"/>
      <c r="B2247" s="428"/>
      <c r="C2247" s="200"/>
      <c r="D2247" s="176"/>
      <c r="E2247" s="176"/>
      <c r="F2247" s="408"/>
      <c r="G2247" s="176"/>
      <c r="H2247" s="114"/>
      <c r="I2247" s="42"/>
      <c r="J2247" s="42"/>
      <c r="K2247" s="176"/>
      <c r="L2247" s="176"/>
      <c r="M2247" s="176"/>
      <c r="N2247" s="176"/>
      <c r="O2247" s="176"/>
      <c r="P2247" s="114"/>
      <c r="Q2247" s="176"/>
      <c r="R2247" s="114"/>
      <c r="S2247" s="114"/>
      <c r="T2247" s="200"/>
      <c r="U2247" s="114"/>
      <c r="V2247" s="414"/>
      <c r="W2247" s="176"/>
      <c r="X2247" s="176"/>
      <c r="Y2247" s="176"/>
      <c r="Z2247" s="176"/>
    </row>
    <row r="2248" ht="15.75" customHeight="1">
      <c r="A2248" s="408"/>
      <c r="B2248" s="428"/>
      <c r="C2248" s="200"/>
      <c r="D2248" s="176"/>
      <c r="E2248" s="176"/>
      <c r="F2248" s="408"/>
      <c r="G2248" s="176"/>
      <c r="H2248" s="114"/>
      <c r="I2248" s="42"/>
      <c r="J2248" s="42"/>
      <c r="K2248" s="176"/>
      <c r="L2248" s="176"/>
      <c r="M2248" s="176"/>
      <c r="N2248" s="176"/>
      <c r="O2248" s="176"/>
      <c r="P2248" s="114"/>
      <c r="Q2248" s="176"/>
      <c r="R2248" s="114"/>
      <c r="S2248" s="114"/>
      <c r="T2248" s="200"/>
      <c r="U2248" s="114"/>
      <c r="V2248" s="414"/>
      <c r="W2248" s="176"/>
      <c r="X2248" s="176"/>
      <c r="Y2248" s="176"/>
      <c r="Z2248" s="176"/>
    </row>
    <row r="2249" ht="15.75" customHeight="1">
      <c r="A2249" s="408"/>
      <c r="B2249" s="428"/>
      <c r="C2249" s="200"/>
      <c r="D2249" s="176"/>
      <c r="E2249" s="176"/>
      <c r="F2249" s="408"/>
      <c r="G2249" s="176"/>
      <c r="H2249" s="114"/>
      <c r="I2249" s="42"/>
      <c r="J2249" s="42"/>
      <c r="K2249" s="176"/>
      <c r="L2249" s="176"/>
      <c r="M2249" s="176"/>
      <c r="N2249" s="176"/>
      <c r="O2249" s="176"/>
      <c r="P2249" s="114"/>
      <c r="Q2249" s="176"/>
      <c r="R2249" s="114"/>
      <c r="S2249" s="114"/>
      <c r="T2249" s="200"/>
      <c r="U2249" s="114"/>
      <c r="V2249" s="414"/>
      <c r="W2249" s="176"/>
      <c r="X2249" s="176"/>
      <c r="Y2249" s="176"/>
      <c r="Z2249" s="176"/>
    </row>
    <row r="2250" ht="15.75" customHeight="1">
      <c r="A2250" s="408"/>
      <c r="B2250" s="428"/>
      <c r="C2250" s="200"/>
      <c r="D2250" s="176"/>
      <c r="E2250" s="176"/>
      <c r="F2250" s="408"/>
      <c r="G2250" s="176"/>
      <c r="H2250" s="114"/>
      <c r="I2250" s="42"/>
      <c r="J2250" s="42"/>
      <c r="K2250" s="176"/>
      <c r="L2250" s="176"/>
      <c r="M2250" s="176"/>
      <c r="N2250" s="176"/>
      <c r="O2250" s="176"/>
      <c r="P2250" s="114"/>
      <c r="Q2250" s="176"/>
      <c r="R2250" s="114"/>
      <c r="S2250" s="114"/>
      <c r="T2250" s="200"/>
      <c r="U2250" s="114"/>
      <c r="V2250" s="414"/>
      <c r="W2250" s="176"/>
      <c r="X2250" s="176"/>
      <c r="Y2250" s="176"/>
      <c r="Z2250" s="176"/>
    </row>
    <row r="2251" ht="15.75" customHeight="1">
      <c r="A2251" s="408"/>
      <c r="B2251" s="428"/>
      <c r="C2251" s="200"/>
      <c r="D2251" s="176"/>
      <c r="E2251" s="176"/>
      <c r="F2251" s="408"/>
      <c r="G2251" s="176"/>
      <c r="H2251" s="114"/>
      <c r="I2251" s="42"/>
      <c r="J2251" s="42"/>
      <c r="K2251" s="176"/>
      <c r="L2251" s="176"/>
      <c r="M2251" s="176"/>
      <c r="N2251" s="176"/>
      <c r="O2251" s="176"/>
      <c r="P2251" s="114"/>
      <c r="Q2251" s="176"/>
      <c r="R2251" s="114"/>
      <c r="S2251" s="114"/>
      <c r="T2251" s="200"/>
      <c r="U2251" s="114"/>
      <c r="V2251" s="414"/>
      <c r="W2251" s="176"/>
      <c r="X2251" s="176"/>
      <c r="Y2251" s="176"/>
      <c r="Z2251" s="176"/>
    </row>
    <row r="2252" ht="15.75" customHeight="1">
      <c r="A2252" s="408"/>
      <c r="B2252" s="428"/>
      <c r="C2252" s="200"/>
      <c r="D2252" s="176"/>
      <c r="E2252" s="176"/>
      <c r="F2252" s="408"/>
      <c r="G2252" s="176"/>
      <c r="H2252" s="114"/>
      <c r="I2252" s="42"/>
      <c r="J2252" s="42"/>
      <c r="K2252" s="176"/>
      <c r="L2252" s="176"/>
      <c r="M2252" s="176"/>
      <c r="N2252" s="176"/>
      <c r="O2252" s="176"/>
      <c r="P2252" s="114"/>
      <c r="Q2252" s="176"/>
      <c r="R2252" s="114"/>
      <c r="S2252" s="114"/>
      <c r="T2252" s="200"/>
      <c r="U2252" s="114"/>
      <c r="V2252" s="414"/>
      <c r="W2252" s="176"/>
      <c r="X2252" s="176"/>
      <c r="Y2252" s="176"/>
      <c r="Z2252" s="176"/>
    </row>
    <row r="2253" ht="15.75" customHeight="1">
      <c r="A2253" s="408"/>
      <c r="B2253" s="428"/>
      <c r="C2253" s="200"/>
      <c r="D2253" s="176"/>
      <c r="E2253" s="176"/>
      <c r="F2253" s="408"/>
      <c r="G2253" s="176"/>
      <c r="H2253" s="114"/>
      <c r="I2253" s="42"/>
      <c r="J2253" s="42"/>
      <c r="K2253" s="176"/>
      <c r="L2253" s="176"/>
      <c r="M2253" s="176"/>
      <c r="N2253" s="176"/>
      <c r="O2253" s="176"/>
      <c r="P2253" s="114"/>
      <c r="Q2253" s="176"/>
      <c r="R2253" s="114"/>
      <c r="S2253" s="114"/>
      <c r="T2253" s="200"/>
      <c r="U2253" s="114"/>
      <c r="V2253" s="414"/>
      <c r="W2253" s="176"/>
      <c r="X2253" s="176"/>
      <c r="Y2253" s="176"/>
      <c r="Z2253" s="176"/>
    </row>
    <row r="2254" ht="15.75" customHeight="1">
      <c r="A2254" s="408"/>
      <c r="B2254" s="428"/>
      <c r="C2254" s="200"/>
      <c r="D2254" s="176"/>
      <c r="E2254" s="176"/>
      <c r="F2254" s="408"/>
      <c r="G2254" s="176"/>
      <c r="H2254" s="114"/>
      <c r="I2254" s="42"/>
      <c r="J2254" s="42"/>
      <c r="K2254" s="176"/>
      <c r="L2254" s="176"/>
      <c r="M2254" s="176"/>
      <c r="N2254" s="176"/>
      <c r="O2254" s="176"/>
      <c r="P2254" s="114"/>
      <c r="Q2254" s="176"/>
      <c r="R2254" s="114"/>
      <c r="S2254" s="114"/>
      <c r="T2254" s="200"/>
      <c r="U2254" s="114"/>
      <c r="V2254" s="414"/>
      <c r="W2254" s="176"/>
      <c r="X2254" s="176"/>
      <c r="Y2254" s="176"/>
      <c r="Z2254" s="176"/>
    </row>
    <row r="2255" ht="15.75" customHeight="1">
      <c r="A2255" s="408"/>
      <c r="B2255" s="428"/>
      <c r="C2255" s="200"/>
      <c r="D2255" s="176"/>
      <c r="E2255" s="176"/>
      <c r="F2255" s="408"/>
      <c r="G2255" s="176"/>
      <c r="H2255" s="114"/>
      <c r="I2255" s="42"/>
      <c r="J2255" s="42"/>
      <c r="K2255" s="176"/>
      <c r="L2255" s="176"/>
      <c r="M2255" s="176"/>
      <c r="N2255" s="176"/>
      <c r="O2255" s="176"/>
      <c r="P2255" s="114"/>
      <c r="Q2255" s="176"/>
      <c r="R2255" s="114"/>
      <c r="S2255" s="114"/>
      <c r="T2255" s="200"/>
      <c r="U2255" s="114"/>
      <c r="V2255" s="414"/>
      <c r="W2255" s="176"/>
      <c r="X2255" s="176"/>
      <c r="Y2255" s="176"/>
      <c r="Z2255" s="176"/>
    </row>
    <row r="2256" ht="15.75" customHeight="1">
      <c r="A2256" s="408"/>
      <c r="B2256" s="428"/>
      <c r="C2256" s="200"/>
      <c r="D2256" s="176"/>
      <c r="E2256" s="176"/>
      <c r="F2256" s="408"/>
      <c r="G2256" s="176"/>
      <c r="H2256" s="114"/>
      <c r="I2256" s="42"/>
      <c r="J2256" s="42"/>
      <c r="K2256" s="176"/>
      <c r="L2256" s="176"/>
      <c r="M2256" s="176"/>
      <c r="N2256" s="176"/>
      <c r="O2256" s="176"/>
      <c r="P2256" s="114"/>
      <c r="Q2256" s="176"/>
      <c r="R2256" s="114"/>
      <c r="S2256" s="114"/>
      <c r="T2256" s="200"/>
      <c r="U2256" s="114"/>
      <c r="V2256" s="414"/>
      <c r="W2256" s="176"/>
      <c r="X2256" s="176"/>
      <c r="Y2256" s="176"/>
      <c r="Z2256" s="176"/>
    </row>
    <row r="2257" ht="15.75" customHeight="1">
      <c r="A2257" s="408"/>
      <c r="B2257" s="428"/>
      <c r="C2257" s="200"/>
      <c r="D2257" s="176"/>
      <c r="E2257" s="176"/>
      <c r="F2257" s="408"/>
      <c r="G2257" s="176"/>
      <c r="H2257" s="114"/>
      <c r="I2257" s="42"/>
      <c r="J2257" s="42"/>
      <c r="K2257" s="176"/>
      <c r="L2257" s="176"/>
      <c r="M2257" s="176"/>
      <c r="N2257" s="176"/>
      <c r="O2257" s="176"/>
      <c r="P2257" s="114"/>
      <c r="Q2257" s="176"/>
      <c r="R2257" s="114"/>
      <c r="S2257" s="114"/>
      <c r="T2257" s="200"/>
      <c r="U2257" s="114"/>
      <c r="V2257" s="414"/>
      <c r="W2257" s="176"/>
      <c r="X2257" s="176"/>
      <c r="Y2257" s="176"/>
      <c r="Z2257" s="176"/>
    </row>
    <row r="2258" ht="15.75" customHeight="1">
      <c r="A2258" s="408"/>
      <c r="B2258" s="428"/>
      <c r="C2258" s="200"/>
      <c r="D2258" s="176"/>
      <c r="E2258" s="176"/>
      <c r="F2258" s="408"/>
      <c r="G2258" s="176"/>
      <c r="H2258" s="114"/>
      <c r="I2258" s="42"/>
      <c r="J2258" s="42"/>
      <c r="K2258" s="176"/>
      <c r="L2258" s="176"/>
      <c r="M2258" s="176"/>
      <c r="N2258" s="176"/>
      <c r="O2258" s="176"/>
      <c r="P2258" s="114"/>
      <c r="Q2258" s="176"/>
      <c r="R2258" s="114"/>
      <c r="S2258" s="114"/>
      <c r="T2258" s="200"/>
      <c r="U2258" s="114"/>
      <c r="V2258" s="414"/>
      <c r="W2258" s="176"/>
      <c r="X2258" s="176"/>
      <c r="Y2258" s="176"/>
      <c r="Z2258" s="176"/>
    </row>
    <row r="2259" ht="15.75" customHeight="1">
      <c r="A2259" s="408"/>
      <c r="B2259" s="428"/>
      <c r="C2259" s="200"/>
      <c r="D2259" s="176"/>
      <c r="E2259" s="176"/>
      <c r="F2259" s="408"/>
      <c r="G2259" s="176"/>
      <c r="H2259" s="114"/>
      <c r="I2259" s="42"/>
      <c r="J2259" s="42"/>
      <c r="K2259" s="176"/>
      <c r="L2259" s="176"/>
      <c r="M2259" s="176"/>
      <c r="N2259" s="176"/>
      <c r="O2259" s="176"/>
      <c r="P2259" s="114"/>
      <c r="Q2259" s="176"/>
      <c r="R2259" s="114"/>
      <c r="S2259" s="114"/>
      <c r="T2259" s="200"/>
      <c r="U2259" s="114"/>
      <c r="V2259" s="414"/>
      <c r="W2259" s="176"/>
      <c r="X2259" s="176"/>
      <c r="Y2259" s="176"/>
      <c r="Z2259" s="176"/>
    </row>
    <row r="2260" ht="15.75" customHeight="1">
      <c r="A2260" s="408"/>
      <c r="B2260" s="428"/>
      <c r="C2260" s="200"/>
      <c r="D2260" s="176"/>
      <c r="E2260" s="176"/>
      <c r="F2260" s="408"/>
      <c r="G2260" s="176"/>
      <c r="H2260" s="114"/>
      <c r="I2260" s="42"/>
      <c r="J2260" s="42"/>
      <c r="K2260" s="176"/>
      <c r="L2260" s="176"/>
      <c r="M2260" s="176"/>
      <c r="N2260" s="176"/>
      <c r="O2260" s="176"/>
      <c r="P2260" s="114"/>
      <c r="Q2260" s="176"/>
      <c r="R2260" s="114"/>
      <c r="S2260" s="114"/>
      <c r="T2260" s="200"/>
      <c r="U2260" s="114"/>
      <c r="V2260" s="414"/>
      <c r="W2260" s="176"/>
      <c r="X2260" s="176"/>
      <c r="Y2260" s="176"/>
      <c r="Z2260" s="176"/>
    </row>
    <row r="2261" ht="15.75" customHeight="1">
      <c r="A2261" s="408"/>
      <c r="B2261" s="428"/>
      <c r="C2261" s="200"/>
      <c r="D2261" s="176"/>
      <c r="E2261" s="176"/>
      <c r="F2261" s="408"/>
      <c r="G2261" s="176"/>
      <c r="H2261" s="114"/>
      <c r="I2261" s="42"/>
      <c r="J2261" s="42"/>
      <c r="K2261" s="176"/>
      <c r="L2261" s="176"/>
      <c r="M2261" s="176"/>
      <c r="N2261" s="176"/>
      <c r="O2261" s="176"/>
      <c r="P2261" s="114"/>
      <c r="Q2261" s="176"/>
      <c r="R2261" s="114"/>
      <c r="S2261" s="114"/>
      <c r="T2261" s="200"/>
      <c r="U2261" s="114"/>
      <c r="V2261" s="414"/>
      <c r="W2261" s="176"/>
      <c r="X2261" s="176"/>
      <c r="Y2261" s="176"/>
      <c r="Z2261" s="176"/>
    </row>
    <row r="2262" ht="15.75" customHeight="1">
      <c r="A2262" s="408"/>
      <c r="B2262" s="428"/>
      <c r="C2262" s="200"/>
      <c r="D2262" s="176"/>
      <c r="E2262" s="176"/>
      <c r="F2262" s="408"/>
      <c r="G2262" s="176"/>
      <c r="H2262" s="114"/>
      <c r="I2262" s="42"/>
      <c r="J2262" s="42"/>
      <c r="K2262" s="176"/>
      <c r="L2262" s="176"/>
      <c r="M2262" s="176"/>
      <c r="N2262" s="176"/>
      <c r="O2262" s="176"/>
      <c r="P2262" s="114"/>
      <c r="Q2262" s="176"/>
      <c r="R2262" s="114"/>
      <c r="S2262" s="114"/>
      <c r="T2262" s="200"/>
      <c r="U2262" s="114"/>
      <c r="V2262" s="414"/>
      <c r="W2262" s="176"/>
      <c r="X2262" s="176"/>
      <c r="Y2262" s="176"/>
      <c r="Z2262" s="176"/>
    </row>
    <row r="2263" ht="15.75" customHeight="1">
      <c r="A2263" s="408"/>
      <c r="B2263" s="428"/>
      <c r="C2263" s="200"/>
      <c r="D2263" s="176"/>
      <c r="E2263" s="176"/>
      <c r="F2263" s="408"/>
      <c r="G2263" s="176"/>
      <c r="H2263" s="114"/>
      <c r="I2263" s="42"/>
      <c r="J2263" s="42"/>
      <c r="K2263" s="176"/>
      <c r="L2263" s="176"/>
      <c r="M2263" s="176"/>
      <c r="N2263" s="176"/>
      <c r="O2263" s="176"/>
      <c r="P2263" s="114"/>
      <c r="Q2263" s="176"/>
      <c r="R2263" s="114"/>
      <c r="S2263" s="114"/>
      <c r="T2263" s="200"/>
      <c r="U2263" s="114"/>
      <c r="V2263" s="414"/>
      <c r="W2263" s="176"/>
      <c r="X2263" s="176"/>
      <c r="Y2263" s="176"/>
      <c r="Z2263" s="176"/>
    </row>
    <row r="2264" ht="15.75" customHeight="1">
      <c r="A2264" s="408"/>
      <c r="B2264" s="428"/>
      <c r="C2264" s="200"/>
      <c r="D2264" s="176"/>
      <c r="E2264" s="176"/>
      <c r="F2264" s="408"/>
      <c r="G2264" s="176"/>
      <c r="H2264" s="114"/>
      <c r="I2264" s="42"/>
      <c r="J2264" s="42"/>
      <c r="K2264" s="176"/>
      <c r="L2264" s="176"/>
      <c r="M2264" s="176"/>
      <c r="N2264" s="176"/>
      <c r="O2264" s="176"/>
      <c r="P2264" s="114"/>
      <c r="Q2264" s="176"/>
      <c r="R2264" s="114"/>
      <c r="S2264" s="114"/>
      <c r="T2264" s="200"/>
      <c r="U2264" s="114"/>
      <c r="V2264" s="414"/>
      <c r="W2264" s="176"/>
      <c r="X2264" s="176"/>
      <c r="Y2264" s="176"/>
      <c r="Z2264" s="176"/>
    </row>
    <row r="2265" ht="15.75" customHeight="1">
      <c r="A2265" s="408"/>
      <c r="B2265" s="428"/>
      <c r="C2265" s="200"/>
      <c r="D2265" s="176"/>
      <c r="E2265" s="176"/>
      <c r="F2265" s="408"/>
      <c r="G2265" s="176"/>
      <c r="H2265" s="114"/>
      <c r="I2265" s="42"/>
      <c r="J2265" s="42"/>
      <c r="K2265" s="176"/>
      <c r="L2265" s="176"/>
      <c r="M2265" s="176"/>
      <c r="N2265" s="176"/>
      <c r="O2265" s="176"/>
      <c r="P2265" s="114"/>
      <c r="Q2265" s="176"/>
      <c r="R2265" s="114"/>
      <c r="S2265" s="114"/>
      <c r="T2265" s="200"/>
      <c r="U2265" s="114"/>
      <c r="V2265" s="414"/>
      <c r="W2265" s="176"/>
      <c r="X2265" s="176"/>
      <c r="Y2265" s="176"/>
      <c r="Z2265" s="176"/>
    </row>
    <row r="2266" ht="15.75" customHeight="1">
      <c r="A2266" s="408"/>
      <c r="B2266" s="428"/>
      <c r="C2266" s="200"/>
      <c r="D2266" s="176"/>
      <c r="E2266" s="176"/>
      <c r="F2266" s="408"/>
      <c r="G2266" s="176"/>
      <c r="H2266" s="114"/>
      <c r="I2266" s="42"/>
      <c r="J2266" s="42"/>
      <c r="K2266" s="176"/>
      <c r="L2266" s="176"/>
      <c r="M2266" s="176"/>
      <c r="N2266" s="176"/>
      <c r="O2266" s="176"/>
      <c r="P2266" s="114"/>
      <c r="Q2266" s="176"/>
      <c r="R2266" s="114"/>
      <c r="S2266" s="114"/>
      <c r="T2266" s="200"/>
      <c r="U2266" s="114"/>
      <c r="V2266" s="414"/>
      <c r="W2266" s="176"/>
      <c r="X2266" s="176"/>
      <c r="Y2266" s="176"/>
      <c r="Z2266" s="176"/>
    </row>
    <row r="2267" ht="15.75" customHeight="1">
      <c r="A2267" s="408"/>
      <c r="B2267" s="428"/>
      <c r="C2267" s="200"/>
      <c r="D2267" s="176"/>
      <c r="E2267" s="176"/>
      <c r="F2267" s="408"/>
      <c r="G2267" s="176"/>
      <c r="H2267" s="114"/>
      <c r="I2267" s="42"/>
      <c r="J2267" s="42"/>
      <c r="K2267" s="176"/>
      <c r="L2267" s="176"/>
      <c r="M2267" s="176"/>
      <c r="N2267" s="176"/>
      <c r="O2267" s="176"/>
      <c r="P2267" s="114"/>
      <c r="Q2267" s="176"/>
      <c r="R2267" s="114"/>
      <c r="S2267" s="114"/>
      <c r="T2267" s="200"/>
      <c r="U2267" s="114"/>
      <c r="V2267" s="414"/>
      <c r="W2267" s="176"/>
      <c r="X2267" s="176"/>
      <c r="Y2267" s="176"/>
      <c r="Z2267" s="176"/>
    </row>
    <row r="2268" ht="15.75" customHeight="1">
      <c r="A2268" s="408"/>
      <c r="B2268" s="428"/>
      <c r="C2268" s="200"/>
      <c r="D2268" s="176"/>
      <c r="E2268" s="176"/>
      <c r="F2268" s="408"/>
      <c r="G2268" s="176"/>
      <c r="H2268" s="114"/>
      <c r="I2268" s="42"/>
      <c r="J2268" s="42"/>
      <c r="K2268" s="176"/>
      <c r="L2268" s="176"/>
      <c r="M2268" s="176"/>
      <c r="N2268" s="176"/>
      <c r="O2268" s="176"/>
      <c r="P2268" s="114"/>
      <c r="Q2268" s="176"/>
      <c r="R2268" s="114"/>
      <c r="S2268" s="114"/>
      <c r="T2268" s="200"/>
      <c r="U2268" s="114"/>
      <c r="V2268" s="414"/>
      <c r="W2268" s="176"/>
      <c r="X2268" s="176"/>
      <c r="Y2268" s="176"/>
      <c r="Z2268" s="176"/>
    </row>
    <row r="2269" ht="15.75" customHeight="1">
      <c r="A2269" s="408"/>
      <c r="B2269" s="428"/>
      <c r="C2269" s="200"/>
      <c r="D2269" s="176"/>
      <c r="E2269" s="176"/>
      <c r="F2269" s="408"/>
      <c r="G2269" s="176"/>
      <c r="H2269" s="114"/>
      <c r="I2269" s="42"/>
      <c r="J2269" s="42"/>
      <c r="K2269" s="176"/>
      <c r="L2269" s="176"/>
      <c r="M2269" s="176"/>
      <c r="N2269" s="176"/>
      <c r="O2269" s="176"/>
      <c r="P2269" s="114"/>
      <c r="Q2269" s="176"/>
      <c r="R2269" s="114"/>
      <c r="S2269" s="114"/>
      <c r="T2269" s="200"/>
      <c r="U2269" s="114"/>
      <c r="V2269" s="414"/>
      <c r="W2269" s="176"/>
      <c r="X2269" s="176"/>
      <c r="Y2269" s="176"/>
      <c r="Z2269" s="176"/>
    </row>
    <row r="2270" ht="15.75" customHeight="1">
      <c r="A2270" s="408"/>
      <c r="B2270" s="428"/>
      <c r="C2270" s="200"/>
      <c r="D2270" s="176"/>
      <c r="E2270" s="176"/>
      <c r="F2270" s="408"/>
      <c r="G2270" s="176"/>
      <c r="H2270" s="114"/>
      <c r="I2270" s="42"/>
      <c r="J2270" s="42"/>
      <c r="K2270" s="176"/>
      <c r="L2270" s="176"/>
      <c r="M2270" s="176"/>
      <c r="N2270" s="176"/>
      <c r="O2270" s="176"/>
      <c r="P2270" s="114"/>
      <c r="Q2270" s="176"/>
      <c r="R2270" s="114"/>
      <c r="S2270" s="114"/>
      <c r="T2270" s="200"/>
      <c r="U2270" s="114"/>
      <c r="V2270" s="414"/>
      <c r="W2270" s="176"/>
      <c r="X2270" s="176"/>
      <c r="Y2270" s="176"/>
      <c r="Z2270" s="176"/>
    </row>
    <row r="2271" ht="15.75" customHeight="1">
      <c r="A2271" s="408"/>
      <c r="B2271" s="428"/>
      <c r="C2271" s="200"/>
      <c r="D2271" s="176"/>
      <c r="E2271" s="176"/>
      <c r="F2271" s="408"/>
      <c r="G2271" s="176"/>
      <c r="H2271" s="114"/>
      <c r="I2271" s="42"/>
      <c r="J2271" s="42"/>
      <c r="K2271" s="176"/>
      <c r="L2271" s="176"/>
      <c r="M2271" s="176"/>
      <c r="N2271" s="176"/>
      <c r="O2271" s="176"/>
      <c r="P2271" s="114"/>
      <c r="Q2271" s="176"/>
      <c r="R2271" s="114"/>
      <c r="S2271" s="114"/>
      <c r="T2271" s="200"/>
      <c r="U2271" s="114"/>
      <c r="V2271" s="414"/>
      <c r="W2271" s="176"/>
      <c r="X2271" s="176"/>
      <c r="Y2271" s="176"/>
      <c r="Z2271" s="176"/>
    </row>
    <row r="2272" ht="15.75" customHeight="1">
      <c r="A2272" s="408"/>
      <c r="B2272" s="428"/>
      <c r="C2272" s="200"/>
      <c r="D2272" s="176"/>
      <c r="E2272" s="176"/>
      <c r="F2272" s="408"/>
      <c r="G2272" s="176"/>
      <c r="H2272" s="114"/>
      <c r="I2272" s="42"/>
      <c r="J2272" s="42"/>
      <c r="K2272" s="176"/>
      <c r="L2272" s="176"/>
      <c r="M2272" s="176"/>
      <c r="N2272" s="176"/>
      <c r="O2272" s="176"/>
      <c r="P2272" s="114"/>
      <c r="Q2272" s="176"/>
      <c r="R2272" s="114"/>
      <c r="S2272" s="114"/>
      <c r="T2272" s="200"/>
      <c r="U2272" s="114"/>
      <c r="V2272" s="414"/>
      <c r="W2272" s="176"/>
      <c r="X2272" s="176"/>
      <c r="Y2272" s="176"/>
      <c r="Z2272" s="176"/>
    </row>
    <row r="2273" ht="15.75" customHeight="1">
      <c r="A2273" s="408"/>
      <c r="B2273" s="428"/>
      <c r="C2273" s="200"/>
      <c r="D2273" s="176"/>
      <c r="E2273" s="176"/>
      <c r="F2273" s="408"/>
      <c r="G2273" s="176"/>
      <c r="H2273" s="114"/>
      <c r="I2273" s="42"/>
      <c r="J2273" s="42"/>
      <c r="K2273" s="176"/>
      <c r="L2273" s="176"/>
      <c r="M2273" s="176"/>
      <c r="N2273" s="176"/>
      <c r="O2273" s="176"/>
      <c r="P2273" s="114"/>
      <c r="Q2273" s="176"/>
      <c r="R2273" s="114"/>
      <c r="S2273" s="114"/>
      <c r="T2273" s="200"/>
      <c r="U2273" s="114"/>
      <c r="V2273" s="414"/>
      <c r="W2273" s="176"/>
      <c r="X2273" s="176"/>
      <c r="Y2273" s="176"/>
      <c r="Z2273" s="176"/>
    </row>
    <row r="2274" ht="15.75" customHeight="1">
      <c r="A2274" s="408"/>
      <c r="B2274" s="428"/>
      <c r="C2274" s="200"/>
      <c r="D2274" s="176"/>
      <c r="E2274" s="176"/>
      <c r="F2274" s="408"/>
      <c r="G2274" s="176"/>
      <c r="H2274" s="114"/>
      <c r="I2274" s="42"/>
      <c r="J2274" s="42"/>
      <c r="K2274" s="176"/>
      <c r="L2274" s="176"/>
      <c r="M2274" s="176"/>
      <c r="N2274" s="176"/>
      <c r="O2274" s="176"/>
      <c r="P2274" s="114"/>
      <c r="Q2274" s="176"/>
      <c r="R2274" s="114"/>
      <c r="S2274" s="114"/>
      <c r="T2274" s="200"/>
      <c r="U2274" s="114"/>
      <c r="V2274" s="414"/>
      <c r="W2274" s="176"/>
      <c r="X2274" s="176"/>
      <c r="Y2274" s="176"/>
      <c r="Z2274" s="176"/>
    </row>
    <row r="2275" ht="15.75" customHeight="1">
      <c r="A2275" s="408"/>
      <c r="B2275" s="428"/>
      <c r="C2275" s="200"/>
      <c r="D2275" s="176"/>
      <c r="E2275" s="176"/>
      <c r="F2275" s="408"/>
      <c r="G2275" s="176"/>
      <c r="H2275" s="114"/>
      <c r="I2275" s="42"/>
      <c r="J2275" s="42"/>
      <c r="K2275" s="176"/>
      <c r="L2275" s="176"/>
      <c r="M2275" s="176"/>
      <c r="N2275" s="176"/>
      <c r="O2275" s="176"/>
      <c r="P2275" s="114"/>
      <c r="Q2275" s="176"/>
      <c r="R2275" s="114"/>
      <c r="S2275" s="114"/>
      <c r="T2275" s="200"/>
      <c r="U2275" s="114"/>
      <c r="V2275" s="414"/>
      <c r="W2275" s="176"/>
      <c r="X2275" s="176"/>
      <c r="Y2275" s="176"/>
      <c r="Z2275" s="176"/>
    </row>
    <row r="2276" ht="15.75" customHeight="1">
      <c r="A2276" s="408"/>
      <c r="B2276" s="428"/>
      <c r="C2276" s="200"/>
      <c r="D2276" s="176"/>
      <c r="E2276" s="176"/>
      <c r="F2276" s="408"/>
      <c r="G2276" s="176"/>
      <c r="H2276" s="114"/>
      <c r="I2276" s="42"/>
      <c r="J2276" s="42"/>
      <c r="K2276" s="176"/>
      <c r="L2276" s="176"/>
      <c r="M2276" s="176"/>
      <c r="N2276" s="176"/>
      <c r="O2276" s="176"/>
      <c r="P2276" s="114"/>
      <c r="Q2276" s="176"/>
      <c r="R2276" s="114"/>
      <c r="S2276" s="114"/>
      <c r="T2276" s="200"/>
      <c r="U2276" s="114"/>
      <c r="V2276" s="414"/>
      <c r="W2276" s="176"/>
      <c r="X2276" s="176"/>
      <c r="Y2276" s="176"/>
      <c r="Z2276" s="176"/>
    </row>
    <row r="2277" ht="15.75" customHeight="1">
      <c r="A2277" s="408"/>
      <c r="B2277" s="428"/>
      <c r="C2277" s="200"/>
      <c r="D2277" s="176"/>
      <c r="E2277" s="176"/>
      <c r="F2277" s="408"/>
      <c r="G2277" s="176"/>
      <c r="H2277" s="114"/>
      <c r="I2277" s="42"/>
      <c r="J2277" s="42"/>
      <c r="K2277" s="176"/>
      <c r="L2277" s="176"/>
      <c r="M2277" s="176"/>
      <c r="N2277" s="176"/>
      <c r="O2277" s="176"/>
      <c r="P2277" s="114"/>
      <c r="Q2277" s="176"/>
      <c r="R2277" s="114"/>
      <c r="S2277" s="114"/>
      <c r="T2277" s="200"/>
      <c r="U2277" s="114"/>
      <c r="V2277" s="414"/>
      <c r="W2277" s="176"/>
      <c r="X2277" s="176"/>
      <c r="Y2277" s="176"/>
      <c r="Z2277" s="176"/>
    </row>
    <row r="2278" ht="15.75" customHeight="1">
      <c r="A2278" s="408"/>
      <c r="B2278" s="428"/>
      <c r="C2278" s="200"/>
      <c r="D2278" s="176"/>
      <c r="E2278" s="176"/>
      <c r="F2278" s="408"/>
      <c r="G2278" s="176"/>
      <c r="H2278" s="114"/>
      <c r="I2278" s="42"/>
      <c r="J2278" s="42"/>
      <c r="K2278" s="176"/>
      <c r="L2278" s="176"/>
      <c r="M2278" s="176"/>
      <c r="N2278" s="176"/>
      <c r="O2278" s="176"/>
      <c r="P2278" s="114"/>
      <c r="Q2278" s="176"/>
      <c r="R2278" s="114"/>
      <c r="S2278" s="114"/>
      <c r="T2278" s="200"/>
      <c r="U2278" s="114"/>
      <c r="V2278" s="414"/>
      <c r="W2278" s="176"/>
      <c r="X2278" s="176"/>
      <c r="Y2278" s="176"/>
      <c r="Z2278" s="176"/>
    </row>
    <row r="2279" ht="15.75" customHeight="1">
      <c r="A2279" s="408"/>
      <c r="B2279" s="428"/>
      <c r="C2279" s="200"/>
      <c r="D2279" s="176"/>
      <c r="E2279" s="176"/>
      <c r="F2279" s="408"/>
      <c r="G2279" s="176"/>
      <c r="H2279" s="114"/>
      <c r="I2279" s="42"/>
      <c r="J2279" s="42"/>
      <c r="K2279" s="176"/>
      <c r="L2279" s="176"/>
      <c r="M2279" s="176"/>
      <c r="N2279" s="176"/>
      <c r="O2279" s="176"/>
      <c r="P2279" s="114"/>
      <c r="Q2279" s="176"/>
      <c r="R2279" s="114"/>
      <c r="S2279" s="114"/>
      <c r="T2279" s="200"/>
      <c r="U2279" s="114"/>
      <c r="V2279" s="414"/>
      <c r="W2279" s="176"/>
      <c r="X2279" s="176"/>
      <c r="Y2279" s="176"/>
      <c r="Z2279" s="176"/>
    </row>
    <row r="2280" ht="15.75" customHeight="1">
      <c r="A2280" s="408"/>
      <c r="B2280" s="428"/>
      <c r="C2280" s="200"/>
      <c r="D2280" s="176"/>
      <c r="E2280" s="176"/>
      <c r="F2280" s="408"/>
      <c r="G2280" s="176"/>
      <c r="H2280" s="114"/>
      <c r="I2280" s="42"/>
      <c r="J2280" s="42"/>
      <c r="K2280" s="176"/>
      <c r="L2280" s="176"/>
      <c r="M2280" s="176"/>
      <c r="N2280" s="176"/>
      <c r="O2280" s="176"/>
      <c r="P2280" s="114"/>
      <c r="Q2280" s="176"/>
      <c r="R2280" s="114"/>
      <c r="S2280" s="114"/>
      <c r="T2280" s="200"/>
      <c r="U2280" s="114"/>
      <c r="V2280" s="414"/>
      <c r="W2280" s="176"/>
      <c r="X2280" s="176"/>
      <c r="Y2280" s="176"/>
      <c r="Z2280" s="176"/>
    </row>
    <row r="2281" ht="15.75" customHeight="1">
      <c r="A2281" s="408"/>
      <c r="B2281" s="428"/>
      <c r="C2281" s="200"/>
      <c r="D2281" s="176"/>
      <c r="E2281" s="176"/>
      <c r="F2281" s="408"/>
      <c r="G2281" s="176"/>
      <c r="H2281" s="114"/>
      <c r="I2281" s="42"/>
      <c r="J2281" s="42"/>
      <c r="K2281" s="176"/>
      <c r="L2281" s="176"/>
      <c r="M2281" s="176"/>
      <c r="N2281" s="176"/>
      <c r="O2281" s="176"/>
      <c r="P2281" s="114"/>
      <c r="Q2281" s="176"/>
      <c r="R2281" s="114"/>
      <c r="S2281" s="114"/>
      <c r="T2281" s="200"/>
      <c r="U2281" s="114"/>
      <c r="V2281" s="414"/>
      <c r="W2281" s="176"/>
      <c r="X2281" s="176"/>
      <c r="Y2281" s="176"/>
      <c r="Z2281" s="176"/>
    </row>
    <row r="2282" ht="15.75" customHeight="1">
      <c r="A2282" s="408"/>
      <c r="B2282" s="428"/>
      <c r="C2282" s="200"/>
      <c r="D2282" s="176"/>
      <c r="E2282" s="176"/>
      <c r="F2282" s="408"/>
      <c r="G2282" s="176"/>
      <c r="H2282" s="114"/>
      <c r="I2282" s="42"/>
      <c r="J2282" s="42"/>
      <c r="K2282" s="176"/>
      <c r="L2282" s="176"/>
      <c r="M2282" s="176"/>
      <c r="N2282" s="176"/>
      <c r="O2282" s="176"/>
      <c r="P2282" s="114"/>
      <c r="Q2282" s="176"/>
      <c r="R2282" s="114"/>
      <c r="S2282" s="114"/>
      <c r="T2282" s="200"/>
      <c r="U2282" s="114"/>
      <c r="V2282" s="414"/>
      <c r="W2282" s="176"/>
      <c r="X2282" s="176"/>
      <c r="Y2282" s="176"/>
      <c r="Z2282" s="176"/>
    </row>
    <row r="2283" ht="15.75" customHeight="1">
      <c r="A2283" s="408"/>
      <c r="B2283" s="428"/>
      <c r="C2283" s="200"/>
      <c r="D2283" s="176"/>
      <c r="E2283" s="176"/>
      <c r="F2283" s="408"/>
      <c r="G2283" s="176"/>
      <c r="H2283" s="114"/>
      <c r="I2283" s="42"/>
      <c r="J2283" s="42"/>
      <c r="K2283" s="176"/>
      <c r="L2283" s="176"/>
      <c r="M2283" s="176"/>
      <c r="N2283" s="176"/>
      <c r="O2283" s="176"/>
      <c r="P2283" s="114"/>
      <c r="Q2283" s="176"/>
      <c r="R2283" s="114"/>
      <c r="S2283" s="114"/>
      <c r="T2283" s="200"/>
      <c r="U2283" s="114"/>
      <c r="V2283" s="414"/>
      <c r="W2283" s="176"/>
      <c r="X2283" s="176"/>
      <c r="Y2283" s="176"/>
      <c r="Z2283" s="176"/>
    </row>
    <row r="2284" ht="15.75" customHeight="1">
      <c r="A2284" s="408"/>
      <c r="B2284" s="428"/>
      <c r="C2284" s="200"/>
      <c r="D2284" s="176"/>
      <c r="E2284" s="176"/>
      <c r="F2284" s="408"/>
      <c r="G2284" s="176"/>
      <c r="H2284" s="114"/>
      <c r="I2284" s="42"/>
      <c r="J2284" s="42"/>
      <c r="K2284" s="176"/>
      <c r="L2284" s="176"/>
      <c r="M2284" s="176"/>
      <c r="N2284" s="176"/>
      <c r="O2284" s="176"/>
      <c r="P2284" s="114"/>
      <c r="Q2284" s="176"/>
      <c r="R2284" s="114"/>
      <c r="S2284" s="114"/>
      <c r="T2284" s="200"/>
      <c r="U2284" s="114"/>
      <c r="V2284" s="414"/>
      <c r="W2284" s="176"/>
      <c r="X2284" s="176"/>
      <c r="Y2284" s="176"/>
      <c r="Z2284" s="176"/>
    </row>
    <row r="2285" ht="15.75" customHeight="1">
      <c r="A2285" s="408"/>
      <c r="B2285" s="428"/>
      <c r="C2285" s="200"/>
      <c r="D2285" s="176"/>
      <c r="E2285" s="176"/>
      <c r="F2285" s="408"/>
      <c r="G2285" s="176"/>
      <c r="H2285" s="114"/>
      <c r="I2285" s="42"/>
      <c r="J2285" s="42"/>
      <c r="K2285" s="176"/>
      <c r="L2285" s="176"/>
      <c r="M2285" s="176"/>
      <c r="N2285" s="176"/>
      <c r="O2285" s="176"/>
      <c r="P2285" s="114"/>
      <c r="Q2285" s="176"/>
      <c r="R2285" s="114"/>
      <c r="S2285" s="114"/>
      <c r="T2285" s="200"/>
      <c r="U2285" s="114"/>
      <c r="V2285" s="414"/>
      <c r="W2285" s="176"/>
      <c r="X2285" s="176"/>
      <c r="Y2285" s="176"/>
      <c r="Z2285" s="176"/>
    </row>
    <row r="2286" ht="15.75" customHeight="1">
      <c r="A2286" s="408"/>
      <c r="B2286" s="428"/>
      <c r="C2286" s="200"/>
      <c r="D2286" s="176"/>
      <c r="E2286" s="176"/>
      <c r="F2286" s="408"/>
      <c r="G2286" s="176"/>
      <c r="H2286" s="114"/>
      <c r="I2286" s="42"/>
      <c r="J2286" s="42"/>
      <c r="K2286" s="176"/>
      <c r="L2286" s="176"/>
      <c r="M2286" s="176"/>
      <c r="N2286" s="176"/>
      <c r="O2286" s="176"/>
      <c r="P2286" s="114"/>
      <c r="Q2286" s="176"/>
      <c r="R2286" s="114"/>
      <c r="S2286" s="114"/>
      <c r="T2286" s="200"/>
      <c r="U2286" s="114"/>
      <c r="V2286" s="414"/>
      <c r="W2286" s="176"/>
      <c r="X2286" s="176"/>
      <c r="Y2286" s="176"/>
      <c r="Z2286" s="176"/>
    </row>
    <row r="2287" ht="15.75" customHeight="1">
      <c r="A2287" s="408"/>
      <c r="B2287" s="428"/>
      <c r="C2287" s="200"/>
      <c r="D2287" s="176"/>
      <c r="E2287" s="176"/>
      <c r="F2287" s="408"/>
      <c r="G2287" s="176"/>
      <c r="H2287" s="114"/>
      <c r="I2287" s="42"/>
      <c r="J2287" s="42"/>
      <c r="K2287" s="176"/>
      <c r="L2287" s="176"/>
      <c r="M2287" s="176"/>
      <c r="N2287" s="176"/>
      <c r="O2287" s="176"/>
      <c r="P2287" s="114"/>
      <c r="Q2287" s="176"/>
      <c r="R2287" s="114"/>
      <c r="S2287" s="114"/>
      <c r="T2287" s="200"/>
      <c r="U2287" s="114"/>
      <c r="V2287" s="414"/>
      <c r="W2287" s="176"/>
      <c r="X2287" s="176"/>
      <c r="Y2287" s="176"/>
      <c r="Z2287" s="176"/>
    </row>
    <row r="2288" ht="15.75" customHeight="1">
      <c r="A2288" s="408"/>
      <c r="B2288" s="428"/>
      <c r="C2288" s="200"/>
      <c r="D2288" s="176"/>
      <c r="E2288" s="176"/>
      <c r="F2288" s="408"/>
      <c r="G2288" s="176"/>
      <c r="H2288" s="114"/>
      <c r="I2288" s="42"/>
      <c r="J2288" s="42"/>
      <c r="K2288" s="176"/>
      <c r="L2288" s="176"/>
      <c r="M2288" s="176"/>
      <c r="N2288" s="176"/>
      <c r="O2288" s="176"/>
      <c r="P2288" s="114"/>
      <c r="Q2288" s="176"/>
      <c r="R2288" s="114"/>
      <c r="S2288" s="114"/>
      <c r="T2288" s="200"/>
      <c r="U2288" s="114"/>
      <c r="V2288" s="414"/>
      <c r="W2288" s="176"/>
      <c r="X2288" s="176"/>
      <c r="Y2288" s="176"/>
      <c r="Z2288" s="176"/>
    </row>
    <row r="2289" ht="15.75" customHeight="1">
      <c r="A2289" s="408"/>
      <c r="B2289" s="428"/>
      <c r="C2289" s="200"/>
      <c r="D2289" s="176"/>
      <c r="E2289" s="176"/>
      <c r="F2289" s="408"/>
      <c r="G2289" s="176"/>
      <c r="H2289" s="114"/>
      <c r="I2289" s="42"/>
      <c r="J2289" s="42"/>
      <c r="K2289" s="176"/>
      <c r="L2289" s="176"/>
      <c r="M2289" s="176"/>
      <c r="N2289" s="176"/>
      <c r="O2289" s="176"/>
      <c r="P2289" s="114"/>
      <c r="Q2289" s="176"/>
      <c r="R2289" s="114"/>
      <c r="S2289" s="114"/>
      <c r="T2289" s="200"/>
      <c r="U2289" s="114"/>
      <c r="V2289" s="414"/>
      <c r="W2289" s="176"/>
      <c r="X2289" s="176"/>
      <c r="Y2289" s="176"/>
      <c r="Z2289" s="176"/>
    </row>
    <row r="2290" ht="15.75" customHeight="1">
      <c r="A2290" s="408"/>
      <c r="B2290" s="428"/>
      <c r="C2290" s="200"/>
      <c r="D2290" s="176"/>
      <c r="E2290" s="176"/>
      <c r="F2290" s="408"/>
      <c r="G2290" s="176"/>
      <c r="H2290" s="114"/>
      <c r="I2290" s="42"/>
      <c r="J2290" s="42"/>
      <c r="K2290" s="176"/>
      <c r="L2290" s="176"/>
      <c r="M2290" s="176"/>
      <c r="N2290" s="176"/>
      <c r="O2290" s="176"/>
      <c r="P2290" s="114"/>
      <c r="Q2290" s="176"/>
      <c r="R2290" s="114"/>
      <c r="S2290" s="114"/>
      <c r="T2290" s="200"/>
      <c r="U2290" s="114"/>
      <c r="V2290" s="414"/>
      <c r="W2290" s="176"/>
      <c r="X2290" s="176"/>
      <c r="Y2290" s="176"/>
      <c r="Z2290" s="176"/>
    </row>
    <row r="2291" ht="15.75" customHeight="1">
      <c r="A2291" s="408"/>
      <c r="B2291" s="428"/>
      <c r="C2291" s="200"/>
      <c r="D2291" s="176"/>
      <c r="E2291" s="176"/>
      <c r="F2291" s="408"/>
      <c r="G2291" s="176"/>
      <c r="H2291" s="114"/>
      <c r="I2291" s="42"/>
      <c r="J2291" s="42"/>
      <c r="K2291" s="176"/>
      <c r="L2291" s="176"/>
      <c r="M2291" s="176"/>
      <c r="N2291" s="176"/>
      <c r="O2291" s="176"/>
      <c r="P2291" s="114"/>
      <c r="Q2291" s="176"/>
      <c r="R2291" s="114"/>
      <c r="S2291" s="114"/>
      <c r="T2291" s="200"/>
      <c r="U2291" s="114"/>
      <c r="V2291" s="414"/>
      <c r="W2291" s="176"/>
      <c r="X2291" s="176"/>
      <c r="Y2291" s="176"/>
      <c r="Z2291" s="176"/>
    </row>
    <row r="2292" ht="15.75" customHeight="1">
      <c r="A2292" s="408"/>
      <c r="B2292" s="428"/>
      <c r="C2292" s="200"/>
      <c r="D2292" s="176"/>
      <c r="E2292" s="176"/>
      <c r="F2292" s="408"/>
      <c r="G2292" s="176"/>
      <c r="H2292" s="114"/>
      <c r="I2292" s="42"/>
      <c r="J2292" s="42"/>
      <c r="K2292" s="176"/>
      <c r="L2292" s="176"/>
      <c r="M2292" s="176"/>
      <c r="N2292" s="176"/>
      <c r="O2292" s="176"/>
      <c r="P2292" s="114"/>
      <c r="Q2292" s="176"/>
      <c r="R2292" s="114"/>
      <c r="S2292" s="114"/>
      <c r="T2292" s="200"/>
      <c r="U2292" s="114"/>
      <c r="V2292" s="414"/>
      <c r="W2292" s="176"/>
      <c r="X2292" s="176"/>
      <c r="Y2292" s="176"/>
      <c r="Z2292" s="176"/>
    </row>
    <row r="2293" ht="15.75" customHeight="1">
      <c r="A2293" s="408"/>
      <c r="B2293" s="428"/>
      <c r="C2293" s="200"/>
      <c r="D2293" s="176"/>
      <c r="E2293" s="176"/>
      <c r="F2293" s="408"/>
      <c r="G2293" s="176"/>
      <c r="H2293" s="114"/>
      <c r="I2293" s="42"/>
      <c r="J2293" s="42"/>
      <c r="K2293" s="176"/>
      <c r="L2293" s="176"/>
      <c r="M2293" s="176"/>
      <c r="N2293" s="176"/>
      <c r="O2293" s="176"/>
      <c r="P2293" s="114"/>
      <c r="Q2293" s="176"/>
      <c r="R2293" s="114"/>
      <c r="S2293" s="114"/>
      <c r="T2293" s="200"/>
      <c r="U2293" s="114"/>
      <c r="V2293" s="414"/>
      <c r="W2293" s="176"/>
      <c r="X2293" s="176"/>
      <c r="Y2293" s="176"/>
      <c r="Z2293" s="176"/>
    </row>
    <row r="2294" ht="15.75" customHeight="1">
      <c r="A2294" s="408"/>
      <c r="B2294" s="428"/>
      <c r="C2294" s="200"/>
      <c r="D2294" s="176"/>
      <c r="E2294" s="176"/>
      <c r="F2294" s="408"/>
      <c r="G2294" s="176"/>
      <c r="H2294" s="114"/>
      <c r="I2294" s="42"/>
      <c r="J2294" s="42"/>
      <c r="K2294" s="176"/>
      <c r="L2294" s="176"/>
      <c r="M2294" s="176"/>
      <c r="N2294" s="176"/>
      <c r="O2294" s="176"/>
      <c r="P2294" s="114"/>
      <c r="Q2294" s="176"/>
      <c r="R2294" s="114"/>
      <c r="S2294" s="114"/>
      <c r="T2294" s="200"/>
      <c r="U2294" s="114"/>
      <c r="V2294" s="414"/>
      <c r="W2294" s="176"/>
      <c r="X2294" s="176"/>
      <c r="Y2294" s="176"/>
      <c r="Z2294" s="176"/>
    </row>
    <row r="2295" ht="15.75" customHeight="1">
      <c r="A2295" s="408"/>
      <c r="B2295" s="428"/>
      <c r="C2295" s="200"/>
      <c r="D2295" s="176"/>
      <c r="E2295" s="176"/>
      <c r="F2295" s="408"/>
      <c r="G2295" s="176"/>
      <c r="H2295" s="114"/>
      <c r="I2295" s="42"/>
      <c r="J2295" s="42"/>
      <c r="K2295" s="176"/>
      <c r="L2295" s="176"/>
      <c r="M2295" s="176"/>
      <c r="N2295" s="176"/>
      <c r="O2295" s="176"/>
      <c r="P2295" s="114"/>
      <c r="Q2295" s="176"/>
      <c r="R2295" s="114"/>
      <c r="S2295" s="114"/>
      <c r="T2295" s="200"/>
      <c r="U2295" s="114"/>
      <c r="V2295" s="414"/>
      <c r="W2295" s="176"/>
      <c r="X2295" s="176"/>
      <c r="Y2295" s="176"/>
      <c r="Z2295" s="176"/>
    </row>
    <row r="2296" ht="15.75" customHeight="1">
      <c r="A2296" s="408"/>
      <c r="B2296" s="428"/>
      <c r="C2296" s="200"/>
      <c r="D2296" s="176"/>
      <c r="E2296" s="176"/>
      <c r="F2296" s="408"/>
      <c r="G2296" s="176"/>
      <c r="H2296" s="114"/>
      <c r="I2296" s="42"/>
      <c r="J2296" s="42"/>
      <c r="K2296" s="176"/>
      <c r="L2296" s="176"/>
      <c r="M2296" s="176"/>
      <c r="N2296" s="176"/>
      <c r="O2296" s="176"/>
      <c r="P2296" s="114"/>
      <c r="Q2296" s="176"/>
      <c r="R2296" s="114"/>
      <c r="S2296" s="114"/>
      <c r="T2296" s="200"/>
      <c r="U2296" s="114"/>
      <c r="V2296" s="414"/>
      <c r="W2296" s="176"/>
      <c r="X2296" s="176"/>
      <c r="Y2296" s="176"/>
      <c r="Z2296" s="176"/>
    </row>
    <row r="2297" ht="15.75" customHeight="1">
      <c r="A2297" s="408"/>
      <c r="B2297" s="428"/>
      <c r="C2297" s="200"/>
      <c r="D2297" s="176"/>
      <c r="E2297" s="176"/>
      <c r="F2297" s="408"/>
      <c r="G2297" s="176"/>
      <c r="H2297" s="114"/>
      <c r="I2297" s="42"/>
      <c r="J2297" s="42"/>
      <c r="K2297" s="176"/>
      <c r="L2297" s="176"/>
      <c r="M2297" s="176"/>
      <c r="N2297" s="176"/>
      <c r="O2297" s="176"/>
      <c r="P2297" s="114"/>
      <c r="Q2297" s="176"/>
      <c r="R2297" s="114"/>
      <c r="S2297" s="114"/>
      <c r="T2297" s="200"/>
      <c r="U2297" s="114"/>
      <c r="V2297" s="414"/>
      <c r="W2297" s="176"/>
      <c r="X2297" s="176"/>
      <c r="Y2297" s="176"/>
      <c r="Z2297" s="176"/>
    </row>
    <row r="2298" ht="15.75" customHeight="1">
      <c r="A2298" s="408"/>
      <c r="B2298" s="428"/>
      <c r="C2298" s="200"/>
      <c r="D2298" s="176"/>
      <c r="E2298" s="176"/>
      <c r="F2298" s="408"/>
      <c r="G2298" s="176"/>
      <c r="H2298" s="114"/>
      <c r="I2298" s="42"/>
      <c r="J2298" s="42"/>
      <c r="K2298" s="176"/>
      <c r="L2298" s="176"/>
      <c r="M2298" s="176"/>
      <c r="N2298" s="176"/>
      <c r="O2298" s="176"/>
      <c r="P2298" s="114"/>
      <c r="Q2298" s="176"/>
      <c r="R2298" s="114"/>
      <c r="S2298" s="114"/>
      <c r="T2298" s="200"/>
      <c r="U2298" s="114"/>
      <c r="V2298" s="414"/>
      <c r="W2298" s="176"/>
      <c r="X2298" s="176"/>
      <c r="Y2298" s="176"/>
      <c r="Z2298" s="176"/>
    </row>
    <row r="2299" ht="15.75" customHeight="1">
      <c r="A2299" s="408"/>
      <c r="B2299" s="428"/>
      <c r="C2299" s="200"/>
      <c r="D2299" s="176"/>
      <c r="E2299" s="176"/>
      <c r="F2299" s="408"/>
      <c r="G2299" s="176"/>
      <c r="H2299" s="114"/>
      <c r="I2299" s="42"/>
      <c r="J2299" s="42"/>
      <c r="K2299" s="176"/>
      <c r="L2299" s="176"/>
      <c r="M2299" s="176"/>
      <c r="N2299" s="176"/>
      <c r="O2299" s="176"/>
      <c r="P2299" s="114"/>
      <c r="Q2299" s="176"/>
      <c r="R2299" s="114"/>
      <c r="S2299" s="114"/>
      <c r="T2299" s="200"/>
      <c r="U2299" s="114"/>
      <c r="V2299" s="414"/>
      <c r="W2299" s="176"/>
      <c r="X2299" s="176"/>
      <c r="Y2299" s="176"/>
      <c r="Z2299" s="176"/>
    </row>
    <row r="2300" ht="15.75" customHeight="1">
      <c r="A2300" s="408"/>
      <c r="B2300" s="428"/>
      <c r="C2300" s="200"/>
      <c r="D2300" s="176"/>
      <c r="E2300" s="176"/>
      <c r="F2300" s="408"/>
      <c r="G2300" s="176"/>
      <c r="H2300" s="114"/>
      <c r="I2300" s="42"/>
      <c r="J2300" s="42"/>
      <c r="K2300" s="176"/>
      <c r="L2300" s="176"/>
      <c r="M2300" s="176"/>
      <c r="N2300" s="176"/>
      <c r="O2300" s="176"/>
      <c r="P2300" s="114"/>
      <c r="Q2300" s="176"/>
      <c r="R2300" s="114"/>
      <c r="S2300" s="114"/>
      <c r="T2300" s="200"/>
      <c r="U2300" s="114"/>
      <c r="V2300" s="414"/>
      <c r="W2300" s="176"/>
      <c r="X2300" s="176"/>
      <c r="Y2300" s="176"/>
      <c r="Z2300" s="176"/>
    </row>
    <row r="2301" ht="15.75" customHeight="1">
      <c r="A2301" s="408"/>
      <c r="B2301" s="428"/>
      <c r="C2301" s="200"/>
      <c r="D2301" s="176"/>
      <c r="E2301" s="176"/>
      <c r="F2301" s="408"/>
      <c r="G2301" s="176"/>
      <c r="H2301" s="114"/>
      <c r="I2301" s="42"/>
      <c r="J2301" s="42"/>
      <c r="K2301" s="176"/>
      <c r="L2301" s="176"/>
      <c r="M2301" s="176"/>
      <c r="N2301" s="176"/>
      <c r="O2301" s="176"/>
      <c r="P2301" s="114"/>
      <c r="Q2301" s="176"/>
      <c r="R2301" s="114"/>
      <c r="S2301" s="114"/>
      <c r="T2301" s="200"/>
      <c r="U2301" s="114"/>
      <c r="V2301" s="414"/>
      <c r="W2301" s="176"/>
      <c r="X2301" s="176"/>
      <c r="Y2301" s="176"/>
      <c r="Z2301" s="176"/>
    </row>
    <row r="2302" ht="15.75" customHeight="1">
      <c r="A2302" s="408"/>
      <c r="B2302" s="428"/>
      <c r="C2302" s="200"/>
      <c r="D2302" s="176"/>
      <c r="E2302" s="176"/>
      <c r="F2302" s="408"/>
      <c r="G2302" s="176"/>
      <c r="H2302" s="114"/>
      <c r="I2302" s="42"/>
      <c r="J2302" s="42"/>
      <c r="K2302" s="176"/>
      <c r="L2302" s="176"/>
      <c r="M2302" s="176"/>
      <c r="N2302" s="176"/>
      <c r="O2302" s="176"/>
      <c r="P2302" s="114"/>
      <c r="Q2302" s="176"/>
      <c r="R2302" s="114"/>
      <c r="S2302" s="114"/>
      <c r="T2302" s="200"/>
      <c r="U2302" s="114"/>
      <c r="V2302" s="414"/>
      <c r="W2302" s="176"/>
      <c r="X2302" s="176"/>
      <c r="Y2302" s="176"/>
      <c r="Z2302" s="176"/>
    </row>
    <row r="2303" ht="15.75" customHeight="1">
      <c r="A2303" s="408"/>
      <c r="B2303" s="428"/>
      <c r="C2303" s="200"/>
      <c r="D2303" s="176"/>
      <c r="E2303" s="176"/>
      <c r="F2303" s="408"/>
      <c r="G2303" s="176"/>
      <c r="H2303" s="114"/>
      <c r="I2303" s="42"/>
      <c r="J2303" s="42"/>
      <c r="K2303" s="176"/>
      <c r="L2303" s="176"/>
      <c r="M2303" s="176"/>
      <c r="N2303" s="176"/>
      <c r="O2303" s="176"/>
      <c r="P2303" s="114"/>
      <c r="Q2303" s="176"/>
      <c r="R2303" s="114"/>
      <c r="S2303" s="114"/>
      <c r="T2303" s="200"/>
      <c r="U2303" s="114"/>
      <c r="V2303" s="414"/>
      <c r="W2303" s="176"/>
      <c r="X2303" s="176"/>
      <c r="Y2303" s="176"/>
      <c r="Z2303" s="176"/>
    </row>
    <row r="2304" ht="15.75" customHeight="1">
      <c r="A2304" s="408"/>
      <c r="B2304" s="428"/>
      <c r="C2304" s="200"/>
      <c r="D2304" s="176"/>
      <c r="E2304" s="176"/>
      <c r="F2304" s="408"/>
      <c r="G2304" s="176"/>
      <c r="H2304" s="114"/>
      <c r="I2304" s="42"/>
      <c r="J2304" s="42"/>
      <c r="K2304" s="176"/>
      <c r="L2304" s="176"/>
      <c r="M2304" s="176"/>
      <c r="N2304" s="176"/>
      <c r="O2304" s="176"/>
      <c r="P2304" s="114"/>
      <c r="Q2304" s="176"/>
      <c r="R2304" s="114"/>
      <c r="S2304" s="114"/>
      <c r="T2304" s="200"/>
      <c r="U2304" s="114"/>
      <c r="V2304" s="414"/>
      <c r="W2304" s="176"/>
      <c r="X2304" s="176"/>
      <c r="Y2304" s="176"/>
      <c r="Z2304" s="176"/>
    </row>
    <row r="2305" ht="15.75" customHeight="1">
      <c r="A2305" s="408"/>
      <c r="B2305" s="428"/>
      <c r="C2305" s="200"/>
      <c r="D2305" s="176"/>
      <c r="E2305" s="176"/>
      <c r="F2305" s="408"/>
      <c r="G2305" s="176"/>
      <c r="H2305" s="114"/>
      <c r="I2305" s="42"/>
      <c r="J2305" s="42"/>
      <c r="K2305" s="176"/>
      <c r="L2305" s="176"/>
      <c r="M2305" s="176"/>
      <c r="N2305" s="176"/>
      <c r="O2305" s="176"/>
      <c r="P2305" s="114"/>
      <c r="Q2305" s="176"/>
      <c r="R2305" s="114"/>
      <c r="S2305" s="114"/>
      <c r="T2305" s="200"/>
      <c r="U2305" s="114"/>
      <c r="V2305" s="414"/>
      <c r="W2305" s="176"/>
      <c r="X2305" s="176"/>
      <c r="Y2305" s="176"/>
      <c r="Z2305" s="176"/>
    </row>
    <row r="2306" ht="15.75" customHeight="1">
      <c r="A2306" s="408"/>
      <c r="B2306" s="428"/>
      <c r="C2306" s="200"/>
      <c r="D2306" s="176"/>
      <c r="E2306" s="176"/>
      <c r="F2306" s="408"/>
      <c r="G2306" s="176"/>
      <c r="H2306" s="114"/>
      <c r="I2306" s="42"/>
      <c r="J2306" s="42"/>
      <c r="K2306" s="176"/>
      <c r="L2306" s="176"/>
      <c r="M2306" s="176"/>
      <c r="N2306" s="176"/>
      <c r="O2306" s="176"/>
      <c r="P2306" s="114"/>
      <c r="Q2306" s="176"/>
      <c r="R2306" s="114"/>
      <c r="S2306" s="114"/>
      <c r="T2306" s="200"/>
      <c r="U2306" s="114"/>
      <c r="V2306" s="414"/>
      <c r="W2306" s="176"/>
      <c r="X2306" s="176"/>
      <c r="Y2306" s="176"/>
      <c r="Z2306" s="176"/>
    </row>
    <row r="2307" ht="15.75" customHeight="1">
      <c r="A2307" s="408"/>
      <c r="B2307" s="428"/>
      <c r="C2307" s="200"/>
      <c r="D2307" s="176"/>
      <c r="E2307" s="176"/>
      <c r="F2307" s="408"/>
      <c r="G2307" s="176"/>
      <c r="H2307" s="114"/>
      <c r="I2307" s="42"/>
      <c r="J2307" s="42"/>
      <c r="K2307" s="176"/>
      <c r="L2307" s="176"/>
      <c r="M2307" s="176"/>
      <c r="N2307" s="176"/>
      <c r="O2307" s="176"/>
      <c r="P2307" s="114"/>
      <c r="Q2307" s="176"/>
      <c r="R2307" s="114"/>
      <c r="S2307" s="114"/>
      <c r="T2307" s="200"/>
      <c r="U2307" s="114"/>
      <c r="V2307" s="414"/>
      <c r="W2307" s="176"/>
      <c r="X2307" s="176"/>
      <c r="Y2307" s="176"/>
      <c r="Z2307" s="176"/>
    </row>
    <row r="2308" ht="15.75" customHeight="1">
      <c r="A2308" s="408"/>
      <c r="B2308" s="428"/>
      <c r="C2308" s="200"/>
      <c r="D2308" s="176"/>
      <c r="E2308" s="176"/>
      <c r="F2308" s="408"/>
      <c r="G2308" s="176"/>
      <c r="H2308" s="114"/>
      <c r="I2308" s="42"/>
      <c r="J2308" s="42"/>
      <c r="K2308" s="176"/>
      <c r="L2308" s="176"/>
      <c r="M2308" s="176"/>
      <c r="N2308" s="176"/>
      <c r="O2308" s="176"/>
      <c r="P2308" s="114"/>
      <c r="Q2308" s="176"/>
      <c r="R2308" s="114"/>
      <c r="S2308" s="114"/>
      <c r="T2308" s="200"/>
      <c r="U2308" s="114"/>
      <c r="V2308" s="414"/>
      <c r="W2308" s="176"/>
      <c r="X2308" s="176"/>
      <c r="Y2308" s="176"/>
      <c r="Z2308" s="176"/>
    </row>
    <row r="2309" ht="15.75" customHeight="1">
      <c r="A2309" s="408"/>
      <c r="B2309" s="428"/>
      <c r="C2309" s="200"/>
      <c r="D2309" s="176"/>
      <c r="E2309" s="176"/>
      <c r="F2309" s="408"/>
      <c r="G2309" s="176"/>
      <c r="H2309" s="114"/>
      <c r="I2309" s="42"/>
      <c r="J2309" s="42"/>
      <c r="K2309" s="176"/>
      <c r="L2309" s="176"/>
      <c r="M2309" s="176"/>
      <c r="N2309" s="176"/>
      <c r="O2309" s="176"/>
      <c r="P2309" s="114"/>
      <c r="Q2309" s="176"/>
      <c r="R2309" s="114"/>
      <c r="S2309" s="114"/>
      <c r="T2309" s="200"/>
      <c r="U2309" s="114"/>
      <c r="V2309" s="414"/>
      <c r="W2309" s="176"/>
      <c r="X2309" s="176"/>
      <c r="Y2309" s="176"/>
      <c r="Z2309" s="176"/>
    </row>
    <row r="2310" ht="15.75" customHeight="1">
      <c r="A2310" s="408"/>
      <c r="B2310" s="428"/>
      <c r="C2310" s="200"/>
      <c r="D2310" s="176"/>
      <c r="E2310" s="176"/>
      <c r="F2310" s="408"/>
      <c r="G2310" s="176"/>
      <c r="H2310" s="114"/>
      <c r="I2310" s="42"/>
      <c r="J2310" s="42"/>
      <c r="K2310" s="176"/>
      <c r="L2310" s="176"/>
      <c r="M2310" s="176"/>
      <c r="N2310" s="176"/>
      <c r="O2310" s="176"/>
      <c r="P2310" s="114"/>
      <c r="Q2310" s="176"/>
      <c r="R2310" s="114"/>
      <c r="S2310" s="114"/>
      <c r="T2310" s="200"/>
      <c r="U2310" s="114"/>
      <c r="V2310" s="414"/>
      <c r="W2310" s="176"/>
      <c r="X2310" s="176"/>
      <c r="Y2310" s="176"/>
      <c r="Z2310" s="176"/>
    </row>
    <row r="2311" ht="15.75" customHeight="1">
      <c r="A2311" s="408"/>
      <c r="B2311" s="428"/>
      <c r="C2311" s="200"/>
      <c r="D2311" s="176"/>
      <c r="E2311" s="176"/>
      <c r="F2311" s="408"/>
      <c r="G2311" s="176"/>
      <c r="H2311" s="114"/>
      <c r="I2311" s="42"/>
      <c r="J2311" s="42"/>
      <c r="K2311" s="176"/>
      <c r="L2311" s="176"/>
      <c r="M2311" s="176"/>
      <c r="N2311" s="176"/>
      <c r="O2311" s="176"/>
      <c r="P2311" s="114"/>
      <c r="Q2311" s="176"/>
      <c r="R2311" s="114"/>
      <c r="S2311" s="114"/>
      <c r="T2311" s="200"/>
      <c r="U2311" s="114"/>
      <c r="V2311" s="414"/>
      <c r="W2311" s="176"/>
      <c r="X2311" s="176"/>
      <c r="Y2311" s="176"/>
      <c r="Z2311" s="176"/>
    </row>
    <row r="2312" ht="15.75" customHeight="1">
      <c r="A2312" s="408"/>
      <c r="B2312" s="428"/>
      <c r="C2312" s="200"/>
      <c r="D2312" s="176"/>
      <c r="E2312" s="176"/>
      <c r="F2312" s="408"/>
      <c r="G2312" s="176"/>
      <c r="H2312" s="114"/>
      <c r="I2312" s="42"/>
      <c r="J2312" s="42"/>
      <c r="K2312" s="176"/>
      <c r="L2312" s="176"/>
      <c r="M2312" s="176"/>
      <c r="N2312" s="176"/>
      <c r="O2312" s="176"/>
      <c r="P2312" s="114"/>
      <c r="Q2312" s="176"/>
      <c r="R2312" s="114"/>
      <c r="S2312" s="114"/>
      <c r="T2312" s="200"/>
      <c r="U2312" s="114"/>
      <c r="V2312" s="414"/>
      <c r="W2312" s="176"/>
      <c r="X2312" s="176"/>
      <c r="Y2312" s="176"/>
      <c r="Z2312" s="176"/>
    </row>
    <row r="2313" ht="15.75" customHeight="1">
      <c r="A2313" s="408"/>
      <c r="B2313" s="428"/>
      <c r="C2313" s="200"/>
      <c r="D2313" s="176"/>
      <c r="E2313" s="176"/>
      <c r="F2313" s="408"/>
      <c r="G2313" s="176"/>
      <c r="H2313" s="114"/>
      <c r="I2313" s="42"/>
      <c r="J2313" s="42"/>
      <c r="K2313" s="176"/>
      <c r="L2313" s="176"/>
      <c r="M2313" s="176"/>
      <c r="N2313" s="176"/>
      <c r="O2313" s="176"/>
      <c r="P2313" s="114"/>
      <c r="Q2313" s="176"/>
      <c r="R2313" s="114"/>
      <c r="S2313" s="114"/>
      <c r="T2313" s="200"/>
      <c r="U2313" s="114"/>
      <c r="V2313" s="414"/>
      <c r="W2313" s="176"/>
      <c r="X2313" s="176"/>
      <c r="Y2313" s="176"/>
      <c r="Z2313" s="176"/>
    </row>
    <row r="2314" ht="15.75" customHeight="1">
      <c r="A2314" s="408"/>
      <c r="B2314" s="428"/>
      <c r="C2314" s="200"/>
      <c r="D2314" s="176"/>
      <c r="E2314" s="176"/>
      <c r="F2314" s="408"/>
      <c r="G2314" s="176"/>
      <c r="H2314" s="114"/>
      <c r="I2314" s="42"/>
      <c r="J2314" s="42"/>
      <c r="K2314" s="176"/>
      <c r="L2314" s="176"/>
      <c r="M2314" s="176"/>
      <c r="N2314" s="176"/>
      <c r="O2314" s="176"/>
      <c r="P2314" s="114"/>
      <c r="Q2314" s="176"/>
      <c r="R2314" s="114"/>
      <c r="S2314" s="114"/>
      <c r="T2314" s="200"/>
      <c r="U2314" s="114"/>
      <c r="V2314" s="414"/>
      <c r="W2314" s="176"/>
      <c r="X2314" s="176"/>
      <c r="Y2314" s="176"/>
      <c r="Z2314" s="176"/>
    </row>
    <row r="2315" ht="15.75" customHeight="1">
      <c r="A2315" s="408"/>
      <c r="B2315" s="428"/>
      <c r="C2315" s="200"/>
      <c r="D2315" s="176"/>
      <c r="E2315" s="176"/>
      <c r="F2315" s="408"/>
      <c r="G2315" s="176"/>
      <c r="H2315" s="114"/>
      <c r="I2315" s="42"/>
      <c r="J2315" s="42"/>
      <c r="K2315" s="176"/>
      <c r="L2315" s="176"/>
      <c r="M2315" s="176"/>
      <c r="N2315" s="176"/>
      <c r="O2315" s="176"/>
      <c r="P2315" s="114"/>
      <c r="Q2315" s="176"/>
      <c r="R2315" s="114"/>
      <c r="S2315" s="114"/>
      <c r="T2315" s="200"/>
      <c r="U2315" s="114"/>
      <c r="V2315" s="414"/>
      <c r="W2315" s="176"/>
      <c r="X2315" s="176"/>
      <c r="Y2315" s="176"/>
      <c r="Z2315" s="176"/>
    </row>
    <row r="2316" ht="15.75" customHeight="1">
      <c r="A2316" s="408"/>
      <c r="B2316" s="428"/>
      <c r="C2316" s="200"/>
      <c r="D2316" s="176"/>
      <c r="E2316" s="176"/>
      <c r="F2316" s="408"/>
      <c r="G2316" s="176"/>
      <c r="H2316" s="114"/>
      <c r="I2316" s="42"/>
      <c r="J2316" s="42"/>
      <c r="K2316" s="176"/>
      <c r="L2316" s="176"/>
      <c r="M2316" s="176"/>
      <c r="N2316" s="176"/>
      <c r="O2316" s="176"/>
      <c r="P2316" s="114"/>
      <c r="Q2316" s="176"/>
      <c r="R2316" s="114"/>
      <c r="S2316" s="114"/>
      <c r="T2316" s="200"/>
      <c r="U2316" s="114"/>
      <c r="V2316" s="414"/>
      <c r="W2316" s="176"/>
      <c r="X2316" s="176"/>
      <c r="Y2316" s="176"/>
      <c r="Z2316" s="176"/>
    </row>
    <row r="2317" ht="15.75" customHeight="1">
      <c r="A2317" s="408"/>
      <c r="B2317" s="428"/>
      <c r="C2317" s="200"/>
      <c r="D2317" s="176"/>
      <c r="E2317" s="176"/>
      <c r="F2317" s="408"/>
      <c r="G2317" s="176"/>
      <c r="H2317" s="114"/>
      <c r="I2317" s="42"/>
      <c r="J2317" s="42"/>
      <c r="K2317" s="176"/>
      <c r="L2317" s="176"/>
      <c r="M2317" s="176"/>
      <c r="N2317" s="176"/>
      <c r="O2317" s="176"/>
      <c r="P2317" s="114"/>
      <c r="Q2317" s="176"/>
      <c r="R2317" s="114"/>
      <c r="S2317" s="114"/>
      <c r="T2317" s="200"/>
      <c r="U2317" s="114"/>
      <c r="V2317" s="414"/>
      <c r="W2317" s="176"/>
      <c r="X2317" s="176"/>
      <c r="Y2317" s="176"/>
      <c r="Z2317" s="176"/>
    </row>
    <row r="2318" ht="15.75" customHeight="1">
      <c r="A2318" s="408"/>
      <c r="B2318" s="428"/>
      <c r="C2318" s="200"/>
      <c r="D2318" s="176"/>
      <c r="E2318" s="176"/>
      <c r="F2318" s="408"/>
      <c r="G2318" s="176"/>
      <c r="H2318" s="114"/>
      <c r="I2318" s="42"/>
      <c r="J2318" s="42"/>
      <c r="K2318" s="176"/>
      <c r="L2318" s="176"/>
      <c r="M2318" s="176"/>
      <c r="N2318" s="176"/>
      <c r="O2318" s="176"/>
      <c r="P2318" s="114"/>
      <c r="Q2318" s="176"/>
      <c r="R2318" s="114"/>
      <c r="S2318" s="114"/>
      <c r="T2318" s="200"/>
      <c r="U2318" s="114"/>
      <c r="V2318" s="414"/>
      <c r="W2318" s="176"/>
      <c r="X2318" s="176"/>
      <c r="Y2318" s="176"/>
      <c r="Z2318" s="176"/>
    </row>
    <row r="2319" ht="15.75" customHeight="1">
      <c r="A2319" s="408"/>
      <c r="B2319" s="428"/>
      <c r="C2319" s="200"/>
      <c r="D2319" s="176"/>
      <c r="E2319" s="176"/>
      <c r="F2319" s="408"/>
      <c r="G2319" s="176"/>
      <c r="H2319" s="114"/>
      <c r="I2319" s="42"/>
      <c r="J2319" s="42"/>
      <c r="K2319" s="176"/>
      <c r="L2319" s="176"/>
      <c r="M2319" s="176"/>
      <c r="N2319" s="176"/>
      <c r="O2319" s="176"/>
      <c r="P2319" s="114"/>
      <c r="Q2319" s="176"/>
      <c r="R2319" s="114"/>
      <c r="S2319" s="114"/>
      <c r="T2319" s="200"/>
      <c r="U2319" s="114"/>
      <c r="V2319" s="414"/>
      <c r="W2319" s="176"/>
      <c r="X2319" s="176"/>
      <c r="Y2319" s="176"/>
      <c r="Z2319" s="176"/>
    </row>
    <row r="2320" ht="15.75" customHeight="1">
      <c r="A2320" s="408"/>
      <c r="B2320" s="428"/>
      <c r="C2320" s="200"/>
      <c r="D2320" s="176"/>
      <c r="E2320" s="176"/>
      <c r="F2320" s="408"/>
      <c r="G2320" s="176"/>
      <c r="H2320" s="114"/>
      <c r="I2320" s="42"/>
      <c r="J2320" s="42"/>
      <c r="K2320" s="176"/>
      <c r="L2320" s="176"/>
      <c r="M2320" s="176"/>
      <c r="N2320" s="176"/>
      <c r="O2320" s="176"/>
      <c r="P2320" s="114"/>
      <c r="Q2320" s="176"/>
      <c r="R2320" s="114"/>
      <c r="S2320" s="114"/>
      <c r="T2320" s="200"/>
      <c r="U2320" s="114"/>
      <c r="V2320" s="414"/>
      <c r="W2320" s="176"/>
      <c r="X2320" s="176"/>
      <c r="Y2320" s="176"/>
      <c r="Z2320" s="176"/>
    </row>
    <row r="2321" ht="15.75" customHeight="1">
      <c r="A2321" s="408"/>
      <c r="B2321" s="428"/>
      <c r="C2321" s="200"/>
      <c r="D2321" s="176"/>
      <c r="E2321" s="176"/>
      <c r="F2321" s="408"/>
      <c r="G2321" s="176"/>
      <c r="H2321" s="114"/>
      <c r="I2321" s="42"/>
      <c r="J2321" s="42"/>
      <c r="K2321" s="176"/>
      <c r="L2321" s="176"/>
      <c r="M2321" s="176"/>
      <c r="N2321" s="176"/>
      <c r="O2321" s="176"/>
      <c r="P2321" s="114"/>
      <c r="Q2321" s="176"/>
      <c r="R2321" s="114"/>
      <c r="S2321" s="114"/>
      <c r="T2321" s="200"/>
      <c r="U2321" s="114"/>
      <c r="V2321" s="414"/>
      <c r="W2321" s="176"/>
      <c r="X2321" s="176"/>
      <c r="Y2321" s="176"/>
      <c r="Z2321" s="176"/>
    </row>
    <row r="2322" ht="15.75" customHeight="1">
      <c r="A2322" s="408"/>
      <c r="B2322" s="428"/>
      <c r="C2322" s="200"/>
      <c r="D2322" s="176"/>
      <c r="E2322" s="176"/>
      <c r="F2322" s="408"/>
      <c r="G2322" s="176"/>
      <c r="H2322" s="114"/>
      <c r="I2322" s="42"/>
      <c r="J2322" s="42"/>
      <c r="K2322" s="176"/>
      <c r="L2322" s="176"/>
      <c r="M2322" s="176"/>
      <c r="N2322" s="176"/>
      <c r="O2322" s="176"/>
      <c r="P2322" s="114"/>
      <c r="Q2322" s="176"/>
      <c r="R2322" s="114"/>
      <c r="S2322" s="114"/>
      <c r="T2322" s="200"/>
      <c r="U2322" s="114"/>
      <c r="V2322" s="414"/>
      <c r="W2322" s="176"/>
      <c r="X2322" s="176"/>
      <c r="Y2322" s="176"/>
      <c r="Z2322" s="176"/>
    </row>
    <row r="2323" ht="15.75" customHeight="1">
      <c r="A2323" s="408"/>
      <c r="B2323" s="428"/>
      <c r="C2323" s="200"/>
      <c r="D2323" s="176"/>
      <c r="E2323" s="176"/>
      <c r="F2323" s="408"/>
      <c r="G2323" s="176"/>
      <c r="H2323" s="114"/>
      <c r="I2323" s="42"/>
      <c r="J2323" s="42"/>
      <c r="K2323" s="176"/>
      <c r="L2323" s="176"/>
      <c r="M2323" s="176"/>
      <c r="N2323" s="176"/>
      <c r="O2323" s="176"/>
      <c r="P2323" s="114"/>
      <c r="Q2323" s="176"/>
      <c r="R2323" s="114"/>
      <c r="S2323" s="114"/>
      <c r="T2323" s="200"/>
      <c r="U2323" s="114"/>
      <c r="V2323" s="414"/>
      <c r="W2323" s="176"/>
      <c r="X2323" s="176"/>
      <c r="Y2323" s="176"/>
      <c r="Z2323" s="176"/>
    </row>
    <row r="2324" ht="15.75" customHeight="1">
      <c r="A2324" s="408"/>
      <c r="B2324" s="428"/>
      <c r="C2324" s="200"/>
      <c r="D2324" s="176"/>
      <c r="E2324" s="176"/>
      <c r="F2324" s="408"/>
      <c r="G2324" s="176"/>
      <c r="H2324" s="114"/>
      <c r="I2324" s="42"/>
      <c r="J2324" s="42"/>
      <c r="K2324" s="176"/>
      <c r="L2324" s="176"/>
      <c r="M2324" s="176"/>
      <c r="N2324" s="176"/>
      <c r="O2324" s="176"/>
      <c r="P2324" s="114"/>
      <c r="Q2324" s="176"/>
      <c r="R2324" s="114"/>
      <c r="S2324" s="114"/>
      <c r="T2324" s="200"/>
      <c r="U2324" s="114"/>
      <c r="V2324" s="414"/>
      <c r="W2324" s="176"/>
      <c r="X2324" s="176"/>
      <c r="Y2324" s="176"/>
      <c r="Z2324" s="176"/>
    </row>
    <row r="2325" ht="15.75" customHeight="1">
      <c r="A2325" s="408"/>
      <c r="B2325" s="428"/>
      <c r="C2325" s="200"/>
      <c r="D2325" s="176"/>
      <c r="E2325" s="176"/>
      <c r="F2325" s="408"/>
      <c r="G2325" s="176"/>
      <c r="H2325" s="114"/>
      <c r="I2325" s="42"/>
      <c r="J2325" s="42"/>
      <c r="K2325" s="176"/>
      <c r="L2325" s="176"/>
      <c r="M2325" s="176"/>
      <c r="N2325" s="176"/>
      <c r="O2325" s="176"/>
      <c r="P2325" s="114"/>
      <c r="Q2325" s="176"/>
      <c r="R2325" s="114"/>
      <c r="S2325" s="114"/>
      <c r="T2325" s="200"/>
      <c r="U2325" s="114"/>
      <c r="V2325" s="414"/>
      <c r="W2325" s="176"/>
      <c r="X2325" s="176"/>
      <c r="Y2325" s="176"/>
      <c r="Z2325" s="176"/>
    </row>
    <row r="2326" ht="15.75" customHeight="1">
      <c r="A2326" s="408"/>
      <c r="B2326" s="428"/>
      <c r="C2326" s="200"/>
      <c r="D2326" s="176"/>
      <c r="E2326" s="176"/>
      <c r="F2326" s="408"/>
      <c r="G2326" s="176"/>
      <c r="H2326" s="114"/>
      <c r="I2326" s="42"/>
      <c r="J2326" s="42"/>
      <c r="K2326" s="176"/>
      <c r="L2326" s="176"/>
      <c r="M2326" s="176"/>
      <c r="N2326" s="176"/>
      <c r="O2326" s="176"/>
      <c r="P2326" s="114"/>
      <c r="Q2326" s="176"/>
      <c r="R2326" s="114"/>
      <c r="S2326" s="114"/>
      <c r="T2326" s="200"/>
      <c r="U2326" s="114"/>
      <c r="V2326" s="414"/>
      <c r="W2326" s="176"/>
      <c r="X2326" s="176"/>
      <c r="Y2326" s="176"/>
      <c r="Z2326" s="176"/>
    </row>
    <row r="2327" ht="15.75" customHeight="1">
      <c r="A2327" s="408"/>
      <c r="B2327" s="428"/>
      <c r="C2327" s="200"/>
      <c r="D2327" s="176"/>
      <c r="E2327" s="176"/>
      <c r="F2327" s="408"/>
      <c r="G2327" s="176"/>
      <c r="H2327" s="114"/>
      <c r="I2327" s="42"/>
      <c r="J2327" s="42"/>
      <c r="K2327" s="176"/>
      <c r="L2327" s="176"/>
      <c r="M2327" s="176"/>
      <c r="N2327" s="176"/>
      <c r="O2327" s="176"/>
      <c r="P2327" s="114"/>
      <c r="Q2327" s="176"/>
      <c r="R2327" s="114"/>
      <c r="S2327" s="114"/>
      <c r="T2327" s="200"/>
      <c r="U2327" s="114"/>
      <c r="V2327" s="414"/>
      <c r="W2327" s="176"/>
      <c r="X2327" s="176"/>
      <c r="Y2327" s="176"/>
      <c r="Z2327" s="176"/>
    </row>
    <row r="2328" ht="15.75" customHeight="1">
      <c r="A2328" s="408"/>
      <c r="B2328" s="428"/>
      <c r="C2328" s="200"/>
      <c r="D2328" s="176"/>
      <c r="E2328" s="176"/>
      <c r="F2328" s="408"/>
      <c r="G2328" s="176"/>
      <c r="H2328" s="114"/>
      <c r="I2328" s="42"/>
      <c r="J2328" s="42"/>
      <c r="K2328" s="176"/>
      <c r="L2328" s="176"/>
      <c r="M2328" s="176"/>
      <c r="N2328" s="176"/>
      <c r="O2328" s="176"/>
      <c r="P2328" s="114"/>
      <c r="Q2328" s="176"/>
      <c r="R2328" s="114"/>
      <c r="S2328" s="114"/>
      <c r="T2328" s="200"/>
      <c r="U2328" s="114"/>
      <c r="V2328" s="414"/>
      <c r="W2328" s="176"/>
      <c r="X2328" s="176"/>
      <c r="Y2328" s="176"/>
      <c r="Z2328" s="176"/>
    </row>
    <row r="2329" ht="15.75" customHeight="1">
      <c r="A2329" s="408"/>
      <c r="B2329" s="428"/>
      <c r="C2329" s="200"/>
      <c r="D2329" s="176"/>
      <c r="E2329" s="176"/>
      <c r="F2329" s="408"/>
      <c r="G2329" s="176"/>
      <c r="H2329" s="114"/>
      <c r="I2329" s="42"/>
      <c r="J2329" s="42"/>
      <c r="K2329" s="176"/>
      <c r="L2329" s="176"/>
      <c r="M2329" s="176"/>
      <c r="N2329" s="176"/>
      <c r="O2329" s="176"/>
      <c r="P2329" s="114"/>
      <c r="Q2329" s="176"/>
      <c r="R2329" s="114"/>
      <c r="S2329" s="114"/>
      <c r="T2329" s="200"/>
      <c r="U2329" s="114"/>
      <c r="V2329" s="414"/>
      <c r="W2329" s="176"/>
      <c r="X2329" s="176"/>
      <c r="Y2329" s="176"/>
      <c r="Z2329" s="176"/>
    </row>
    <row r="2330" ht="15.75" customHeight="1">
      <c r="A2330" s="408"/>
      <c r="B2330" s="428"/>
      <c r="C2330" s="200"/>
      <c r="D2330" s="176"/>
      <c r="E2330" s="176"/>
      <c r="F2330" s="408"/>
      <c r="G2330" s="176"/>
      <c r="H2330" s="114"/>
      <c r="I2330" s="42"/>
      <c r="J2330" s="42"/>
      <c r="K2330" s="176"/>
      <c r="L2330" s="176"/>
      <c r="M2330" s="176"/>
      <c r="N2330" s="176"/>
      <c r="O2330" s="176"/>
      <c r="P2330" s="114"/>
      <c r="Q2330" s="176"/>
      <c r="R2330" s="114"/>
      <c r="S2330" s="114"/>
      <c r="T2330" s="200"/>
      <c r="U2330" s="114"/>
      <c r="V2330" s="414"/>
      <c r="W2330" s="176"/>
      <c r="X2330" s="176"/>
      <c r="Y2330" s="176"/>
      <c r="Z2330" s="176"/>
    </row>
    <row r="2331" ht="15.75" customHeight="1">
      <c r="A2331" s="408"/>
      <c r="B2331" s="428"/>
      <c r="C2331" s="200"/>
      <c r="D2331" s="176"/>
      <c r="E2331" s="176"/>
      <c r="F2331" s="408"/>
      <c r="G2331" s="176"/>
      <c r="H2331" s="114"/>
      <c r="I2331" s="42"/>
      <c r="J2331" s="42"/>
      <c r="K2331" s="176"/>
      <c r="L2331" s="176"/>
      <c r="M2331" s="176"/>
      <c r="N2331" s="176"/>
      <c r="O2331" s="176"/>
      <c r="P2331" s="114"/>
      <c r="Q2331" s="176"/>
      <c r="R2331" s="114"/>
      <c r="S2331" s="114"/>
      <c r="T2331" s="200"/>
      <c r="U2331" s="114"/>
      <c r="V2331" s="414"/>
      <c r="W2331" s="176"/>
      <c r="X2331" s="176"/>
      <c r="Y2331" s="176"/>
      <c r="Z2331" s="176"/>
    </row>
    <row r="2332" ht="15.75" customHeight="1">
      <c r="A2332" s="408"/>
      <c r="B2332" s="428"/>
      <c r="C2332" s="200"/>
      <c r="D2332" s="176"/>
      <c r="E2332" s="176"/>
      <c r="F2332" s="408"/>
      <c r="G2332" s="176"/>
      <c r="H2332" s="114"/>
      <c r="I2332" s="42"/>
      <c r="J2332" s="42"/>
      <c r="K2332" s="176"/>
      <c r="L2332" s="176"/>
      <c r="M2332" s="176"/>
      <c r="N2332" s="176"/>
      <c r="O2332" s="176"/>
      <c r="P2332" s="114"/>
      <c r="Q2332" s="176"/>
      <c r="R2332" s="114"/>
      <c r="S2332" s="114"/>
      <c r="T2332" s="200"/>
      <c r="U2332" s="114"/>
      <c r="V2332" s="414"/>
      <c r="W2332" s="176"/>
      <c r="X2332" s="176"/>
      <c r="Y2332" s="176"/>
      <c r="Z2332" s="176"/>
    </row>
    <row r="2333" ht="15.75" customHeight="1">
      <c r="A2333" s="408"/>
      <c r="B2333" s="428"/>
      <c r="C2333" s="200"/>
      <c r="D2333" s="176"/>
      <c r="E2333" s="176"/>
      <c r="F2333" s="408"/>
      <c r="G2333" s="176"/>
      <c r="H2333" s="114"/>
      <c r="I2333" s="42"/>
      <c r="J2333" s="42"/>
      <c r="K2333" s="176"/>
      <c r="L2333" s="176"/>
      <c r="M2333" s="176"/>
      <c r="N2333" s="176"/>
      <c r="O2333" s="176"/>
      <c r="P2333" s="114"/>
      <c r="Q2333" s="176"/>
      <c r="R2333" s="114"/>
      <c r="S2333" s="114"/>
      <c r="T2333" s="200"/>
      <c r="U2333" s="114"/>
      <c r="V2333" s="414"/>
      <c r="W2333" s="176"/>
      <c r="X2333" s="176"/>
      <c r="Y2333" s="176"/>
      <c r="Z2333" s="176"/>
    </row>
    <row r="2334" ht="15.75" customHeight="1">
      <c r="A2334" s="408"/>
      <c r="B2334" s="428"/>
      <c r="C2334" s="200"/>
      <c r="D2334" s="176"/>
      <c r="E2334" s="176"/>
      <c r="F2334" s="408"/>
      <c r="G2334" s="176"/>
      <c r="H2334" s="114"/>
      <c r="I2334" s="42"/>
      <c r="J2334" s="42"/>
      <c r="K2334" s="176"/>
      <c r="L2334" s="176"/>
      <c r="M2334" s="176"/>
      <c r="N2334" s="176"/>
      <c r="O2334" s="176"/>
      <c r="P2334" s="114"/>
      <c r="Q2334" s="176"/>
      <c r="R2334" s="114"/>
      <c r="S2334" s="114"/>
      <c r="T2334" s="200"/>
      <c r="U2334" s="114"/>
      <c r="V2334" s="414"/>
      <c r="W2334" s="176"/>
      <c r="X2334" s="176"/>
      <c r="Y2334" s="176"/>
      <c r="Z2334" s="176"/>
    </row>
    <row r="2335" ht="15.75" customHeight="1">
      <c r="A2335" s="408"/>
      <c r="B2335" s="428"/>
      <c r="C2335" s="200"/>
      <c r="D2335" s="176"/>
      <c r="E2335" s="176"/>
      <c r="F2335" s="408"/>
      <c r="G2335" s="176"/>
      <c r="H2335" s="114"/>
      <c r="I2335" s="42"/>
      <c r="J2335" s="42"/>
      <c r="K2335" s="176"/>
      <c r="L2335" s="176"/>
      <c r="M2335" s="176"/>
      <c r="N2335" s="176"/>
      <c r="O2335" s="176"/>
      <c r="P2335" s="114"/>
      <c r="Q2335" s="176"/>
      <c r="R2335" s="114"/>
      <c r="S2335" s="114"/>
      <c r="T2335" s="200"/>
      <c r="U2335" s="114"/>
      <c r="V2335" s="414"/>
      <c r="W2335" s="176"/>
      <c r="X2335" s="176"/>
      <c r="Y2335" s="176"/>
      <c r="Z2335" s="176"/>
    </row>
    <row r="2336" ht="15.75" customHeight="1">
      <c r="A2336" s="408"/>
      <c r="B2336" s="428"/>
      <c r="C2336" s="200"/>
      <c r="D2336" s="176"/>
      <c r="E2336" s="176"/>
      <c r="F2336" s="408"/>
      <c r="G2336" s="176"/>
      <c r="H2336" s="114"/>
      <c r="I2336" s="42"/>
      <c r="J2336" s="42"/>
      <c r="K2336" s="176"/>
      <c r="L2336" s="176"/>
      <c r="M2336" s="176"/>
      <c r="N2336" s="176"/>
      <c r="O2336" s="176"/>
      <c r="P2336" s="114"/>
      <c r="Q2336" s="176"/>
      <c r="R2336" s="114"/>
      <c r="S2336" s="114"/>
      <c r="T2336" s="200"/>
      <c r="U2336" s="114"/>
      <c r="V2336" s="414"/>
      <c r="W2336" s="176"/>
      <c r="X2336" s="176"/>
      <c r="Y2336" s="176"/>
      <c r="Z2336" s="176"/>
    </row>
    <row r="2337" ht="15.75" customHeight="1">
      <c r="A2337" s="408"/>
      <c r="B2337" s="428"/>
      <c r="C2337" s="200"/>
      <c r="D2337" s="176"/>
      <c r="E2337" s="176"/>
      <c r="F2337" s="408"/>
      <c r="G2337" s="176"/>
      <c r="H2337" s="114"/>
      <c r="I2337" s="42"/>
      <c r="J2337" s="42"/>
      <c r="K2337" s="176"/>
      <c r="L2337" s="176"/>
      <c r="M2337" s="176"/>
      <c r="N2337" s="176"/>
      <c r="O2337" s="176"/>
      <c r="P2337" s="114"/>
      <c r="Q2337" s="176"/>
      <c r="R2337" s="114"/>
      <c r="S2337" s="114"/>
      <c r="T2337" s="200"/>
      <c r="U2337" s="114"/>
      <c r="V2337" s="414"/>
      <c r="W2337" s="176"/>
      <c r="X2337" s="176"/>
      <c r="Y2337" s="176"/>
      <c r="Z2337" s="176"/>
    </row>
    <row r="2338" ht="15.75" customHeight="1">
      <c r="A2338" s="408"/>
      <c r="B2338" s="428"/>
      <c r="C2338" s="200"/>
      <c r="D2338" s="176"/>
      <c r="E2338" s="176"/>
      <c r="F2338" s="408"/>
      <c r="G2338" s="176"/>
      <c r="H2338" s="114"/>
      <c r="I2338" s="42"/>
      <c r="J2338" s="42"/>
      <c r="K2338" s="176"/>
      <c r="L2338" s="176"/>
      <c r="M2338" s="176"/>
      <c r="N2338" s="176"/>
      <c r="O2338" s="176"/>
      <c r="P2338" s="114"/>
      <c r="Q2338" s="176"/>
      <c r="R2338" s="114"/>
      <c r="S2338" s="114"/>
      <c r="T2338" s="200"/>
      <c r="U2338" s="114"/>
      <c r="V2338" s="414"/>
      <c r="W2338" s="176"/>
      <c r="X2338" s="176"/>
      <c r="Y2338" s="176"/>
      <c r="Z2338" s="176"/>
    </row>
    <row r="2339" ht="15.75" customHeight="1">
      <c r="A2339" s="408"/>
      <c r="B2339" s="428"/>
      <c r="C2339" s="200"/>
      <c r="D2339" s="176"/>
      <c r="E2339" s="176"/>
      <c r="F2339" s="408"/>
      <c r="G2339" s="176"/>
      <c r="H2339" s="114"/>
      <c r="I2339" s="42"/>
      <c r="J2339" s="42"/>
      <c r="K2339" s="176"/>
      <c r="L2339" s="176"/>
      <c r="M2339" s="176"/>
      <c r="N2339" s="176"/>
      <c r="O2339" s="176"/>
      <c r="P2339" s="114"/>
      <c r="Q2339" s="176"/>
      <c r="R2339" s="114"/>
      <c r="S2339" s="114"/>
      <c r="T2339" s="200"/>
      <c r="U2339" s="114"/>
      <c r="V2339" s="414"/>
      <c r="W2339" s="176"/>
      <c r="X2339" s="176"/>
      <c r="Y2339" s="176"/>
      <c r="Z2339" s="176"/>
    </row>
    <row r="2340" ht="15.75" customHeight="1">
      <c r="A2340" s="408"/>
      <c r="B2340" s="428"/>
      <c r="C2340" s="200"/>
      <c r="D2340" s="176"/>
      <c r="E2340" s="176"/>
      <c r="F2340" s="408"/>
      <c r="G2340" s="176"/>
      <c r="H2340" s="114"/>
      <c r="I2340" s="42"/>
      <c r="J2340" s="42"/>
      <c r="K2340" s="176"/>
      <c r="L2340" s="176"/>
      <c r="M2340" s="176"/>
      <c r="N2340" s="176"/>
      <c r="O2340" s="176"/>
      <c r="P2340" s="114"/>
      <c r="Q2340" s="176"/>
      <c r="R2340" s="114"/>
      <c r="S2340" s="114"/>
      <c r="T2340" s="200"/>
      <c r="U2340" s="114"/>
      <c r="V2340" s="414"/>
      <c r="W2340" s="176"/>
      <c r="X2340" s="176"/>
      <c r="Y2340" s="176"/>
      <c r="Z2340" s="176"/>
    </row>
    <row r="2341" ht="15.75" customHeight="1">
      <c r="A2341" s="408"/>
      <c r="B2341" s="428"/>
      <c r="C2341" s="200"/>
      <c r="D2341" s="176"/>
      <c r="E2341" s="176"/>
      <c r="F2341" s="408"/>
      <c r="G2341" s="176"/>
      <c r="H2341" s="114"/>
      <c r="I2341" s="42"/>
      <c r="J2341" s="42"/>
      <c r="K2341" s="176"/>
      <c r="L2341" s="176"/>
      <c r="M2341" s="176"/>
      <c r="N2341" s="176"/>
      <c r="O2341" s="176"/>
      <c r="P2341" s="114"/>
      <c r="Q2341" s="176"/>
      <c r="R2341" s="114"/>
      <c r="S2341" s="114"/>
      <c r="T2341" s="200"/>
      <c r="U2341" s="114"/>
      <c r="V2341" s="414"/>
      <c r="W2341" s="176"/>
      <c r="X2341" s="176"/>
      <c r="Y2341" s="176"/>
      <c r="Z2341" s="176"/>
    </row>
    <row r="2342" ht="15.75" customHeight="1">
      <c r="A2342" s="408"/>
      <c r="B2342" s="428"/>
      <c r="C2342" s="200"/>
      <c r="D2342" s="176"/>
      <c r="E2342" s="176"/>
      <c r="F2342" s="408"/>
      <c r="G2342" s="176"/>
      <c r="H2342" s="114"/>
      <c r="I2342" s="42"/>
      <c r="J2342" s="42"/>
      <c r="K2342" s="176"/>
      <c r="L2342" s="176"/>
      <c r="M2342" s="176"/>
      <c r="N2342" s="176"/>
      <c r="O2342" s="176"/>
      <c r="P2342" s="114"/>
      <c r="Q2342" s="176"/>
      <c r="R2342" s="114"/>
      <c r="S2342" s="114"/>
      <c r="T2342" s="200"/>
      <c r="U2342" s="114"/>
      <c r="V2342" s="414"/>
      <c r="W2342" s="176"/>
      <c r="X2342" s="176"/>
      <c r="Y2342" s="176"/>
      <c r="Z2342" s="176"/>
    </row>
    <row r="2343" ht="15.75" customHeight="1">
      <c r="A2343" s="408"/>
      <c r="B2343" s="428"/>
      <c r="C2343" s="200"/>
      <c r="D2343" s="176"/>
      <c r="E2343" s="176"/>
      <c r="F2343" s="408"/>
      <c r="G2343" s="176"/>
      <c r="H2343" s="114"/>
      <c r="I2343" s="42"/>
      <c r="J2343" s="42"/>
      <c r="K2343" s="176"/>
      <c r="L2343" s="176"/>
      <c r="M2343" s="176"/>
      <c r="N2343" s="176"/>
      <c r="O2343" s="176"/>
      <c r="P2343" s="114"/>
      <c r="Q2343" s="176"/>
      <c r="R2343" s="114"/>
      <c r="S2343" s="114"/>
      <c r="T2343" s="200"/>
      <c r="U2343" s="114"/>
      <c r="V2343" s="414"/>
      <c r="W2343" s="176"/>
      <c r="X2343" s="176"/>
      <c r="Y2343" s="176"/>
      <c r="Z2343" s="176"/>
    </row>
    <row r="2344" ht="15.75" customHeight="1">
      <c r="A2344" s="408"/>
      <c r="B2344" s="428"/>
      <c r="C2344" s="200"/>
      <c r="D2344" s="176"/>
      <c r="E2344" s="176"/>
      <c r="F2344" s="408"/>
      <c r="G2344" s="176"/>
      <c r="H2344" s="114"/>
      <c r="I2344" s="42"/>
      <c r="J2344" s="42"/>
      <c r="K2344" s="176"/>
      <c r="L2344" s="176"/>
      <c r="M2344" s="176"/>
      <c r="N2344" s="176"/>
      <c r="O2344" s="176"/>
      <c r="P2344" s="114"/>
      <c r="Q2344" s="176"/>
      <c r="R2344" s="114"/>
      <c r="S2344" s="114"/>
      <c r="T2344" s="200"/>
      <c r="U2344" s="114"/>
      <c r="V2344" s="414"/>
      <c r="W2344" s="176"/>
      <c r="X2344" s="176"/>
      <c r="Y2344" s="176"/>
      <c r="Z2344" s="176"/>
    </row>
    <row r="2345" ht="15.75" customHeight="1">
      <c r="A2345" s="408"/>
      <c r="B2345" s="428"/>
      <c r="C2345" s="200"/>
      <c r="D2345" s="176"/>
      <c r="E2345" s="176"/>
      <c r="F2345" s="408"/>
      <c r="G2345" s="176"/>
      <c r="H2345" s="114"/>
      <c r="I2345" s="42"/>
      <c r="J2345" s="42"/>
      <c r="K2345" s="176"/>
      <c r="L2345" s="176"/>
      <c r="M2345" s="176"/>
      <c r="N2345" s="176"/>
      <c r="O2345" s="176"/>
      <c r="P2345" s="114"/>
      <c r="Q2345" s="176"/>
      <c r="R2345" s="114"/>
      <c r="S2345" s="114"/>
      <c r="T2345" s="200"/>
      <c r="U2345" s="114"/>
      <c r="V2345" s="414"/>
      <c r="W2345" s="176"/>
      <c r="X2345" s="176"/>
      <c r="Y2345" s="176"/>
      <c r="Z2345" s="176"/>
    </row>
    <row r="2346" ht="15.75" customHeight="1">
      <c r="A2346" s="408"/>
      <c r="B2346" s="428"/>
      <c r="C2346" s="200"/>
      <c r="D2346" s="176"/>
      <c r="E2346" s="176"/>
      <c r="F2346" s="408"/>
      <c r="G2346" s="176"/>
      <c r="H2346" s="114"/>
      <c r="I2346" s="42"/>
      <c r="J2346" s="42"/>
      <c r="K2346" s="176"/>
      <c r="L2346" s="176"/>
      <c r="M2346" s="176"/>
      <c r="N2346" s="176"/>
      <c r="O2346" s="176"/>
      <c r="P2346" s="114"/>
      <c r="Q2346" s="176"/>
      <c r="R2346" s="114"/>
      <c r="S2346" s="114"/>
      <c r="T2346" s="200"/>
      <c r="U2346" s="114"/>
      <c r="V2346" s="414"/>
      <c r="W2346" s="176"/>
      <c r="X2346" s="176"/>
      <c r="Y2346" s="176"/>
      <c r="Z2346" s="176"/>
    </row>
    <row r="2347" ht="15.75" customHeight="1">
      <c r="A2347" s="408"/>
      <c r="B2347" s="428"/>
      <c r="C2347" s="200"/>
      <c r="D2347" s="176"/>
      <c r="E2347" s="176"/>
      <c r="F2347" s="408"/>
      <c r="G2347" s="176"/>
      <c r="H2347" s="114"/>
      <c r="I2347" s="42"/>
      <c r="J2347" s="42"/>
      <c r="K2347" s="176"/>
      <c r="L2347" s="176"/>
      <c r="M2347" s="176"/>
      <c r="N2347" s="176"/>
      <c r="O2347" s="176"/>
      <c r="P2347" s="114"/>
      <c r="Q2347" s="176"/>
      <c r="R2347" s="114"/>
      <c r="S2347" s="114"/>
      <c r="T2347" s="200"/>
      <c r="U2347" s="114"/>
      <c r="V2347" s="414"/>
      <c r="W2347" s="176"/>
      <c r="X2347" s="176"/>
      <c r="Y2347" s="176"/>
      <c r="Z2347" s="176"/>
    </row>
    <row r="2348" ht="15.75" customHeight="1">
      <c r="A2348" s="408"/>
      <c r="B2348" s="428"/>
      <c r="C2348" s="200"/>
      <c r="D2348" s="176"/>
      <c r="E2348" s="176"/>
      <c r="F2348" s="408"/>
      <c r="G2348" s="176"/>
      <c r="H2348" s="114"/>
      <c r="I2348" s="42"/>
      <c r="J2348" s="42"/>
      <c r="K2348" s="176"/>
      <c r="L2348" s="176"/>
      <c r="M2348" s="176"/>
      <c r="N2348" s="176"/>
      <c r="O2348" s="176"/>
      <c r="P2348" s="114"/>
      <c r="Q2348" s="176"/>
      <c r="R2348" s="114"/>
      <c r="S2348" s="114"/>
      <c r="T2348" s="200"/>
      <c r="U2348" s="114"/>
      <c r="V2348" s="414"/>
      <c r="W2348" s="176"/>
      <c r="X2348" s="176"/>
      <c r="Y2348" s="176"/>
      <c r="Z2348" s="176"/>
    </row>
    <row r="2349" ht="15.75" customHeight="1">
      <c r="A2349" s="408"/>
      <c r="B2349" s="428"/>
      <c r="C2349" s="200"/>
      <c r="D2349" s="176"/>
      <c r="E2349" s="176"/>
      <c r="F2349" s="408"/>
      <c r="G2349" s="176"/>
      <c r="H2349" s="114"/>
      <c r="I2349" s="42"/>
      <c r="J2349" s="42"/>
      <c r="K2349" s="176"/>
      <c r="L2349" s="176"/>
      <c r="M2349" s="176"/>
      <c r="N2349" s="176"/>
      <c r="O2349" s="176"/>
      <c r="P2349" s="114"/>
      <c r="Q2349" s="176"/>
      <c r="R2349" s="114"/>
      <c r="S2349" s="114"/>
      <c r="T2349" s="200"/>
      <c r="U2349" s="114"/>
      <c r="V2349" s="414"/>
      <c r="W2349" s="176"/>
      <c r="X2349" s="176"/>
      <c r="Y2349" s="176"/>
      <c r="Z2349" s="176"/>
    </row>
    <row r="2350" ht="15.75" customHeight="1">
      <c r="A2350" s="408"/>
      <c r="B2350" s="428"/>
      <c r="C2350" s="200"/>
      <c r="D2350" s="176"/>
      <c r="E2350" s="176"/>
      <c r="F2350" s="408"/>
      <c r="G2350" s="176"/>
      <c r="H2350" s="114"/>
      <c r="I2350" s="42"/>
      <c r="J2350" s="42"/>
      <c r="K2350" s="176"/>
      <c r="L2350" s="176"/>
      <c r="M2350" s="176"/>
      <c r="N2350" s="176"/>
      <c r="O2350" s="176"/>
      <c r="P2350" s="114"/>
      <c r="Q2350" s="176"/>
      <c r="R2350" s="114"/>
      <c r="S2350" s="114"/>
      <c r="T2350" s="200"/>
      <c r="U2350" s="114"/>
      <c r="V2350" s="414"/>
      <c r="W2350" s="176"/>
      <c r="X2350" s="176"/>
      <c r="Y2350" s="176"/>
      <c r="Z2350" s="176"/>
    </row>
    <row r="2351" ht="15.75" customHeight="1">
      <c r="A2351" s="408"/>
      <c r="B2351" s="428"/>
      <c r="C2351" s="200"/>
      <c r="D2351" s="176"/>
      <c r="E2351" s="176"/>
      <c r="F2351" s="408"/>
      <c r="G2351" s="176"/>
      <c r="H2351" s="114"/>
      <c r="I2351" s="42"/>
      <c r="J2351" s="42"/>
      <c r="K2351" s="176"/>
      <c r="L2351" s="176"/>
      <c r="M2351" s="176"/>
      <c r="N2351" s="176"/>
      <c r="O2351" s="176"/>
      <c r="P2351" s="114"/>
      <c r="Q2351" s="176"/>
      <c r="R2351" s="114"/>
      <c r="S2351" s="114"/>
      <c r="T2351" s="200"/>
      <c r="U2351" s="114"/>
      <c r="V2351" s="414"/>
      <c r="W2351" s="176"/>
      <c r="X2351" s="176"/>
      <c r="Y2351" s="176"/>
      <c r="Z2351" s="176"/>
    </row>
    <row r="2352" ht="15.75" customHeight="1">
      <c r="A2352" s="408"/>
      <c r="B2352" s="428"/>
      <c r="C2352" s="200"/>
      <c r="D2352" s="176"/>
      <c r="E2352" s="176"/>
      <c r="F2352" s="408"/>
      <c r="G2352" s="176"/>
      <c r="H2352" s="114"/>
      <c r="I2352" s="42"/>
      <c r="J2352" s="42"/>
      <c r="K2352" s="176"/>
      <c r="L2352" s="176"/>
      <c r="M2352" s="176"/>
      <c r="N2352" s="176"/>
      <c r="O2352" s="176"/>
      <c r="P2352" s="114"/>
      <c r="Q2352" s="176"/>
      <c r="R2352" s="114"/>
      <c r="S2352" s="114"/>
      <c r="T2352" s="200"/>
      <c r="U2352" s="114"/>
      <c r="V2352" s="414"/>
      <c r="W2352" s="176"/>
      <c r="X2352" s="176"/>
      <c r="Y2352" s="176"/>
      <c r="Z2352" s="176"/>
    </row>
    <row r="2353" ht="15.75" customHeight="1">
      <c r="A2353" s="408"/>
      <c r="B2353" s="428"/>
      <c r="C2353" s="200"/>
      <c r="D2353" s="176"/>
      <c r="E2353" s="176"/>
      <c r="F2353" s="408"/>
      <c r="G2353" s="176"/>
      <c r="H2353" s="114"/>
      <c r="I2353" s="42"/>
      <c r="J2353" s="42"/>
      <c r="K2353" s="176"/>
      <c r="L2353" s="176"/>
      <c r="M2353" s="176"/>
      <c r="N2353" s="176"/>
      <c r="O2353" s="176"/>
      <c r="P2353" s="114"/>
      <c r="Q2353" s="176"/>
      <c r="R2353" s="114"/>
      <c r="S2353" s="114"/>
      <c r="T2353" s="200"/>
      <c r="U2353" s="114"/>
      <c r="V2353" s="414"/>
      <c r="W2353" s="176"/>
      <c r="X2353" s="176"/>
      <c r="Y2353" s="176"/>
      <c r="Z2353" s="176"/>
    </row>
    <row r="2354" ht="15.75" customHeight="1">
      <c r="A2354" s="408"/>
      <c r="B2354" s="428"/>
      <c r="C2354" s="200"/>
      <c r="D2354" s="176"/>
      <c r="E2354" s="176"/>
      <c r="F2354" s="408"/>
      <c r="G2354" s="176"/>
      <c r="H2354" s="114"/>
      <c r="I2354" s="42"/>
      <c r="J2354" s="42"/>
      <c r="K2354" s="176"/>
      <c r="L2354" s="176"/>
      <c r="M2354" s="176"/>
      <c r="N2354" s="176"/>
      <c r="O2354" s="176"/>
      <c r="P2354" s="114"/>
      <c r="Q2354" s="176"/>
      <c r="R2354" s="114"/>
      <c r="S2354" s="114"/>
      <c r="T2354" s="200"/>
      <c r="U2354" s="114"/>
      <c r="V2354" s="414"/>
      <c r="W2354" s="176"/>
      <c r="X2354" s="176"/>
      <c r="Y2354" s="176"/>
      <c r="Z2354" s="176"/>
    </row>
    <row r="2355" ht="15.75" customHeight="1">
      <c r="A2355" s="408"/>
      <c r="B2355" s="428"/>
      <c r="C2355" s="200"/>
      <c r="D2355" s="176"/>
      <c r="E2355" s="176"/>
      <c r="F2355" s="408"/>
      <c r="G2355" s="176"/>
      <c r="H2355" s="114"/>
      <c r="I2355" s="42"/>
      <c r="J2355" s="42"/>
      <c r="K2355" s="176"/>
      <c r="L2355" s="176"/>
      <c r="M2355" s="176"/>
      <c r="N2355" s="176"/>
      <c r="O2355" s="176"/>
      <c r="P2355" s="114"/>
      <c r="Q2355" s="176"/>
      <c r="R2355" s="114"/>
      <c r="S2355" s="114"/>
      <c r="T2355" s="200"/>
      <c r="U2355" s="114"/>
      <c r="V2355" s="414"/>
      <c r="W2355" s="176"/>
      <c r="X2355" s="176"/>
      <c r="Y2355" s="176"/>
      <c r="Z2355" s="176"/>
    </row>
    <row r="2356" ht="15.75" customHeight="1">
      <c r="A2356" s="408"/>
      <c r="B2356" s="428"/>
      <c r="C2356" s="200"/>
      <c r="D2356" s="176"/>
      <c r="E2356" s="176"/>
      <c r="F2356" s="408"/>
      <c r="G2356" s="176"/>
      <c r="H2356" s="114"/>
      <c r="I2356" s="42"/>
      <c r="J2356" s="42"/>
      <c r="K2356" s="176"/>
      <c r="L2356" s="176"/>
      <c r="M2356" s="176"/>
      <c r="N2356" s="176"/>
      <c r="O2356" s="176"/>
      <c r="P2356" s="114"/>
      <c r="Q2356" s="176"/>
      <c r="R2356" s="114"/>
      <c r="S2356" s="114"/>
      <c r="T2356" s="200"/>
      <c r="U2356" s="114"/>
      <c r="V2356" s="414"/>
      <c r="W2356" s="176"/>
      <c r="X2356" s="176"/>
      <c r="Y2356" s="176"/>
      <c r="Z2356" s="176"/>
    </row>
    <row r="2357" ht="15.75" customHeight="1">
      <c r="A2357" s="408"/>
      <c r="B2357" s="428"/>
      <c r="C2357" s="200"/>
      <c r="D2357" s="176"/>
      <c r="E2357" s="176"/>
      <c r="F2357" s="408"/>
      <c r="G2357" s="176"/>
      <c r="H2357" s="114"/>
      <c r="I2357" s="42"/>
      <c r="J2357" s="42"/>
      <c r="K2357" s="176"/>
      <c r="L2357" s="176"/>
      <c r="M2357" s="176"/>
      <c r="N2357" s="176"/>
      <c r="O2357" s="176"/>
      <c r="P2357" s="114"/>
      <c r="Q2357" s="176"/>
      <c r="R2357" s="114"/>
      <c r="S2357" s="114"/>
      <c r="T2357" s="200"/>
      <c r="U2357" s="114"/>
      <c r="V2357" s="414"/>
      <c r="W2357" s="176"/>
      <c r="X2357" s="176"/>
      <c r="Y2357" s="176"/>
      <c r="Z2357" s="176"/>
    </row>
    <row r="2358" ht="15.75" customHeight="1">
      <c r="A2358" s="408"/>
      <c r="B2358" s="428"/>
      <c r="C2358" s="200"/>
      <c r="D2358" s="176"/>
      <c r="E2358" s="176"/>
      <c r="F2358" s="408"/>
      <c r="G2358" s="176"/>
      <c r="H2358" s="114"/>
      <c r="I2358" s="42"/>
      <c r="J2358" s="42"/>
      <c r="K2358" s="176"/>
      <c r="L2358" s="176"/>
      <c r="M2358" s="176"/>
      <c r="N2358" s="176"/>
      <c r="O2358" s="176"/>
      <c r="P2358" s="114"/>
      <c r="Q2358" s="176"/>
      <c r="R2358" s="114"/>
      <c r="S2358" s="114"/>
      <c r="T2358" s="200"/>
      <c r="U2358" s="114"/>
      <c r="V2358" s="414"/>
      <c r="W2358" s="176"/>
      <c r="X2358" s="176"/>
      <c r="Y2358" s="176"/>
      <c r="Z2358" s="176"/>
    </row>
    <row r="2359" ht="15.75" customHeight="1">
      <c r="A2359" s="408"/>
      <c r="B2359" s="428"/>
      <c r="C2359" s="200"/>
      <c r="D2359" s="176"/>
      <c r="E2359" s="176"/>
      <c r="F2359" s="408"/>
      <c r="G2359" s="176"/>
      <c r="H2359" s="114"/>
      <c r="I2359" s="42"/>
      <c r="J2359" s="42"/>
      <c r="K2359" s="176"/>
      <c r="L2359" s="176"/>
      <c r="M2359" s="176"/>
      <c r="N2359" s="176"/>
      <c r="O2359" s="176"/>
      <c r="P2359" s="114"/>
      <c r="Q2359" s="176"/>
      <c r="R2359" s="114"/>
      <c r="S2359" s="114"/>
      <c r="T2359" s="200"/>
      <c r="U2359" s="114"/>
      <c r="V2359" s="414"/>
      <c r="W2359" s="176"/>
      <c r="X2359" s="176"/>
      <c r="Y2359" s="176"/>
      <c r="Z2359" s="176"/>
    </row>
    <row r="2360" ht="15.75" customHeight="1">
      <c r="A2360" s="408"/>
      <c r="B2360" s="428"/>
      <c r="C2360" s="200"/>
      <c r="D2360" s="176"/>
      <c r="E2360" s="176"/>
      <c r="F2360" s="408"/>
      <c r="G2360" s="176"/>
      <c r="H2360" s="114"/>
      <c r="I2360" s="42"/>
      <c r="J2360" s="42"/>
      <c r="K2360" s="176"/>
      <c r="L2360" s="176"/>
      <c r="M2360" s="176"/>
      <c r="N2360" s="176"/>
      <c r="O2360" s="176"/>
      <c r="P2360" s="114"/>
      <c r="Q2360" s="176"/>
      <c r="R2360" s="114"/>
      <c r="S2360" s="114"/>
      <c r="T2360" s="200"/>
      <c r="U2360" s="114"/>
      <c r="V2360" s="414"/>
      <c r="W2360" s="176"/>
      <c r="X2360" s="176"/>
      <c r="Y2360" s="176"/>
      <c r="Z2360" s="176"/>
    </row>
    <row r="2361" ht="15.75" customHeight="1">
      <c r="A2361" s="408"/>
      <c r="B2361" s="428"/>
      <c r="C2361" s="200"/>
      <c r="D2361" s="176"/>
      <c r="E2361" s="176"/>
      <c r="F2361" s="408"/>
      <c r="G2361" s="176"/>
      <c r="H2361" s="114"/>
      <c r="I2361" s="42"/>
      <c r="J2361" s="42"/>
      <c r="K2361" s="176"/>
      <c r="L2361" s="176"/>
      <c r="M2361" s="176"/>
      <c r="N2361" s="176"/>
      <c r="O2361" s="176"/>
      <c r="P2361" s="114"/>
      <c r="Q2361" s="176"/>
      <c r="R2361" s="114"/>
      <c r="S2361" s="114"/>
      <c r="T2361" s="200"/>
      <c r="U2361" s="114"/>
      <c r="V2361" s="414"/>
      <c r="W2361" s="176"/>
      <c r="X2361" s="176"/>
      <c r="Y2361" s="176"/>
      <c r="Z2361" s="176"/>
    </row>
    <row r="2362" ht="15.75" customHeight="1">
      <c r="A2362" s="408"/>
      <c r="B2362" s="428"/>
      <c r="C2362" s="200"/>
      <c r="D2362" s="176"/>
      <c r="E2362" s="176"/>
      <c r="F2362" s="408"/>
      <c r="G2362" s="176"/>
      <c r="H2362" s="114"/>
      <c r="I2362" s="42"/>
      <c r="J2362" s="42"/>
      <c r="K2362" s="176"/>
      <c r="L2362" s="176"/>
      <c r="M2362" s="176"/>
      <c r="N2362" s="176"/>
      <c r="O2362" s="176"/>
      <c r="P2362" s="114"/>
      <c r="Q2362" s="176"/>
      <c r="R2362" s="114"/>
      <c r="S2362" s="114"/>
      <c r="T2362" s="200"/>
      <c r="U2362" s="114"/>
      <c r="V2362" s="414"/>
      <c r="W2362" s="176"/>
      <c r="X2362" s="176"/>
      <c r="Y2362" s="176"/>
      <c r="Z2362" s="176"/>
    </row>
    <row r="2363" ht="15.75" customHeight="1">
      <c r="A2363" s="408"/>
      <c r="B2363" s="428"/>
      <c r="C2363" s="200"/>
      <c r="D2363" s="176"/>
      <c r="E2363" s="176"/>
      <c r="F2363" s="408"/>
      <c r="G2363" s="176"/>
      <c r="H2363" s="114"/>
      <c r="I2363" s="42"/>
      <c r="J2363" s="42"/>
      <c r="K2363" s="176"/>
      <c r="L2363" s="176"/>
      <c r="M2363" s="176"/>
      <c r="N2363" s="176"/>
      <c r="O2363" s="176"/>
      <c r="P2363" s="114"/>
      <c r="Q2363" s="176"/>
      <c r="R2363" s="114"/>
      <c r="S2363" s="114"/>
      <c r="T2363" s="200"/>
      <c r="U2363" s="114"/>
      <c r="V2363" s="414"/>
      <c r="W2363" s="176"/>
      <c r="X2363" s="176"/>
      <c r="Y2363" s="176"/>
      <c r="Z2363" s="176"/>
    </row>
    <row r="2364" ht="15.75" customHeight="1">
      <c r="A2364" s="408"/>
      <c r="B2364" s="428"/>
      <c r="C2364" s="200"/>
      <c r="D2364" s="176"/>
      <c r="E2364" s="176"/>
      <c r="F2364" s="408"/>
      <c r="G2364" s="176"/>
      <c r="H2364" s="114"/>
      <c r="I2364" s="42"/>
      <c r="J2364" s="42"/>
      <c r="K2364" s="176"/>
      <c r="L2364" s="176"/>
      <c r="M2364" s="176"/>
      <c r="N2364" s="176"/>
      <c r="O2364" s="176"/>
      <c r="P2364" s="114"/>
      <c r="Q2364" s="176"/>
      <c r="R2364" s="114"/>
      <c r="S2364" s="114"/>
      <c r="T2364" s="200"/>
      <c r="U2364" s="114"/>
      <c r="V2364" s="414"/>
      <c r="W2364" s="176"/>
      <c r="X2364" s="176"/>
      <c r="Y2364" s="176"/>
      <c r="Z2364" s="176"/>
    </row>
    <row r="2365" ht="15.75" customHeight="1">
      <c r="A2365" s="408"/>
      <c r="B2365" s="428"/>
      <c r="C2365" s="200"/>
      <c r="D2365" s="176"/>
      <c r="E2365" s="176"/>
      <c r="F2365" s="408"/>
      <c r="G2365" s="176"/>
      <c r="H2365" s="114"/>
      <c r="I2365" s="42"/>
      <c r="J2365" s="42"/>
      <c r="K2365" s="176"/>
      <c r="L2365" s="176"/>
      <c r="M2365" s="176"/>
      <c r="N2365" s="176"/>
      <c r="O2365" s="176"/>
      <c r="P2365" s="114"/>
      <c r="Q2365" s="176"/>
      <c r="R2365" s="114"/>
      <c r="S2365" s="114"/>
      <c r="T2365" s="200"/>
      <c r="U2365" s="114"/>
      <c r="V2365" s="414"/>
      <c r="W2365" s="176"/>
      <c r="X2365" s="176"/>
      <c r="Y2365" s="176"/>
      <c r="Z2365" s="176"/>
    </row>
    <row r="2366" ht="15.75" customHeight="1">
      <c r="A2366" s="408"/>
      <c r="B2366" s="428"/>
      <c r="C2366" s="200"/>
      <c r="D2366" s="176"/>
      <c r="E2366" s="176"/>
      <c r="F2366" s="408"/>
      <c r="G2366" s="176"/>
      <c r="H2366" s="114"/>
      <c r="I2366" s="42"/>
      <c r="J2366" s="42"/>
      <c r="K2366" s="176"/>
      <c r="L2366" s="176"/>
      <c r="M2366" s="176"/>
      <c r="N2366" s="176"/>
      <c r="O2366" s="176"/>
      <c r="P2366" s="114"/>
      <c r="Q2366" s="176"/>
      <c r="R2366" s="114"/>
      <c r="S2366" s="114"/>
      <c r="T2366" s="200"/>
      <c r="U2366" s="114"/>
      <c r="V2366" s="414"/>
      <c r="W2366" s="176"/>
      <c r="X2366" s="176"/>
      <c r="Y2366" s="176"/>
      <c r="Z2366" s="176"/>
    </row>
    <row r="2367" ht="15.75" customHeight="1">
      <c r="A2367" s="408"/>
      <c r="B2367" s="428"/>
      <c r="C2367" s="200"/>
      <c r="D2367" s="176"/>
      <c r="E2367" s="176"/>
      <c r="F2367" s="408"/>
      <c r="G2367" s="176"/>
      <c r="H2367" s="114"/>
      <c r="I2367" s="42"/>
      <c r="J2367" s="42"/>
      <c r="K2367" s="176"/>
      <c r="L2367" s="176"/>
      <c r="M2367" s="176"/>
      <c r="N2367" s="176"/>
      <c r="O2367" s="176"/>
      <c r="P2367" s="114"/>
      <c r="Q2367" s="176"/>
      <c r="R2367" s="114"/>
      <c r="S2367" s="114"/>
      <c r="T2367" s="200"/>
      <c r="U2367" s="114"/>
      <c r="V2367" s="414"/>
      <c r="W2367" s="176"/>
      <c r="X2367" s="176"/>
      <c r="Y2367" s="176"/>
      <c r="Z2367" s="176"/>
    </row>
    <row r="2368" ht="15.75" customHeight="1">
      <c r="A2368" s="408"/>
      <c r="B2368" s="428"/>
      <c r="C2368" s="200"/>
      <c r="D2368" s="176"/>
      <c r="E2368" s="176"/>
      <c r="F2368" s="408"/>
      <c r="G2368" s="176"/>
      <c r="H2368" s="114"/>
      <c r="I2368" s="42"/>
      <c r="J2368" s="42"/>
      <c r="K2368" s="176"/>
      <c r="L2368" s="176"/>
      <c r="M2368" s="176"/>
      <c r="N2368" s="176"/>
      <c r="O2368" s="176"/>
      <c r="P2368" s="114"/>
      <c r="Q2368" s="176"/>
      <c r="R2368" s="114"/>
      <c r="S2368" s="114"/>
      <c r="T2368" s="200"/>
      <c r="U2368" s="114"/>
      <c r="V2368" s="414"/>
      <c r="W2368" s="176"/>
      <c r="X2368" s="176"/>
      <c r="Y2368" s="176"/>
      <c r="Z2368" s="176"/>
    </row>
    <row r="2369" ht="15.75" customHeight="1">
      <c r="A2369" s="408"/>
      <c r="B2369" s="428"/>
      <c r="C2369" s="200"/>
      <c r="D2369" s="176"/>
      <c r="E2369" s="176"/>
      <c r="F2369" s="408"/>
      <c r="G2369" s="176"/>
      <c r="H2369" s="114"/>
      <c r="I2369" s="42"/>
      <c r="J2369" s="42"/>
      <c r="K2369" s="176"/>
      <c r="L2369" s="176"/>
      <c r="M2369" s="176"/>
      <c r="N2369" s="176"/>
      <c r="O2369" s="176"/>
      <c r="P2369" s="114"/>
      <c r="Q2369" s="176"/>
      <c r="R2369" s="114"/>
      <c r="S2369" s="114"/>
      <c r="T2369" s="200"/>
      <c r="U2369" s="114"/>
      <c r="V2369" s="414"/>
      <c r="W2369" s="176"/>
      <c r="X2369" s="176"/>
      <c r="Y2369" s="176"/>
      <c r="Z2369" s="176"/>
    </row>
    <row r="2370" ht="15.75" customHeight="1">
      <c r="A2370" s="408"/>
      <c r="B2370" s="428"/>
      <c r="C2370" s="200"/>
      <c r="D2370" s="176"/>
      <c r="E2370" s="176"/>
      <c r="F2370" s="408"/>
      <c r="G2370" s="176"/>
      <c r="H2370" s="114"/>
      <c r="I2370" s="42"/>
      <c r="J2370" s="42"/>
      <c r="K2370" s="176"/>
      <c r="L2370" s="176"/>
      <c r="M2370" s="176"/>
      <c r="N2370" s="176"/>
      <c r="O2370" s="176"/>
      <c r="P2370" s="114"/>
      <c r="Q2370" s="176"/>
      <c r="R2370" s="114"/>
      <c r="S2370" s="114"/>
      <c r="T2370" s="200"/>
      <c r="U2370" s="114"/>
      <c r="V2370" s="414"/>
      <c r="W2370" s="176"/>
      <c r="X2370" s="176"/>
      <c r="Y2370" s="176"/>
      <c r="Z2370" s="176"/>
    </row>
    <row r="2371" ht="15.75" customHeight="1">
      <c r="A2371" s="408"/>
      <c r="B2371" s="428"/>
      <c r="C2371" s="200"/>
      <c r="D2371" s="176"/>
      <c r="E2371" s="176"/>
      <c r="F2371" s="408"/>
      <c r="G2371" s="176"/>
      <c r="H2371" s="114"/>
      <c r="I2371" s="42"/>
      <c r="J2371" s="42"/>
      <c r="K2371" s="176"/>
      <c r="L2371" s="176"/>
      <c r="M2371" s="176"/>
      <c r="N2371" s="176"/>
      <c r="O2371" s="176"/>
      <c r="P2371" s="114"/>
      <c r="Q2371" s="176"/>
      <c r="R2371" s="114"/>
      <c r="S2371" s="114"/>
      <c r="T2371" s="200"/>
      <c r="U2371" s="114"/>
      <c r="V2371" s="414"/>
      <c r="W2371" s="176"/>
      <c r="X2371" s="176"/>
      <c r="Y2371" s="176"/>
      <c r="Z2371" s="176"/>
    </row>
    <row r="2372" ht="15.75" customHeight="1">
      <c r="A2372" s="408"/>
      <c r="B2372" s="428"/>
      <c r="C2372" s="200"/>
      <c r="D2372" s="176"/>
      <c r="E2372" s="176"/>
      <c r="F2372" s="408"/>
      <c r="G2372" s="176"/>
      <c r="H2372" s="114"/>
      <c r="I2372" s="42"/>
      <c r="J2372" s="42"/>
      <c r="K2372" s="176"/>
      <c r="L2372" s="176"/>
      <c r="M2372" s="176"/>
      <c r="N2372" s="176"/>
      <c r="O2372" s="176"/>
      <c r="P2372" s="114"/>
      <c r="Q2372" s="176"/>
      <c r="R2372" s="114"/>
      <c r="S2372" s="114"/>
      <c r="T2372" s="200"/>
      <c r="U2372" s="114"/>
      <c r="V2372" s="414"/>
      <c r="W2372" s="176"/>
      <c r="X2372" s="176"/>
      <c r="Y2372" s="176"/>
      <c r="Z2372" s="176"/>
    </row>
    <row r="2373" ht="15.75" customHeight="1">
      <c r="A2373" s="408"/>
      <c r="B2373" s="428"/>
      <c r="C2373" s="200"/>
      <c r="D2373" s="176"/>
      <c r="E2373" s="176"/>
      <c r="F2373" s="408"/>
      <c r="G2373" s="176"/>
      <c r="H2373" s="114"/>
      <c r="I2373" s="42"/>
      <c r="J2373" s="42"/>
      <c r="K2373" s="176"/>
      <c r="L2373" s="176"/>
      <c r="M2373" s="176"/>
      <c r="N2373" s="176"/>
      <c r="O2373" s="176"/>
      <c r="P2373" s="114"/>
      <c r="Q2373" s="176"/>
      <c r="R2373" s="114"/>
      <c r="S2373" s="114"/>
      <c r="T2373" s="200"/>
      <c r="U2373" s="114"/>
      <c r="V2373" s="414"/>
      <c r="W2373" s="176"/>
      <c r="X2373" s="176"/>
      <c r="Y2373" s="176"/>
      <c r="Z2373" s="176"/>
    </row>
    <row r="2374" ht="15.75" customHeight="1">
      <c r="A2374" s="408"/>
      <c r="B2374" s="428"/>
      <c r="C2374" s="200"/>
      <c r="D2374" s="176"/>
      <c r="E2374" s="176"/>
      <c r="F2374" s="408"/>
      <c r="G2374" s="176"/>
      <c r="H2374" s="114"/>
      <c r="I2374" s="42"/>
      <c r="J2374" s="42"/>
      <c r="K2374" s="176"/>
      <c r="L2374" s="176"/>
      <c r="M2374" s="176"/>
      <c r="N2374" s="176"/>
      <c r="O2374" s="176"/>
      <c r="P2374" s="114"/>
      <c r="Q2374" s="176"/>
      <c r="R2374" s="114"/>
      <c r="S2374" s="114"/>
      <c r="T2374" s="200"/>
      <c r="U2374" s="114"/>
      <c r="V2374" s="414"/>
      <c r="W2374" s="176"/>
      <c r="X2374" s="176"/>
      <c r="Y2374" s="176"/>
      <c r="Z2374" s="176"/>
    </row>
    <row r="2375" ht="15.75" customHeight="1">
      <c r="A2375" s="408"/>
      <c r="B2375" s="428"/>
      <c r="C2375" s="200"/>
      <c r="D2375" s="176"/>
      <c r="E2375" s="176"/>
      <c r="F2375" s="408"/>
      <c r="G2375" s="176"/>
      <c r="H2375" s="114"/>
      <c r="I2375" s="42"/>
      <c r="J2375" s="42"/>
      <c r="K2375" s="176"/>
      <c r="L2375" s="176"/>
      <c r="M2375" s="176"/>
      <c r="N2375" s="176"/>
      <c r="O2375" s="176"/>
      <c r="P2375" s="114"/>
      <c r="Q2375" s="176"/>
      <c r="R2375" s="114"/>
      <c r="S2375" s="114"/>
      <c r="T2375" s="200"/>
      <c r="U2375" s="114"/>
      <c r="V2375" s="414"/>
      <c r="W2375" s="176"/>
      <c r="X2375" s="176"/>
      <c r="Y2375" s="176"/>
      <c r="Z2375" s="176"/>
    </row>
    <row r="2376" ht="15.75" customHeight="1">
      <c r="A2376" s="408"/>
      <c r="B2376" s="428"/>
      <c r="C2376" s="200"/>
      <c r="D2376" s="176"/>
      <c r="E2376" s="176"/>
      <c r="F2376" s="408"/>
      <c r="G2376" s="176"/>
      <c r="H2376" s="114"/>
      <c r="I2376" s="42"/>
      <c r="J2376" s="42"/>
      <c r="K2376" s="176"/>
      <c r="L2376" s="176"/>
      <c r="M2376" s="176"/>
      <c r="N2376" s="176"/>
      <c r="O2376" s="176"/>
      <c r="P2376" s="114"/>
      <c r="Q2376" s="176"/>
      <c r="R2376" s="114"/>
      <c r="S2376" s="114"/>
      <c r="T2376" s="200"/>
      <c r="U2376" s="114"/>
      <c r="V2376" s="414"/>
      <c r="W2376" s="176"/>
      <c r="X2376" s="176"/>
      <c r="Y2376" s="176"/>
      <c r="Z2376" s="176"/>
    </row>
    <row r="2377" ht="15.75" customHeight="1">
      <c r="A2377" s="408"/>
      <c r="B2377" s="428"/>
      <c r="C2377" s="200"/>
      <c r="D2377" s="176"/>
      <c r="E2377" s="176"/>
      <c r="F2377" s="408"/>
      <c r="G2377" s="176"/>
      <c r="H2377" s="114"/>
      <c r="I2377" s="42"/>
      <c r="J2377" s="42"/>
      <c r="K2377" s="176"/>
      <c r="L2377" s="176"/>
      <c r="M2377" s="176"/>
      <c r="N2377" s="176"/>
      <c r="O2377" s="176"/>
      <c r="P2377" s="114"/>
      <c r="Q2377" s="176"/>
      <c r="R2377" s="114"/>
      <c r="S2377" s="114"/>
      <c r="T2377" s="200"/>
      <c r="U2377" s="114"/>
      <c r="V2377" s="414"/>
      <c r="W2377" s="176"/>
      <c r="X2377" s="176"/>
      <c r="Y2377" s="176"/>
      <c r="Z2377" s="176"/>
    </row>
    <row r="2378" ht="15.75" customHeight="1">
      <c r="A2378" s="408"/>
      <c r="B2378" s="428"/>
      <c r="C2378" s="200"/>
      <c r="D2378" s="176"/>
      <c r="E2378" s="176"/>
      <c r="F2378" s="408"/>
      <c r="G2378" s="176"/>
      <c r="H2378" s="114"/>
      <c r="I2378" s="42"/>
      <c r="J2378" s="42"/>
      <c r="K2378" s="176"/>
      <c r="L2378" s="176"/>
      <c r="M2378" s="176"/>
      <c r="N2378" s="176"/>
      <c r="O2378" s="176"/>
      <c r="P2378" s="114"/>
      <c r="Q2378" s="176"/>
      <c r="R2378" s="114"/>
      <c r="S2378" s="114"/>
      <c r="T2378" s="200"/>
      <c r="U2378" s="114"/>
      <c r="V2378" s="414"/>
      <c r="W2378" s="176"/>
      <c r="X2378" s="176"/>
      <c r="Y2378" s="176"/>
      <c r="Z2378" s="176"/>
    </row>
    <row r="2379" ht="15.75" customHeight="1">
      <c r="A2379" s="408"/>
      <c r="B2379" s="428"/>
      <c r="C2379" s="200"/>
      <c r="D2379" s="176"/>
      <c r="E2379" s="176"/>
      <c r="F2379" s="408"/>
      <c r="G2379" s="176"/>
      <c r="H2379" s="114"/>
      <c r="I2379" s="42"/>
      <c r="J2379" s="42"/>
      <c r="K2379" s="176"/>
      <c r="L2379" s="176"/>
      <c r="M2379" s="176"/>
      <c r="N2379" s="176"/>
      <c r="O2379" s="176"/>
      <c r="P2379" s="114"/>
      <c r="Q2379" s="176"/>
      <c r="R2379" s="114"/>
      <c r="S2379" s="114"/>
      <c r="T2379" s="200"/>
      <c r="U2379" s="114"/>
      <c r="V2379" s="414"/>
      <c r="W2379" s="176"/>
      <c r="X2379" s="176"/>
      <c r="Y2379" s="176"/>
      <c r="Z2379" s="176"/>
    </row>
    <row r="2380" ht="15.75" customHeight="1">
      <c r="A2380" s="408"/>
      <c r="B2380" s="428"/>
      <c r="C2380" s="200"/>
      <c r="D2380" s="176"/>
      <c r="E2380" s="176"/>
      <c r="F2380" s="408"/>
      <c r="G2380" s="176"/>
      <c r="H2380" s="114"/>
      <c r="I2380" s="42"/>
      <c r="J2380" s="42"/>
      <c r="K2380" s="176"/>
      <c r="L2380" s="176"/>
      <c r="M2380" s="176"/>
      <c r="N2380" s="176"/>
      <c r="O2380" s="176"/>
      <c r="P2380" s="114"/>
      <c r="Q2380" s="176"/>
      <c r="R2380" s="114"/>
      <c r="S2380" s="114"/>
      <c r="T2380" s="200"/>
      <c r="U2380" s="114"/>
      <c r="V2380" s="414"/>
      <c r="W2380" s="176"/>
      <c r="X2380" s="176"/>
      <c r="Y2380" s="176"/>
      <c r="Z2380" s="176"/>
    </row>
    <row r="2381" ht="15.75" customHeight="1">
      <c r="A2381" s="408"/>
      <c r="B2381" s="428"/>
      <c r="C2381" s="200"/>
      <c r="D2381" s="176"/>
      <c r="E2381" s="176"/>
      <c r="F2381" s="408"/>
      <c r="G2381" s="176"/>
      <c r="H2381" s="114"/>
      <c r="I2381" s="42"/>
      <c r="J2381" s="42"/>
      <c r="K2381" s="176"/>
      <c r="L2381" s="176"/>
      <c r="M2381" s="176"/>
      <c r="N2381" s="176"/>
      <c r="O2381" s="176"/>
      <c r="P2381" s="114"/>
      <c r="Q2381" s="176"/>
      <c r="R2381" s="114"/>
      <c r="S2381" s="114"/>
      <c r="T2381" s="200"/>
      <c r="U2381" s="114"/>
      <c r="V2381" s="414"/>
      <c r="W2381" s="176"/>
      <c r="X2381" s="176"/>
      <c r="Y2381" s="176"/>
      <c r="Z2381" s="176"/>
    </row>
    <row r="2382" ht="15.75" customHeight="1">
      <c r="A2382" s="408"/>
      <c r="B2382" s="428"/>
      <c r="C2382" s="200"/>
      <c r="D2382" s="176"/>
      <c r="E2382" s="176"/>
      <c r="F2382" s="408"/>
      <c r="G2382" s="176"/>
      <c r="H2382" s="114"/>
      <c r="I2382" s="42"/>
      <c r="J2382" s="42"/>
      <c r="K2382" s="176"/>
      <c r="L2382" s="176"/>
      <c r="M2382" s="176"/>
      <c r="N2382" s="176"/>
      <c r="O2382" s="176"/>
      <c r="P2382" s="114"/>
      <c r="Q2382" s="176"/>
      <c r="R2382" s="114"/>
      <c r="S2382" s="114"/>
      <c r="T2382" s="200"/>
      <c r="U2382" s="114"/>
      <c r="V2382" s="414"/>
      <c r="W2382" s="176"/>
      <c r="X2382" s="176"/>
      <c r="Y2382" s="176"/>
      <c r="Z2382" s="176"/>
    </row>
    <row r="2383" ht="15.75" customHeight="1">
      <c r="A2383" s="408"/>
      <c r="B2383" s="428"/>
      <c r="C2383" s="200"/>
      <c r="D2383" s="176"/>
      <c r="E2383" s="176"/>
      <c r="F2383" s="408"/>
      <c r="G2383" s="176"/>
      <c r="H2383" s="114"/>
      <c r="I2383" s="42"/>
      <c r="J2383" s="42"/>
      <c r="K2383" s="176"/>
      <c r="L2383" s="176"/>
      <c r="M2383" s="176"/>
      <c r="N2383" s="176"/>
      <c r="O2383" s="176"/>
      <c r="P2383" s="114"/>
      <c r="Q2383" s="176"/>
      <c r="R2383" s="114"/>
      <c r="S2383" s="114"/>
      <c r="T2383" s="200"/>
      <c r="U2383" s="114"/>
      <c r="V2383" s="414"/>
      <c r="W2383" s="176"/>
      <c r="X2383" s="176"/>
      <c r="Y2383" s="176"/>
      <c r="Z2383" s="176"/>
    </row>
    <row r="2384" ht="15.75" customHeight="1">
      <c r="A2384" s="408"/>
      <c r="B2384" s="428"/>
      <c r="C2384" s="200"/>
      <c r="D2384" s="176"/>
      <c r="E2384" s="176"/>
      <c r="F2384" s="408"/>
      <c r="G2384" s="176"/>
      <c r="H2384" s="114"/>
      <c r="I2384" s="42"/>
      <c r="J2384" s="42"/>
      <c r="K2384" s="176"/>
      <c r="L2384" s="176"/>
      <c r="M2384" s="176"/>
      <c r="N2384" s="176"/>
      <c r="O2384" s="176"/>
      <c r="P2384" s="114"/>
      <c r="Q2384" s="176"/>
      <c r="R2384" s="114"/>
      <c r="S2384" s="114"/>
      <c r="T2384" s="200"/>
      <c r="U2384" s="114"/>
      <c r="V2384" s="414"/>
      <c r="W2384" s="176"/>
      <c r="X2384" s="176"/>
      <c r="Y2384" s="176"/>
      <c r="Z2384" s="176"/>
    </row>
    <row r="2385" ht="15.75" customHeight="1">
      <c r="A2385" s="408"/>
      <c r="B2385" s="428"/>
      <c r="C2385" s="200"/>
      <c r="D2385" s="176"/>
      <c r="E2385" s="176"/>
      <c r="F2385" s="408"/>
      <c r="G2385" s="176"/>
      <c r="H2385" s="114"/>
      <c r="I2385" s="42"/>
      <c r="J2385" s="42"/>
      <c r="K2385" s="176"/>
      <c r="L2385" s="176"/>
      <c r="M2385" s="176"/>
      <c r="N2385" s="176"/>
      <c r="O2385" s="176"/>
      <c r="P2385" s="114"/>
      <c r="Q2385" s="176"/>
      <c r="R2385" s="114"/>
      <c r="S2385" s="114"/>
      <c r="T2385" s="200"/>
      <c r="U2385" s="114"/>
      <c r="V2385" s="414"/>
      <c r="W2385" s="176"/>
      <c r="X2385" s="176"/>
      <c r="Y2385" s="176"/>
      <c r="Z2385" s="176"/>
    </row>
    <row r="2386" ht="15.75" customHeight="1">
      <c r="A2386" s="408"/>
      <c r="B2386" s="428"/>
      <c r="C2386" s="200"/>
      <c r="D2386" s="176"/>
      <c r="E2386" s="176"/>
      <c r="F2386" s="408"/>
      <c r="G2386" s="176"/>
      <c r="H2386" s="114"/>
      <c r="I2386" s="42"/>
      <c r="J2386" s="42"/>
      <c r="K2386" s="176"/>
      <c r="L2386" s="176"/>
      <c r="M2386" s="176"/>
      <c r="N2386" s="176"/>
      <c r="O2386" s="176"/>
      <c r="P2386" s="114"/>
      <c r="Q2386" s="176"/>
      <c r="R2386" s="114"/>
      <c r="S2386" s="114"/>
      <c r="T2386" s="200"/>
      <c r="U2386" s="114"/>
      <c r="V2386" s="414"/>
      <c r="W2386" s="176"/>
      <c r="X2386" s="176"/>
      <c r="Y2386" s="176"/>
      <c r="Z2386" s="176"/>
    </row>
    <row r="2387" ht="15.75" customHeight="1">
      <c r="A2387" s="408"/>
      <c r="B2387" s="428"/>
      <c r="C2387" s="200"/>
      <c r="D2387" s="176"/>
      <c r="E2387" s="176"/>
      <c r="F2387" s="408"/>
      <c r="G2387" s="176"/>
      <c r="H2387" s="114"/>
      <c r="I2387" s="42"/>
      <c r="J2387" s="42"/>
      <c r="K2387" s="176"/>
      <c r="L2387" s="176"/>
      <c r="M2387" s="176"/>
      <c r="N2387" s="176"/>
      <c r="O2387" s="176"/>
      <c r="P2387" s="114"/>
      <c r="Q2387" s="176"/>
      <c r="R2387" s="114"/>
      <c r="S2387" s="114"/>
      <c r="T2387" s="200"/>
      <c r="U2387" s="114"/>
      <c r="V2387" s="414"/>
      <c r="W2387" s="176"/>
      <c r="X2387" s="176"/>
      <c r="Y2387" s="176"/>
      <c r="Z2387" s="176"/>
    </row>
    <row r="2388" ht="15.75" customHeight="1">
      <c r="A2388" s="408"/>
      <c r="B2388" s="428"/>
      <c r="C2388" s="200"/>
      <c r="D2388" s="176"/>
      <c r="E2388" s="176"/>
      <c r="F2388" s="408"/>
      <c r="G2388" s="176"/>
      <c r="H2388" s="114"/>
      <c r="I2388" s="42"/>
      <c r="J2388" s="42"/>
      <c r="K2388" s="176"/>
      <c r="L2388" s="176"/>
      <c r="M2388" s="176"/>
      <c r="N2388" s="176"/>
      <c r="O2388" s="176"/>
      <c r="P2388" s="114"/>
      <c r="Q2388" s="176"/>
      <c r="R2388" s="114"/>
      <c r="S2388" s="114"/>
      <c r="T2388" s="200"/>
      <c r="U2388" s="114"/>
      <c r="V2388" s="414"/>
      <c r="W2388" s="176"/>
      <c r="X2388" s="176"/>
      <c r="Y2388" s="176"/>
      <c r="Z2388" s="176"/>
    </row>
    <row r="2389" ht="15.75" customHeight="1">
      <c r="A2389" s="408"/>
      <c r="B2389" s="428"/>
      <c r="C2389" s="200"/>
      <c r="D2389" s="176"/>
      <c r="E2389" s="176"/>
      <c r="F2389" s="408"/>
      <c r="G2389" s="176"/>
      <c r="H2389" s="114"/>
      <c r="I2389" s="42"/>
      <c r="J2389" s="42"/>
      <c r="K2389" s="176"/>
      <c r="L2389" s="176"/>
      <c r="M2389" s="176"/>
      <c r="N2389" s="176"/>
      <c r="O2389" s="176"/>
      <c r="P2389" s="114"/>
      <c r="Q2389" s="176"/>
      <c r="R2389" s="114"/>
      <c r="S2389" s="114"/>
      <c r="T2389" s="200"/>
      <c r="U2389" s="114"/>
      <c r="V2389" s="414"/>
      <c r="W2389" s="176"/>
      <c r="X2389" s="176"/>
      <c r="Y2389" s="176"/>
      <c r="Z2389" s="176"/>
    </row>
    <row r="2390" ht="15.75" customHeight="1">
      <c r="A2390" s="408"/>
      <c r="B2390" s="428"/>
      <c r="C2390" s="200"/>
      <c r="D2390" s="176"/>
      <c r="E2390" s="176"/>
      <c r="F2390" s="408"/>
      <c r="G2390" s="176"/>
      <c r="H2390" s="114"/>
      <c r="I2390" s="42"/>
      <c r="J2390" s="42"/>
      <c r="K2390" s="176"/>
      <c r="L2390" s="176"/>
      <c r="M2390" s="176"/>
      <c r="N2390" s="176"/>
      <c r="O2390" s="176"/>
      <c r="P2390" s="114"/>
      <c r="Q2390" s="176"/>
      <c r="R2390" s="114"/>
      <c r="S2390" s="114"/>
      <c r="T2390" s="200"/>
      <c r="U2390" s="114"/>
      <c r="V2390" s="414"/>
      <c r="W2390" s="176"/>
      <c r="X2390" s="176"/>
      <c r="Y2390" s="176"/>
      <c r="Z2390" s="176"/>
    </row>
    <row r="2391" ht="15.75" customHeight="1">
      <c r="A2391" s="408"/>
      <c r="B2391" s="428"/>
      <c r="C2391" s="200"/>
      <c r="D2391" s="176"/>
      <c r="E2391" s="176"/>
      <c r="F2391" s="408"/>
      <c r="G2391" s="176"/>
      <c r="H2391" s="114"/>
      <c r="I2391" s="42"/>
      <c r="J2391" s="42"/>
      <c r="K2391" s="176"/>
      <c r="L2391" s="176"/>
      <c r="M2391" s="176"/>
      <c r="N2391" s="176"/>
      <c r="O2391" s="176"/>
      <c r="P2391" s="114"/>
      <c r="Q2391" s="176"/>
      <c r="R2391" s="114"/>
      <c r="S2391" s="114"/>
      <c r="T2391" s="200"/>
      <c r="U2391" s="114"/>
      <c r="V2391" s="414"/>
      <c r="W2391" s="176"/>
      <c r="X2391" s="176"/>
      <c r="Y2391" s="176"/>
      <c r="Z2391" s="176"/>
    </row>
    <row r="2392" ht="15.75" customHeight="1">
      <c r="A2392" s="408"/>
      <c r="B2392" s="428"/>
      <c r="C2392" s="200"/>
      <c r="D2392" s="176"/>
      <c r="E2392" s="176"/>
      <c r="F2392" s="408"/>
      <c r="G2392" s="176"/>
      <c r="H2392" s="114"/>
      <c r="I2392" s="42"/>
      <c r="J2392" s="42"/>
      <c r="K2392" s="176"/>
      <c r="L2392" s="176"/>
      <c r="M2392" s="176"/>
      <c r="N2392" s="176"/>
      <c r="O2392" s="176"/>
      <c r="P2392" s="114"/>
      <c r="Q2392" s="176"/>
      <c r="R2392" s="114"/>
      <c r="S2392" s="114"/>
      <c r="T2392" s="200"/>
      <c r="U2392" s="114"/>
      <c r="V2392" s="414"/>
      <c r="W2392" s="176"/>
      <c r="X2392" s="176"/>
      <c r="Y2392" s="176"/>
      <c r="Z2392" s="176"/>
    </row>
    <row r="2393" ht="15.75" customHeight="1">
      <c r="A2393" s="408"/>
      <c r="B2393" s="428"/>
      <c r="C2393" s="200"/>
      <c r="D2393" s="176"/>
      <c r="E2393" s="176"/>
      <c r="F2393" s="408"/>
      <c r="G2393" s="176"/>
      <c r="H2393" s="114"/>
      <c r="I2393" s="42"/>
      <c r="J2393" s="42"/>
      <c r="K2393" s="176"/>
      <c r="L2393" s="176"/>
      <c r="M2393" s="176"/>
      <c r="N2393" s="176"/>
      <c r="O2393" s="176"/>
      <c r="P2393" s="114"/>
      <c r="Q2393" s="176"/>
      <c r="R2393" s="114"/>
      <c r="S2393" s="114"/>
      <c r="T2393" s="200"/>
      <c r="U2393" s="114"/>
      <c r="V2393" s="414"/>
      <c r="W2393" s="176"/>
      <c r="X2393" s="176"/>
      <c r="Y2393" s="176"/>
      <c r="Z2393" s="176"/>
    </row>
    <row r="2394" ht="15.75" customHeight="1">
      <c r="A2394" s="408"/>
      <c r="B2394" s="428"/>
      <c r="C2394" s="200"/>
      <c r="D2394" s="176"/>
      <c r="E2394" s="176"/>
      <c r="F2394" s="408"/>
      <c r="G2394" s="176"/>
      <c r="H2394" s="114"/>
      <c r="I2394" s="42"/>
      <c r="J2394" s="42"/>
      <c r="K2394" s="176"/>
      <c r="L2394" s="176"/>
      <c r="M2394" s="176"/>
      <c r="N2394" s="176"/>
      <c r="O2394" s="176"/>
      <c r="P2394" s="114"/>
      <c r="Q2394" s="176"/>
      <c r="R2394" s="114"/>
      <c r="S2394" s="114"/>
      <c r="T2394" s="200"/>
      <c r="U2394" s="114"/>
      <c r="V2394" s="414"/>
      <c r="W2394" s="176"/>
      <c r="X2394" s="176"/>
      <c r="Y2394" s="176"/>
      <c r="Z2394" s="176"/>
    </row>
    <row r="2395" ht="15.75" customHeight="1">
      <c r="A2395" s="408"/>
      <c r="B2395" s="428"/>
      <c r="C2395" s="200"/>
      <c r="D2395" s="176"/>
      <c r="E2395" s="176"/>
      <c r="F2395" s="408"/>
      <c r="G2395" s="176"/>
      <c r="H2395" s="114"/>
      <c r="I2395" s="42"/>
      <c r="J2395" s="42"/>
      <c r="K2395" s="176"/>
      <c r="L2395" s="176"/>
      <c r="M2395" s="176"/>
      <c r="N2395" s="176"/>
      <c r="O2395" s="176"/>
      <c r="P2395" s="114"/>
      <c r="Q2395" s="176"/>
      <c r="R2395" s="114"/>
      <c r="S2395" s="114"/>
      <c r="T2395" s="200"/>
      <c r="U2395" s="114"/>
      <c r="V2395" s="414"/>
      <c r="W2395" s="176"/>
      <c r="X2395" s="176"/>
      <c r="Y2395" s="176"/>
      <c r="Z2395" s="176"/>
    </row>
    <row r="2396" ht="15.75" customHeight="1">
      <c r="A2396" s="408"/>
      <c r="B2396" s="428"/>
      <c r="C2396" s="200"/>
      <c r="D2396" s="176"/>
      <c r="E2396" s="176"/>
      <c r="F2396" s="408"/>
      <c r="G2396" s="176"/>
      <c r="H2396" s="114"/>
      <c r="I2396" s="42"/>
      <c r="J2396" s="42"/>
      <c r="K2396" s="176"/>
      <c r="L2396" s="176"/>
      <c r="M2396" s="176"/>
      <c r="N2396" s="176"/>
      <c r="O2396" s="176"/>
      <c r="P2396" s="114"/>
      <c r="Q2396" s="176"/>
      <c r="R2396" s="114"/>
      <c r="S2396" s="114"/>
      <c r="T2396" s="200"/>
      <c r="U2396" s="114"/>
      <c r="V2396" s="414"/>
      <c r="W2396" s="176"/>
      <c r="X2396" s="176"/>
      <c r="Y2396" s="176"/>
      <c r="Z2396" s="176"/>
    </row>
    <row r="2397" ht="15.75" customHeight="1">
      <c r="A2397" s="408"/>
      <c r="B2397" s="428"/>
      <c r="C2397" s="200"/>
      <c r="D2397" s="176"/>
      <c r="E2397" s="176"/>
      <c r="F2397" s="408"/>
      <c r="G2397" s="176"/>
      <c r="H2397" s="114"/>
      <c r="I2397" s="42"/>
      <c r="J2397" s="42"/>
      <c r="K2397" s="176"/>
      <c r="L2397" s="176"/>
      <c r="M2397" s="176"/>
      <c r="N2397" s="176"/>
      <c r="O2397" s="176"/>
      <c r="P2397" s="114"/>
      <c r="Q2397" s="176"/>
      <c r="R2397" s="114"/>
      <c r="S2397" s="114"/>
      <c r="T2397" s="200"/>
      <c r="U2397" s="114"/>
      <c r="V2397" s="414"/>
      <c r="W2397" s="176"/>
      <c r="X2397" s="176"/>
      <c r="Y2397" s="176"/>
      <c r="Z2397" s="176"/>
    </row>
    <row r="2398" ht="15.75" customHeight="1">
      <c r="A2398" s="408"/>
      <c r="B2398" s="428"/>
      <c r="C2398" s="200"/>
      <c r="D2398" s="176"/>
      <c r="E2398" s="176"/>
      <c r="F2398" s="408"/>
      <c r="G2398" s="176"/>
      <c r="H2398" s="114"/>
      <c r="I2398" s="42"/>
      <c r="J2398" s="42"/>
      <c r="K2398" s="176"/>
      <c r="L2398" s="176"/>
      <c r="M2398" s="176"/>
      <c r="N2398" s="176"/>
      <c r="O2398" s="176"/>
      <c r="P2398" s="114"/>
      <c r="Q2398" s="176"/>
      <c r="R2398" s="114"/>
      <c r="S2398" s="114"/>
      <c r="T2398" s="200"/>
      <c r="U2398" s="114"/>
      <c r="V2398" s="414"/>
      <c r="W2398" s="176"/>
      <c r="X2398" s="176"/>
      <c r="Y2398" s="176"/>
      <c r="Z2398" s="176"/>
    </row>
    <row r="2399" ht="15.75" customHeight="1">
      <c r="A2399" s="408"/>
      <c r="B2399" s="428"/>
      <c r="C2399" s="200"/>
      <c r="D2399" s="176"/>
      <c r="E2399" s="176"/>
      <c r="F2399" s="408"/>
      <c r="G2399" s="176"/>
      <c r="H2399" s="114"/>
      <c r="I2399" s="42"/>
      <c r="J2399" s="42"/>
      <c r="K2399" s="176"/>
      <c r="L2399" s="176"/>
      <c r="M2399" s="176"/>
      <c r="N2399" s="176"/>
      <c r="O2399" s="176"/>
      <c r="P2399" s="114"/>
      <c r="Q2399" s="176"/>
      <c r="R2399" s="114"/>
      <c r="S2399" s="114"/>
      <c r="T2399" s="200"/>
      <c r="U2399" s="114"/>
      <c r="V2399" s="414"/>
      <c r="W2399" s="176"/>
      <c r="X2399" s="176"/>
      <c r="Y2399" s="176"/>
      <c r="Z2399" s="176"/>
    </row>
    <row r="2400" ht="15.75" customHeight="1">
      <c r="A2400" s="408"/>
      <c r="B2400" s="428"/>
      <c r="C2400" s="200"/>
      <c r="D2400" s="176"/>
      <c r="E2400" s="176"/>
      <c r="F2400" s="408"/>
      <c r="G2400" s="176"/>
      <c r="H2400" s="114"/>
      <c r="I2400" s="42"/>
      <c r="J2400" s="42"/>
      <c r="K2400" s="176"/>
      <c r="L2400" s="176"/>
      <c r="M2400" s="176"/>
      <c r="N2400" s="176"/>
      <c r="O2400" s="176"/>
      <c r="P2400" s="114"/>
      <c r="Q2400" s="176"/>
      <c r="R2400" s="114"/>
      <c r="S2400" s="114"/>
      <c r="T2400" s="200"/>
      <c r="U2400" s="114"/>
      <c r="V2400" s="414"/>
      <c r="W2400" s="176"/>
      <c r="X2400" s="176"/>
      <c r="Y2400" s="176"/>
      <c r="Z2400" s="176"/>
    </row>
    <row r="2401" ht="15.75" customHeight="1">
      <c r="A2401" s="408"/>
      <c r="B2401" s="428"/>
      <c r="C2401" s="200"/>
      <c r="D2401" s="176"/>
      <c r="E2401" s="176"/>
      <c r="F2401" s="408"/>
      <c r="G2401" s="176"/>
      <c r="H2401" s="114"/>
      <c r="I2401" s="42"/>
      <c r="J2401" s="42"/>
      <c r="K2401" s="176"/>
      <c r="L2401" s="176"/>
      <c r="M2401" s="176"/>
      <c r="N2401" s="176"/>
      <c r="O2401" s="176"/>
      <c r="P2401" s="114"/>
      <c r="Q2401" s="176"/>
      <c r="R2401" s="114"/>
      <c r="S2401" s="114"/>
      <c r="T2401" s="200"/>
      <c r="U2401" s="114"/>
      <c r="V2401" s="414"/>
      <c r="W2401" s="176"/>
      <c r="X2401" s="176"/>
      <c r="Y2401" s="176"/>
      <c r="Z2401" s="176"/>
    </row>
    <row r="2402" ht="15.75" customHeight="1">
      <c r="A2402" s="408"/>
      <c r="B2402" s="428"/>
      <c r="C2402" s="200"/>
      <c r="D2402" s="176"/>
      <c r="E2402" s="176"/>
      <c r="F2402" s="408"/>
      <c r="G2402" s="176"/>
      <c r="H2402" s="114"/>
      <c r="I2402" s="42"/>
      <c r="J2402" s="42"/>
      <c r="K2402" s="176"/>
      <c r="L2402" s="176"/>
      <c r="M2402" s="176"/>
      <c r="N2402" s="176"/>
      <c r="O2402" s="176"/>
      <c r="P2402" s="114"/>
      <c r="Q2402" s="176"/>
      <c r="R2402" s="114"/>
      <c r="S2402" s="114"/>
      <c r="T2402" s="200"/>
      <c r="U2402" s="114"/>
      <c r="V2402" s="414"/>
      <c r="W2402" s="176"/>
      <c r="X2402" s="176"/>
      <c r="Y2402" s="176"/>
      <c r="Z2402" s="176"/>
    </row>
    <row r="2403" ht="15.75" customHeight="1">
      <c r="A2403" s="408"/>
      <c r="B2403" s="428"/>
      <c r="C2403" s="200"/>
      <c r="D2403" s="176"/>
      <c r="E2403" s="176"/>
      <c r="F2403" s="408"/>
      <c r="G2403" s="176"/>
      <c r="H2403" s="114"/>
      <c r="I2403" s="42"/>
      <c r="J2403" s="42"/>
      <c r="K2403" s="176"/>
      <c r="L2403" s="176"/>
      <c r="M2403" s="176"/>
      <c r="N2403" s="176"/>
      <c r="O2403" s="176"/>
      <c r="P2403" s="114"/>
      <c r="Q2403" s="176"/>
      <c r="R2403" s="114"/>
      <c r="S2403" s="114"/>
      <c r="T2403" s="200"/>
      <c r="U2403" s="114"/>
      <c r="V2403" s="414"/>
      <c r="W2403" s="176"/>
      <c r="X2403" s="176"/>
      <c r="Y2403" s="176"/>
      <c r="Z2403" s="176"/>
    </row>
    <row r="2404" ht="15.75" customHeight="1">
      <c r="A2404" s="408"/>
      <c r="B2404" s="428"/>
      <c r="C2404" s="200"/>
      <c r="D2404" s="176"/>
      <c r="E2404" s="176"/>
      <c r="F2404" s="408"/>
      <c r="G2404" s="176"/>
      <c r="H2404" s="114"/>
      <c r="I2404" s="42"/>
      <c r="J2404" s="42"/>
      <c r="K2404" s="176"/>
      <c r="L2404" s="176"/>
      <c r="M2404" s="176"/>
      <c r="N2404" s="176"/>
      <c r="O2404" s="176"/>
      <c r="P2404" s="114"/>
      <c r="Q2404" s="176"/>
      <c r="R2404" s="114"/>
      <c r="S2404" s="114"/>
      <c r="T2404" s="200"/>
      <c r="U2404" s="114"/>
      <c r="V2404" s="414"/>
      <c r="W2404" s="176"/>
      <c r="X2404" s="176"/>
      <c r="Y2404" s="176"/>
      <c r="Z2404" s="176"/>
    </row>
    <row r="2405" ht="15.75" customHeight="1">
      <c r="A2405" s="408"/>
      <c r="B2405" s="428"/>
      <c r="C2405" s="200"/>
      <c r="D2405" s="176"/>
      <c r="E2405" s="176"/>
      <c r="F2405" s="408"/>
      <c r="G2405" s="176"/>
      <c r="H2405" s="114"/>
      <c r="I2405" s="42"/>
      <c r="J2405" s="42"/>
      <c r="K2405" s="176"/>
      <c r="L2405" s="176"/>
      <c r="M2405" s="176"/>
      <c r="N2405" s="176"/>
      <c r="O2405" s="176"/>
      <c r="P2405" s="114"/>
      <c r="Q2405" s="176"/>
      <c r="R2405" s="114"/>
      <c r="S2405" s="114"/>
      <c r="T2405" s="200"/>
      <c r="U2405" s="114"/>
      <c r="V2405" s="414"/>
      <c r="W2405" s="176"/>
      <c r="X2405" s="176"/>
      <c r="Y2405" s="176"/>
      <c r="Z2405" s="176"/>
    </row>
    <row r="2406" ht="15.75" customHeight="1">
      <c r="A2406" s="408"/>
      <c r="B2406" s="428"/>
      <c r="C2406" s="200"/>
      <c r="D2406" s="176"/>
      <c r="E2406" s="176"/>
      <c r="F2406" s="408"/>
      <c r="G2406" s="176"/>
      <c r="H2406" s="114"/>
      <c r="I2406" s="42"/>
      <c r="J2406" s="42"/>
      <c r="K2406" s="176"/>
      <c r="L2406" s="176"/>
      <c r="M2406" s="176"/>
      <c r="N2406" s="176"/>
      <c r="O2406" s="176"/>
      <c r="P2406" s="114"/>
      <c r="Q2406" s="176"/>
      <c r="R2406" s="114"/>
      <c r="S2406" s="114"/>
      <c r="T2406" s="200"/>
      <c r="U2406" s="114"/>
      <c r="V2406" s="414"/>
      <c r="W2406" s="176"/>
      <c r="X2406" s="176"/>
      <c r="Y2406" s="176"/>
      <c r="Z2406" s="176"/>
    </row>
    <row r="2407" ht="15.75" customHeight="1">
      <c r="A2407" s="408"/>
      <c r="B2407" s="428"/>
      <c r="C2407" s="200"/>
      <c r="D2407" s="176"/>
      <c r="E2407" s="176"/>
      <c r="F2407" s="408"/>
      <c r="G2407" s="176"/>
      <c r="H2407" s="114"/>
      <c r="I2407" s="42"/>
      <c r="J2407" s="42"/>
      <c r="K2407" s="176"/>
      <c r="L2407" s="176"/>
      <c r="M2407" s="176"/>
      <c r="N2407" s="176"/>
      <c r="O2407" s="176"/>
      <c r="P2407" s="114"/>
      <c r="Q2407" s="176"/>
      <c r="R2407" s="114"/>
      <c r="S2407" s="114"/>
      <c r="T2407" s="200"/>
      <c r="U2407" s="114"/>
      <c r="V2407" s="414"/>
      <c r="W2407" s="176"/>
      <c r="X2407" s="176"/>
      <c r="Y2407" s="176"/>
      <c r="Z2407" s="176"/>
    </row>
    <row r="2408" ht="15.75" customHeight="1">
      <c r="A2408" s="408"/>
      <c r="B2408" s="428"/>
      <c r="C2408" s="200"/>
      <c r="D2408" s="176"/>
      <c r="E2408" s="176"/>
      <c r="F2408" s="408"/>
      <c r="G2408" s="176"/>
      <c r="H2408" s="114"/>
      <c r="I2408" s="42"/>
      <c r="J2408" s="42"/>
      <c r="K2408" s="176"/>
      <c r="L2408" s="176"/>
      <c r="M2408" s="176"/>
      <c r="N2408" s="176"/>
      <c r="O2408" s="176"/>
      <c r="P2408" s="114"/>
      <c r="Q2408" s="176"/>
      <c r="R2408" s="114"/>
      <c r="S2408" s="114"/>
      <c r="T2408" s="200"/>
      <c r="U2408" s="114"/>
      <c r="V2408" s="414"/>
      <c r="W2408" s="176"/>
      <c r="X2408" s="176"/>
      <c r="Y2408" s="176"/>
      <c r="Z2408" s="176"/>
    </row>
    <row r="2409" ht="15.75" customHeight="1">
      <c r="A2409" s="408"/>
      <c r="B2409" s="428"/>
      <c r="C2409" s="200"/>
      <c r="D2409" s="176"/>
      <c r="E2409" s="176"/>
      <c r="F2409" s="408"/>
      <c r="G2409" s="176"/>
      <c r="H2409" s="114"/>
      <c r="I2409" s="42"/>
      <c r="J2409" s="42"/>
      <c r="K2409" s="176"/>
      <c r="L2409" s="176"/>
      <c r="M2409" s="176"/>
      <c r="N2409" s="176"/>
      <c r="O2409" s="176"/>
      <c r="P2409" s="114"/>
      <c r="Q2409" s="176"/>
      <c r="R2409" s="114"/>
      <c r="S2409" s="114"/>
      <c r="T2409" s="200"/>
      <c r="U2409" s="114"/>
      <c r="V2409" s="414"/>
      <c r="W2409" s="176"/>
      <c r="X2409" s="176"/>
      <c r="Y2409" s="176"/>
      <c r="Z2409" s="176"/>
    </row>
    <row r="2410" ht="15.75" customHeight="1">
      <c r="A2410" s="408"/>
      <c r="B2410" s="428"/>
      <c r="C2410" s="200"/>
      <c r="D2410" s="176"/>
      <c r="E2410" s="176"/>
      <c r="F2410" s="408"/>
      <c r="G2410" s="176"/>
      <c r="H2410" s="114"/>
      <c r="I2410" s="42"/>
      <c r="J2410" s="42"/>
      <c r="K2410" s="176"/>
      <c r="L2410" s="176"/>
      <c r="M2410" s="176"/>
      <c r="N2410" s="176"/>
      <c r="O2410" s="176"/>
      <c r="P2410" s="114"/>
      <c r="Q2410" s="176"/>
      <c r="R2410" s="114"/>
      <c r="S2410" s="114"/>
      <c r="T2410" s="200"/>
      <c r="U2410" s="114"/>
      <c r="V2410" s="414"/>
      <c r="W2410" s="176"/>
      <c r="X2410" s="176"/>
      <c r="Y2410" s="176"/>
      <c r="Z2410" s="176"/>
    </row>
    <row r="2411" ht="15.75" customHeight="1">
      <c r="A2411" s="408"/>
      <c r="B2411" s="428"/>
      <c r="C2411" s="200"/>
      <c r="D2411" s="176"/>
      <c r="E2411" s="176"/>
      <c r="F2411" s="408"/>
      <c r="G2411" s="176"/>
      <c r="H2411" s="114"/>
      <c r="I2411" s="42"/>
      <c r="J2411" s="42"/>
      <c r="K2411" s="176"/>
      <c r="L2411" s="176"/>
      <c r="M2411" s="176"/>
      <c r="N2411" s="176"/>
      <c r="O2411" s="176"/>
      <c r="P2411" s="114"/>
      <c r="Q2411" s="176"/>
      <c r="R2411" s="114"/>
      <c r="S2411" s="114"/>
      <c r="T2411" s="200"/>
      <c r="U2411" s="114"/>
      <c r="V2411" s="414"/>
      <c r="W2411" s="176"/>
      <c r="X2411" s="176"/>
      <c r="Y2411" s="176"/>
      <c r="Z2411" s="176"/>
    </row>
    <row r="2412" ht="15.75" customHeight="1">
      <c r="A2412" s="408"/>
      <c r="B2412" s="428"/>
      <c r="C2412" s="200"/>
      <c r="D2412" s="176"/>
      <c r="E2412" s="176"/>
      <c r="F2412" s="408"/>
      <c r="G2412" s="176"/>
      <c r="H2412" s="114"/>
      <c r="I2412" s="42"/>
      <c r="J2412" s="42"/>
      <c r="K2412" s="176"/>
      <c r="L2412" s="176"/>
      <c r="M2412" s="176"/>
      <c r="N2412" s="176"/>
      <c r="O2412" s="176"/>
      <c r="P2412" s="114"/>
      <c r="Q2412" s="176"/>
      <c r="R2412" s="114"/>
      <c r="S2412" s="114"/>
      <c r="T2412" s="200"/>
      <c r="U2412" s="114"/>
      <c r="V2412" s="414"/>
      <c r="W2412" s="176"/>
      <c r="X2412" s="176"/>
      <c r="Y2412" s="176"/>
      <c r="Z2412" s="176"/>
    </row>
    <row r="2413" ht="15.75" customHeight="1">
      <c r="A2413" s="408"/>
      <c r="B2413" s="428"/>
      <c r="C2413" s="200"/>
      <c r="D2413" s="176"/>
      <c r="E2413" s="176"/>
      <c r="F2413" s="408"/>
      <c r="G2413" s="176"/>
      <c r="H2413" s="114"/>
      <c r="I2413" s="42"/>
      <c r="J2413" s="42"/>
      <c r="K2413" s="176"/>
      <c r="L2413" s="176"/>
      <c r="M2413" s="176"/>
      <c r="N2413" s="176"/>
      <c r="O2413" s="176"/>
      <c r="P2413" s="114"/>
      <c r="Q2413" s="176"/>
      <c r="R2413" s="114"/>
      <c r="S2413" s="114"/>
      <c r="T2413" s="200"/>
      <c r="U2413" s="114"/>
      <c r="V2413" s="414"/>
      <c r="W2413" s="176"/>
      <c r="X2413" s="176"/>
      <c r="Y2413" s="176"/>
      <c r="Z2413" s="176"/>
    </row>
    <row r="2414" ht="15.75" customHeight="1">
      <c r="A2414" s="408"/>
      <c r="B2414" s="428"/>
      <c r="C2414" s="200"/>
      <c r="D2414" s="176"/>
      <c r="E2414" s="176"/>
      <c r="F2414" s="408"/>
      <c r="G2414" s="176"/>
      <c r="H2414" s="114"/>
      <c r="I2414" s="42"/>
      <c r="J2414" s="42"/>
      <c r="K2414" s="176"/>
      <c r="L2414" s="176"/>
      <c r="M2414" s="176"/>
      <c r="N2414" s="176"/>
      <c r="O2414" s="176"/>
      <c r="P2414" s="114"/>
      <c r="Q2414" s="176"/>
      <c r="R2414" s="114"/>
      <c r="S2414" s="114"/>
      <c r="T2414" s="200"/>
      <c r="U2414" s="114"/>
      <c r="V2414" s="414"/>
      <c r="W2414" s="176"/>
      <c r="X2414" s="176"/>
      <c r="Y2414" s="176"/>
      <c r="Z2414" s="176"/>
    </row>
    <row r="2415" ht="15.75" customHeight="1">
      <c r="A2415" s="408"/>
      <c r="B2415" s="428"/>
      <c r="C2415" s="200"/>
      <c r="D2415" s="176"/>
      <c r="E2415" s="176"/>
      <c r="F2415" s="408"/>
      <c r="G2415" s="176"/>
      <c r="H2415" s="114"/>
      <c r="I2415" s="42"/>
      <c r="J2415" s="42"/>
      <c r="K2415" s="176"/>
      <c r="L2415" s="176"/>
      <c r="M2415" s="176"/>
      <c r="N2415" s="176"/>
      <c r="O2415" s="176"/>
      <c r="P2415" s="114"/>
      <c r="Q2415" s="176"/>
      <c r="R2415" s="114"/>
      <c r="S2415" s="114"/>
      <c r="T2415" s="200"/>
      <c r="U2415" s="114"/>
      <c r="V2415" s="414"/>
      <c r="W2415" s="176"/>
      <c r="X2415" s="176"/>
      <c r="Y2415" s="176"/>
      <c r="Z2415" s="176"/>
    </row>
    <row r="2416" ht="15.75" customHeight="1">
      <c r="A2416" s="408"/>
      <c r="B2416" s="428"/>
      <c r="C2416" s="200"/>
      <c r="D2416" s="176"/>
      <c r="E2416" s="176"/>
      <c r="F2416" s="408"/>
      <c r="G2416" s="176"/>
      <c r="H2416" s="114"/>
      <c r="I2416" s="42"/>
      <c r="J2416" s="42"/>
      <c r="K2416" s="176"/>
      <c r="L2416" s="176"/>
      <c r="M2416" s="176"/>
      <c r="N2416" s="176"/>
      <c r="O2416" s="176"/>
      <c r="P2416" s="114"/>
      <c r="Q2416" s="176"/>
      <c r="R2416" s="114"/>
      <c r="S2416" s="114"/>
      <c r="T2416" s="200"/>
      <c r="U2416" s="114"/>
      <c r="V2416" s="414"/>
      <c r="W2416" s="176"/>
      <c r="X2416" s="176"/>
      <c r="Y2416" s="176"/>
      <c r="Z2416" s="176"/>
    </row>
    <row r="2417" ht="15.75" customHeight="1">
      <c r="A2417" s="408"/>
      <c r="B2417" s="428"/>
      <c r="C2417" s="200"/>
      <c r="D2417" s="176"/>
      <c r="E2417" s="176"/>
      <c r="F2417" s="408"/>
      <c r="G2417" s="176"/>
      <c r="H2417" s="114"/>
      <c r="I2417" s="42"/>
      <c r="J2417" s="42"/>
      <c r="K2417" s="176"/>
      <c r="L2417" s="176"/>
      <c r="M2417" s="176"/>
      <c r="N2417" s="176"/>
      <c r="O2417" s="176"/>
      <c r="P2417" s="114"/>
      <c r="Q2417" s="176"/>
      <c r="R2417" s="114"/>
      <c r="S2417" s="114"/>
      <c r="T2417" s="200"/>
      <c r="U2417" s="114"/>
      <c r="V2417" s="414"/>
      <c r="W2417" s="176"/>
      <c r="X2417" s="176"/>
      <c r="Y2417" s="176"/>
      <c r="Z2417" s="176"/>
    </row>
    <row r="2418" ht="15.75" customHeight="1">
      <c r="A2418" s="408"/>
      <c r="B2418" s="428"/>
      <c r="C2418" s="200"/>
      <c r="D2418" s="176"/>
      <c r="E2418" s="176"/>
      <c r="F2418" s="408"/>
      <c r="G2418" s="176"/>
      <c r="H2418" s="114"/>
      <c r="I2418" s="42"/>
      <c r="J2418" s="42"/>
      <c r="K2418" s="176"/>
      <c r="L2418" s="176"/>
      <c r="M2418" s="176"/>
      <c r="N2418" s="176"/>
      <c r="O2418" s="176"/>
      <c r="P2418" s="114"/>
      <c r="Q2418" s="176"/>
      <c r="R2418" s="114"/>
      <c r="S2418" s="114"/>
      <c r="T2418" s="200"/>
      <c r="U2418" s="114"/>
      <c r="V2418" s="414"/>
      <c r="W2418" s="176"/>
      <c r="X2418" s="176"/>
      <c r="Y2418" s="176"/>
      <c r="Z2418" s="176"/>
    </row>
    <row r="2419" ht="15.75" customHeight="1">
      <c r="A2419" s="408"/>
      <c r="B2419" s="428"/>
      <c r="C2419" s="200"/>
      <c r="D2419" s="176"/>
      <c r="E2419" s="176"/>
      <c r="F2419" s="408"/>
      <c r="G2419" s="176"/>
      <c r="H2419" s="114"/>
      <c r="I2419" s="42"/>
      <c r="J2419" s="42"/>
      <c r="K2419" s="176"/>
      <c r="L2419" s="176"/>
      <c r="M2419" s="176"/>
      <c r="N2419" s="176"/>
      <c r="O2419" s="176"/>
      <c r="P2419" s="114"/>
      <c r="Q2419" s="176"/>
      <c r="R2419" s="114"/>
      <c r="S2419" s="114"/>
      <c r="T2419" s="200"/>
      <c r="U2419" s="114"/>
      <c r="V2419" s="414"/>
      <c r="W2419" s="176"/>
      <c r="X2419" s="176"/>
      <c r="Y2419" s="176"/>
      <c r="Z2419" s="176"/>
    </row>
    <row r="2420" ht="15.75" customHeight="1">
      <c r="A2420" s="408"/>
      <c r="B2420" s="428"/>
      <c r="C2420" s="200"/>
      <c r="D2420" s="176"/>
      <c r="E2420" s="176"/>
      <c r="F2420" s="408"/>
      <c r="G2420" s="176"/>
      <c r="H2420" s="114"/>
      <c r="I2420" s="42"/>
      <c r="J2420" s="42"/>
      <c r="K2420" s="176"/>
      <c r="L2420" s="176"/>
      <c r="M2420" s="176"/>
      <c r="N2420" s="176"/>
      <c r="O2420" s="176"/>
      <c r="P2420" s="114"/>
      <c r="Q2420" s="176"/>
      <c r="R2420" s="114"/>
      <c r="S2420" s="114"/>
      <c r="T2420" s="200"/>
      <c r="U2420" s="114"/>
      <c r="V2420" s="414"/>
      <c r="W2420" s="176"/>
      <c r="X2420" s="176"/>
      <c r="Y2420" s="176"/>
      <c r="Z2420" s="176"/>
    </row>
    <row r="2421" ht="15.75" customHeight="1">
      <c r="A2421" s="408"/>
      <c r="B2421" s="428"/>
      <c r="C2421" s="200"/>
      <c r="D2421" s="176"/>
      <c r="E2421" s="176"/>
      <c r="F2421" s="408"/>
      <c r="G2421" s="176"/>
      <c r="H2421" s="114"/>
      <c r="I2421" s="42"/>
      <c r="J2421" s="42"/>
      <c r="K2421" s="176"/>
      <c r="L2421" s="176"/>
      <c r="M2421" s="176"/>
      <c r="N2421" s="176"/>
      <c r="O2421" s="176"/>
      <c r="P2421" s="114"/>
      <c r="Q2421" s="176"/>
      <c r="R2421" s="114"/>
      <c r="S2421" s="114"/>
      <c r="T2421" s="200"/>
      <c r="U2421" s="114"/>
      <c r="V2421" s="414"/>
      <c r="W2421" s="176"/>
      <c r="X2421" s="176"/>
      <c r="Y2421" s="176"/>
      <c r="Z2421" s="176"/>
    </row>
    <row r="2422" ht="15.75" customHeight="1">
      <c r="A2422" s="408"/>
      <c r="B2422" s="428"/>
      <c r="C2422" s="200"/>
      <c r="D2422" s="176"/>
      <c r="E2422" s="176"/>
      <c r="F2422" s="408"/>
      <c r="G2422" s="176"/>
      <c r="H2422" s="114"/>
      <c r="I2422" s="42"/>
      <c r="J2422" s="42"/>
      <c r="K2422" s="176"/>
      <c r="L2422" s="176"/>
      <c r="M2422" s="176"/>
      <c r="N2422" s="176"/>
      <c r="O2422" s="176"/>
      <c r="P2422" s="114"/>
      <c r="Q2422" s="176"/>
      <c r="R2422" s="114"/>
      <c r="S2422" s="114"/>
      <c r="T2422" s="200"/>
      <c r="U2422" s="114"/>
      <c r="V2422" s="414"/>
      <c r="W2422" s="176"/>
      <c r="X2422" s="176"/>
      <c r="Y2422" s="176"/>
      <c r="Z2422" s="176"/>
    </row>
    <row r="2423" ht="15.75" customHeight="1">
      <c r="A2423" s="408"/>
      <c r="B2423" s="428"/>
      <c r="C2423" s="200"/>
      <c r="D2423" s="176"/>
      <c r="E2423" s="176"/>
      <c r="F2423" s="408"/>
      <c r="G2423" s="176"/>
      <c r="H2423" s="114"/>
      <c r="I2423" s="42"/>
      <c r="J2423" s="42"/>
      <c r="K2423" s="176"/>
      <c r="L2423" s="176"/>
      <c r="M2423" s="176"/>
      <c r="N2423" s="176"/>
      <c r="O2423" s="176"/>
      <c r="P2423" s="114"/>
      <c r="Q2423" s="176"/>
      <c r="R2423" s="114"/>
      <c r="S2423" s="114"/>
      <c r="T2423" s="200"/>
      <c r="U2423" s="114"/>
      <c r="V2423" s="414"/>
      <c r="W2423" s="176"/>
      <c r="X2423" s="176"/>
      <c r="Y2423" s="176"/>
      <c r="Z2423" s="176"/>
    </row>
    <row r="2424" ht="15.75" customHeight="1">
      <c r="A2424" s="408"/>
      <c r="B2424" s="428"/>
      <c r="C2424" s="200"/>
      <c r="D2424" s="176"/>
      <c r="E2424" s="176"/>
      <c r="F2424" s="408"/>
      <c r="G2424" s="176"/>
      <c r="H2424" s="114"/>
      <c r="I2424" s="42"/>
      <c r="J2424" s="42"/>
      <c r="K2424" s="176"/>
      <c r="L2424" s="176"/>
      <c r="M2424" s="176"/>
      <c r="N2424" s="176"/>
      <c r="O2424" s="176"/>
      <c r="P2424" s="114"/>
      <c r="Q2424" s="176"/>
      <c r="R2424" s="114"/>
      <c r="S2424" s="114"/>
      <c r="T2424" s="200"/>
      <c r="U2424" s="114"/>
      <c r="V2424" s="414"/>
      <c r="W2424" s="176"/>
      <c r="X2424" s="176"/>
      <c r="Y2424" s="176"/>
      <c r="Z2424" s="176"/>
    </row>
    <row r="2425" ht="15.75" customHeight="1">
      <c r="A2425" s="408"/>
      <c r="B2425" s="428"/>
      <c r="C2425" s="200"/>
      <c r="D2425" s="176"/>
      <c r="E2425" s="176"/>
      <c r="F2425" s="408"/>
      <c r="G2425" s="176"/>
      <c r="H2425" s="114"/>
      <c r="I2425" s="42"/>
      <c r="J2425" s="42"/>
      <c r="K2425" s="176"/>
      <c r="L2425" s="176"/>
      <c r="M2425" s="176"/>
      <c r="N2425" s="176"/>
      <c r="O2425" s="176"/>
      <c r="P2425" s="114"/>
      <c r="Q2425" s="176"/>
      <c r="R2425" s="114"/>
      <c r="S2425" s="114"/>
      <c r="T2425" s="200"/>
      <c r="U2425" s="114"/>
      <c r="V2425" s="414"/>
      <c r="W2425" s="176"/>
      <c r="X2425" s="176"/>
      <c r="Y2425" s="176"/>
      <c r="Z2425" s="176"/>
    </row>
    <row r="2426" ht="15.75" customHeight="1">
      <c r="A2426" s="408"/>
      <c r="B2426" s="428"/>
      <c r="C2426" s="200"/>
      <c r="D2426" s="176"/>
      <c r="E2426" s="176"/>
      <c r="F2426" s="408"/>
      <c r="G2426" s="176"/>
      <c r="H2426" s="114"/>
      <c r="I2426" s="42"/>
      <c r="J2426" s="42"/>
      <c r="K2426" s="176"/>
      <c r="L2426" s="176"/>
      <c r="M2426" s="176"/>
      <c r="N2426" s="176"/>
      <c r="O2426" s="176"/>
      <c r="P2426" s="114"/>
      <c r="Q2426" s="176"/>
      <c r="R2426" s="114"/>
      <c r="S2426" s="114"/>
      <c r="T2426" s="200"/>
      <c r="U2426" s="114"/>
      <c r="V2426" s="414"/>
      <c r="W2426" s="176"/>
      <c r="X2426" s="176"/>
      <c r="Y2426" s="176"/>
      <c r="Z2426" s="176"/>
    </row>
    <row r="2427" ht="15.75" customHeight="1">
      <c r="A2427" s="408"/>
      <c r="B2427" s="428"/>
      <c r="C2427" s="200"/>
      <c r="D2427" s="176"/>
      <c r="E2427" s="176"/>
      <c r="F2427" s="408"/>
      <c r="G2427" s="176"/>
      <c r="H2427" s="114"/>
      <c r="I2427" s="42"/>
      <c r="J2427" s="42"/>
      <c r="K2427" s="176"/>
      <c r="L2427" s="176"/>
      <c r="M2427" s="176"/>
      <c r="N2427" s="176"/>
      <c r="O2427" s="176"/>
      <c r="P2427" s="114"/>
      <c r="Q2427" s="176"/>
      <c r="R2427" s="114"/>
      <c r="S2427" s="114"/>
      <c r="T2427" s="200"/>
      <c r="U2427" s="114"/>
      <c r="V2427" s="414"/>
      <c r="W2427" s="176"/>
      <c r="X2427" s="176"/>
      <c r="Y2427" s="176"/>
      <c r="Z2427" s="176"/>
    </row>
    <row r="2428" ht="15.75" customHeight="1">
      <c r="A2428" s="408"/>
      <c r="B2428" s="428"/>
      <c r="C2428" s="200"/>
      <c r="D2428" s="176"/>
      <c r="E2428" s="176"/>
      <c r="F2428" s="408"/>
      <c r="G2428" s="176"/>
      <c r="H2428" s="114"/>
      <c r="I2428" s="42"/>
      <c r="J2428" s="42"/>
      <c r="K2428" s="176"/>
      <c r="L2428" s="176"/>
      <c r="M2428" s="176"/>
      <c r="N2428" s="176"/>
      <c r="O2428" s="176"/>
      <c r="P2428" s="114"/>
      <c r="Q2428" s="176"/>
      <c r="R2428" s="114"/>
      <c r="S2428" s="114"/>
      <c r="T2428" s="200"/>
      <c r="U2428" s="114"/>
      <c r="V2428" s="414"/>
      <c r="W2428" s="176"/>
      <c r="X2428" s="176"/>
      <c r="Y2428" s="176"/>
      <c r="Z2428" s="176"/>
    </row>
    <row r="2429" ht="15.75" customHeight="1">
      <c r="A2429" s="408"/>
      <c r="B2429" s="428"/>
      <c r="C2429" s="200"/>
      <c r="D2429" s="176"/>
      <c r="E2429" s="176"/>
      <c r="F2429" s="408"/>
      <c r="G2429" s="176"/>
      <c r="H2429" s="114"/>
      <c r="I2429" s="42"/>
      <c r="J2429" s="42"/>
      <c r="K2429" s="176"/>
      <c r="L2429" s="176"/>
      <c r="M2429" s="176"/>
      <c r="N2429" s="176"/>
      <c r="O2429" s="176"/>
      <c r="P2429" s="114"/>
      <c r="Q2429" s="176"/>
      <c r="R2429" s="114"/>
      <c r="S2429" s="114"/>
      <c r="T2429" s="200"/>
      <c r="U2429" s="114"/>
      <c r="V2429" s="414"/>
      <c r="W2429" s="176"/>
      <c r="X2429" s="176"/>
      <c r="Y2429" s="176"/>
      <c r="Z2429" s="176"/>
    </row>
    <row r="2430" ht="15.75" customHeight="1">
      <c r="A2430" s="408"/>
      <c r="B2430" s="428"/>
      <c r="C2430" s="200"/>
      <c r="D2430" s="176"/>
      <c r="E2430" s="176"/>
      <c r="F2430" s="408"/>
      <c r="G2430" s="176"/>
      <c r="H2430" s="114"/>
      <c r="I2430" s="42"/>
      <c r="J2430" s="42"/>
      <c r="K2430" s="176"/>
      <c r="L2430" s="176"/>
      <c r="M2430" s="176"/>
      <c r="N2430" s="176"/>
      <c r="O2430" s="176"/>
      <c r="P2430" s="114"/>
      <c r="Q2430" s="176"/>
      <c r="R2430" s="114"/>
      <c r="S2430" s="114"/>
      <c r="T2430" s="200"/>
      <c r="U2430" s="114"/>
      <c r="V2430" s="414"/>
      <c r="W2430" s="176"/>
      <c r="X2430" s="176"/>
      <c r="Y2430" s="176"/>
      <c r="Z2430" s="176"/>
    </row>
    <row r="2431" ht="15.75" customHeight="1">
      <c r="A2431" s="408"/>
      <c r="B2431" s="428"/>
      <c r="C2431" s="200"/>
      <c r="D2431" s="176"/>
      <c r="E2431" s="176"/>
      <c r="F2431" s="408"/>
      <c r="G2431" s="176"/>
      <c r="H2431" s="114"/>
      <c r="I2431" s="42"/>
      <c r="J2431" s="42"/>
      <c r="K2431" s="176"/>
      <c r="L2431" s="176"/>
      <c r="M2431" s="176"/>
      <c r="N2431" s="176"/>
      <c r="O2431" s="176"/>
      <c r="P2431" s="114"/>
      <c r="Q2431" s="176"/>
      <c r="R2431" s="114"/>
      <c r="S2431" s="114"/>
      <c r="T2431" s="200"/>
      <c r="U2431" s="114"/>
      <c r="V2431" s="414"/>
      <c r="W2431" s="176"/>
      <c r="X2431" s="176"/>
      <c r="Y2431" s="176"/>
      <c r="Z2431" s="176"/>
    </row>
    <row r="2432" ht="15.75" customHeight="1">
      <c r="A2432" s="408"/>
      <c r="B2432" s="428"/>
      <c r="C2432" s="200"/>
      <c r="D2432" s="176"/>
      <c r="E2432" s="176"/>
      <c r="F2432" s="408"/>
      <c r="G2432" s="176"/>
      <c r="H2432" s="114"/>
      <c r="I2432" s="42"/>
      <c r="J2432" s="42"/>
      <c r="K2432" s="176"/>
      <c r="L2432" s="176"/>
      <c r="M2432" s="176"/>
      <c r="N2432" s="176"/>
      <c r="O2432" s="176"/>
      <c r="P2432" s="114"/>
      <c r="Q2432" s="176"/>
      <c r="R2432" s="114"/>
      <c r="S2432" s="114"/>
      <c r="T2432" s="200"/>
      <c r="U2432" s="114"/>
      <c r="V2432" s="414"/>
      <c r="W2432" s="176"/>
      <c r="X2432" s="176"/>
      <c r="Y2432" s="176"/>
      <c r="Z2432" s="176"/>
    </row>
    <row r="2433" ht="15.75" customHeight="1">
      <c r="A2433" s="408"/>
      <c r="B2433" s="428"/>
      <c r="C2433" s="200"/>
      <c r="D2433" s="176"/>
      <c r="E2433" s="176"/>
      <c r="F2433" s="408"/>
      <c r="G2433" s="176"/>
      <c r="H2433" s="114"/>
      <c r="I2433" s="42"/>
      <c r="J2433" s="42"/>
      <c r="K2433" s="176"/>
      <c r="L2433" s="176"/>
      <c r="M2433" s="176"/>
      <c r="N2433" s="176"/>
      <c r="O2433" s="176"/>
      <c r="P2433" s="114"/>
      <c r="Q2433" s="176"/>
      <c r="R2433" s="114"/>
      <c r="S2433" s="114"/>
      <c r="T2433" s="200"/>
      <c r="U2433" s="114"/>
      <c r="V2433" s="414"/>
      <c r="W2433" s="176"/>
      <c r="X2433" s="176"/>
      <c r="Y2433" s="176"/>
      <c r="Z2433" s="176"/>
    </row>
    <row r="2434" ht="15.75" customHeight="1">
      <c r="A2434" s="408"/>
      <c r="B2434" s="428"/>
      <c r="C2434" s="200"/>
      <c r="D2434" s="176"/>
      <c r="E2434" s="176"/>
      <c r="F2434" s="408"/>
      <c r="G2434" s="176"/>
      <c r="H2434" s="114"/>
      <c r="I2434" s="42"/>
      <c r="J2434" s="42"/>
      <c r="K2434" s="176"/>
      <c r="L2434" s="176"/>
      <c r="M2434" s="176"/>
      <c r="N2434" s="176"/>
      <c r="O2434" s="176"/>
      <c r="P2434" s="114"/>
      <c r="Q2434" s="176"/>
      <c r="R2434" s="114"/>
      <c r="S2434" s="114"/>
      <c r="T2434" s="200"/>
      <c r="U2434" s="114"/>
      <c r="V2434" s="414"/>
      <c r="W2434" s="176"/>
      <c r="X2434" s="176"/>
      <c r="Y2434" s="176"/>
      <c r="Z2434" s="176"/>
    </row>
    <row r="2435" ht="15.75" customHeight="1">
      <c r="A2435" s="408"/>
      <c r="B2435" s="428"/>
      <c r="C2435" s="200"/>
      <c r="D2435" s="176"/>
      <c r="E2435" s="176"/>
      <c r="F2435" s="408"/>
      <c r="G2435" s="176"/>
      <c r="H2435" s="114"/>
      <c r="I2435" s="42"/>
      <c r="J2435" s="42"/>
      <c r="K2435" s="176"/>
      <c r="L2435" s="176"/>
      <c r="M2435" s="176"/>
      <c r="N2435" s="176"/>
      <c r="O2435" s="176"/>
      <c r="P2435" s="114"/>
      <c r="Q2435" s="176"/>
      <c r="R2435" s="114"/>
      <c r="S2435" s="114"/>
      <c r="T2435" s="200"/>
      <c r="U2435" s="114"/>
      <c r="V2435" s="414"/>
      <c r="W2435" s="176"/>
      <c r="X2435" s="176"/>
      <c r="Y2435" s="176"/>
      <c r="Z2435" s="176"/>
    </row>
    <row r="2436" ht="15.75" customHeight="1">
      <c r="A2436" s="408"/>
      <c r="B2436" s="428"/>
      <c r="C2436" s="200"/>
      <c r="D2436" s="176"/>
      <c r="E2436" s="176"/>
      <c r="F2436" s="408"/>
      <c r="G2436" s="176"/>
      <c r="H2436" s="114"/>
      <c r="I2436" s="42"/>
      <c r="J2436" s="42"/>
      <c r="K2436" s="176"/>
      <c r="L2436" s="176"/>
      <c r="M2436" s="176"/>
      <c r="N2436" s="176"/>
      <c r="O2436" s="176"/>
      <c r="P2436" s="114"/>
      <c r="Q2436" s="176"/>
      <c r="R2436" s="114"/>
      <c r="S2436" s="114"/>
      <c r="T2436" s="200"/>
      <c r="U2436" s="114"/>
      <c r="V2436" s="414"/>
      <c r="W2436" s="176"/>
      <c r="X2436" s="176"/>
      <c r="Y2436" s="176"/>
      <c r="Z2436" s="176"/>
    </row>
    <row r="2437" ht="15.75" customHeight="1">
      <c r="A2437" s="408"/>
      <c r="B2437" s="428"/>
      <c r="C2437" s="200"/>
      <c r="D2437" s="176"/>
      <c r="E2437" s="176"/>
      <c r="F2437" s="408"/>
      <c r="G2437" s="176"/>
      <c r="H2437" s="114"/>
      <c r="I2437" s="42"/>
      <c r="J2437" s="42"/>
      <c r="K2437" s="176"/>
      <c r="L2437" s="176"/>
      <c r="M2437" s="176"/>
      <c r="N2437" s="176"/>
      <c r="O2437" s="176"/>
      <c r="P2437" s="114"/>
      <c r="Q2437" s="176"/>
      <c r="R2437" s="114"/>
      <c r="S2437" s="114"/>
      <c r="T2437" s="200"/>
      <c r="U2437" s="114"/>
      <c r="V2437" s="414"/>
      <c r="W2437" s="176"/>
      <c r="X2437" s="176"/>
      <c r="Y2437" s="176"/>
      <c r="Z2437" s="176"/>
    </row>
    <row r="2438" ht="15.75" customHeight="1">
      <c r="A2438" s="408"/>
      <c r="B2438" s="428"/>
      <c r="C2438" s="200"/>
      <c r="D2438" s="176"/>
      <c r="E2438" s="176"/>
      <c r="F2438" s="408"/>
      <c r="G2438" s="176"/>
      <c r="H2438" s="114"/>
      <c r="I2438" s="42"/>
      <c r="J2438" s="42"/>
      <c r="K2438" s="176"/>
      <c r="L2438" s="176"/>
      <c r="M2438" s="176"/>
      <c r="N2438" s="176"/>
      <c r="O2438" s="176"/>
      <c r="P2438" s="114"/>
      <c r="Q2438" s="176"/>
      <c r="R2438" s="114"/>
      <c r="S2438" s="114"/>
      <c r="T2438" s="200"/>
      <c r="U2438" s="114"/>
      <c r="V2438" s="414"/>
      <c r="W2438" s="176"/>
      <c r="X2438" s="176"/>
      <c r="Y2438" s="176"/>
      <c r="Z2438" s="176"/>
    </row>
    <row r="2439" ht="15.75" customHeight="1">
      <c r="A2439" s="408"/>
      <c r="B2439" s="428"/>
      <c r="C2439" s="200"/>
      <c r="D2439" s="176"/>
      <c r="E2439" s="176"/>
      <c r="F2439" s="408"/>
      <c r="G2439" s="176"/>
      <c r="H2439" s="114"/>
      <c r="I2439" s="42"/>
      <c r="J2439" s="42"/>
      <c r="K2439" s="176"/>
      <c r="L2439" s="176"/>
      <c r="M2439" s="176"/>
      <c r="N2439" s="176"/>
      <c r="O2439" s="176"/>
      <c r="P2439" s="114"/>
      <c r="Q2439" s="176"/>
      <c r="R2439" s="114"/>
      <c r="S2439" s="114"/>
      <c r="T2439" s="200"/>
      <c r="U2439" s="114"/>
      <c r="V2439" s="414"/>
      <c r="W2439" s="176"/>
      <c r="X2439" s="176"/>
      <c r="Y2439" s="176"/>
      <c r="Z2439" s="176"/>
    </row>
    <row r="2440" ht="15.75" customHeight="1">
      <c r="A2440" s="408"/>
      <c r="B2440" s="428"/>
      <c r="C2440" s="200"/>
      <c r="D2440" s="176"/>
      <c r="E2440" s="176"/>
      <c r="F2440" s="408"/>
      <c r="G2440" s="176"/>
      <c r="H2440" s="114"/>
      <c r="I2440" s="42"/>
      <c r="J2440" s="42"/>
      <c r="K2440" s="176"/>
      <c r="L2440" s="176"/>
      <c r="M2440" s="176"/>
      <c r="N2440" s="176"/>
      <c r="O2440" s="176"/>
      <c r="P2440" s="114"/>
      <c r="Q2440" s="176"/>
      <c r="R2440" s="114"/>
      <c r="S2440" s="114"/>
      <c r="T2440" s="200"/>
      <c r="U2440" s="114"/>
      <c r="V2440" s="414"/>
      <c r="W2440" s="176"/>
      <c r="X2440" s="176"/>
      <c r="Y2440" s="176"/>
      <c r="Z2440" s="176"/>
    </row>
    <row r="2441" ht="15.75" customHeight="1">
      <c r="A2441" s="408"/>
      <c r="B2441" s="428"/>
      <c r="C2441" s="200"/>
      <c r="D2441" s="176"/>
      <c r="E2441" s="176"/>
      <c r="F2441" s="408"/>
      <c r="G2441" s="176"/>
      <c r="H2441" s="114"/>
      <c r="I2441" s="42"/>
      <c r="J2441" s="42"/>
      <c r="K2441" s="176"/>
      <c r="L2441" s="176"/>
      <c r="M2441" s="176"/>
      <c r="N2441" s="176"/>
      <c r="O2441" s="176"/>
      <c r="P2441" s="114"/>
      <c r="Q2441" s="176"/>
      <c r="R2441" s="114"/>
      <c r="S2441" s="114"/>
      <c r="T2441" s="200"/>
      <c r="U2441" s="114"/>
      <c r="V2441" s="414"/>
      <c r="W2441" s="176"/>
      <c r="X2441" s="176"/>
      <c r="Y2441" s="176"/>
      <c r="Z2441" s="176"/>
    </row>
    <row r="2442" ht="15.75" customHeight="1">
      <c r="A2442" s="408"/>
      <c r="B2442" s="428"/>
      <c r="C2442" s="200"/>
      <c r="D2442" s="176"/>
      <c r="E2442" s="176"/>
      <c r="F2442" s="408"/>
      <c r="G2442" s="176"/>
      <c r="H2442" s="114"/>
      <c r="I2442" s="42"/>
      <c r="J2442" s="42"/>
      <c r="K2442" s="176"/>
      <c r="L2442" s="176"/>
      <c r="M2442" s="176"/>
      <c r="N2442" s="176"/>
      <c r="O2442" s="176"/>
      <c r="P2442" s="114"/>
      <c r="Q2442" s="176"/>
      <c r="R2442" s="114"/>
      <c r="S2442" s="114"/>
      <c r="T2442" s="200"/>
      <c r="U2442" s="114"/>
      <c r="V2442" s="414"/>
      <c r="W2442" s="176"/>
      <c r="X2442" s="176"/>
      <c r="Y2442" s="176"/>
      <c r="Z2442" s="176"/>
    </row>
    <row r="2443" ht="15.75" customHeight="1">
      <c r="A2443" s="408"/>
      <c r="B2443" s="428"/>
      <c r="C2443" s="200"/>
      <c r="D2443" s="176"/>
      <c r="E2443" s="176"/>
      <c r="F2443" s="408"/>
      <c r="G2443" s="176"/>
      <c r="H2443" s="114"/>
      <c r="I2443" s="42"/>
      <c r="J2443" s="42"/>
      <c r="K2443" s="176"/>
      <c r="L2443" s="176"/>
      <c r="M2443" s="176"/>
      <c r="N2443" s="176"/>
      <c r="O2443" s="176"/>
      <c r="P2443" s="114"/>
      <c r="Q2443" s="176"/>
      <c r="R2443" s="114"/>
      <c r="S2443" s="114"/>
      <c r="T2443" s="200"/>
      <c r="U2443" s="114"/>
      <c r="V2443" s="414"/>
      <c r="W2443" s="176"/>
      <c r="X2443" s="176"/>
      <c r="Y2443" s="176"/>
      <c r="Z2443" s="176"/>
    </row>
    <row r="2444" ht="15.75" customHeight="1">
      <c r="A2444" s="408"/>
      <c r="B2444" s="428"/>
      <c r="C2444" s="200"/>
      <c r="D2444" s="176"/>
      <c r="E2444" s="176"/>
      <c r="F2444" s="408"/>
      <c r="G2444" s="176"/>
      <c r="H2444" s="114"/>
      <c r="I2444" s="42"/>
      <c r="J2444" s="42"/>
      <c r="K2444" s="176"/>
      <c r="L2444" s="176"/>
      <c r="M2444" s="176"/>
      <c r="N2444" s="176"/>
      <c r="O2444" s="176"/>
      <c r="P2444" s="114"/>
      <c r="Q2444" s="176"/>
      <c r="R2444" s="114"/>
      <c r="S2444" s="114"/>
      <c r="T2444" s="200"/>
      <c r="U2444" s="114"/>
      <c r="V2444" s="414"/>
      <c r="W2444" s="176"/>
      <c r="X2444" s="176"/>
      <c r="Y2444" s="176"/>
      <c r="Z2444" s="176"/>
    </row>
    <row r="2445" ht="15.75" customHeight="1">
      <c r="A2445" s="408"/>
      <c r="B2445" s="428"/>
      <c r="C2445" s="200"/>
      <c r="D2445" s="176"/>
      <c r="E2445" s="176"/>
      <c r="F2445" s="408"/>
      <c r="G2445" s="176"/>
      <c r="H2445" s="114"/>
      <c r="I2445" s="42"/>
      <c r="J2445" s="42"/>
      <c r="K2445" s="176"/>
      <c r="L2445" s="176"/>
      <c r="M2445" s="176"/>
      <c r="N2445" s="176"/>
      <c r="O2445" s="176"/>
      <c r="P2445" s="114"/>
      <c r="Q2445" s="176"/>
      <c r="R2445" s="114"/>
      <c r="S2445" s="114"/>
      <c r="T2445" s="200"/>
      <c r="U2445" s="114"/>
      <c r="V2445" s="414"/>
      <c r="W2445" s="176"/>
      <c r="X2445" s="176"/>
      <c r="Y2445" s="176"/>
      <c r="Z2445" s="176"/>
    </row>
    <row r="2446" ht="15.75" customHeight="1">
      <c r="A2446" s="408"/>
      <c r="B2446" s="428"/>
      <c r="C2446" s="200"/>
      <c r="D2446" s="176"/>
      <c r="E2446" s="176"/>
      <c r="F2446" s="408"/>
      <c r="G2446" s="176"/>
      <c r="H2446" s="114"/>
      <c r="I2446" s="42"/>
      <c r="J2446" s="42"/>
      <c r="K2446" s="176"/>
      <c r="L2446" s="176"/>
      <c r="M2446" s="176"/>
      <c r="N2446" s="176"/>
      <c r="O2446" s="176"/>
      <c r="P2446" s="114"/>
      <c r="Q2446" s="176"/>
      <c r="R2446" s="114"/>
      <c r="S2446" s="114"/>
      <c r="T2446" s="200"/>
      <c r="U2446" s="114"/>
      <c r="V2446" s="414"/>
      <c r="W2446" s="176"/>
      <c r="X2446" s="176"/>
      <c r="Y2446" s="176"/>
      <c r="Z2446" s="176"/>
    </row>
    <row r="2447" ht="15.75" customHeight="1">
      <c r="A2447" s="408"/>
      <c r="B2447" s="428"/>
      <c r="C2447" s="200"/>
      <c r="D2447" s="176"/>
      <c r="E2447" s="176"/>
      <c r="F2447" s="408"/>
      <c r="G2447" s="176"/>
      <c r="H2447" s="114"/>
      <c r="I2447" s="42"/>
      <c r="J2447" s="42"/>
      <c r="K2447" s="176"/>
      <c r="L2447" s="176"/>
      <c r="M2447" s="176"/>
      <c r="N2447" s="176"/>
      <c r="O2447" s="176"/>
      <c r="P2447" s="114"/>
      <c r="Q2447" s="176"/>
      <c r="R2447" s="114"/>
      <c r="S2447" s="114"/>
      <c r="T2447" s="200"/>
      <c r="U2447" s="114"/>
      <c r="V2447" s="414"/>
      <c r="W2447" s="176"/>
      <c r="X2447" s="176"/>
      <c r="Y2447" s="176"/>
      <c r="Z2447" s="176"/>
    </row>
    <row r="2448" ht="15.75" customHeight="1">
      <c r="A2448" s="408"/>
      <c r="B2448" s="428"/>
      <c r="C2448" s="200"/>
      <c r="D2448" s="176"/>
      <c r="E2448" s="176"/>
      <c r="F2448" s="408"/>
      <c r="G2448" s="176"/>
      <c r="H2448" s="114"/>
      <c r="I2448" s="42"/>
      <c r="J2448" s="42"/>
      <c r="K2448" s="176"/>
      <c r="L2448" s="176"/>
      <c r="M2448" s="176"/>
      <c r="N2448" s="176"/>
      <c r="O2448" s="176"/>
      <c r="P2448" s="114"/>
      <c r="Q2448" s="176"/>
      <c r="R2448" s="114"/>
      <c r="S2448" s="114"/>
      <c r="T2448" s="200"/>
      <c r="U2448" s="114"/>
      <c r="V2448" s="414"/>
      <c r="W2448" s="176"/>
      <c r="X2448" s="176"/>
      <c r="Y2448" s="176"/>
      <c r="Z2448" s="176"/>
    </row>
    <row r="2449" ht="15.75" customHeight="1">
      <c r="A2449" s="408"/>
      <c r="B2449" s="428"/>
      <c r="C2449" s="200"/>
      <c r="D2449" s="176"/>
      <c r="E2449" s="176"/>
      <c r="F2449" s="408"/>
      <c r="G2449" s="176"/>
      <c r="H2449" s="114"/>
      <c r="I2449" s="42"/>
      <c r="J2449" s="42"/>
      <c r="K2449" s="176"/>
      <c r="L2449" s="176"/>
      <c r="M2449" s="176"/>
      <c r="N2449" s="176"/>
      <c r="O2449" s="176"/>
      <c r="P2449" s="114"/>
      <c r="Q2449" s="176"/>
      <c r="R2449" s="114"/>
      <c r="S2449" s="114"/>
      <c r="T2449" s="200"/>
      <c r="U2449" s="114"/>
      <c r="V2449" s="414"/>
      <c r="W2449" s="176"/>
      <c r="X2449" s="176"/>
      <c r="Y2449" s="176"/>
      <c r="Z2449" s="176"/>
    </row>
    <row r="2450" ht="15.75" customHeight="1">
      <c r="A2450" s="408"/>
      <c r="B2450" s="428"/>
      <c r="C2450" s="200"/>
      <c r="D2450" s="176"/>
      <c r="E2450" s="176"/>
      <c r="F2450" s="408"/>
      <c r="G2450" s="176"/>
      <c r="H2450" s="114"/>
      <c r="I2450" s="42"/>
      <c r="J2450" s="42"/>
      <c r="K2450" s="176"/>
      <c r="L2450" s="176"/>
      <c r="M2450" s="176"/>
      <c r="N2450" s="176"/>
      <c r="O2450" s="176"/>
      <c r="P2450" s="114"/>
      <c r="Q2450" s="176"/>
      <c r="R2450" s="114"/>
      <c r="S2450" s="114"/>
      <c r="T2450" s="200"/>
      <c r="U2450" s="114"/>
      <c r="V2450" s="414"/>
      <c r="W2450" s="176"/>
      <c r="X2450" s="176"/>
      <c r="Y2450" s="176"/>
      <c r="Z2450" s="176"/>
    </row>
    <row r="2451" ht="15.75" customHeight="1">
      <c r="A2451" s="408"/>
      <c r="B2451" s="428"/>
      <c r="C2451" s="200"/>
      <c r="D2451" s="176"/>
      <c r="E2451" s="176"/>
      <c r="F2451" s="408"/>
      <c r="G2451" s="176"/>
      <c r="H2451" s="114"/>
      <c r="I2451" s="42"/>
      <c r="J2451" s="42"/>
      <c r="K2451" s="176"/>
      <c r="L2451" s="176"/>
      <c r="M2451" s="176"/>
      <c r="N2451" s="176"/>
      <c r="O2451" s="176"/>
      <c r="P2451" s="114"/>
      <c r="Q2451" s="176"/>
      <c r="R2451" s="114"/>
      <c r="S2451" s="114"/>
      <c r="T2451" s="200"/>
      <c r="U2451" s="114"/>
      <c r="V2451" s="414"/>
      <c r="W2451" s="176"/>
      <c r="X2451" s="176"/>
      <c r="Y2451" s="176"/>
      <c r="Z2451" s="176"/>
    </row>
    <row r="2452" ht="15.75" customHeight="1">
      <c r="A2452" s="408"/>
      <c r="B2452" s="428"/>
      <c r="C2452" s="200"/>
      <c r="D2452" s="176"/>
      <c r="E2452" s="176"/>
      <c r="F2452" s="408"/>
      <c r="G2452" s="176"/>
      <c r="H2452" s="114"/>
      <c r="I2452" s="42"/>
      <c r="J2452" s="42"/>
      <c r="K2452" s="176"/>
      <c r="L2452" s="176"/>
      <c r="M2452" s="176"/>
      <c r="N2452" s="176"/>
      <c r="O2452" s="176"/>
      <c r="P2452" s="114"/>
      <c r="Q2452" s="176"/>
      <c r="R2452" s="114"/>
      <c r="S2452" s="114"/>
      <c r="T2452" s="200"/>
      <c r="U2452" s="114"/>
      <c r="V2452" s="414"/>
      <c r="W2452" s="176"/>
      <c r="X2452" s="176"/>
      <c r="Y2452" s="176"/>
      <c r="Z2452" s="176"/>
    </row>
    <row r="2453" ht="15.75" customHeight="1">
      <c r="A2453" s="408"/>
      <c r="B2453" s="428"/>
      <c r="C2453" s="200"/>
      <c r="D2453" s="176"/>
      <c r="E2453" s="176"/>
      <c r="F2453" s="408"/>
      <c r="G2453" s="176"/>
      <c r="H2453" s="114"/>
      <c r="I2453" s="42"/>
      <c r="J2453" s="42"/>
      <c r="K2453" s="176"/>
      <c r="L2453" s="176"/>
      <c r="M2453" s="176"/>
      <c r="N2453" s="176"/>
      <c r="O2453" s="176"/>
      <c r="P2453" s="114"/>
      <c r="Q2453" s="176"/>
      <c r="R2453" s="114"/>
      <c r="S2453" s="114"/>
      <c r="T2453" s="200"/>
      <c r="U2453" s="114"/>
      <c r="V2453" s="414"/>
      <c r="W2453" s="176"/>
      <c r="X2453" s="176"/>
      <c r="Y2453" s="176"/>
      <c r="Z2453" s="176"/>
    </row>
    <row r="2454" ht="15.75" customHeight="1">
      <c r="A2454" s="408"/>
      <c r="B2454" s="428"/>
      <c r="C2454" s="200"/>
      <c r="D2454" s="176"/>
      <c r="E2454" s="176"/>
      <c r="F2454" s="408"/>
      <c r="G2454" s="176"/>
      <c r="H2454" s="114"/>
      <c r="I2454" s="42"/>
      <c r="J2454" s="42"/>
      <c r="K2454" s="176"/>
      <c r="L2454" s="176"/>
      <c r="M2454" s="176"/>
      <c r="N2454" s="176"/>
      <c r="O2454" s="176"/>
      <c r="P2454" s="114"/>
      <c r="Q2454" s="176"/>
      <c r="R2454" s="114"/>
      <c r="S2454" s="114"/>
      <c r="T2454" s="200"/>
      <c r="U2454" s="114"/>
      <c r="V2454" s="414"/>
      <c r="W2454" s="176"/>
      <c r="X2454" s="176"/>
      <c r="Y2454" s="176"/>
      <c r="Z2454" s="176"/>
    </row>
    <row r="2455" ht="15.75" customHeight="1">
      <c r="A2455" s="408"/>
      <c r="B2455" s="428"/>
      <c r="C2455" s="200"/>
      <c r="D2455" s="176"/>
      <c r="E2455" s="176"/>
      <c r="F2455" s="408"/>
      <c r="G2455" s="176"/>
      <c r="H2455" s="114"/>
      <c r="I2455" s="42"/>
      <c r="J2455" s="42"/>
      <c r="K2455" s="176"/>
      <c r="L2455" s="176"/>
      <c r="M2455" s="176"/>
      <c r="N2455" s="176"/>
      <c r="O2455" s="176"/>
      <c r="P2455" s="114"/>
      <c r="Q2455" s="176"/>
      <c r="R2455" s="114"/>
      <c r="S2455" s="114"/>
      <c r="T2455" s="200"/>
      <c r="U2455" s="114"/>
      <c r="V2455" s="414"/>
      <c r="W2455" s="176"/>
      <c r="X2455" s="176"/>
      <c r="Y2455" s="176"/>
      <c r="Z2455" s="176"/>
    </row>
    <row r="2456" ht="15.75" customHeight="1">
      <c r="A2456" s="408"/>
      <c r="B2456" s="428"/>
      <c r="C2456" s="200"/>
      <c r="D2456" s="176"/>
      <c r="E2456" s="176"/>
      <c r="F2456" s="408"/>
      <c r="G2456" s="176"/>
      <c r="H2456" s="114"/>
      <c r="I2456" s="42"/>
      <c r="J2456" s="42"/>
      <c r="K2456" s="176"/>
      <c r="L2456" s="176"/>
      <c r="M2456" s="176"/>
      <c r="N2456" s="176"/>
      <c r="O2456" s="176"/>
      <c r="P2456" s="114"/>
      <c r="Q2456" s="176"/>
      <c r="R2456" s="114"/>
      <c r="S2456" s="114"/>
      <c r="T2456" s="200"/>
      <c r="U2456" s="114"/>
      <c r="V2456" s="414"/>
      <c r="W2456" s="176"/>
      <c r="X2456" s="176"/>
      <c r="Y2456" s="176"/>
      <c r="Z2456" s="176"/>
    </row>
    <row r="2457" ht="15.75" customHeight="1">
      <c r="A2457" s="408"/>
      <c r="B2457" s="428"/>
      <c r="C2457" s="200"/>
      <c r="D2457" s="176"/>
      <c r="E2457" s="176"/>
      <c r="F2457" s="408"/>
      <c r="G2457" s="176"/>
      <c r="H2457" s="114"/>
      <c r="I2457" s="42"/>
      <c r="J2457" s="42"/>
      <c r="K2457" s="176"/>
      <c r="L2457" s="176"/>
      <c r="M2457" s="176"/>
      <c r="N2457" s="176"/>
      <c r="O2457" s="176"/>
      <c r="P2457" s="114"/>
      <c r="Q2457" s="176"/>
      <c r="R2457" s="114"/>
      <c r="S2457" s="114"/>
      <c r="T2457" s="200"/>
      <c r="U2457" s="114"/>
      <c r="V2457" s="414"/>
      <c r="W2457" s="176"/>
      <c r="X2457" s="176"/>
      <c r="Y2457" s="176"/>
      <c r="Z2457" s="176"/>
    </row>
    <row r="2458" ht="15.75" customHeight="1">
      <c r="A2458" s="408"/>
      <c r="B2458" s="428"/>
      <c r="C2458" s="200"/>
      <c r="D2458" s="176"/>
      <c r="E2458" s="176"/>
      <c r="F2458" s="408"/>
      <c r="G2458" s="176"/>
      <c r="H2458" s="114"/>
      <c r="I2458" s="42"/>
      <c r="J2458" s="42"/>
      <c r="K2458" s="176"/>
      <c r="L2458" s="176"/>
      <c r="M2458" s="176"/>
      <c r="N2458" s="176"/>
      <c r="O2458" s="176"/>
      <c r="P2458" s="114"/>
      <c r="Q2458" s="176"/>
      <c r="R2458" s="114"/>
      <c r="S2458" s="114"/>
      <c r="T2458" s="200"/>
      <c r="U2458" s="114"/>
      <c r="V2458" s="414"/>
      <c r="W2458" s="176"/>
      <c r="X2458" s="176"/>
      <c r="Y2458" s="176"/>
      <c r="Z2458" s="176"/>
    </row>
    <row r="2459" ht="15.75" customHeight="1">
      <c r="A2459" s="408"/>
      <c r="B2459" s="428"/>
      <c r="C2459" s="200"/>
      <c r="D2459" s="176"/>
      <c r="E2459" s="176"/>
      <c r="F2459" s="408"/>
      <c r="G2459" s="176"/>
      <c r="H2459" s="114"/>
      <c r="I2459" s="42"/>
      <c r="J2459" s="42"/>
      <c r="K2459" s="176"/>
      <c r="L2459" s="176"/>
      <c r="M2459" s="176"/>
      <c r="N2459" s="176"/>
      <c r="O2459" s="176"/>
      <c r="P2459" s="114"/>
      <c r="Q2459" s="176"/>
      <c r="R2459" s="114"/>
      <c r="S2459" s="114"/>
      <c r="T2459" s="200"/>
      <c r="U2459" s="114"/>
      <c r="V2459" s="414"/>
      <c r="W2459" s="176"/>
      <c r="X2459" s="176"/>
      <c r="Y2459" s="176"/>
      <c r="Z2459" s="176"/>
    </row>
    <row r="2460" ht="15.75" customHeight="1">
      <c r="A2460" s="408"/>
      <c r="B2460" s="428"/>
      <c r="C2460" s="200"/>
      <c r="D2460" s="176"/>
      <c r="E2460" s="176"/>
      <c r="F2460" s="408"/>
      <c r="G2460" s="176"/>
      <c r="H2460" s="114"/>
      <c r="I2460" s="42"/>
      <c r="J2460" s="42"/>
      <c r="K2460" s="176"/>
      <c r="L2460" s="176"/>
      <c r="M2460" s="176"/>
      <c r="N2460" s="176"/>
      <c r="O2460" s="176"/>
      <c r="P2460" s="114"/>
      <c r="Q2460" s="176"/>
      <c r="R2460" s="114"/>
      <c r="S2460" s="114"/>
      <c r="T2460" s="200"/>
      <c r="U2460" s="114"/>
      <c r="V2460" s="414"/>
      <c r="W2460" s="176"/>
      <c r="X2460" s="176"/>
      <c r="Y2460" s="176"/>
      <c r="Z2460" s="176"/>
    </row>
    <row r="2461" ht="15.75" customHeight="1">
      <c r="A2461" s="408"/>
      <c r="B2461" s="428"/>
      <c r="C2461" s="200"/>
      <c r="D2461" s="176"/>
      <c r="E2461" s="176"/>
      <c r="F2461" s="408"/>
      <c r="G2461" s="176"/>
      <c r="H2461" s="114"/>
      <c r="I2461" s="42"/>
      <c r="J2461" s="42"/>
      <c r="K2461" s="176"/>
      <c r="L2461" s="176"/>
      <c r="M2461" s="176"/>
      <c r="N2461" s="176"/>
      <c r="O2461" s="176"/>
      <c r="P2461" s="114"/>
      <c r="Q2461" s="176"/>
      <c r="R2461" s="114"/>
      <c r="S2461" s="114"/>
      <c r="T2461" s="200"/>
      <c r="U2461" s="114"/>
      <c r="V2461" s="414"/>
      <c r="W2461" s="176"/>
      <c r="X2461" s="176"/>
      <c r="Y2461" s="176"/>
      <c r="Z2461" s="176"/>
    </row>
    <row r="2462" ht="15.75" customHeight="1">
      <c r="A2462" s="408"/>
      <c r="B2462" s="428"/>
      <c r="C2462" s="200"/>
      <c r="D2462" s="176"/>
      <c r="E2462" s="176"/>
      <c r="F2462" s="408"/>
      <c r="G2462" s="176"/>
      <c r="H2462" s="114"/>
      <c r="I2462" s="42"/>
      <c r="J2462" s="42"/>
      <c r="K2462" s="176"/>
      <c r="L2462" s="176"/>
      <c r="M2462" s="176"/>
      <c r="N2462" s="176"/>
      <c r="O2462" s="176"/>
      <c r="P2462" s="114"/>
      <c r="Q2462" s="176"/>
      <c r="R2462" s="114"/>
      <c r="S2462" s="114"/>
      <c r="T2462" s="200"/>
      <c r="U2462" s="114"/>
      <c r="V2462" s="414"/>
      <c r="W2462" s="176"/>
      <c r="X2462" s="176"/>
      <c r="Y2462" s="176"/>
      <c r="Z2462" s="176"/>
    </row>
    <row r="2463" ht="15.75" customHeight="1">
      <c r="A2463" s="408"/>
      <c r="B2463" s="428"/>
      <c r="C2463" s="200"/>
      <c r="D2463" s="176"/>
      <c r="E2463" s="176"/>
      <c r="F2463" s="408"/>
      <c r="G2463" s="176"/>
      <c r="H2463" s="114"/>
      <c r="I2463" s="42"/>
      <c r="J2463" s="42"/>
      <c r="K2463" s="176"/>
      <c r="L2463" s="176"/>
      <c r="M2463" s="176"/>
      <c r="N2463" s="176"/>
      <c r="O2463" s="176"/>
      <c r="P2463" s="114"/>
      <c r="Q2463" s="176"/>
      <c r="R2463" s="114"/>
      <c r="S2463" s="114"/>
      <c r="T2463" s="200"/>
      <c r="U2463" s="114"/>
      <c r="V2463" s="414"/>
      <c r="W2463" s="176"/>
      <c r="X2463" s="176"/>
      <c r="Y2463" s="176"/>
      <c r="Z2463" s="176"/>
    </row>
    <row r="2464" ht="15.75" customHeight="1">
      <c r="A2464" s="408"/>
      <c r="B2464" s="428"/>
      <c r="C2464" s="200"/>
      <c r="D2464" s="176"/>
      <c r="E2464" s="176"/>
      <c r="F2464" s="408"/>
      <c r="G2464" s="176"/>
      <c r="H2464" s="114"/>
      <c r="I2464" s="42"/>
      <c r="J2464" s="42"/>
      <c r="K2464" s="176"/>
      <c r="L2464" s="176"/>
      <c r="M2464" s="176"/>
      <c r="N2464" s="176"/>
      <c r="O2464" s="176"/>
      <c r="P2464" s="114"/>
      <c r="Q2464" s="176"/>
      <c r="R2464" s="114"/>
      <c r="S2464" s="114"/>
      <c r="T2464" s="200"/>
      <c r="U2464" s="114"/>
      <c r="V2464" s="414"/>
      <c r="W2464" s="176"/>
      <c r="X2464" s="176"/>
      <c r="Y2464" s="176"/>
      <c r="Z2464" s="176"/>
    </row>
    <row r="2465" ht="15.75" customHeight="1">
      <c r="A2465" s="408"/>
      <c r="B2465" s="428"/>
      <c r="C2465" s="200"/>
      <c r="D2465" s="176"/>
      <c r="E2465" s="176"/>
      <c r="F2465" s="408"/>
      <c r="G2465" s="176"/>
      <c r="H2465" s="114"/>
      <c r="I2465" s="42"/>
      <c r="J2465" s="42"/>
      <c r="K2465" s="176"/>
      <c r="L2465" s="176"/>
      <c r="M2465" s="176"/>
      <c r="N2465" s="176"/>
      <c r="O2465" s="176"/>
      <c r="P2465" s="114"/>
      <c r="Q2465" s="176"/>
      <c r="R2465" s="114"/>
      <c r="S2465" s="114"/>
      <c r="T2465" s="200"/>
      <c r="U2465" s="114"/>
      <c r="V2465" s="414"/>
      <c r="W2465" s="176"/>
      <c r="X2465" s="176"/>
      <c r="Y2465" s="176"/>
      <c r="Z2465" s="176"/>
    </row>
    <row r="2466" ht="15.75" customHeight="1">
      <c r="A2466" s="408"/>
      <c r="B2466" s="428"/>
      <c r="C2466" s="200"/>
      <c r="D2466" s="176"/>
      <c r="E2466" s="176"/>
      <c r="F2466" s="408"/>
      <c r="G2466" s="176"/>
      <c r="H2466" s="114"/>
      <c r="I2466" s="42"/>
      <c r="J2466" s="42"/>
      <c r="K2466" s="176"/>
      <c r="L2466" s="176"/>
      <c r="M2466" s="176"/>
      <c r="N2466" s="176"/>
      <c r="O2466" s="176"/>
      <c r="P2466" s="114"/>
      <c r="Q2466" s="176"/>
      <c r="R2466" s="114"/>
      <c r="S2466" s="114"/>
      <c r="T2466" s="200"/>
      <c r="U2466" s="114"/>
      <c r="V2466" s="414"/>
      <c r="W2466" s="176"/>
      <c r="X2466" s="176"/>
      <c r="Y2466" s="176"/>
      <c r="Z2466" s="176"/>
    </row>
    <row r="2467" ht="15.75" customHeight="1">
      <c r="A2467" s="408"/>
      <c r="B2467" s="428"/>
      <c r="C2467" s="200"/>
      <c r="D2467" s="176"/>
      <c r="E2467" s="176"/>
      <c r="F2467" s="408"/>
      <c r="G2467" s="176"/>
      <c r="H2467" s="114"/>
      <c r="I2467" s="42"/>
      <c r="J2467" s="42"/>
      <c r="K2467" s="176"/>
      <c r="L2467" s="176"/>
      <c r="M2467" s="176"/>
      <c r="N2467" s="176"/>
      <c r="O2467" s="176"/>
      <c r="P2467" s="114"/>
      <c r="Q2467" s="176"/>
      <c r="R2467" s="114"/>
      <c r="S2467" s="114"/>
      <c r="T2467" s="200"/>
      <c r="U2467" s="114"/>
      <c r="V2467" s="414"/>
      <c r="W2467" s="176"/>
      <c r="X2467" s="176"/>
      <c r="Y2467" s="176"/>
      <c r="Z2467" s="176"/>
    </row>
    <row r="2468" ht="15.75" customHeight="1">
      <c r="A2468" s="408"/>
      <c r="B2468" s="428"/>
      <c r="C2468" s="200"/>
      <c r="D2468" s="176"/>
      <c r="E2468" s="176"/>
      <c r="F2468" s="408"/>
      <c r="G2468" s="176"/>
      <c r="H2468" s="114"/>
      <c r="I2468" s="42"/>
      <c r="J2468" s="42"/>
      <c r="K2468" s="176"/>
      <c r="L2468" s="176"/>
      <c r="M2468" s="176"/>
      <c r="N2468" s="176"/>
      <c r="O2468" s="176"/>
      <c r="P2468" s="114"/>
      <c r="Q2468" s="176"/>
      <c r="R2468" s="114"/>
      <c r="S2468" s="114"/>
      <c r="T2468" s="200"/>
      <c r="U2468" s="114"/>
      <c r="V2468" s="414"/>
      <c r="W2468" s="176"/>
      <c r="X2468" s="176"/>
      <c r="Y2468" s="176"/>
      <c r="Z2468" s="176"/>
    </row>
    <row r="2469" ht="15.75" customHeight="1">
      <c r="A2469" s="408"/>
      <c r="B2469" s="428"/>
      <c r="C2469" s="200"/>
      <c r="D2469" s="176"/>
      <c r="E2469" s="176"/>
      <c r="F2469" s="408"/>
      <c r="G2469" s="176"/>
      <c r="H2469" s="114"/>
      <c r="I2469" s="42"/>
      <c r="J2469" s="42"/>
      <c r="K2469" s="176"/>
      <c r="L2469" s="176"/>
      <c r="M2469" s="176"/>
      <c r="N2469" s="176"/>
      <c r="O2469" s="176"/>
      <c r="P2469" s="114"/>
      <c r="Q2469" s="176"/>
      <c r="R2469" s="114"/>
      <c r="S2469" s="114"/>
      <c r="T2469" s="200"/>
      <c r="U2469" s="114"/>
      <c r="V2469" s="414"/>
      <c r="W2469" s="176"/>
      <c r="X2469" s="176"/>
      <c r="Y2469" s="176"/>
      <c r="Z2469" s="176"/>
    </row>
    <row r="2470" ht="15.75" customHeight="1">
      <c r="A2470" s="408"/>
      <c r="B2470" s="428"/>
      <c r="C2470" s="200"/>
      <c r="D2470" s="176"/>
      <c r="E2470" s="176"/>
      <c r="F2470" s="408"/>
      <c r="G2470" s="176"/>
      <c r="H2470" s="114"/>
      <c r="I2470" s="42"/>
      <c r="J2470" s="42"/>
      <c r="K2470" s="176"/>
      <c r="L2470" s="176"/>
      <c r="M2470" s="176"/>
      <c r="N2470" s="176"/>
      <c r="O2470" s="176"/>
      <c r="P2470" s="114"/>
      <c r="Q2470" s="176"/>
      <c r="R2470" s="114"/>
      <c r="S2470" s="114"/>
      <c r="T2470" s="200"/>
      <c r="U2470" s="114"/>
      <c r="V2470" s="414"/>
      <c r="W2470" s="176"/>
      <c r="X2470" s="176"/>
      <c r="Y2470" s="176"/>
      <c r="Z2470" s="176"/>
    </row>
    <row r="2471" ht="15.75" customHeight="1">
      <c r="A2471" s="408"/>
      <c r="B2471" s="428"/>
      <c r="C2471" s="200"/>
      <c r="D2471" s="176"/>
      <c r="E2471" s="176"/>
      <c r="F2471" s="408"/>
      <c r="G2471" s="176"/>
      <c r="H2471" s="114"/>
      <c r="I2471" s="42"/>
      <c r="J2471" s="42"/>
      <c r="K2471" s="176"/>
      <c r="L2471" s="176"/>
      <c r="M2471" s="176"/>
      <c r="N2471" s="176"/>
      <c r="O2471" s="176"/>
      <c r="P2471" s="114"/>
      <c r="Q2471" s="176"/>
      <c r="R2471" s="114"/>
      <c r="S2471" s="114"/>
      <c r="T2471" s="200"/>
      <c r="U2471" s="114"/>
      <c r="V2471" s="414"/>
      <c r="W2471" s="176"/>
      <c r="X2471" s="176"/>
      <c r="Y2471" s="176"/>
      <c r="Z2471" s="176"/>
    </row>
    <row r="2472" ht="15.75" customHeight="1">
      <c r="A2472" s="408"/>
      <c r="B2472" s="428"/>
      <c r="C2472" s="200"/>
      <c r="D2472" s="176"/>
      <c r="E2472" s="176"/>
      <c r="F2472" s="408"/>
      <c r="G2472" s="176"/>
      <c r="H2472" s="114"/>
      <c r="I2472" s="42"/>
      <c r="J2472" s="42"/>
      <c r="K2472" s="176"/>
      <c r="L2472" s="176"/>
      <c r="M2472" s="176"/>
      <c r="N2472" s="176"/>
      <c r="O2472" s="176"/>
      <c r="P2472" s="114"/>
      <c r="Q2472" s="176"/>
      <c r="R2472" s="114"/>
      <c r="S2472" s="114"/>
      <c r="T2472" s="200"/>
      <c r="U2472" s="114"/>
      <c r="V2472" s="414"/>
      <c r="W2472" s="176"/>
      <c r="X2472" s="176"/>
      <c r="Y2472" s="176"/>
      <c r="Z2472" s="176"/>
    </row>
    <row r="2473" ht="15.75" customHeight="1">
      <c r="A2473" s="408"/>
      <c r="B2473" s="428"/>
      <c r="C2473" s="200"/>
      <c r="D2473" s="176"/>
      <c r="E2473" s="176"/>
      <c r="F2473" s="408"/>
      <c r="G2473" s="176"/>
      <c r="H2473" s="114"/>
      <c r="I2473" s="42"/>
      <c r="J2473" s="42"/>
      <c r="K2473" s="176"/>
      <c r="L2473" s="176"/>
      <c r="M2473" s="176"/>
      <c r="N2473" s="176"/>
      <c r="O2473" s="176"/>
      <c r="P2473" s="114"/>
      <c r="Q2473" s="176"/>
      <c r="R2473" s="114"/>
      <c r="S2473" s="114"/>
      <c r="T2473" s="200"/>
      <c r="U2473" s="114"/>
      <c r="V2473" s="414"/>
      <c r="W2473" s="176"/>
      <c r="X2473" s="176"/>
      <c r="Y2473" s="176"/>
      <c r="Z2473" s="176"/>
    </row>
    <row r="2474" ht="15.75" customHeight="1">
      <c r="A2474" s="408"/>
      <c r="B2474" s="428"/>
      <c r="C2474" s="200"/>
      <c r="D2474" s="176"/>
      <c r="E2474" s="176"/>
      <c r="F2474" s="408"/>
      <c r="G2474" s="176"/>
      <c r="H2474" s="114"/>
      <c r="I2474" s="42"/>
      <c r="J2474" s="42"/>
      <c r="K2474" s="176"/>
      <c r="L2474" s="176"/>
      <c r="M2474" s="176"/>
      <c r="N2474" s="176"/>
      <c r="O2474" s="176"/>
      <c r="P2474" s="114"/>
      <c r="Q2474" s="176"/>
      <c r="R2474" s="114"/>
      <c r="S2474" s="114"/>
      <c r="T2474" s="200"/>
      <c r="U2474" s="114"/>
      <c r="V2474" s="414"/>
      <c r="W2474" s="176"/>
      <c r="X2474" s="176"/>
      <c r="Y2474" s="176"/>
      <c r="Z2474" s="176"/>
    </row>
    <row r="2475" ht="15.75" customHeight="1">
      <c r="A2475" s="408"/>
      <c r="B2475" s="428"/>
      <c r="C2475" s="200"/>
      <c r="D2475" s="176"/>
      <c r="E2475" s="176"/>
      <c r="F2475" s="408"/>
      <c r="G2475" s="176"/>
      <c r="H2475" s="114"/>
      <c r="I2475" s="42"/>
      <c r="J2475" s="42"/>
      <c r="K2475" s="176"/>
      <c r="L2475" s="176"/>
      <c r="M2475" s="176"/>
      <c r="N2475" s="176"/>
      <c r="O2475" s="176"/>
      <c r="P2475" s="114"/>
      <c r="Q2475" s="176"/>
      <c r="R2475" s="114"/>
      <c r="S2475" s="114"/>
      <c r="T2475" s="200"/>
      <c r="U2475" s="114"/>
      <c r="V2475" s="414"/>
      <c r="W2475" s="176"/>
      <c r="X2475" s="176"/>
      <c r="Y2475" s="176"/>
      <c r="Z2475" s="176"/>
    </row>
    <row r="2476" ht="15.75" customHeight="1">
      <c r="A2476" s="408"/>
      <c r="B2476" s="428"/>
      <c r="C2476" s="200"/>
      <c r="D2476" s="176"/>
      <c r="E2476" s="176"/>
      <c r="F2476" s="408"/>
      <c r="G2476" s="176"/>
      <c r="H2476" s="114"/>
      <c r="I2476" s="42"/>
      <c r="J2476" s="42"/>
      <c r="K2476" s="176"/>
      <c r="L2476" s="176"/>
      <c r="M2476" s="176"/>
      <c r="N2476" s="176"/>
      <c r="O2476" s="176"/>
      <c r="P2476" s="114"/>
      <c r="Q2476" s="176"/>
      <c r="R2476" s="114"/>
      <c r="S2476" s="114"/>
      <c r="T2476" s="200"/>
      <c r="U2476" s="114"/>
      <c r="V2476" s="414"/>
      <c r="W2476" s="176"/>
      <c r="X2476" s="176"/>
      <c r="Y2476" s="176"/>
      <c r="Z2476" s="176"/>
    </row>
    <row r="2477" ht="15.75" customHeight="1">
      <c r="A2477" s="408"/>
      <c r="B2477" s="428"/>
      <c r="C2477" s="200"/>
      <c r="D2477" s="176"/>
      <c r="E2477" s="176"/>
      <c r="F2477" s="408"/>
      <c r="G2477" s="176"/>
      <c r="H2477" s="114"/>
      <c r="I2477" s="42"/>
      <c r="J2477" s="42"/>
      <c r="K2477" s="176"/>
      <c r="L2477" s="176"/>
      <c r="M2477" s="176"/>
      <c r="N2477" s="176"/>
      <c r="O2477" s="176"/>
      <c r="P2477" s="114"/>
      <c r="Q2477" s="176"/>
      <c r="R2477" s="114"/>
      <c r="S2477" s="114"/>
      <c r="T2477" s="200"/>
      <c r="U2477" s="114"/>
      <c r="V2477" s="414"/>
      <c r="W2477" s="176"/>
      <c r="X2477" s="176"/>
      <c r="Y2477" s="176"/>
      <c r="Z2477" s="176"/>
    </row>
    <row r="2478" ht="15.75" customHeight="1">
      <c r="A2478" s="408"/>
      <c r="B2478" s="428"/>
      <c r="C2478" s="200"/>
      <c r="D2478" s="176"/>
      <c r="E2478" s="176"/>
      <c r="F2478" s="408"/>
      <c r="G2478" s="176"/>
      <c r="H2478" s="114"/>
      <c r="I2478" s="42"/>
      <c r="J2478" s="42"/>
      <c r="K2478" s="176"/>
      <c r="L2478" s="176"/>
      <c r="M2478" s="176"/>
      <c r="N2478" s="176"/>
      <c r="O2478" s="176"/>
      <c r="P2478" s="114"/>
      <c r="Q2478" s="176"/>
      <c r="R2478" s="114"/>
      <c r="S2478" s="114"/>
      <c r="T2478" s="200"/>
      <c r="U2478" s="114"/>
      <c r="V2478" s="414"/>
      <c r="W2478" s="176"/>
      <c r="X2478" s="176"/>
      <c r="Y2478" s="176"/>
      <c r="Z2478" s="176"/>
    </row>
    <row r="2479" ht="15.75" customHeight="1">
      <c r="A2479" s="408"/>
      <c r="B2479" s="428"/>
      <c r="C2479" s="200"/>
      <c r="D2479" s="176"/>
      <c r="E2479" s="176"/>
      <c r="F2479" s="408"/>
      <c r="G2479" s="176"/>
      <c r="H2479" s="114"/>
      <c r="I2479" s="42"/>
      <c r="J2479" s="42"/>
      <c r="K2479" s="176"/>
      <c r="L2479" s="176"/>
      <c r="M2479" s="176"/>
      <c r="N2479" s="176"/>
      <c r="O2479" s="176"/>
      <c r="P2479" s="114"/>
      <c r="Q2479" s="176"/>
      <c r="R2479" s="114"/>
      <c r="S2479" s="114"/>
      <c r="T2479" s="200"/>
      <c r="U2479" s="114"/>
      <c r="V2479" s="414"/>
      <c r="W2479" s="176"/>
      <c r="X2479" s="176"/>
      <c r="Y2479" s="176"/>
      <c r="Z2479" s="176"/>
    </row>
    <row r="2480" ht="15.75" customHeight="1">
      <c r="A2480" s="408"/>
      <c r="B2480" s="428"/>
      <c r="C2480" s="200"/>
      <c r="D2480" s="176"/>
      <c r="E2480" s="176"/>
      <c r="F2480" s="408"/>
      <c r="G2480" s="176"/>
      <c r="H2480" s="114"/>
      <c r="I2480" s="42"/>
      <c r="J2480" s="42"/>
      <c r="K2480" s="176"/>
      <c r="L2480" s="176"/>
      <c r="M2480" s="176"/>
      <c r="N2480" s="176"/>
      <c r="O2480" s="176"/>
      <c r="P2480" s="114"/>
      <c r="Q2480" s="176"/>
      <c r="R2480" s="114"/>
      <c r="S2480" s="114"/>
      <c r="T2480" s="200"/>
      <c r="U2480" s="114"/>
      <c r="V2480" s="414"/>
      <c r="W2480" s="176"/>
      <c r="X2480" s="176"/>
      <c r="Y2480" s="176"/>
      <c r="Z2480" s="176"/>
    </row>
    <row r="2481" ht="15.75" customHeight="1">
      <c r="A2481" s="408"/>
      <c r="B2481" s="428"/>
      <c r="C2481" s="200"/>
      <c r="D2481" s="176"/>
      <c r="E2481" s="176"/>
      <c r="F2481" s="408"/>
      <c r="G2481" s="176"/>
      <c r="H2481" s="114"/>
      <c r="I2481" s="42"/>
      <c r="J2481" s="42"/>
      <c r="K2481" s="176"/>
      <c r="L2481" s="176"/>
      <c r="M2481" s="176"/>
      <c r="N2481" s="176"/>
      <c r="O2481" s="176"/>
      <c r="P2481" s="114"/>
      <c r="Q2481" s="176"/>
      <c r="R2481" s="114"/>
      <c r="S2481" s="114"/>
      <c r="T2481" s="200"/>
      <c r="U2481" s="114"/>
      <c r="V2481" s="414"/>
      <c r="W2481" s="176"/>
      <c r="X2481" s="176"/>
      <c r="Y2481" s="176"/>
      <c r="Z2481" s="176"/>
    </row>
    <row r="2482" ht="15.75" customHeight="1">
      <c r="A2482" s="408"/>
      <c r="B2482" s="428"/>
      <c r="C2482" s="200"/>
      <c r="D2482" s="176"/>
      <c r="E2482" s="176"/>
      <c r="F2482" s="408"/>
      <c r="G2482" s="176"/>
      <c r="H2482" s="114"/>
      <c r="I2482" s="42"/>
      <c r="J2482" s="42"/>
      <c r="K2482" s="176"/>
      <c r="L2482" s="176"/>
      <c r="M2482" s="176"/>
      <c r="N2482" s="176"/>
      <c r="O2482" s="176"/>
      <c r="P2482" s="114"/>
      <c r="Q2482" s="176"/>
      <c r="R2482" s="114"/>
      <c r="S2482" s="114"/>
      <c r="T2482" s="200"/>
      <c r="U2482" s="114"/>
      <c r="V2482" s="414"/>
      <c r="W2482" s="176"/>
      <c r="X2482" s="176"/>
      <c r="Y2482" s="176"/>
      <c r="Z2482" s="176"/>
    </row>
    <row r="2483" ht="15.75" customHeight="1">
      <c r="A2483" s="408"/>
      <c r="B2483" s="428"/>
      <c r="C2483" s="200"/>
      <c r="D2483" s="176"/>
      <c r="E2483" s="176"/>
      <c r="F2483" s="408"/>
      <c r="G2483" s="176"/>
      <c r="H2483" s="114"/>
      <c r="I2483" s="42"/>
      <c r="J2483" s="42"/>
      <c r="K2483" s="176"/>
      <c r="L2483" s="176"/>
      <c r="M2483" s="176"/>
      <c r="N2483" s="176"/>
      <c r="O2483" s="176"/>
      <c r="P2483" s="114"/>
      <c r="Q2483" s="176"/>
      <c r="R2483" s="114"/>
      <c r="S2483" s="114"/>
      <c r="T2483" s="200"/>
      <c r="U2483" s="114"/>
      <c r="V2483" s="414"/>
      <c r="W2483" s="176"/>
      <c r="X2483" s="176"/>
      <c r="Y2483" s="176"/>
      <c r="Z2483" s="176"/>
    </row>
    <row r="2484" ht="15.75" customHeight="1">
      <c r="A2484" s="408"/>
      <c r="B2484" s="428"/>
      <c r="C2484" s="200"/>
      <c r="D2484" s="176"/>
      <c r="E2484" s="176"/>
      <c r="F2484" s="408"/>
      <c r="G2484" s="176"/>
      <c r="H2484" s="114"/>
      <c r="I2484" s="42"/>
      <c r="J2484" s="42"/>
      <c r="K2484" s="176"/>
      <c r="L2484" s="176"/>
      <c r="M2484" s="176"/>
      <c r="N2484" s="176"/>
      <c r="O2484" s="176"/>
      <c r="P2484" s="114"/>
      <c r="Q2484" s="176"/>
      <c r="R2484" s="114"/>
      <c r="S2484" s="114"/>
      <c r="T2484" s="200"/>
      <c r="U2484" s="114"/>
      <c r="V2484" s="414"/>
      <c r="W2484" s="176"/>
      <c r="X2484" s="176"/>
      <c r="Y2484" s="176"/>
      <c r="Z2484" s="176"/>
    </row>
    <row r="2485" ht="15.75" customHeight="1">
      <c r="A2485" s="408"/>
      <c r="B2485" s="428"/>
      <c r="C2485" s="200"/>
      <c r="D2485" s="176"/>
      <c r="E2485" s="176"/>
      <c r="F2485" s="408"/>
      <c r="G2485" s="176"/>
      <c r="H2485" s="114"/>
      <c r="I2485" s="42"/>
      <c r="J2485" s="42"/>
      <c r="K2485" s="176"/>
      <c r="L2485" s="176"/>
      <c r="M2485" s="176"/>
      <c r="N2485" s="176"/>
      <c r="O2485" s="176"/>
      <c r="P2485" s="114"/>
      <c r="Q2485" s="176"/>
      <c r="R2485" s="114"/>
      <c r="S2485" s="114"/>
      <c r="T2485" s="200"/>
      <c r="U2485" s="114"/>
      <c r="V2485" s="414"/>
      <c r="W2485" s="176"/>
      <c r="X2485" s="176"/>
      <c r="Y2485" s="176"/>
      <c r="Z2485" s="176"/>
    </row>
    <row r="2486" ht="15.75" customHeight="1">
      <c r="A2486" s="408"/>
      <c r="B2486" s="428"/>
      <c r="C2486" s="200"/>
      <c r="D2486" s="176"/>
      <c r="E2486" s="176"/>
      <c r="F2486" s="408"/>
      <c r="G2486" s="176"/>
      <c r="H2486" s="114"/>
      <c r="I2486" s="42"/>
      <c r="J2486" s="42"/>
      <c r="K2486" s="176"/>
      <c r="L2486" s="176"/>
      <c r="M2486" s="176"/>
      <c r="N2486" s="176"/>
      <c r="O2486" s="176"/>
      <c r="P2486" s="114"/>
      <c r="Q2486" s="176"/>
      <c r="R2486" s="114"/>
      <c r="S2486" s="114"/>
      <c r="T2486" s="200"/>
      <c r="U2486" s="114"/>
      <c r="V2486" s="414"/>
      <c r="W2486" s="176"/>
      <c r="X2486" s="176"/>
      <c r="Y2486" s="176"/>
      <c r="Z2486" s="176"/>
    </row>
    <row r="2487" ht="15.75" customHeight="1">
      <c r="A2487" s="408"/>
      <c r="B2487" s="428"/>
      <c r="C2487" s="200"/>
      <c r="D2487" s="176"/>
      <c r="E2487" s="176"/>
      <c r="F2487" s="408"/>
      <c r="G2487" s="176"/>
      <c r="H2487" s="114"/>
      <c r="I2487" s="42"/>
      <c r="J2487" s="42"/>
      <c r="K2487" s="176"/>
      <c r="L2487" s="176"/>
      <c r="M2487" s="176"/>
      <c r="N2487" s="176"/>
      <c r="O2487" s="176"/>
      <c r="P2487" s="114"/>
      <c r="Q2487" s="176"/>
      <c r="R2487" s="114"/>
      <c r="S2487" s="114"/>
      <c r="T2487" s="200"/>
      <c r="U2487" s="114"/>
      <c r="V2487" s="414"/>
      <c r="W2487" s="176"/>
      <c r="X2487" s="176"/>
      <c r="Y2487" s="176"/>
      <c r="Z2487" s="176"/>
    </row>
    <row r="2488" ht="15.75" customHeight="1">
      <c r="A2488" s="408"/>
      <c r="B2488" s="428"/>
      <c r="C2488" s="200"/>
      <c r="D2488" s="176"/>
      <c r="E2488" s="176"/>
      <c r="F2488" s="408"/>
      <c r="G2488" s="176"/>
      <c r="H2488" s="114"/>
      <c r="I2488" s="42"/>
      <c r="J2488" s="42"/>
      <c r="K2488" s="176"/>
      <c r="L2488" s="176"/>
      <c r="M2488" s="176"/>
      <c r="N2488" s="176"/>
      <c r="O2488" s="176"/>
      <c r="P2488" s="114"/>
      <c r="Q2488" s="176"/>
      <c r="R2488" s="114"/>
      <c r="S2488" s="114"/>
      <c r="T2488" s="200"/>
      <c r="U2488" s="114"/>
      <c r="V2488" s="414"/>
      <c r="W2488" s="176"/>
      <c r="X2488" s="176"/>
      <c r="Y2488" s="176"/>
      <c r="Z2488" s="176"/>
    </row>
    <row r="2489" ht="15.75" customHeight="1">
      <c r="A2489" s="408"/>
      <c r="B2489" s="428"/>
      <c r="C2489" s="200"/>
      <c r="D2489" s="176"/>
      <c r="E2489" s="176"/>
      <c r="F2489" s="408"/>
      <c r="G2489" s="176"/>
      <c r="H2489" s="114"/>
      <c r="I2489" s="42"/>
      <c r="J2489" s="42"/>
      <c r="K2489" s="176"/>
      <c r="L2489" s="176"/>
      <c r="M2489" s="176"/>
      <c r="N2489" s="176"/>
      <c r="O2489" s="176"/>
      <c r="P2489" s="114"/>
      <c r="Q2489" s="176"/>
      <c r="R2489" s="114"/>
      <c r="S2489" s="114"/>
      <c r="T2489" s="200"/>
      <c r="U2489" s="114"/>
      <c r="V2489" s="414"/>
      <c r="W2489" s="176"/>
      <c r="X2489" s="176"/>
      <c r="Y2489" s="176"/>
      <c r="Z2489" s="176"/>
    </row>
    <row r="2490" ht="15.75" customHeight="1">
      <c r="A2490" s="408"/>
      <c r="B2490" s="428"/>
      <c r="C2490" s="200"/>
      <c r="D2490" s="176"/>
      <c r="E2490" s="176"/>
      <c r="F2490" s="408"/>
      <c r="G2490" s="176"/>
      <c r="H2490" s="114"/>
      <c r="I2490" s="42"/>
      <c r="J2490" s="42"/>
      <c r="K2490" s="176"/>
      <c r="L2490" s="176"/>
      <c r="M2490" s="176"/>
      <c r="N2490" s="176"/>
      <c r="O2490" s="176"/>
      <c r="P2490" s="114"/>
      <c r="Q2490" s="176"/>
      <c r="R2490" s="114"/>
      <c r="S2490" s="114"/>
      <c r="T2490" s="200"/>
      <c r="U2490" s="114"/>
      <c r="V2490" s="414"/>
      <c r="W2490" s="176"/>
      <c r="X2490" s="176"/>
      <c r="Y2490" s="176"/>
      <c r="Z2490" s="176"/>
    </row>
    <row r="2491" ht="15.75" customHeight="1">
      <c r="A2491" s="408"/>
      <c r="B2491" s="428"/>
      <c r="C2491" s="200"/>
      <c r="D2491" s="176"/>
      <c r="E2491" s="176"/>
      <c r="F2491" s="408"/>
      <c r="G2491" s="176"/>
      <c r="H2491" s="114"/>
      <c r="I2491" s="42"/>
      <c r="J2491" s="42"/>
      <c r="K2491" s="176"/>
      <c r="L2491" s="176"/>
      <c r="M2491" s="176"/>
      <c r="N2491" s="176"/>
      <c r="O2491" s="176"/>
      <c r="P2491" s="114"/>
      <c r="Q2491" s="176"/>
      <c r="R2491" s="114"/>
      <c r="S2491" s="114"/>
      <c r="T2491" s="200"/>
      <c r="U2491" s="114"/>
      <c r="V2491" s="414"/>
      <c r="W2491" s="176"/>
      <c r="X2491" s="176"/>
      <c r="Y2491" s="176"/>
      <c r="Z2491" s="176"/>
    </row>
    <row r="2492" ht="15.75" customHeight="1">
      <c r="A2492" s="408"/>
      <c r="B2492" s="428"/>
      <c r="C2492" s="200"/>
      <c r="D2492" s="176"/>
      <c r="E2492" s="176"/>
      <c r="F2492" s="408"/>
      <c r="G2492" s="176"/>
      <c r="H2492" s="114"/>
      <c r="I2492" s="42"/>
      <c r="J2492" s="42"/>
      <c r="K2492" s="176"/>
      <c r="L2492" s="176"/>
      <c r="M2492" s="176"/>
      <c r="N2492" s="176"/>
      <c r="O2492" s="176"/>
      <c r="P2492" s="114"/>
      <c r="Q2492" s="176"/>
      <c r="R2492" s="114"/>
      <c r="S2492" s="114"/>
      <c r="T2492" s="200"/>
      <c r="U2492" s="114"/>
      <c r="V2492" s="414"/>
      <c r="W2492" s="176"/>
      <c r="X2492" s="176"/>
      <c r="Y2492" s="176"/>
      <c r="Z2492" s="176"/>
    </row>
    <row r="2493" ht="15.75" customHeight="1">
      <c r="A2493" s="408"/>
      <c r="B2493" s="428"/>
      <c r="C2493" s="200"/>
      <c r="D2493" s="176"/>
      <c r="E2493" s="176"/>
      <c r="F2493" s="408"/>
      <c r="G2493" s="176"/>
      <c r="H2493" s="114"/>
      <c r="I2493" s="42"/>
      <c r="J2493" s="42"/>
      <c r="K2493" s="176"/>
      <c r="L2493" s="176"/>
      <c r="M2493" s="176"/>
      <c r="N2493" s="176"/>
      <c r="O2493" s="176"/>
      <c r="P2493" s="114"/>
      <c r="Q2493" s="176"/>
      <c r="R2493" s="114"/>
      <c r="S2493" s="114"/>
      <c r="T2493" s="200"/>
      <c r="U2493" s="114"/>
      <c r="V2493" s="414"/>
      <c r="W2493" s="176"/>
      <c r="X2493" s="176"/>
      <c r="Y2493" s="176"/>
      <c r="Z2493" s="176"/>
    </row>
    <row r="2494" ht="15.75" customHeight="1">
      <c r="A2494" s="408"/>
      <c r="B2494" s="428"/>
      <c r="C2494" s="200"/>
      <c r="D2494" s="176"/>
      <c r="E2494" s="176"/>
      <c r="F2494" s="408"/>
      <c r="G2494" s="176"/>
      <c r="H2494" s="114"/>
      <c r="I2494" s="42"/>
      <c r="J2494" s="42"/>
      <c r="K2494" s="176"/>
      <c r="L2494" s="176"/>
      <c r="M2494" s="176"/>
      <c r="N2494" s="176"/>
      <c r="O2494" s="176"/>
      <c r="P2494" s="114"/>
      <c r="Q2494" s="176"/>
      <c r="R2494" s="114"/>
      <c r="S2494" s="114"/>
      <c r="T2494" s="200"/>
      <c r="U2494" s="114"/>
      <c r="V2494" s="414"/>
      <c r="W2494" s="176"/>
      <c r="X2494" s="176"/>
      <c r="Y2494" s="176"/>
      <c r="Z2494" s="176"/>
    </row>
    <row r="2495" ht="15.75" customHeight="1">
      <c r="A2495" s="408"/>
      <c r="B2495" s="428"/>
      <c r="C2495" s="200"/>
      <c r="D2495" s="176"/>
      <c r="E2495" s="176"/>
      <c r="F2495" s="408"/>
      <c r="G2495" s="176"/>
      <c r="H2495" s="114"/>
      <c r="I2495" s="42"/>
      <c r="J2495" s="42"/>
      <c r="K2495" s="176"/>
      <c r="L2495" s="176"/>
      <c r="M2495" s="176"/>
      <c r="N2495" s="176"/>
      <c r="O2495" s="176"/>
      <c r="P2495" s="114"/>
      <c r="Q2495" s="176"/>
      <c r="R2495" s="114"/>
      <c r="S2495" s="114"/>
      <c r="T2495" s="200"/>
      <c r="U2495" s="114"/>
      <c r="V2495" s="414"/>
      <c r="W2495" s="176"/>
      <c r="X2495" s="176"/>
      <c r="Y2495" s="176"/>
      <c r="Z2495" s="176"/>
    </row>
    <row r="2496" ht="15.75" customHeight="1">
      <c r="A2496" s="408"/>
      <c r="B2496" s="428"/>
      <c r="C2496" s="200"/>
      <c r="D2496" s="176"/>
      <c r="E2496" s="176"/>
      <c r="F2496" s="408"/>
      <c r="G2496" s="176"/>
      <c r="H2496" s="114"/>
      <c r="I2496" s="42"/>
      <c r="J2496" s="42"/>
      <c r="K2496" s="176"/>
      <c r="L2496" s="176"/>
      <c r="M2496" s="176"/>
      <c r="N2496" s="176"/>
      <c r="O2496" s="176"/>
      <c r="P2496" s="114"/>
      <c r="Q2496" s="176"/>
      <c r="R2496" s="114"/>
      <c r="S2496" s="114"/>
      <c r="T2496" s="200"/>
      <c r="U2496" s="114"/>
      <c r="V2496" s="414"/>
      <c r="W2496" s="176"/>
      <c r="X2496" s="176"/>
      <c r="Y2496" s="176"/>
      <c r="Z2496" s="176"/>
    </row>
    <row r="2497" ht="15.75" customHeight="1">
      <c r="A2497" s="408"/>
      <c r="B2497" s="428"/>
      <c r="C2497" s="200"/>
      <c r="D2497" s="176"/>
      <c r="E2497" s="176"/>
      <c r="F2497" s="408"/>
      <c r="G2497" s="176"/>
      <c r="H2497" s="114"/>
      <c r="I2497" s="42"/>
      <c r="J2497" s="42"/>
      <c r="K2497" s="176"/>
      <c r="L2497" s="176"/>
      <c r="M2497" s="176"/>
      <c r="N2497" s="176"/>
      <c r="O2497" s="176"/>
      <c r="P2497" s="114"/>
      <c r="Q2497" s="176"/>
      <c r="R2497" s="114"/>
      <c r="S2497" s="114"/>
      <c r="T2497" s="200"/>
      <c r="U2497" s="114"/>
      <c r="V2497" s="414"/>
      <c r="W2497" s="176"/>
      <c r="X2497" s="176"/>
      <c r="Y2497" s="176"/>
      <c r="Z2497" s="176"/>
    </row>
    <row r="2498" ht="15.75" customHeight="1">
      <c r="A2498" s="408"/>
      <c r="B2498" s="428"/>
      <c r="C2498" s="200"/>
      <c r="D2498" s="176"/>
      <c r="E2498" s="176"/>
      <c r="F2498" s="408"/>
      <c r="G2498" s="176"/>
      <c r="H2498" s="114"/>
      <c r="I2498" s="42"/>
      <c r="J2498" s="42"/>
      <c r="K2498" s="176"/>
      <c r="L2498" s="176"/>
      <c r="M2498" s="176"/>
      <c r="N2498" s="176"/>
      <c r="O2498" s="176"/>
      <c r="P2498" s="114"/>
      <c r="Q2498" s="176"/>
      <c r="R2498" s="114"/>
      <c r="S2498" s="114"/>
      <c r="T2498" s="200"/>
      <c r="U2498" s="114"/>
      <c r="V2498" s="414"/>
      <c r="W2498" s="176"/>
      <c r="X2498" s="176"/>
      <c r="Y2498" s="176"/>
      <c r="Z2498" s="176"/>
    </row>
    <row r="2499" ht="15.75" customHeight="1">
      <c r="A2499" s="408"/>
      <c r="B2499" s="428"/>
      <c r="C2499" s="200"/>
      <c r="D2499" s="176"/>
      <c r="E2499" s="176"/>
      <c r="F2499" s="408"/>
      <c r="G2499" s="176"/>
      <c r="H2499" s="114"/>
      <c r="I2499" s="42"/>
      <c r="J2499" s="42"/>
      <c r="K2499" s="176"/>
      <c r="L2499" s="176"/>
      <c r="M2499" s="176"/>
      <c r="N2499" s="176"/>
      <c r="O2499" s="176"/>
      <c r="P2499" s="114"/>
      <c r="Q2499" s="176"/>
      <c r="R2499" s="114"/>
      <c r="S2499" s="114"/>
      <c r="T2499" s="200"/>
      <c r="U2499" s="114"/>
      <c r="V2499" s="414"/>
      <c r="W2499" s="176"/>
      <c r="X2499" s="176"/>
      <c r="Y2499" s="176"/>
      <c r="Z2499" s="176"/>
    </row>
    <row r="2500" ht="15.75" customHeight="1">
      <c r="A2500" s="408"/>
      <c r="B2500" s="428"/>
      <c r="C2500" s="200"/>
      <c r="D2500" s="176"/>
      <c r="E2500" s="176"/>
      <c r="F2500" s="408"/>
      <c r="G2500" s="176"/>
      <c r="H2500" s="114"/>
      <c r="I2500" s="42"/>
      <c r="J2500" s="42"/>
      <c r="K2500" s="176"/>
      <c r="L2500" s="176"/>
      <c r="M2500" s="176"/>
      <c r="N2500" s="176"/>
      <c r="O2500" s="176"/>
      <c r="P2500" s="114"/>
      <c r="Q2500" s="176"/>
      <c r="R2500" s="114"/>
      <c r="S2500" s="114"/>
      <c r="T2500" s="200"/>
      <c r="U2500" s="114"/>
      <c r="V2500" s="414"/>
      <c r="W2500" s="176"/>
      <c r="X2500" s="176"/>
      <c r="Y2500" s="176"/>
      <c r="Z2500" s="176"/>
    </row>
    <row r="2501" ht="15.75" customHeight="1">
      <c r="A2501" s="408"/>
      <c r="B2501" s="428"/>
      <c r="C2501" s="200"/>
      <c r="D2501" s="176"/>
      <c r="E2501" s="176"/>
      <c r="F2501" s="408"/>
      <c r="G2501" s="176"/>
      <c r="H2501" s="114"/>
      <c r="I2501" s="42"/>
      <c r="J2501" s="42"/>
      <c r="K2501" s="176"/>
      <c r="L2501" s="176"/>
      <c r="M2501" s="176"/>
      <c r="N2501" s="176"/>
      <c r="O2501" s="176"/>
      <c r="P2501" s="114"/>
      <c r="Q2501" s="176"/>
      <c r="R2501" s="114"/>
      <c r="S2501" s="114"/>
      <c r="T2501" s="200"/>
      <c r="U2501" s="114"/>
      <c r="V2501" s="414"/>
      <c r="W2501" s="176"/>
      <c r="X2501" s="176"/>
      <c r="Y2501" s="176"/>
      <c r="Z2501" s="176"/>
    </row>
    <row r="2502" ht="15.75" customHeight="1">
      <c r="A2502" s="408"/>
      <c r="B2502" s="428"/>
      <c r="C2502" s="200"/>
      <c r="D2502" s="176"/>
      <c r="E2502" s="176"/>
      <c r="F2502" s="408"/>
      <c r="G2502" s="176"/>
      <c r="H2502" s="114"/>
      <c r="I2502" s="42"/>
      <c r="J2502" s="42"/>
      <c r="K2502" s="176"/>
      <c r="L2502" s="176"/>
      <c r="M2502" s="176"/>
      <c r="N2502" s="176"/>
      <c r="O2502" s="176"/>
      <c r="P2502" s="114"/>
      <c r="Q2502" s="176"/>
      <c r="R2502" s="114"/>
      <c r="S2502" s="114"/>
      <c r="T2502" s="200"/>
      <c r="U2502" s="114"/>
      <c r="V2502" s="414"/>
      <c r="W2502" s="176"/>
      <c r="X2502" s="176"/>
      <c r="Y2502" s="176"/>
      <c r="Z2502" s="176"/>
    </row>
    <row r="2503" ht="15.75" customHeight="1">
      <c r="A2503" s="408"/>
      <c r="B2503" s="428"/>
      <c r="C2503" s="200"/>
      <c r="D2503" s="176"/>
      <c r="E2503" s="176"/>
      <c r="F2503" s="408"/>
      <c r="G2503" s="176"/>
      <c r="H2503" s="114"/>
      <c r="I2503" s="42"/>
      <c r="J2503" s="42"/>
      <c r="K2503" s="176"/>
      <c r="L2503" s="176"/>
      <c r="M2503" s="176"/>
      <c r="N2503" s="176"/>
      <c r="O2503" s="176"/>
      <c r="P2503" s="114"/>
      <c r="Q2503" s="176"/>
      <c r="R2503" s="114"/>
      <c r="S2503" s="114"/>
      <c r="T2503" s="200"/>
      <c r="U2503" s="114"/>
      <c r="V2503" s="414"/>
      <c r="W2503" s="176"/>
      <c r="X2503" s="176"/>
      <c r="Y2503" s="176"/>
      <c r="Z2503" s="176"/>
    </row>
    <row r="2504" ht="15.75" customHeight="1">
      <c r="A2504" s="408"/>
      <c r="B2504" s="428"/>
      <c r="C2504" s="200"/>
      <c r="D2504" s="176"/>
      <c r="E2504" s="176"/>
      <c r="F2504" s="408"/>
      <c r="G2504" s="176"/>
      <c r="H2504" s="114"/>
      <c r="I2504" s="42"/>
      <c r="J2504" s="42"/>
      <c r="K2504" s="176"/>
      <c r="L2504" s="176"/>
      <c r="M2504" s="176"/>
      <c r="N2504" s="176"/>
      <c r="O2504" s="176"/>
      <c r="P2504" s="114"/>
      <c r="Q2504" s="176"/>
      <c r="R2504" s="114"/>
      <c r="S2504" s="114"/>
      <c r="T2504" s="200"/>
      <c r="U2504" s="114"/>
      <c r="V2504" s="414"/>
      <c r="W2504" s="176"/>
      <c r="X2504" s="176"/>
      <c r="Y2504" s="176"/>
      <c r="Z2504" s="176"/>
    </row>
    <row r="2505" ht="15.75" customHeight="1">
      <c r="A2505" s="408"/>
      <c r="B2505" s="428"/>
      <c r="C2505" s="200"/>
      <c r="D2505" s="176"/>
      <c r="E2505" s="176"/>
      <c r="F2505" s="408"/>
      <c r="G2505" s="176"/>
      <c r="H2505" s="114"/>
      <c r="I2505" s="42"/>
      <c r="J2505" s="42"/>
      <c r="K2505" s="176"/>
      <c r="L2505" s="176"/>
      <c r="M2505" s="176"/>
      <c r="N2505" s="176"/>
      <c r="O2505" s="176"/>
      <c r="P2505" s="114"/>
      <c r="Q2505" s="176"/>
      <c r="R2505" s="114"/>
      <c r="S2505" s="114"/>
      <c r="T2505" s="200"/>
      <c r="U2505" s="114"/>
      <c r="V2505" s="414"/>
      <c r="W2505" s="176"/>
      <c r="X2505" s="176"/>
      <c r="Y2505" s="176"/>
      <c r="Z2505" s="176"/>
    </row>
    <row r="2506" ht="15.75" customHeight="1">
      <c r="A2506" s="408"/>
      <c r="B2506" s="428"/>
      <c r="C2506" s="200"/>
      <c r="D2506" s="176"/>
      <c r="E2506" s="176"/>
      <c r="F2506" s="408"/>
      <c r="G2506" s="176"/>
      <c r="H2506" s="114"/>
      <c r="I2506" s="42"/>
      <c r="J2506" s="42"/>
      <c r="K2506" s="176"/>
      <c r="L2506" s="176"/>
      <c r="M2506" s="176"/>
      <c r="N2506" s="176"/>
      <c r="O2506" s="176"/>
      <c r="P2506" s="114"/>
      <c r="Q2506" s="176"/>
      <c r="R2506" s="114"/>
      <c r="S2506" s="114"/>
      <c r="T2506" s="200"/>
      <c r="U2506" s="114"/>
      <c r="V2506" s="414"/>
      <c r="W2506" s="176"/>
      <c r="X2506" s="176"/>
      <c r="Y2506" s="176"/>
      <c r="Z2506" s="176"/>
    </row>
    <row r="2507" ht="15.75" customHeight="1">
      <c r="A2507" s="408"/>
      <c r="B2507" s="428"/>
      <c r="C2507" s="200"/>
      <c r="D2507" s="176"/>
      <c r="E2507" s="176"/>
      <c r="F2507" s="408"/>
      <c r="G2507" s="176"/>
      <c r="H2507" s="114"/>
      <c r="I2507" s="42"/>
      <c r="J2507" s="42"/>
      <c r="K2507" s="176"/>
      <c r="L2507" s="176"/>
      <c r="M2507" s="176"/>
      <c r="N2507" s="176"/>
      <c r="O2507" s="176"/>
      <c r="P2507" s="114"/>
      <c r="Q2507" s="176"/>
      <c r="R2507" s="114"/>
      <c r="S2507" s="114"/>
      <c r="T2507" s="200"/>
      <c r="U2507" s="114"/>
      <c r="V2507" s="414"/>
      <c r="W2507" s="176"/>
      <c r="X2507" s="176"/>
      <c r="Y2507" s="176"/>
      <c r="Z2507" s="176"/>
    </row>
    <row r="2508" ht="15.75" customHeight="1">
      <c r="A2508" s="408"/>
      <c r="B2508" s="428"/>
      <c r="C2508" s="200"/>
      <c r="D2508" s="176"/>
      <c r="E2508" s="176"/>
      <c r="F2508" s="408"/>
      <c r="G2508" s="176"/>
      <c r="H2508" s="114"/>
      <c r="I2508" s="42"/>
      <c r="J2508" s="42"/>
      <c r="K2508" s="176"/>
      <c r="L2508" s="176"/>
      <c r="M2508" s="176"/>
      <c r="N2508" s="176"/>
      <c r="O2508" s="176"/>
      <c r="P2508" s="114"/>
      <c r="Q2508" s="176"/>
      <c r="R2508" s="114"/>
      <c r="S2508" s="114"/>
      <c r="T2508" s="200"/>
      <c r="U2508" s="114"/>
      <c r="V2508" s="414"/>
      <c r="W2508" s="176"/>
      <c r="X2508" s="176"/>
      <c r="Y2508" s="176"/>
      <c r="Z2508" s="176"/>
    </row>
    <row r="2509" ht="15.75" customHeight="1">
      <c r="A2509" s="408"/>
      <c r="B2509" s="428"/>
      <c r="C2509" s="200"/>
      <c r="D2509" s="176"/>
      <c r="E2509" s="176"/>
      <c r="F2509" s="408"/>
      <c r="G2509" s="176"/>
      <c r="H2509" s="114"/>
      <c r="I2509" s="42"/>
      <c r="J2509" s="42"/>
      <c r="K2509" s="176"/>
      <c r="L2509" s="176"/>
      <c r="M2509" s="176"/>
      <c r="N2509" s="176"/>
      <c r="O2509" s="176"/>
      <c r="P2509" s="114"/>
      <c r="Q2509" s="176"/>
      <c r="R2509" s="114"/>
      <c r="S2509" s="114"/>
      <c r="T2509" s="200"/>
      <c r="U2509" s="114"/>
      <c r="V2509" s="414"/>
      <c r="W2509" s="176"/>
      <c r="X2509" s="176"/>
      <c r="Y2509" s="176"/>
      <c r="Z2509" s="176"/>
    </row>
    <row r="2510" ht="15.75" customHeight="1">
      <c r="A2510" s="408"/>
      <c r="B2510" s="428"/>
      <c r="C2510" s="200"/>
      <c r="D2510" s="176"/>
      <c r="E2510" s="176"/>
      <c r="F2510" s="408"/>
      <c r="G2510" s="176"/>
      <c r="H2510" s="114"/>
      <c r="I2510" s="42"/>
      <c r="J2510" s="42"/>
      <c r="K2510" s="176"/>
      <c r="L2510" s="176"/>
      <c r="M2510" s="176"/>
      <c r="N2510" s="176"/>
      <c r="O2510" s="176"/>
      <c r="P2510" s="114"/>
      <c r="Q2510" s="176"/>
      <c r="R2510" s="114"/>
      <c r="S2510" s="114"/>
      <c r="T2510" s="200"/>
      <c r="U2510" s="114"/>
      <c r="V2510" s="414"/>
      <c r="W2510" s="176"/>
      <c r="X2510" s="176"/>
      <c r="Y2510" s="176"/>
      <c r="Z2510" s="176"/>
    </row>
    <row r="2511" ht="15.75" customHeight="1">
      <c r="A2511" s="408"/>
      <c r="B2511" s="428"/>
      <c r="C2511" s="200"/>
      <c r="D2511" s="176"/>
      <c r="E2511" s="176"/>
      <c r="F2511" s="408"/>
      <c r="G2511" s="176"/>
      <c r="H2511" s="114"/>
      <c r="I2511" s="42"/>
      <c r="J2511" s="42"/>
      <c r="K2511" s="176"/>
      <c r="L2511" s="176"/>
      <c r="M2511" s="176"/>
      <c r="N2511" s="176"/>
      <c r="O2511" s="176"/>
      <c r="P2511" s="114"/>
      <c r="Q2511" s="176"/>
      <c r="R2511" s="114"/>
      <c r="S2511" s="114"/>
      <c r="T2511" s="200"/>
      <c r="U2511" s="114"/>
      <c r="V2511" s="414"/>
      <c r="W2511" s="176"/>
      <c r="X2511" s="176"/>
      <c r="Y2511" s="176"/>
      <c r="Z2511" s="176"/>
    </row>
    <row r="2512" ht="15.75" customHeight="1">
      <c r="A2512" s="408"/>
      <c r="B2512" s="428"/>
      <c r="C2512" s="200"/>
      <c r="D2512" s="176"/>
      <c r="E2512" s="176"/>
      <c r="F2512" s="408"/>
      <c r="G2512" s="176"/>
      <c r="H2512" s="114"/>
      <c r="I2512" s="42"/>
      <c r="J2512" s="42"/>
      <c r="K2512" s="176"/>
      <c r="L2512" s="176"/>
      <c r="M2512" s="176"/>
      <c r="N2512" s="176"/>
      <c r="O2512" s="176"/>
      <c r="P2512" s="114"/>
      <c r="Q2512" s="176"/>
      <c r="R2512" s="114"/>
      <c r="S2512" s="114"/>
      <c r="T2512" s="200"/>
      <c r="U2512" s="114"/>
      <c r="V2512" s="414"/>
      <c r="W2512" s="176"/>
      <c r="X2512" s="176"/>
      <c r="Y2512" s="176"/>
      <c r="Z2512" s="176"/>
    </row>
    <row r="2513" ht="15.75" customHeight="1">
      <c r="A2513" s="408"/>
      <c r="B2513" s="428"/>
      <c r="C2513" s="200"/>
      <c r="D2513" s="176"/>
      <c r="E2513" s="176"/>
      <c r="F2513" s="408"/>
      <c r="G2513" s="176"/>
      <c r="H2513" s="114"/>
      <c r="I2513" s="42"/>
      <c r="J2513" s="42"/>
      <c r="K2513" s="176"/>
      <c r="L2513" s="176"/>
      <c r="M2513" s="176"/>
      <c r="N2513" s="176"/>
      <c r="O2513" s="176"/>
      <c r="P2513" s="114"/>
      <c r="Q2513" s="176"/>
      <c r="R2513" s="114"/>
      <c r="S2513" s="114"/>
      <c r="T2513" s="200"/>
      <c r="U2513" s="114"/>
      <c r="V2513" s="414"/>
      <c r="W2513" s="176"/>
      <c r="X2513" s="176"/>
      <c r="Y2513" s="176"/>
      <c r="Z2513" s="176"/>
    </row>
    <row r="2514" ht="15.75" customHeight="1">
      <c r="A2514" s="408"/>
      <c r="B2514" s="428"/>
      <c r="C2514" s="200"/>
      <c r="D2514" s="176"/>
      <c r="E2514" s="176"/>
      <c r="F2514" s="408"/>
      <c r="G2514" s="176"/>
      <c r="H2514" s="114"/>
      <c r="I2514" s="42"/>
      <c r="J2514" s="42"/>
      <c r="K2514" s="176"/>
      <c r="L2514" s="176"/>
      <c r="M2514" s="176"/>
      <c r="N2514" s="176"/>
      <c r="O2514" s="176"/>
      <c r="P2514" s="114"/>
      <c r="Q2514" s="176"/>
      <c r="R2514" s="114"/>
      <c r="S2514" s="114"/>
      <c r="T2514" s="200"/>
      <c r="U2514" s="114"/>
      <c r="V2514" s="414"/>
      <c r="W2514" s="176"/>
      <c r="X2514" s="176"/>
      <c r="Y2514" s="176"/>
      <c r="Z2514" s="176"/>
    </row>
    <row r="2515" ht="15.75" customHeight="1">
      <c r="A2515" s="408"/>
      <c r="B2515" s="428"/>
      <c r="C2515" s="200"/>
      <c r="D2515" s="176"/>
      <c r="E2515" s="176"/>
      <c r="F2515" s="408"/>
      <c r="G2515" s="176"/>
      <c r="H2515" s="114"/>
      <c r="I2515" s="42"/>
      <c r="J2515" s="42"/>
      <c r="K2515" s="176"/>
      <c r="L2515" s="176"/>
      <c r="M2515" s="176"/>
      <c r="N2515" s="176"/>
      <c r="O2515" s="176"/>
      <c r="P2515" s="114"/>
      <c r="Q2515" s="176"/>
      <c r="R2515" s="114"/>
      <c r="S2515" s="114"/>
      <c r="T2515" s="200"/>
      <c r="U2515" s="114"/>
      <c r="V2515" s="414"/>
      <c r="W2515" s="176"/>
      <c r="X2515" s="176"/>
      <c r="Y2515" s="176"/>
      <c r="Z2515" s="176"/>
    </row>
    <row r="2516" ht="15.75" customHeight="1">
      <c r="A2516" s="408"/>
      <c r="B2516" s="428"/>
      <c r="C2516" s="200"/>
      <c r="D2516" s="176"/>
      <c r="E2516" s="176"/>
      <c r="F2516" s="408"/>
      <c r="G2516" s="176"/>
      <c r="H2516" s="114"/>
      <c r="I2516" s="42"/>
      <c r="J2516" s="42"/>
      <c r="K2516" s="176"/>
      <c r="L2516" s="176"/>
      <c r="M2516" s="176"/>
      <c r="N2516" s="176"/>
      <c r="O2516" s="176"/>
      <c r="P2516" s="114"/>
      <c r="Q2516" s="176"/>
      <c r="R2516" s="114"/>
      <c r="S2516" s="114"/>
      <c r="T2516" s="200"/>
      <c r="U2516" s="114"/>
      <c r="V2516" s="414"/>
      <c r="W2516" s="176"/>
      <c r="X2516" s="176"/>
      <c r="Y2516" s="176"/>
      <c r="Z2516" s="176"/>
    </row>
    <row r="2517" ht="15.75" customHeight="1">
      <c r="A2517" s="408"/>
      <c r="B2517" s="428"/>
      <c r="C2517" s="200"/>
      <c r="D2517" s="176"/>
      <c r="E2517" s="176"/>
      <c r="F2517" s="408"/>
      <c r="G2517" s="176"/>
      <c r="H2517" s="114"/>
      <c r="I2517" s="42"/>
      <c r="J2517" s="42"/>
      <c r="K2517" s="176"/>
      <c r="L2517" s="176"/>
      <c r="M2517" s="176"/>
      <c r="N2517" s="176"/>
      <c r="O2517" s="176"/>
      <c r="P2517" s="114"/>
      <c r="Q2517" s="176"/>
      <c r="R2517" s="114"/>
      <c r="S2517" s="114"/>
      <c r="T2517" s="200"/>
      <c r="U2517" s="114"/>
      <c r="V2517" s="414"/>
      <c r="W2517" s="176"/>
      <c r="X2517" s="176"/>
      <c r="Y2517" s="176"/>
      <c r="Z2517" s="176"/>
    </row>
    <row r="2518" ht="15.75" customHeight="1">
      <c r="A2518" s="408"/>
      <c r="B2518" s="428"/>
      <c r="C2518" s="200"/>
      <c r="D2518" s="176"/>
      <c r="E2518" s="176"/>
      <c r="F2518" s="408"/>
      <c r="G2518" s="176"/>
      <c r="H2518" s="114"/>
      <c r="I2518" s="42"/>
      <c r="J2518" s="42"/>
      <c r="K2518" s="176"/>
      <c r="L2518" s="176"/>
      <c r="M2518" s="176"/>
      <c r="N2518" s="176"/>
      <c r="O2518" s="176"/>
      <c r="P2518" s="114"/>
      <c r="Q2518" s="176"/>
      <c r="R2518" s="114"/>
      <c r="S2518" s="114"/>
      <c r="T2518" s="200"/>
      <c r="U2518" s="114"/>
      <c r="V2518" s="414"/>
      <c r="W2518" s="176"/>
      <c r="X2518" s="176"/>
      <c r="Y2518" s="176"/>
      <c r="Z2518" s="176"/>
    </row>
    <row r="2519" ht="15.75" customHeight="1">
      <c r="A2519" s="408"/>
      <c r="B2519" s="428"/>
      <c r="C2519" s="200"/>
      <c r="D2519" s="176"/>
      <c r="E2519" s="176"/>
      <c r="F2519" s="408"/>
      <c r="G2519" s="176"/>
      <c r="H2519" s="114"/>
      <c r="I2519" s="42"/>
      <c r="J2519" s="42"/>
      <c r="K2519" s="176"/>
      <c r="L2519" s="176"/>
      <c r="M2519" s="176"/>
      <c r="N2519" s="176"/>
      <c r="O2519" s="176"/>
      <c r="P2519" s="114"/>
      <c r="Q2519" s="176"/>
      <c r="R2519" s="114"/>
      <c r="S2519" s="114"/>
      <c r="T2519" s="200"/>
      <c r="U2519" s="114"/>
      <c r="V2519" s="414"/>
      <c r="W2519" s="176"/>
      <c r="X2519" s="176"/>
      <c r="Y2519" s="176"/>
      <c r="Z2519" s="176"/>
    </row>
    <row r="2520" ht="15.75" customHeight="1">
      <c r="A2520" s="408"/>
      <c r="B2520" s="428"/>
      <c r="C2520" s="200"/>
      <c r="D2520" s="176"/>
      <c r="E2520" s="176"/>
      <c r="F2520" s="408"/>
      <c r="G2520" s="176"/>
      <c r="H2520" s="114"/>
      <c r="I2520" s="42"/>
      <c r="J2520" s="42"/>
      <c r="K2520" s="176"/>
      <c r="L2520" s="176"/>
      <c r="M2520" s="176"/>
      <c r="N2520" s="176"/>
      <c r="O2520" s="176"/>
      <c r="P2520" s="114"/>
      <c r="Q2520" s="176"/>
      <c r="R2520" s="114"/>
      <c r="S2520" s="114"/>
      <c r="T2520" s="200"/>
      <c r="U2520" s="114"/>
      <c r="V2520" s="414"/>
      <c r="W2520" s="176"/>
      <c r="X2520" s="176"/>
      <c r="Y2520" s="176"/>
      <c r="Z2520" s="176"/>
    </row>
    <row r="2521" ht="15.75" customHeight="1">
      <c r="A2521" s="408"/>
      <c r="B2521" s="428"/>
      <c r="C2521" s="200"/>
      <c r="D2521" s="176"/>
      <c r="E2521" s="176"/>
      <c r="F2521" s="408"/>
      <c r="G2521" s="176"/>
      <c r="H2521" s="114"/>
      <c r="I2521" s="42"/>
      <c r="J2521" s="42"/>
      <c r="K2521" s="176"/>
      <c r="L2521" s="176"/>
      <c r="M2521" s="176"/>
      <c r="N2521" s="176"/>
      <c r="O2521" s="176"/>
      <c r="P2521" s="114"/>
      <c r="Q2521" s="176"/>
      <c r="R2521" s="114"/>
      <c r="S2521" s="114"/>
      <c r="T2521" s="200"/>
      <c r="U2521" s="114"/>
      <c r="V2521" s="414"/>
      <c r="W2521" s="176"/>
      <c r="X2521" s="176"/>
      <c r="Y2521" s="176"/>
      <c r="Z2521" s="176"/>
    </row>
    <row r="2522" ht="15.75" customHeight="1">
      <c r="A2522" s="408"/>
      <c r="B2522" s="428"/>
      <c r="C2522" s="200"/>
      <c r="D2522" s="176"/>
      <c r="E2522" s="176"/>
      <c r="F2522" s="408"/>
      <c r="G2522" s="176"/>
      <c r="H2522" s="114"/>
      <c r="I2522" s="42"/>
      <c r="J2522" s="42"/>
      <c r="K2522" s="176"/>
      <c r="L2522" s="176"/>
      <c r="M2522" s="176"/>
      <c r="N2522" s="176"/>
      <c r="O2522" s="176"/>
      <c r="P2522" s="114"/>
      <c r="Q2522" s="176"/>
      <c r="R2522" s="114"/>
      <c r="S2522" s="114"/>
      <c r="T2522" s="200"/>
      <c r="U2522" s="114"/>
      <c r="V2522" s="414"/>
      <c r="W2522" s="176"/>
      <c r="X2522" s="176"/>
      <c r="Y2522" s="176"/>
      <c r="Z2522" s="176"/>
    </row>
    <row r="2523" ht="15.75" customHeight="1">
      <c r="A2523" s="408"/>
      <c r="B2523" s="428"/>
      <c r="C2523" s="200"/>
      <c r="D2523" s="176"/>
      <c r="E2523" s="176"/>
      <c r="F2523" s="408"/>
      <c r="G2523" s="176"/>
      <c r="H2523" s="114"/>
      <c r="I2523" s="42"/>
      <c r="J2523" s="42"/>
      <c r="K2523" s="176"/>
      <c r="L2523" s="176"/>
      <c r="M2523" s="176"/>
      <c r="N2523" s="176"/>
      <c r="O2523" s="176"/>
      <c r="P2523" s="114"/>
      <c r="Q2523" s="176"/>
      <c r="R2523" s="114"/>
      <c r="S2523" s="114"/>
      <c r="T2523" s="200"/>
      <c r="U2523" s="114"/>
      <c r="V2523" s="414"/>
      <c r="W2523" s="176"/>
      <c r="X2523" s="176"/>
      <c r="Y2523" s="176"/>
      <c r="Z2523" s="176"/>
    </row>
    <row r="2524" ht="15.75" customHeight="1">
      <c r="A2524" s="408"/>
      <c r="B2524" s="428"/>
      <c r="C2524" s="200"/>
      <c r="D2524" s="176"/>
      <c r="E2524" s="176"/>
      <c r="F2524" s="408"/>
      <c r="G2524" s="176"/>
      <c r="H2524" s="114"/>
      <c r="I2524" s="42"/>
      <c r="J2524" s="42"/>
      <c r="K2524" s="176"/>
      <c r="L2524" s="176"/>
      <c r="M2524" s="176"/>
      <c r="N2524" s="176"/>
      <c r="O2524" s="176"/>
      <c r="P2524" s="114"/>
      <c r="Q2524" s="176"/>
      <c r="R2524" s="114"/>
      <c r="S2524" s="114"/>
      <c r="T2524" s="200"/>
      <c r="U2524" s="114"/>
      <c r="V2524" s="414"/>
      <c r="W2524" s="176"/>
      <c r="X2524" s="176"/>
      <c r="Y2524" s="176"/>
      <c r="Z2524" s="176"/>
    </row>
    <row r="2525" ht="15.75" customHeight="1">
      <c r="A2525" s="408"/>
      <c r="B2525" s="428"/>
      <c r="C2525" s="200"/>
      <c r="D2525" s="176"/>
      <c r="E2525" s="176"/>
      <c r="F2525" s="408"/>
      <c r="G2525" s="176"/>
      <c r="H2525" s="114"/>
      <c r="I2525" s="42"/>
      <c r="J2525" s="42"/>
      <c r="K2525" s="176"/>
      <c r="L2525" s="176"/>
      <c r="M2525" s="176"/>
      <c r="N2525" s="176"/>
      <c r="O2525" s="176"/>
      <c r="P2525" s="114"/>
      <c r="Q2525" s="176"/>
      <c r="R2525" s="114"/>
      <c r="S2525" s="114"/>
      <c r="T2525" s="200"/>
      <c r="U2525" s="114"/>
      <c r="V2525" s="414"/>
      <c r="W2525" s="176"/>
      <c r="X2525" s="176"/>
      <c r="Y2525" s="176"/>
      <c r="Z2525" s="176"/>
    </row>
    <row r="2526" ht="15.75" customHeight="1">
      <c r="A2526" s="408"/>
      <c r="B2526" s="428"/>
      <c r="C2526" s="200"/>
      <c r="D2526" s="176"/>
      <c r="E2526" s="176"/>
      <c r="F2526" s="408"/>
      <c r="G2526" s="176"/>
      <c r="H2526" s="114"/>
      <c r="I2526" s="42"/>
      <c r="J2526" s="42"/>
      <c r="K2526" s="176"/>
      <c r="L2526" s="176"/>
      <c r="M2526" s="176"/>
      <c r="N2526" s="176"/>
      <c r="O2526" s="176"/>
      <c r="P2526" s="114"/>
      <c r="Q2526" s="176"/>
      <c r="R2526" s="114"/>
      <c r="S2526" s="114"/>
      <c r="T2526" s="200"/>
      <c r="U2526" s="114"/>
      <c r="V2526" s="414"/>
      <c r="W2526" s="176"/>
      <c r="X2526" s="176"/>
      <c r="Y2526" s="176"/>
      <c r="Z2526" s="176"/>
    </row>
    <row r="2527" ht="15.75" customHeight="1">
      <c r="A2527" s="408"/>
      <c r="B2527" s="428"/>
      <c r="C2527" s="200"/>
      <c r="D2527" s="176"/>
      <c r="E2527" s="176"/>
      <c r="F2527" s="408"/>
      <c r="G2527" s="176"/>
      <c r="H2527" s="114"/>
      <c r="I2527" s="42"/>
      <c r="J2527" s="42"/>
      <c r="K2527" s="176"/>
      <c r="L2527" s="176"/>
      <c r="M2527" s="176"/>
      <c r="N2527" s="176"/>
      <c r="O2527" s="176"/>
      <c r="P2527" s="114"/>
      <c r="Q2527" s="176"/>
      <c r="R2527" s="114"/>
      <c r="S2527" s="114"/>
      <c r="T2527" s="200"/>
      <c r="U2527" s="114"/>
      <c r="V2527" s="414"/>
      <c r="W2527" s="176"/>
      <c r="X2527" s="176"/>
      <c r="Y2527" s="176"/>
      <c r="Z2527" s="176"/>
    </row>
    <row r="2528" ht="15.75" customHeight="1">
      <c r="A2528" s="408"/>
      <c r="B2528" s="428"/>
      <c r="C2528" s="200"/>
      <c r="D2528" s="176"/>
      <c r="E2528" s="176"/>
      <c r="F2528" s="408"/>
      <c r="G2528" s="176"/>
      <c r="H2528" s="114"/>
      <c r="I2528" s="42"/>
      <c r="J2528" s="42"/>
      <c r="K2528" s="176"/>
      <c r="L2528" s="176"/>
      <c r="M2528" s="176"/>
      <c r="N2528" s="176"/>
      <c r="O2528" s="176"/>
      <c r="P2528" s="114"/>
      <c r="Q2528" s="176"/>
      <c r="R2528" s="114"/>
      <c r="S2528" s="114"/>
      <c r="T2528" s="200"/>
      <c r="U2528" s="114"/>
      <c r="V2528" s="414"/>
      <c r="W2528" s="176"/>
      <c r="X2528" s="176"/>
      <c r="Y2528" s="176"/>
      <c r="Z2528" s="176"/>
    </row>
    <row r="2529" ht="15.75" customHeight="1">
      <c r="A2529" s="408"/>
      <c r="B2529" s="428"/>
      <c r="C2529" s="200"/>
      <c r="D2529" s="176"/>
      <c r="E2529" s="176"/>
      <c r="F2529" s="408"/>
      <c r="G2529" s="176"/>
      <c r="H2529" s="114"/>
      <c r="I2529" s="42"/>
      <c r="J2529" s="42"/>
      <c r="K2529" s="176"/>
      <c r="L2529" s="176"/>
      <c r="M2529" s="176"/>
      <c r="N2529" s="176"/>
      <c r="O2529" s="176"/>
      <c r="P2529" s="114"/>
      <c r="Q2529" s="176"/>
      <c r="R2529" s="114"/>
      <c r="S2529" s="114"/>
      <c r="T2529" s="200"/>
      <c r="U2529" s="114"/>
      <c r="V2529" s="414"/>
      <c r="W2529" s="176"/>
      <c r="X2529" s="176"/>
      <c r="Y2529" s="176"/>
      <c r="Z2529" s="176"/>
    </row>
    <row r="2530" ht="15.75" customHeight="1">
      <c r="A2530" s="408"/>
      <c r="B2530" s="428"/>
      <c r="C2530" s="200"/>
      <c r="D2530" s="176"/>
      <c r="E2530" s="176"/>
      <c r="F2530" s="408"/>
      <c r="G2530" s="176"/>
      <c r="H2530" s="114"/>
      <c r="I2530" s="42"/>
      <c r="J2530" s="42"/>
      <c r="K2530" s="176"/>
      <c r="L2530" s="176"/>
      <c r="M2530" s="176"/>
      <c r="N2530" s="176"/>
      <c r="O2530" s="176"/>
      <c r="P2530" s="114"/>
      <c r="Q2530" s="176"/>
      <c r="R2530" s="114"/>
      <c r="S2530" s="114"/>
      <c r="T2530" s="200"/>
      <c r="U2530" s="114"/>
      <c r="V2530" s="414"/>
      <c r="W2530" s="176"/>
      <c r="X2530" s="176"/>
      <c r="Y2530" s="176"/>
      <c r="Z2530" s="176"/>
    </row>
    <row r="2531" ht="15.75" customHeight="1">
      <c r="A2531" s="408"/>
      <c r="B2531" s="428"/>
      <c r="C2531" s="200"/>
      <c r="D2531" s="176"/>
      <c r="E2531" s="176"/>
      <c r="F2531" s="408"/>
      <c r="G2531" s="176"/>
      <c r="H2531" s="114"/>
      <c r="I2531" s="42"/>
      <c r="J2531" s="42"/>
      <c r="K2531" s="176"/>
      <c r="L2531" s="176"/>
      <c r="M2531" s="176"/>
      <c r="N2531" s="176"/>
      <c r="O2531" s="176"/>
      <c r="P2531" s="114"/>
      <c r="Q2531" s="176"/>
      <c r="R2531" s="114"/>
      <c r="S2531" s="114"/>
      <c r="T2531" s="200"/>
      <c r="U2531" s="114"/>
      <c r="V2531" s="414"/>
      <c r="W2531" s="176"/>
      <c r="X2531" s="176"/>
      <c r="Y2531" s="176"/>
      <c r="Z2531" s="176"/>
    </row>
    <row r="2532" ht="15.75" customHeight="1">
      <c r="A2532" s="408"/>
      <c r="B2532" s="428"/>
      <c r="C2532" s="200"/>
      <c r="D2532" s="176"/>
      <c r="E2532" s="176"/>
      <c r="F2532" s="408"/>
      <c r="G2532" s="176"/>
      <c r="H2532" s="114"/>
      <c r="I2532" s="42"/>
      <c r="J2532" s="42"/>
      <c r="K2532" s="176"/>
      <c r="L2532" s="176"/>
      <c r="M2532" s="176"/>
      <c r="N2532" s="176"/>
      <c r="O2532" s="176"/>
      <c r="P2532" s="114"/>
      <c r="Q2532" s="176"/>
      <c r="R2532" s="114"/>
      <c r="S2532" s="114"/>
      <c r="T2532" s="200"/>
      <c r="U2532" s="114"/>
      <c r="V2532" s="414"/>
      <c r="W2532" s="176"/>
      <c r="X2532" s="176"/>
      <c r="Y2532" s="176"/>
      <c r="Z2532" s="176"/>
    </row>
    <row r="2533" ht="15.75" customHeight="1">
      <c r="A2533" s="408"/>
      <c r="B2533" s="428"/>
      <c r="C2533" s="200"/>
      <c r="D2533" s="176"/>
      <c r="E2533" s="176"/>
      <c r="F2533" s="408"/>
      <c r="G2533" s="176"/>
      <c r="H2533" s="114"/>
      <c r="I2533" s="42"/>
      <c r="J2533" s="42"/>
      <c r="K2533" s="176"/>
      <c r="L2533" s="176"/>
      <c r="M2533" s="176"/>
      <c r="N2533" s="176"/>
      <c r="O2533" s="176"/>
      <c r="P2533" s="114"/>
      <c r="Q2533" s="176"/>
      <c r="R2533" s="114"/>
      <c r="S2533" s="114"/>
      <c r="T2533" s="200"/>
      <c r="U2533" s="114"/>
      <c r="V2533" s="414"/>
      <c r="W2533" s="176"/>
      <c r="X2533" s="176"/>
      <c r="Y2533" s="176"/>
      <c r="Z2533" s="176"/>
    </row>
    <row r="2534" ht="15.75" customHeight="1">
      <c r="A2534" s="408"/>
      <c r="B2534" s="428"/>
      <c r="C2534" s="200"/>
      <c r="D2534" s="176"/>
      <c r="E2534" s="176"/>
      <c r="F2534" s="408"/>
      <c r="G2534" s="176"/>
      <c r="H2534" s="114"/>
      <c r="I2534" s="42"/>
      <c r="J2534" s="42"/>
      <c r="K2534" s="176"/>
      <c r="L2534" s="176"/>
      <c r="M2534" s="176"/>
      <c r="N2534" s="176"/>
      <c r="O2534" s="176"/>
      <c r="P2534" s="114"/>
      <c r="Q2534" s="176"/>
      <c r="R2534" s="114"/>
      <c r="S2534" s="114"/>
      <c r="T2534" s="200"/>
      <c r="U2534" s="114"/>
      <c r="V2534" s="414"/>
      <c r="W2534" s="176"/>
      <c r="X2534" s="176"/>
      <c r="Y2534" s="176"/>
      <c r="Z2534" s="176"/>
    </row>
    <row r="2535" ht="15.75" customHeight="1">
      <c r="A2535" s="408"/>
      <c r="B2535" s="428"/>
      <c r="C2535" s="200"/>
      <c r="D2535" s="176"/>
      <c r="E2535" s="176"/>
      <c r="F2535" s="408"/>
      <c r="G2535" s="176"/>
      <c r="H2535" s="114"/>
      <c r="I2535" s="42"/>
      <c r="J2535" s="42"/>
      <c r="K2535" s="176"/>
      <c r="L2535" s="176"/>
      <c r="M2535" s="176"/>
      <c r="N2535" s="176"/>
      <c r="O2535" s="176"/>
      <c r="P2535" s="114"/>
      <c r="Q2535" s="176"/>
      <c r="R2535" s="114"/>
      <c r="S2535" s="114"/>
      <c r="T2535" s="200"/>
      <c r="U2535" s="114"/>
      <c r="V2535" s="414"/>
      <c r="W2535" s="176"/>
      <c r="X2535" s="176"/>
      <c r="Y2535" s="176"/>
      <c r="Z2535" s="176"/>
    </row>
    <row r="2536" ht="15.75" customHeight="1">
      <c r="A2536" s="408"/>
      <c r="B2536" s="428"/>
      <c r="C2536" s="200"/>
      <c r="D2536" s="176"/>
      <c r="E2536" s="176"/>
      <c r="F2536" s="408"/>
      <c r="G2536" s="176"/>
      <c r="H2536" s="114"/>
      <c r="I2536" s="42"/>
      <c r="J2536" s="42"/>
      <c r="K2536" s="176"/>
      <c r="L2536" s="176"/>
      <c r="M2536" s="176"/>
      <c r="N2536" s="176"/>
      <c r="O2536" s="176"/>
      <c r="P2536" s="114"/>
      <c r="Q2536" s="176"/>
      <c r="R2536" s="114"/>
      <c r="S2536" s="114"/>
      <c r="T2536" s="200"/>
      <c r="U2536" s="114"/>
      <c r="V2536" s="414"/>
      <c r="W2536" s="176"/>
      <c r="X2536" s="176"/>
      <c r="Y2536" s="176"/>
      <c r="Z2536" s="176"/>
    </row>
    <row r="2537" ht="15.75" customHeight="1">
      <c r="A2537" s="408"/>
      <c r="B2537" s="428"/>
      <c r="C2537" s="200"/>
      <c r="D2537" s="176"/>
      <c r="E2537" s="176"/>
      <c r="F2537" s="408"/>
      <c r="G2537" s="176"/>
      <c r="H2537" s="114"/>
      <c r="I2537" s="42"/>
      <c r="J2537" s="42"/>
      <c r="K2537" s="176"/>
      <c r="L2537" s="176"/>
      <c r="M2537" s="176"/>
      <c r="N2537" s="176"/>
      <c r="O2537" s="176"/>
      <c r="P2537" s="114"/>
      <c r="Q2537" s="176"/>
      <c r="R2537" s="114"/>
      <c r="S2537" s="114"/>
      <c r="T2537" s="200"/>
      <c r="U2537" s="114"/>
      <c r="V2537" s="414"/>
      <c r="W2537" s="176"/>
      <c r="X2537" s="176"/>
      <c r="Y2537" s="176"/>
      <c r="Z2537" s="176"/>
    </row>
    <row r="2538" ht="15.75" customHeight="1">
      <c r="A2538" s="408"/>
      <c r="B2538" s="428"/>
      <c r="C2538" s="200"/>
      <c r="D2538" s="176"/>
      <c r="E2538" s="176"/>
      <c r="F2538" s="408"/>
      <c r="G2538" s="176"/>
      <c r="H2538" s="114"/>
      <c r="I2538" s="42"/>
      <c r="J2538" s="42"/>
      <c r="K2538" s="176"/>
      <c r="L2538" s="176"/>
      <c r="M2538" s="176"/>
      <c r="N2538" s="176"/>
      <c r="O2538" s="176"/>
      <c r="P2538" s="114"/>
      <c r="Q2538" s="176"/>
      <c r="R2538" s="114"/>
      <c r="S2538" s="114"/>
      <c r="T2538" s="200"/>
      <c r="U2538" s="114"/>
      <c r="V2538" s="414"/>
      <c r="W2538" s="176"/>
      <c r="X2538" s="176"/>
      <c r="Y2538" s="176"/>
      <c r="Z2538" s="176"/>
    </row>
    <row r="2539" ht="15.75" customHeight="1">
      <c r="A2539" s="408"/>
      <c r="B2539" s="428"/>
      <c r="C2539" s="200"/>
      <c r="D2539" s="176"/>
      <c r="E2539" s="176"/>
      <c r="F2539" s="408"/>
      <c r="G2539" s="176"/>
      <c r="H2539" s="114"/>
      <c r="I2539" s="42"/>
      <c r="J2539" s="42"/>
      <c r="K2539" s="176"/>
      <c r="L2539" s="176"/>
      <c r="M2539" s="176"/>
      <c r="N2539" s="176"/>
      <c r="O2539" s="176"/>
      <c r="P2539" s="114"/>
      <c r="Q2539" s="176"/>
      <c r="R2539" s="114"/>
      <c r="S2539" s="114"/>
      <c r="T2539" s="200"/>
      <c r="U2539" s="114"/>
      <c r="V2539" s="414"/>
      <c r="W2539" s="176"/>
      <c r="X2539" s="176"/>
      <c r="Y2539" s="176"/>
      <c r="Z2539" s="176"/>
    </row>
    <row r="2540" ht="15.75" customHeight="1">
      <c r="A2540" s="408"/>
      <c r="B2540" s="428"/>
      <c r="C2540" s="200"/>
      <c r="D2540" s="176"/>
      <c r="E2540" s="176"/>
      <c r="F2540" s="408"/>
      <c r="G2540" s="176"/>
      <c r="H2540" s="114"/>
      <c r="I2540" s="42"/>
      <c r="J2540" s="42"/>
      <c r="K2540" s="176"/>
      <c r="L2540" s="176"/>
      <c r="M2540" s="176"/>
      <c r="N2540" s="176"/>
      <c r="O2540" s="176"/>
      <c r="P2540" s="114"/>
      <c r="Q2540" s="176"/>
      <c r="R2540" s="114"/>
      <c r="S2540" s="114"/>
      <c r="T2540" s="200"/>
      <c r="U2540" s="114"/>
      <c r="V2540" s="414"/>
      <c r="W2540" s="176"/>
      <c r="X2540" s="176"/>
      <c r="Y2540" s="176"/>
      <c r="Z2540" s="176"/>
    </row>
    <row r="2541" ht="15.75" customHeight="1">
      <c r="A2541" s="408"/>
      <c r="B2541" s="428"/>
      <c r="C2541" s="200"/>
      <c r="D2541" s="176"/>
      <c r="E2541" s="176"/>
      <c r="F2541" s="408"/>
      <c r="G2541" s="176"/>
      <c r="H2541" s="114"/>
      <c r="I2541" s="42"/>
      <c r="J2541" s="42"/>
      <c r="K2541" s="176"/>
      <c r="L2541" s="176"/>
      <c r="M2541" s="176"/>
      <c r="N2541" s="176"/>
      <c r="O2541" s="176"/>
      <c r="P2541" s="114"/>
      <c r="Q2541" s="176"/>
      <c r="R2541" s="114"/>
      <c r="S2541" s="114"/>
      <c r="T2541" s="200"/>
      <c r="U2541" s="114"/>
      <c r="V2541" s="414"/>
      <c r="W2541" s="176"/>
      <c r="X2541" s="176"/>
      <c r="Y2541" s="176"/>
      <c r="Z2541" s="176"/>
    </row>
    <row r="2542" ht="15.75" customHeight="1">
      <c r="A2542" s="408"/>
      <c r="B2542" s="428"/>
      <c r="C2542" s="200"/>
      <c r="D2542" s="176"/>
      <c r="E2542" s="176"/>
      <c r="F2542" s="408"/>
      <c r="G2542" s="176"/>
      <c r="H2542" s="114"/>
      <c r="I2542" s="42"/>
      <c r="J2542" s="42"/>
      <c r="K2542" s="176"/>
      <c r="L2542" s="176"/>
      <c r="M2542" s="176"/>
      <c r="N2542" s="176"/>
      <c r="O2542" s="176"/>
      <c r="P2542" s="114"/>
      <c r="Q2542" s="176"/>
      <c r="R2542" s="114"/>
      <c r="S2542" s="114"/>
      <c r="T2542" s="200"/>
      <c r="U2542" s="114"/>
      <c r="V2542" s="414"/>
      <c r="W2542" s="176"/>
      <c r="X2542" s="176"/>
      <c r="Y2542" s="176"/>
      <c r="Z2542" s="176"/>
    </row>
    <row r="2543" ht="15.75" customHeight="1">
      <c r="A2543" s="408"/>
      <c r="B2543" s="428"/>
      <c r="C2543" s="200"/>
      <c r="D2543" s="176"/>
      <c r="E2543" s="176"/>
      <c r="F2543" s="408"/>
      <c r="G2543" s="176"/>
      <c r="H2543" s="114"/>
      <c r="I2543" s="42"/>
      <c r="J2543" s="42"/>
      <c r="K2543" s="176"/>
      <c r="L2543" s="176"/>
      <c r="M2543" s="176"/>
      <c r="N2543" s="176"/>
      <c r="O2543" s="176"/>
      <c r="P2543" s="114"/>
      <c r="Q2543" s="176"/>
      <c r="R2543" s="114"/>
      <c r="S2543" s="114"/>
      <c r="T2543" s="200"/>
      <c r="U2543" s="114"/>
      <c r="V2543" s="414"/>
      <c r="W2543" s="176"/>
      <c r="X2543" s="176"/>
      <c r="Y2543" s="176"/>
      <c r="Z2543" s="176"/>
    </row>
    <row r="2544" ht="15.75" customHeight="1">
      <c r="A2544" s="408"/>
      <c r="B2544" s="428"/>
      <c r="C2544" s="200"/>
      <c r="D2544" s="176"/>
      <c r="E2544" s="176"/>
      <c r="F2544" s="408"/>
      <c r="G2544" s="176"/>
      <c r="H2544" s="114"/>
      <c r="I2544" s="42"/>
      <c r="J2544" s="42"/>
      <c r="K2544" s="176"/>
      <c r="L2544" s="176"/>
      <c r="M2544" s="176"/>
      <c r="N2544" s="176"/>
      <c r="O2544" s="176"/>
      <c r="P2544" s="114"/>
      <c r="Q2544" s="176"/>
      <c r="R2544" s="114"/>
      <c r="S2544" s="114"/>
      <c r="T2544" s="200"/>
      <c r="U2544" s="114"/>
      <c r="V2544" s="414"/>
      <c r="W2544" s="176"/>
      <c r="X2544" s="176"/>
      <c r="Y2544" s="176"/>
      <c r="Z2544" s="176"/>
    </row>
    <row r="2545" ht="15.75" customHeight="1">
      <c r="A2545" s="408"/>
      <c r="B2545" s="428"/>
      <c r="C2545" s="200"/>
      <c r="D2545" s="176"/>
      <c r="E2545" s="176"/>
      <c r="F2545" s="408"/>
      <c r="G2545" s="176"/>
      <c r="H2545" s="114"/>
      <c r="I2545" s="42"/>
      <c r="J2545" s="42"/>
      <c r="K2545" s="176"/>
      <c r="L2545" s="176"/>
      <c r="M2545" s="176"/>
      <c r="N2545" s="176"/>
      <c r="O2545" s="176"/>
      <c r="P2545" s="114"/>
      <c r="Q2545" s="176"/>
      <c r="R2545" s="114"/>
      <c r="S2545" s="114"/>
      <c r="T2545" s="200"/>
      <c r="U2545" s="114"/>
      <c r="V2545" s="414"/>
      <c r="W2545" s="176"/>
      <c r="X2545" s="176"/>
      <c r="Y2545" s="176"/>
      <c r="Z2545" s="176"/>
    </row>
    <row r="2546" ht="15.75" customHeight="1">
      <c r="A2546" s="408"/>
      <c r="B2546" s="428"/>
      <c r="C2546" s="200"/>
      <c r="D2546" s="176"/>
      <c r="E2546" s="176"/>
      <c r="F2546" s="408"/>
      <c r="G2546" s="176"/>
      <c r="H2546" s="114"/>
      <c r="I2546" s="42"/>
      <c r="J2546" s="42"/>
      <c r="K2546" s="176"/>
      <c r="L2546" s="176"/>
      <c r="M2546" s="176"/>
      <c r="N2546" s="176"/>
      <c r="O2546" s="176"/>
      <c r="P2546" s="114"/>
      <c r="Q2546" s="176"/>
      <c r="R2546" s="114"/>
      <c r="S2546" s="114"/>
      <c r="T2546" s="200"/>
      <c r="U2546" s="114"/>
      <c r="V2546" s="414"/>
      <c r="W2546" s="176"/>
      <c r="X2546" s="176"/>
      <c r="Y2546" s="176"/>
      <c r="Z2546" s="176"/>
    </row>
    <row r="2547" ht="15.75" customHeight="1">
      <c r="A2547" s="408"/>
      <c r="B2547" s="428"/>
      <c r="C2547" s="200"/>
      <c r="D2547" s="176"/>
      <c r="E2547" s="176"/>
      <c r="F2547" s="408"/>
      <c r="G2547" s="176"/>
      <c r="H2547" s="114"/>
      <c r="I2547" s="42"/>
      <c r="J2547" s="42"/>
      <c r="K2547" s="176"/>
      <c r="L2547" s="176"/>
      <c r="M2547" s="176"/>
      <c r="N2547" s="176"/>
      <c r="O2547" s="176"/>
      <c r="P2547" s="114"/>
      <c r="Q2547" s="176"/>
      <c r="R2547" s="114"/>
      <c r="S2547" s="114"/>
      <c r="T2547" s="200"/>
      <c r="U2547" s="114"/>
      <c r="V2547" s="414"/>
      <c r="W2547" s="176"/>
      <c r="X2547" s="176"/>
      <c r="Y2547" s="176"/>
      <c r="Z2547" s="176"/>
    </row>
    <row r="2548" ht="15.75" customHeight="1">
      <c r="A2548" s="408"/>
      <c r="B2548" s="428"/>
      <c r="C2548" s="200"/>
      <c r="D2548" s="176"/>
      <c r="E2548" s="176"/>
      <c r="F2548" s="408"/>
      <c r="G2548" s="176"/>
      <c r="H2548" s="114"/>
      <c r="I2548" s="42"/>
      <c r="J2548" s="42"/>
      <c r="K2548" s="176"/>
      <c r="L2548" s="176"/>
      <c r="M2548" s="176"/>
      <c r="N2548" s="176"/>
      <c r="O2548" s="176"/>
      <c r="P2548" s="114"/>
      <c r="Q2548" s="176"/>
      <c r="R2548" s="114"/>
      <c r="S2548" s="114"/>
      <c r="T2548" s="200"/>
      <c r="U2548" s="114"/>
      <c r="V2548" s="414"/>
      <c r="W2548" s="176"/>
      <c r="X2548" s="176"/>
      <c r="Y2548" s="176"/>
      <c r="Z2548" s="176"/>
    </row>
    <row r="2549" ht="15.75" customHeight="1">
      <c r="A2549" s="408"/>
      <c r="B2549" s="428"/>
      <c r="C2549" s="200"/>
      <c r="D2549" s="176"/>
      <c r="E2549" s="176"/>
      <c r="F2549" s="408"/>
      <c r="G2549" s="176"/>
      <c r="H2549" s="114"/>
      <c r="I2549" s="42"/>
      <c r="J2549" s="42"/>
      <c r="K2549" s="176"/>
      <c r="L2549" s="176"/>
      <c r="M2549" s="176"/>
      <c r="N2549" s="176"/>
      <c r="O2549" s="176"/>
      <c r="P2549" s="114"/>
      <c r="Q2549" s="176"/>
      <c r="R2549" s="114"/>
      <c r="S2549" s="114"/>
      <c r="T2549" s="200"/>
      <c r="U2549" s="114"/>
      <c r="V2549" s="414"/>
      <c r="W2549" s="176"/>
      <c r="X2549" s="176"/>
      <c r="Y2549" s="176"/>
      <c r="Z2549" s="176"/>
    </row>
    <row r="2550" ht="15.75" customHeight="1">
      <c r="A2550" s="408"/>
      <c r="B2550" s="428"/>
      <c r="C2550" s="200"/>
      <c r="D2550" s="176"/>
      <c r="E2550" s="176"/>
      <c r="F2550" s="408"/>
      <c r="G2550" s="176"/>
      <c r="H2550" s="114"/>
      <c r="I2550" s="42"/>
      <c r="J2550" s="42"/>
      <c r="K2550" s="176"/>
      <c r="L2550" s="176"/>
      <c r="M2550" s="176"/>
      <c r="N2550" s="176"/>
      <c r="O2550" s="176"/>
      <c r="P2550" s="114"/>
      <c r="Q2550" s="176"/>
      <c r="R2550" s="114"/>
      <c r="S2550" s="114"/>
      <c r="T2550" s="200"/>
      <c r="U2550" s="114"/>
      <c r="V2550" s="414"/>
      <c r="W2550" s="176"/>
      <c r="X2550" s="176"/>
      <c r="Y2550" s="176"/>
      <c r="Z2550" s="176"/>
    </row>
    <row r="2551" ht="15.75" customHeight="1">
      <c r="A2551" s="408"/>
      <c r="B2551" s="428"/>
      <c r="C2551" s="200"/>
      <c r="D2551" s="176"/>
      <c r="E2551" s="176"/>
      <c r="F2551" s="408"/>
      <c r="G2551" s="176"/>
      <c r="H2551" s="114"/>
      <c r="I2551" s="42"/>
      <c r="J2551" s="42"/>
      <c r="K2551" s="176"/>
      <c r="L2551" s="176"/>
      <c r="M2551" s="176"/>
      <c r="N2551" s="176"/>
      <c r="O2551" s="176"/>
      <c r="P2551" s="114"/>
      <c r="Q2551" s="176"/>
      <c r="R2551" s="114"/>
      <c r="S2551" s="114"/>
      <c r="T2551" s="200"/>
      <c r="U2551" s="114"/>
      <c r="V2551" s="414"/>
      <c r="W2551" s="176"/>
      <c r="X2551" s="176"/>
      <c r="Y2551" s="176"/>
      <c r="Z2551" s="176"/>
    </row>
    <row r="2552" ht="15.75" customHeight="1">
      <c r="A2552" s="408"/>
      <c r="B2552" s="428"/>
      <c r="C2552" s="200"/>
      <c r="D2552" s="176"/>
      <c r="E2552" s="176"/>
      <c r="F2552" s="408"/>
      <c r="G2552" s="176"/>
      <c r="H2552" s="114"/>
      <c r="I2552" s="42"/>
      <c r="J2552" s="42"/>
      <c r="K2552" s="176"/>
      <c r="L2552" s="176"/>
      <c r="M2552" s="176"/>
      <c r="N2552" s="176"/>
      <c r="O2552" s="176"/>
      <c r="P2552" s="114"/>
      <c r="Q2552" s="176"/>
      <c r="R2552" s="114"/>
      <c r="S2552" s="114"/>
      <c r="T2552" s="200"/>
      <c r="U2552" s="114"/>
      <c r="V2552" s="414"/>
      <c r="W2552" s="176"/>
      <c r="X2552" s="176"/>
      <c r="Y2552" s="176"/>
      <c r="Z2552" s="176"/>
    </row>
    <row r="2553" ht="15.75" customHeight="1">
      <c r="A2553" s="408"/>
      <c r="B2553" s="428"/>
      <c r="C2553" s="200"/>
      <c r="D2553" s="176"/>
      <c r="E2553" s="176"/>
      <c r="F2553" s="408"/>
      <c r="G2553" s="176"/>
      <c r="H2553" s="114"/>
      <c r="I2553" s="42"/>
      <c r="J2553" s="42"/>
      <c r="K2553" s="176"/>
      <c r="L2553" s="176"/>
      <c r="M2553" s="176"/>
      <c r="N2553" s="176"/>
      <c r="O2553" s="176"/>
      <c r="P2553" s="114"/>
      <c r="Q2553" s="176"/>
      <c r="R2553" s="114"/>
      <c r="S2553" s="114"/>
      <c r="T2553" s="200"/>
      <c r="U2553" s="114"/>
      <c r="V2553" s="414"/>
      <c r="W2553" s="176"/>
      <c r="X2553" s="176"/>
      <c r="Y2553" s="176"/>
      <c r="Z2553" s="176"/>
    </row>
    <row r="2554" ht="15.75" customHeight="1">
      <c r="A2554" s="408"/>
      <c r="B2554" s="428"/>
      <c r="C2554" s="200"/>
      <c r="D2554" s="176"/>
      <c r="E2554" s="176"/>
      <c r="F2554" s="408"/>
      <c r="G2554" s="176"/>
      <c r="H2554" s="114"/>
      <c r="I2554" s="42"/>
      <c r="J2554" s="42"/>
      <c r="K2554" s="176"/>
      <c r="L2554" s="176"/>
      <c r="M2554" s="176"/>
      <c r="N2554" s="176"/>
      <c r="O2554" s="176"/>
      <c r="P2554" s="114"/>
      <c r="Q2554" s="176"/>
      <c r="R2554" s="114"/>
      <c r="S2554" s="114"/>
      <c r="T2554" s="200"/>
      <c r="U2554" s="114"/>
      <c r="V2554" s="414"/>
      <c r="W2554" s="176"/>
      <c r="X2554" s="176"/>
      <c r="Y2554" s="176"/>
      <c r="Z2554" s="176"/>
    </row>
    <row r="2555" ht="15.75" customHeight="1">
      <c r="A2555" s="408"/>
      <c r="B2555" s="428"/>
      <c r="C2555" s="200"/>
      <c r="D2555" s="176"/>
      <c r="E2555" s="176"/>
      <c r="F2555" s="408"/>
      <c r="G2555" s="176"/>
      <c r="H2555" s="114"/>
      <c r="I2555" s="42"/>
      <c r="J2555" s="42"/>
      <c r="K2555" s="176"/>
      <c r="L2555" s="176"/>
      <c r="M2555" s="176"/>
      <c r="N2555" s="176"/>
      <c r="O2555" s="176"/>
      <c r="P2555" s="114"/>
      <c r="Q2555" s="176"/>
      <c r="R2555" s="114"/>
      <c r="S2555" s="114"/>
      <c r="T2555" s="200"/>
      <c r="U2555" s="114"/>
      <c r="V2555" s="414"/>
      <c r="W2555" s="176"/>
      <c r="X2555" s="176"/>
      <c r="Y2555" s="176"/>
      <c r="Z2555" s="176"/>
    </row>
    <row r="2556" ht="15.75" customHeight="1">
      <c r="A2556" s="408"/>
      <c r="B2556" s="428"/>
      <c r="C2556" s="200"/>
      <c r="D2556" s="176"/>
      <c r="E2556" s="176"/>
      <c r="F2556" s="408"/>
      <c r="G2556" s="176"/>
      <c r="H2556" s="114"/>
      <c r="I2556" s="42"/>
      <c r="J2556" s="42"/>
      <c r="K2556" s="176"/>
      <c r="L2556" s="176"/>
      <c r="M2556" s="176"/>
      <c r="N2556" s="176"/>
      <c r="O2556" s="176"/>
      <c r="P2556" s="114"/>
      <c r="Q2556" s="176"/>
      <c r="R2556" s="114"/>
      <c r="S2556" s="114"/>
      <c r="T2556" s="200"/>
      <c r="U2556" s="114"/>
      <c r="V2556" s="414"/>
      <c r="W2556" s="176"/>
      <c r="X2556" s="176"/>
      <c r="Y2556" s="176"/>
      <c r="Z2556" s="176"/>
    </row>
    <row r="2557" ht="15.75" customHeight="1">
      <c r="A2557" s="408"/>
      <c r="B2557" s="428"/>
      <c r="C2557" s="200"/>
      <c r="D2557" s="176"/>
      <c r="E2557" s="176"/>
      <c r="F2557" s="408"/>
      <c r="G2557" s="176"/>
      <c r="H2557" s="114"/>
      <c r="I2557" s="42"/>
      <c r="J2557" s="42"/>
      <c r="K2557" s="176"/>
      <c r="L2557" s="176"/>
      <c r="M2557" s="176"/>
      <c r="N2557" s="176"/>
      <c r="O2557" s="176"/>
      <c r="P2557" s="114"/>
      <c r="Q2557" s="176"/>
      <c r="R2557" s="114"/>
      <c r="S2557" s="114"/>
      <c r="T2557" s="200"/>
      <c r="U2557" s="114"/>
      <c r="V2557" s="414"/>
      <c r="W2557" s="176"/>
      <c r="X2557" s="176"/>
      <c r="Y2557" s="176"/>
      <c r="Z2557" s="176"/>
    </row>
    <row r="2558" ht="15.75" customHeight="1">
      <c r="A2558" s="408"/>
      <c r="B2558" s="428"/>
      <c r="C2558" s="200"/>
      <c r="D2558" s="176"/>
      <c r="E2558" s="176"/>
      <c r="F2558" s="408"/>
      <c r="G2558" s="176"/>
      <c r="H2558" s="114"/>
      <c r="I2558" s="42"/>
      <c r="J2558" s="42"/>
      <c r="K2558" s="176"/>
      <c r="L2558" s="176"/>
      <c r="M2558" s="176"/>
      <c r="N2558" s="176"/>
      <c r="O2558" s="176"/>
      <c r="P2558" s="114"/>
      <c r="Q2558" s="176"/>
      <c r="R2558" s="114"/>
      <c r="S2558" s="114"/>
      <c r="T2558" s="200"/>
      <c r="U2558" s="114"/>
      <c r="V2558" s="414"/>
      <c r="W2558" s="176"/>
      <c r="X2558" s="176"/>
      <c r="Y2558" s="176"/>
      <c r="Z2558" s="176"/>
    </row>
    <row r="2559" ht="15.75" customHeight="1">
      <c r="A2559" s="408"/>
      <c r="B2559" s="428"/>
      <c r="C2559" s="200"/>
      <c r="D2559" s="176"/>
      <c r="E2559" s="176"/>
      <c r="F2559" s="408"/>
      <c r="G2559" s="176"/>
      <c r="H2559" s="114"/>
      <c r="I2559" s="42"/>
      <c r="J2559" s="42"/>
      <c r="K2559" s="176"/>
      <c r="L2559" s="176"/>
      <c r="M2559" s="176"/>
      <c r="N2559" s="176"/>
      <c r="O2559" s="176"/>
      <c r="P2559" s="114"/>
      <c r="Q2559" s="176"/>
      <c r="R2559" s="114"/>
      <c r="S2559" s="114"/>
      <c r="T2559" s="200"/>
      <c r="U2559" s="114"/>
      <c r="V2559" s="414"/>
      <c r="W2559" s="176"/>
      <c r="X2559" s="176"/>
      <c r="Y2559" s="176"/>
      <c r="Z2559" s="176"/>
    </row>
    <row r="2560" ht="15.75" customHeight="1">
      <c r="A2560" s="408"/>
      <c r="B2560" s="428"/>
      <c r="C2560" s="200"/>
      <c r="D2560" s="176"/>
      <c r="E2560" s="176"/>
      <c r="F2560" s="408"/>
      <c r="G2560" s="176"/>
      <c r="H2560" s="114"/>
      <c r="I2560" s="42"/>
      <c r="J2560" s="42"/>
      <c r="K2560" s="176"/>
      <c r="L2560" s="176"/>
      <c r="M2560" s="176"/>
      <c r="N2560" s="176"/>
      <c r="O2560" s="176"/>
      <c r="P2560" s="114"/>
      <c r="Q2560" s="176"/>
      <c r="R2560" s="114"/>
      <c r="S2560" s="114"/>
      <c r="T2560" s="200"/>
      <c r="U2560" s="114"/>
      <c r="V2560" s="414"/>
      <c r="W2560" s="176"/>
      <c r="X2560" s="176"/>
      <c r="Y2560" s="176"/>
      <c r="Z2560" s="176"/>
    </row>
    <row r="2561" ht="15.75" customHeight="1">
      <c r="A2561" s="408"/>
      <c r="B2561" s="428"/>
      <c r="C2561" s="200"/>
      <c r="D2561" s="176"/>
      <c r="E2561" s="176"/>
      <c r="F2561" s="408"/>
      <c r="G2561" s="176"/>
      <c r="H2561" s="114"/>
      <c r="I2561" s="42"/>
      <c r="J2561" s="42"/>
      <c r="K2561" s="176"/>
      <c r="L2561" s="176"/>
      <c r="M2561" s="176"/>
      <c r="N2561" s="176"/>
      <c r="O2561" s="176"/>
      <c r="P2561" s="114"/>
      <c r="Q2561" s="176"/>
      <c r="R2561" s="114"/>
      <c r="S2561" s="114"/>
      <c r="T2561" s="200"/>
      <c r="U2561" s="114"/>
      <c r="V2561" s="414"/>
      <c r="W2561" s="176"/>
      <c r="X2561" s="176"/>
      <c r="Y2561" s="176"/>
      <c r="Z2561" s="176"/>
    </row>
    <row r="2562" ht="15.75" customHeight="1">
      <c r="A2562" s="408"/>
      <c r="B2562" s="428"/>
      <c r="C2562" s="200"/>
      <c r="D2562" s="176"/>
      <c r="E2562" s="176"/>
      <c r="F2562" s="408"/>
      <c r="G2562" s="176"/>
      <c r="H2562" s="114"/>
      <c r="I2562" s="42"/>
      <c r="J2562" s="42"/>
      <c r="K2562" s="176"/>
      <c r="L2562" s="176"/>
      <c r="M2562" s="176"/>
      <c r="N2562" s="176"/>
      <c r="O2562" s="176"/>
      <c r="P2562" s="114"/>
      <c r="Q2562" s="176"/>
      <c r="R2562" s="114"/>
      <c r="S2562" s="114"/>
      <c r="T2562" s="200"/>
      <c r="U2562" s="114"/>
      <c r="V2562" s="414"/>
      <c r="W2562" s="176"/>
      <c r="X2562" s="176"/>
      <c r="Y2562" s="176"/>
      <c r="Z2562" s="176"/>
    </row>
    <row r="2563" ht="15.75" customHeight="1">
      <c r="A2563" s="408"/>
      <c r="B2563" s="428"/>
      <c r="C2563" s="200"/>
      <c r="D2563" s="176"/>
      <c r="E2563" s="176"/>
      <c r="F2563" s="408"/>
      <c r="G2563" s="176"/>
      <c r="H2563" s="114"/>
      <c r="I2563" s="42"/>
      <c r="J2563" s="42"/>
      <c r="K2563" s="176"/>
      <c r="L2563" s="176"/>
      <c r="M2563" s="176"/>
      <c r="N2563" s="176"/>
      <c r="O2563" s="176"/>
      <c r="P2563" s="114"/>
      <c r="Q2563" s="176"/>
      <c r="R2563" s="114"/>
      <c r="S2563" s="114"/>
      <c r="T2563" s="200"/>
      <c r="U2563" s="114"/>
      <c r="V2563" s="414"/>
      <c r="W2563" s="176"/>
      <c r="X2563" s="176"/>
      <c r="Y2563" s="176"/>
      <c r="Z2563" s="176"/>
    </row>
    <row r="2564" ht="15.75" customHeight="1">
      <c r="A2564" s="408"/>
      <c r="B2564" s="428"/>
      <c r="C2564" s="200"/>
      <c r="D2564" s="176"/>
      <c r="E2564" s="176"/>
      <c r="F2564" s="408"/>
      <c r="G2564" s="176"/>
      <c r="H2564" s="114"/>
      <c r="I2564" s="42"/>
      <c r="J2564" s="42"/>
      <c r="K2564" s="176"/>
      <c r="L2564" s="176"/>
      <c r="M2564" s="176"/>
      <c r="N2564" s="176"/>
      <c r="O2564" s="176"/>
      <c r="P2564" s="114"/>
      <c r="Q2564" s="176"/>
      <c r="R2564" s="114"/>
      <c r="S2564" s="114"/>
      <c r="T2564" s="200"/>
      <c r="U2564" s="114"/>
      <c r="V2564" s="414"/>
      <c r="W2564" s="176"/>
      <c r="X2564" s="176"/>
      <c r="Y2564" s="176"/>
      <c r="Z2564" s="176"/>
    </row>
    <row r="2565" ht="15.75" customHeight="1">
      <c r="A2565" s="408"/>
      <c r="B2565" s="428"/>
      <c r="C2565" s="200"/>
      <c r="D2565" s="176"/>
      <c r="E2565" s="176"/>
      <c r="F2565" s="408"/>
      <c r="G2565" s="176"/>
      <c r="H2565" s="114"/>
      <c r="I2565" s="42"/>
      <c r="J2565" s="42"/>
      <c r="K2565" s="176"/>
      <c r="L2565" s="176"/>
      <c r="M2565" s="176"/>
      <c r="N2565" s="176"/>
      <c r="O2565" s="176"/>
      <c r="P2565" s="114"/>
      <c r="Q2565" s="176"/>
      <c r="R2565" s="114"/>
      <c r="S2565" s="114"/>
      <c r="T2565" s="200"/>
      <c r="U2565" s="114"/>
      <c r="V2565" s="414"/>
      <c r="W2565" s="176"/>
      <c r="X2565" s="176"/>
      <c r="Y2565" s="176"/>
      <c r="Z2565" s="176"/>
    </row>
    <row r="2566" ht="15.75" customHeight="1">
      <c r="A2566" s="408"/>
      <c r="B2566" s="428"/>
      <c r="C2566" s="200"/>
      <c r="D2566" s="176"/>
      <c r="E2566" s="176"/>
      <c r="F2566" s="408"/>
      <c r="G2566" s="176"/>
      <c r="H2566" s="114"/>
      <c r="I2566" s="42"/>
      <c r="J2566" s="42"/>
      <c r="K2566" s="176"/>
      <c r="L2566" s="176"/>
      <c r="M2566" s="176"/>
      <c r="N2566" s="176"/>
      <c r="O2566" s="176"/>
      <c r="P2566" s="114"/>
      <c r="Q2566" s="176"/>
      <c r="R2566" s="114"/>
      <c r="S2566" s="114"/>
      <c r="T2566" s="200"/>
      <c r="U2566" s="114"/>
      <c r="V2566" s="414"/>
      <c r="W2566" s="176"/>
      <c r="X2566" s="176"/>
      <c r="Y2566" s="176"/>
      <c r="Z2566" s="176"/>
    </row>
    <row r="2567" ht="15.75" customHeight="1">
      <c r="A2567" s="408"/>
      <c r="B2567" s="428"/>
      <c r="C2567" s="200"/>
      <c r="D2567" s="176"/>
      <c r="E2567" s="176"/>
      <c r="F2567" s="408"/>
      <c r="G2567" s="176"/>
      <c r="H2567" s="114"/>
      <c r="I2567" s="42"/>
      <c r="J2567" s="42"/>
      <c r="K2567" s="176"/>
      <c r="L2567" s="176"/>
      <c r="M2567" s="176"/>
      <c r="N2567" s="176"/>
      <c r="O2567" s="176"/>
      <c r="P2567" s="114"/>
      <c r="Q2567" s="176"/>
      <c r="R2567" s="114"/>
      <c r="S2567" s="114"/>
      <c r="T2567" s="200"/>
      <c r="U2567" s="114"/>
      <c r="V2567" s="414"/>
      <c r="W2567" s="176"/>
      <c r="X2567" s="176"/>
      <c r="Y2567" s="176"/>
      <c r="Z2567" s="176"/>
    </row>
    <row r="2568" ht="15.75" customHeight="1">
      <c r="A2568" s="408"/>
      <c r="B2568" s="428"/>
      <c r="C2568" s="200"/>
      <c r="D2568" s="176"/>
      <c r="E2568" s="176"/>
      <c r="F2568" s="408"/>
      <c r="G2568" s="176"/>
      <c r="H2568" s="114"/>
      <c r="I2568" s="42"/>
      <c r="J2568" s="42"/>
      <c r="K2568" s="176"/>
      <c r="L2568" s="176"/>
      <c r="M2568" s="176"/>
      <c r="N2568" s="176"/>
      <c r="O2568" s="176"/>
      <c r="P2568" s="114"/>
      <c r="Q2568" s="176"/>
      <c r="R2568" s="114"/>
      <c r="S2568" s="114"/>
      <c r="T2568" s="200"/>
      <c r="U2568" s="114"/>
      <c r="V2568" s="414"/>
      <c r="W2568" s="176"/>
      <c r="X2568" s="176"/>
      <c r="Y2568" s="176"/>
      <c r="Z2568" s="176"/>
    </row>
    <row r="2569" ht="15.75" customHeight="1">
      <c r="A2569" s="408"/>
      <c r="B2569" s="428"/>
      <c r="C2569" s="200"/>
      <c r="D2569" s="176"/>
      <c r="E2569" s="176"/>
      <c r="F2569" s="408"/>
      <c r="G2569" s="176"/>
      <c r="H2569" s="114"/>
      <c r="I2569" s="42"/>
      <c r="J2569" s="42"/>
      <c r="K2569" s="176"/>
      <c r="L2569" s="176"/>
      <c r="M2569" s="176"/>
      <c r="N2569" s="176"/>
      <c r="O2569" s="176"/>
      <c r="P2569" s="114"/>
      <c r="Q2569" s="176"/>
      <c r="R2569" s="114"/>
      <c r="S2569" s="114"/>
      <c r="T2569" s="200"/>
      <c r="U2569" s="114"/>
      <c r="V2569" s="414"/>
      <c r="W2569" s="176"/>
      <c r="X2569" s="176"/>
      <c r="Y2569" s="176"/>
      <c r="Z2569" s="176"/>
    </row>
    <row r="2570" ht="15.75" customHeight="1">
      <c r="A2570" s="408"/>
      <c r="B2570" s="428"/>
      <c r="C2570" s="200"/>
      <c r="D2570" s="176"/>
      <c r="E2570" s="176"/>
      <c r="F2570" s="408"/>
      <c r="G2570" s="176"/>
      <c r="H2570" s="114"/>
      <c r="I2570" s="42"/>
      <c r="J2570" s="42"/>
      <c r="K2570" s="176"/>
      <c r="L2570" s="176"/>
      <c r="M2570" s="176"/>
      <c r="N2570" s="176"/>
      <c r="O2570" s="176"/>
      <c r="P2570" s="114"/>
      <c r="Q2570" s="176"/>
      <c r="R2570" s="114"/>
      <c r="S2570" s="114"/>
      <c r="T2570" s="200"/>
      <c r="U2570" s="114"/>
      <c r="V2570" s="414"/>
      <c r="W2570" s="176"/>
      <c r="X2570" s="176"/>
      <c r="Y2570" s="176"/>
      <c r="Z2570" s="176"/>
    </row>
    <row r="2571" ht="15.75" customHeight="1">
      <c r="A2571" s="408"/>
      <c r="B2571" s="428"/>
      <c r="C2571" s="200"/>
      <c r="D2571" s="176"/>
      <c r="E2571" s="176"/>
      <c r="F2571" s="408"/>
      <c r="G2571" s="176"/>
      <c r="H2571" s="114"/>
      <c r="I2571" s="42"/>
      <c r="J2571" s="42"/>
      <c r="K2571" s="176"/>
      <c r="L2571" s="176"/>
      <c r="M2571" s="176"/>
      <c r="N2571" s="176"/>
      <c r="O2571" s="176"/>
      <c r="P2571" s="114"/>
      <c r="Q2571" s="176"/>
      <c r="R2571" s="114"/>
      <c r="S2571" s="114"/>
      <c r="T2571" s="200"/>
      <c r="U2571" s="114"/>
      <c r="V2571" s="414"/>
      <c r="W2571" s="176"/>
      <c r="X2571" s="176"/>
      <c r="Y2571" s="176"/>
      <c r="Z2571" s="176"/>
    </row>
    <row r="2572" ht="15.75" customHeight="1">
      <c r="A2572" s="408"/>
      <c r="B2572" s="428"/>
      <c r="C2572" s="200"/>
      <c r="D2572" s="176"/>
      <c r="E2572" s="176"/>
      <c r="F2572" s="408"/>
      <c r="G2572" s="176"/>
      <c r="H2572" s="114"/>
      <c r="I2572" s="42"/>
      <c r="J2572" s="42"/>
      <c r="K2572" s="176"/>
      <c r="L2572" s="176"/>
      <c r="M2572" s="176"/>
      <c r="N2572" s="176"/>
      <c r="O2572" s="176"/>
      <c r="P2572" s="114"/>
      <c r="Q2572" s="176"/>
      <c r="R2572" s="114"/>
      <c r="S2572" s="114"/>
      <c r="T2572" s="200"/>
      <c r="U2572" s="114"/>
      <c r="V2572" s="414"/>
      <c r="W2572" s="176"/>
      <c r="X2572" s="176"/>
      <c r="Y2572" s="176"/>
      <c r="Z2572" s="176"/>
    </row>
    <row r="2573" ht="15.75" customHeight="1">
      <c r="A2573" s="408"/>
      <c r="B2573" s="428"/>
      <c r="C2573" s="200"/>
      <c r="D2573" s="176"/>
      <c r="E2573" s="176"/>
      <c r="F2573" s="408"/>
      <c r="G2573" s="176"/>
      <c r="H2573" s="114"/>
      <c r="I2573" s="42"/>
      <c r="J2573" s="42"/>
      <c r="K2573" s="176"/>
      <c r="L2573" s="176"/>
      <c r="M2573" s="176"/>
      <c r="N2573" s="176"/>
      <c r="O2573" s="176"/>
      <c r="P2573" s="114"/>
      <c r="Q2573" s="176"/>
      <c r="R2573" s="114"/>
      <c r="S2573" s="114"/>
      <c r="T2573" s="200"/>
      <c r="U2573" s="114"/>
      <c r="V2573" s="414"/>
      <c r="W2573" s="176"/>
      <c r="X2573" s="176"/>
      <c r="Y2573" s="176"/>
      <c r="Z2573" s="176"/>
    </row>
    <row r="2574" ht="15.75" customHeight="1">
      <c r="A2574" s="408"/>
      <c r="B2574" s="428"/>
      <c r="C2574" s="200"/>
      <c r="D2574" s="176"/>
      <c r="E2574" s="176"/>
      <c r="F2574" s="408"/>
      <c r="G2574" s="176"/>
      <c r="H2574" s="114"/>
      <c r="I2574" s="42"/>
      <c r="J2574" s="42"/>
      <c r="K2574" s="176"/>
      <c r="L2574" s="176"/>
      <c r="M2574" s="176"/>
      <c r="N2574" s="176"/>
      <c r="O2574" s="176"/>
      <c r="P2574" s="114"/>
      <c r="Q2574" s="176"/>
      <c r="R2574" s="114"/>
      <c r="S2574" s="114"/>
      <c r="T2574" s="200"/>
      <c r="U2574" s="114"/>
      <c r="V2574" s="414"/>
      <c r="W2574" s="176"/>
      <c r="X2574" s="176"/>
      <c r="Y2574" s="176"/>
      <c r="Z2574" s="176"/>
    </row>
    <row r="2575" ht="15.75" customHeight="1">
      <c r="A2575" s="408"/>
      <c r="B2575" s="428"/>
      <c r="C2575" s="200"/>
      <c r="D2575" s="176"/>
      <c r="E2575" s="176"/>
      <c r="F2575" s="408"/>
      <c r="G2575" s="176"/>
      <c r="H2575" s="114"/>
      <c r="I2575" s="42"/>
      <c r="J2575" s="42"/>
      <c r="K2575" s="176"/>
      <c r="L2575" s="176"/>
      <c r="M2575" s="176"/>
      <c r="N2575" s="176"/>
      <c r="O2575" s="176"/>
      <c r="P2575" s="114"/>
      <c r="Q2575" s="176"/>
      <c r="R2575" s="114"/>
      <c r="S2575" s="114"/>
      <c r="T2575" s="200"/>
      <c r="U2575" s="114"/>
      <c r="V2575" s="414"/>
      <c r="W2575" s="176"/>
      <c r="X2575" s="176"/>
      <c r="Y2575" s="176"/>
      <c r="Z2575" s="176"/>
    </row>
    <row r="2576" ht="15.75" customHeight="1">
      <c r="A2576" s="408"/>
      <c r="B2576" s="428"/>
      <c r="C2576" s="200"/>
      <c r="D2576" s="176"/>
      <c r="E2576" s="176"/>
      <c r="F2576" s="408"/>
      <c r="G2576" s="176"/>
      <c r="H2576" s="114"/>
      <c r="I2576" s="42"/>
      <c r="J2576" s="42"/>
      <c r="K2576" s="176"/>
      <c r="L2576" s="176"/>
      <c r="M2576" s="176"/>
      <c r="N2576" s="176"/>
      <c r="O2576" s="176"/>
      <c r="P2576" s="114"/>
      <c r="Q2576" s="176"/>
      <c r="R2576" s="114"/>
      <c r="S2576" s="114"/>
      <c r="T2576" s="200"/>
      <c r="U2576" s="114"/>
      <c r="V2576" s="414"/>
      <c r="W2576" s="176"/>
      <c r="X2576" s="176"/>
      <c r="Y2576" s="176"/>
      <c r="Z2576" s="176"/>
    </row>
    <row r="2577" ht="15.75" customHeight="1">
      <c r="A2577" s="408"/>
      <c r="B2577" s="428"/>
      <c r="C2577" s="200"/>
      <c r="D2577" s="176"/>
      <c r="E2577" s="176"/>
      <c r="F2577" s="408"/>
      <c r="G2577" s="176"/>
      <c r="H2577" s="114"/>
      <c r="I2577" s="42"/>
      <c r="J2577" s="42"/>
      <c r="K2577" s="176"/>
      <c r="L2577" s="176"/>
      <c r="M2577" s="176"/>
      <c r="N2577" s="176"/>
      <c r="O2577" s="176"/>
      <c r="P2577" s="114"/>
      <c r="Q2577" s="176"/>
      <c r="R2577" s="114"/>
      <c r="S2577" s="114"/>
      <c r="T2577" s="200"/>
      <c r="U2577" s="114"/>
      <c r="V2577" s="414"/>
      <c r="W2577" s="176"/>
      <c r="X2577" s="176"/>
      <c r="Y2577" s="176"/>
      <c r="Z2577" s="176"/>
    </row>
    <row r="2578" ht="15.75" customHeight="1">
      <c r="A2578" s="408"/>
      <c r="B2578" s="428"/>
      <c r="C2578" s="200"/>
      <c r="D2578" s="176"/>
      <c r="E2578" s="176"/>
      <c r="F2578" s="408"/>
      <c r="G2578" s="176"/>
      <c r="H2578" s="114"/>
      <c r="I2578" s="42"/>
      <c r="J2578" s="42"/>
      <c r="K2578" s="176"/>
      <c r="L2578" s="176"/>
      <c r="M2578" s="176"/>
      <c r="N2578" s="176"/>
      <c r="O2578" s="176"/>
      <c r="P2578" s="114"/>
      <c r="Q2578" s="176"/>
      <c r="R2578" s="114"/>
      <c r="S2578" s="114"/>
      <c r="T2578" s="200"/>
      <c r="U2578" s="114"/>
      <c r="V2578" s="414"/>
      <c r="W2578" s="176"/>
      <c r="X2578" s="176"/>
      <c r="Y2578" s="176"/>
      <c r="Z2578" s="176"/>
    </row>
    <row r="2579" ht="15.75" customHeight="1">
      <c r="A2579" s="408"/>
      <c r="B2579" s="428"/>
      <c r="C2579" s="200"/>
      <c r="D2579" s="176"/>
      <c r="E2579" s="176"/>
      <c r="F2579" s="408"/>
      <c r="G2579" s="176"/>
      <c r="H2579" s="114"/>
      <c r="I2579" s="42"/>
      <c r="J2579" s="42"/>
      <c r="K2579" s="176"/>
      <c r="L2579" s="176"/>
      <c r="M2579" s="176"/>
      <c r="N2579" s="176"/>
      <c r="O2579" s="176"/>
      <c r="P2579" s="114"/>
      <c r="Q2579" s="176"/>
      <c r="R2579" s="114"/>
      <c r="S2579" s="114"/>
      <c r="T2579" s="200"/>
      <c r="U2579" s="114"/>
      <c r="V2579" s="414"/>
      <c r="W2579" s="176"/>
      <c r="X2579" s="176"/>
      <c r="Y2579" s="176"/>
      <c r="Z2579" s="176"/>
    </row>
    <row r="2580" ht="15.75" customHeight="1">
      <c r="A2580" s="408"/>
      <c r="B2580" s="428"/>
      <c r="C2580" s="200"/>
      <c r="D2580" s="176"/>
      <c r="E2580" s="176"/>
      <c r="F2580" s="408"/>
      <c r="G2580" s="176"/>
      <c r="H2580" s="114"/>
      <c r="I2580" s="42"/>
      <c r="J2580" s="42"/>
      <c r="K2580" s="176"/>
      <c r="L2580" s="176"/>
      <c r="M2580" s="176"/>
      <c r="N2580" s="176"/>
      <c r="O2580" s="176"/>
      <c r="P2580" s="114"/>
      <c r="Q2580" s="176"/>
      <c r="R2580" s="114"/>
      <c r="S2580" s="114"/>
      <c r="T2580" s="200"/>
      <c r="U2580" s="114"/>
      <c r="V2580" s="414"/>
      <c r="W2580" s="176"/>
      <c r="X2580" s="176"/>
      <c r="Y2580" s="176"/>
      <c r="Z2580" s="176"/>
    </row>
    <row r="2581" ht="15.75" customHeight="1">
      <c r="A2581" s="408"/>
      <c r="B2581" s="428"/>
      <c r="C2581" s="200"/>
      <c r="D2581" s="176"/>
      <c r="E2581" s="176"/>
      <c r="F2581" s="408"/>
      <c r="G2581" s="176"/>
      <c r="H2581" s="114"/>
      <c r="I2581" s="42"/>
      <c r="J2581" s="42"/>
      <c r="K2581" s="176"/>
      <c r="L2581" s="176"/>
      <c r="M2581" s="176"/>
      <c r="N2581" s="176"/>
      <c r="O2581" s="176"/>
      <c r="P2581" s="114"/>
      <c r="Q2581" s="176"/>
      <c r="R2581" s="114"/>
      <c r="S2581" s="114"/>
      <c r="T2581" s="200"/>
      <c r="U2581" s="114"/>
      <c r="V2581" s="414"/>
      <c r="W2581" s="176"/>
      <c r="X2581" s="176"/>
      <c r="Y2581" s="176"/>
      <c r="Z2581" s="176"/>
    </row>
    <row r="2582" ht="15.75" customHeight="1">
      <c r="A2582" s="408"/>
      <c r="B2582" s="428"/>
      <c r="C2582" s="200"/>
      <c r="D2582" s="176"/>
      <c r="E2582" s="176"/>
      <c r="F2582" s="408"/>
      <c r="G2582" s="176"/>
      <c r="H2582" s="114"/>
      <c r="I2582" s="42"/>
      <c r="J2582" s="42"/>
      <c r="K2582" s="176"/>
      <c r="L2582" s="176"/>
      <c r="M2582" s="176"/>
      <c r="N2582" s="176"/>
      <c r="O2582" s="176"/>
      <c r="P2582" s="114"/>
      <c r="Q2582" s="176"/>
      <c r="R2582" s="114"/>
      <c r="S2582" s="114"/>
      <c r="T2582" s="200"/>
      <c r="U2582" s="114"/>
      <c r="V2582" s="414"/>
      <c r="W2582" s="176"/>
      <c r="X2582" s="176"/>
      <c r="Y2582" s="176"/>
      <c r="Z2582" s="176"/>
    </row>
    <row r="2583" ht="15.75" customHeight="1">
      <c r="A2583" s="408"/>
      <c r="B2583" s="428"/>
      <c r="C2583" s="200"/>
      <c r="D2583" s="176"/>
      <c r="E2583" s="176"/>
      <c r="F2583" s="408"/>
      <c r="G2583" s="176"/>
      <c r="H2583" s="114"/>
      <c r="I2583" s="42"/>
      <c r="J2583" s="42"/>
      <c r="K2583" s="176"/>
      <c r="L2583" s="176"/>
      <c r="M2583" s="176"/>
      <c r="N2583" s="176"/>
      <c r="O2583" s="176"/>
      <c r="P2583" s="114"/>
      <c r="Q2583" s="176"/>
      <c r="R2583" s="114"/>
      <c r="S2583" s="114"/>
      <c r="T2583" s="200"/>
      <c r="U2583" s="114"/>
      <c r="V2583" s="414"/>
      <c r="W2583" s="176"/>
      <c r="X2583" s="176"/>
      <c r="Y2583" s="176"/>
      <c r="Z2583" s="176"/>
    </row>
    <row r="2584" ht="15.75" customHeight="1">
      <c r="A2584" s="408"/>
      <c r="B2584" s="428"/>
      <c r="C2584" s="200"/>
      <c r="D2584" s="176"/>
      <c r="E2584" s="176"/>
      <c r="F2584" s="408"/>
      <c r="G2584" s="176"/>
      <c r="H2584" s="114"/>
      <c r="I2584" s="42"/>
      <c r="J2584" s="42"/>
      <c r="K2584" s="176"/>
      <c r="L2584" s="176"/>
      <c r="M2584" s="176"/>
      <c r="N2584" s="176"/>
      <c r="O2584" s="176"/>
      <c r="P2584" s="114"/>
      <c r="Q2584" s="176"/>
      <c r="R2584" s="114"/>
      <c r="S2584" s="114"/>
      <c r="T2584" s="200"/>
      <c r="U2584" s="114"/>
      <c r="V2584" s="414"/>
      <c r="W2584" s="176"/>
      <c r="X2584" s="176"/>
      <c r="Y2584" s="176"/>
      <c r="Z2584" s="176"/>
    </row>
    <row r="2585" ht="15.75" customHeight="1">
      <c r="A2585" s="408"/>
      <c r="B2585" s="428"/>
      <c r="C2585" s="200"/>
      <c r="D2585" s="176"/>
      <c r="E2585" s="176"/>
      <c r="F2585" s="408"/>
      <c r="G2585" s="176"/>
      <c r="H2585" s="114"/>
      <c r="I2585" s="42"/>
      <c r="J2585" s="42"/>
      <c r="K2585" s="176"/>
      <c r="L2585" s="176"/>
      <c r="M2585" s="176"/>
      <c r="N2585" s="176"/>
      <c r="O2585" s="176"/>
      <c r="P2585" s="114"/>
      <c r="Q2585" s="176"/>
      <c r="R2585" s="114"/>
      <c r="S2585" s="114"/>
      <c r="T2585" s="200"/>
      <c r="U2585" s="114"/>
      <c r="V2585" s="414"/>
      <c r="W2585" s="176"/>
      <c r="X2585" s="176"/>
      <c r="Y2585" s="176"/>
      <c r="Z2585" s="176"/>
    </row>
    <row r="2586" ht="15.75" customHeight="1">
      <c r="A2586" s="408"/>
      <c r="B2586" s="428"/>
      <c r="C2586" s="200"/>
      <c r="D2586" s="176"/>
      <c r="E2586" s="176"/>
      <c r="F2586" s="408"/>
      <c r="G2586" s="176"/>
      <c r="H2586" s="114"/>
      <c r="I2586" s="42"/>
      <c r="J2586" s="42"/>
      <c r="K2586" s="176"/>
      <c r="L2586" s="176"/>
      <c r="M2586" s="176"/>
      <c r="N2586" s="176"/>
      <c r="O2586" s="176"/>
      <c r="P2586" s="114"/>
      <c r="Q2586" s="176"/>
      <c r="R2586" s="114"/>
      <c r="S2586" s="114"/>
      <c r="T2586" s="200"/>
      <c r="U2586" s="114"/>
      <c r="V2586" s="414"/>
      <c r="W2586" s="176"/>
      <c r="X2586" s="176"/>
      <c r="Y2586" s="176"/>
      <c r="Z2586" s="176"/>
    </row>
    <row r="2587" ht="15.75" customHeight="1">
      <c r="A2587" s="408"/>
      <c r="B2587" s="428"/>
      <c r="C2587" s="200"/>
      <c r="D2587" s="176"/>
      <c r="E2587" s="176"/>
      <c r="F2587" s="408"/>
      <c r="G2587" s="176"/>
      <c r="H2587" s="114"/>
      <c r="I2587" s="42"/>
      <c r="J2587" s="42"/>
      <c r="K2587" s="176"/>
      <c r="L2587" s="176"/>
      <c r="M2587" s="176"/>
      <c r="N2587" s="176"/>
      <c r="O2587" s="176"/>
      <c r="P2587" s="114"/>
      <c r="Q2587" s="176"/>
      <c r="R2587" s="114"/>
      <c r="S2587" s="114"/>
      <c r="T2587" s="200"/>
      <c r="U2587" s="114"/>
      <c r="V2587" s="414"/>
      <c r="W2587" s="176"/>
      <c r="X2587" s="176"/>
      <c r="Y2587" s="176"/>
      <c r="Z2587" s="176"/>
    </row>
    <row r="2588" ht="15.75" customHeight="1">
      <c r="A2588" s="408"/>
      <c r="B2588" s="428"/>
      <c r="C2588" s="200"/>
      <c r="D2588" s="176"/>
      <c r="E2588" s="176"/>
      <c r="F2588" s="408"/>
      <c r="G2588" s="176"/>
      <c r="H2588" s="114"/>
      <c r="I2588" s="42"/>
      <c r="J2588" s="42"/>
      <c r="K2588" s="176"/>
      <c r="L2588" s="176"/>
      <c r="M2588" s="176"/>
      <c r="N2588" s="176"/>
      <c r="O2588" s="176"/>
      <c r="P2588" s="114"/>
      <c r="Q2588" s="176"/>
      <c r="R2588" s="114"/>
      <c r="S2588" s="114"/>
      <c r="T2588" s="200"/>
      <c r="U2588" s="114"/>
      <c r="V2588" s="414"/>
      <c r="W2588" s="176"/>
      <c r="X2588" s="176"/>
      <c r="Y2588" s="176"/>
      <c r="Z2588" s="176"/>
    </row>
    <row r="2589" ht="15.75" customHeight="1">
      <c r="A2589" s="408"/>
      <c r="B2589" s="428"/>
      <c r="C2589" s="200"/>
      <c r="D2589" s="176"/>
      <c r="E2589" s="176"/>
      <c r="F2589" s="408"/>
      <c r="G2589" s="176"/>
      <c r="H2589" s="114"/>
      <c r="I2589" s="42"/>
      <c r="J2589" s="42"/>
      <c r="K2589" s="176"/>
      <c r="L2589" s="176"/>
      <c r="M2589" s="176"/>
      <c r="N2589" s="176"/>
      <c r="O2589" s="176"/>
      <c r="P2589" s="114"/>
      <c r="Q2589" s="176"/>
      <c r="R2589" s="114"/>
      <c r="S2589" s="114"/>
      <c r="T2589" s="200"/>
      <c r="U2589" s="114"/>
      <c r="V2589" s="414"/>
      <c r="W2589" s="176"/>
      <c r="X2589" s="176"/>
      <c r="Y2589" s="176"/>
      <c r="Z2589" s="176"/>
    </row>
    <row r="2590" ht="15.75" customHeight="1">
      <c r="A2590" s="408"/>
      <c r="B2590" s="428"/>
      <c r="C2590" s="200"/>
      <c r="D2590" s="176"/>
      <c r="E2590" s="176"/>
      <c r="F2590" s="408"/>
      <c r="G2590" s="176"/>
      <c r="H2590" s="114"/>
      <c r="I2590" s="42"/>
      <c r="J2590" s="42"/>
      <c r="K2590" s="176"/>
      <c r="L2590" s="176"/>
      <c r="M2590" s="176"/>
      <c r="N2590" s="176"/>
      <c r="O2590" s="176"/>
      <c r="P2590" s="114"/>
      <c r="Q2590" s="176"/>
      <c r="R2590" s="114"/>
      <c r="S2590" s="114"/>
      <c r="T2590" s="200"/>
      <c r="U2590" s="114"/>
      <c r="V2590" s="414"/>
      <c r="W2590" s="176"/>
      <c r="X2590" s="176"/>
      <c r="Y2590" s="176"/>
      <c r="Z2590" s="176"/>
    </row>
    <row r="2591" ht="15.75" customHeight="1">
      <c r="A2591" s="408"/>
      <c r="B2591" s="428"/>
      <c r="C2591" s="200"/>
      <c r="D2591" s="176"/>
      <c r="E2591" s="176"/>
      <c r="F2591" s="408"/>
      <c r="G2591" s="176"/>
      <c r="H2591" s="114"/>
      <c r="I2591" s="42"/>
      <c r="J2591" s="42"/>
      <c r="K2591" s="176"/>
      <c r="L2591" s="176"/>
      <c r="M2591" s="176"/>
      <c r="N2591" s="176"/>
      <c r="O2591" s="176"/>
      <c r="P2591" s="114"/>
      <c r="Q2591" s="176"/>
      <c r="R2591" s="114"/>
      <c r="S2591" s="114"/>
      <c r="T2591" s="200"/>
      <c r="U2591" s="114"/>
      <c r="V2591" s="414"/>
      <c r="W2591" s="176"/>
      <c r="X2591" s="176"/>
      <c r="Y2591" s="176"/>
      <c r="Z2591" s="176"/>
    </row>
    <row r="2592" ht="15.75" customHeight="1">
      <c r="A2592" s="408"/>
      <c r="B2592" s="428"/>
      <c r="C2592" s="200"/>
      <c r="D2592" s="176"/>
      <c r="E2592" s="176"/>
      <c r="F2592" s="408"/>
      <c r="G2592" s="176"/>
      <c r="H2592" s="114"/>
      <c r="I2592" s="42"/>
      <c r="J2592" s="42"/>
      <c r="K2592" s="176"/>
      <c r="L2592" s="176"/>
      <c r="M2592" s="176"/>
      <c r="N2592" s="176"/>
      <c r="O2592" s="176"/>
      <c r="P2592" s="114"/>
      <c r="Q2592" s="176"/>
      <c r="R2592" s="114"/>
      <c r="S2592" s="114"/>
      <c r="T2592" s="200"/>
      <c r="U2592" s="114"/>
      <c r="V2592" s="414"/>
      <c r="W2592" s="176"/>
      <c r="X2592" s="176"/>
      <c r="Y2592" s="176"/>
      <c r="Z2592" s="176"/>
    </row>
    <row r="2593" ht="15.75" customHeight="1">
      <c r="A2593" s="408"/>
      <c r="B2593" s="428"/>
      <c r="C2593" s="200"/>
      <c r="D2593" s="176"/>
      <c r="E2593" s="176"/>
      <c r="F2593" s="408"/>
      <c r="G2593" s="176"/>
      <c r="H2593" s="114"/>
      <c r="I2593" s="42"/>
      <c r="J2593" s="42"/>
      <c r="K2593" s="176"/>
      <c r="L2593" s="176"/>
      <c r="M2593" s="176"/>
      <c r="N2593" s="176"/>
      <c r="O2593" s="176"/>
      <c r="P2593" s="114"/>
      <c r="Q2593" s="176"/>
      <c r="R2593" s="114"/>
      <c r="S2593" s="114"/>
      <c r="T2593" s="200"/>
      <c r="U2593" s="114"/>
      <c r="V2593" s="414"/>
      <c r="W2593" s="176"/>
      <c r="X2593" s="176"/>
      <c r="Y2593" s="176"/>
      <c r="Z2593" s="176"/>
    </row>
    <row r="2594" ht="15.75" customHeight="1">
      <c r="A2594" s="408"/>
      <c r="B2594" s="428"/>
      <c r="C2594" s="200"/>
      <c r="D2594" s="176"/>
      <c r="E2594" s="176"/>
      <c r="F2594" s="408"/>
      <c r="G2594" s="176"/>
      <c r="H2594" s="114"/>
      <c r="I2594" s="42"/>
      <c r="J2594" s="42"/>
      <c r="K2594" s="176"/>
      <c r="L2594" s="176"/>
      <c r="M2594" s="176"/>
      <c r="N2594" s="176"/>
      <c r="O2594" s="176"/>
      <c r="P2594" s="114"/>
      <c r="Q2594" s="176"/>
      <c r="R2594" s="114"/>
      <c r="S2594" s="114"/>
      <c r="T2594" s="200"/>
      <c r="U2594" s="114"/>
      <c r="V2594" s="414"/>
      <c r="W2594" s="176"/>
      <c r="X2594" s="176"/>
      <c r="Y2594" s="176"/>
      <c r="Z2594" s="176"/>
    </row>
    <row r="2595" ht="15.75" customHeight="1">
      <c r="A2595" s="408"/>
      <c r="B2595" s="428"/>
      <c r="C2595" s="200"/>
      <c r="D2595" s="176"/>
      <c r="E2595" s="176"/>
      <c r="F2595" s="408"/>
      <c r="G2595" s="176"/>
      <c r="H2595" s="114"/>
      <c r="I2595" s="42"/>
      <c r="J2595" s="42"/>
      <c r="K2595" s="176"/>
      <c r="L2595" s="176"/>
      <c r="M2595" s="176"/>
      <c r="N2595" s="176"/>
      <c r="O2595" s="176"/>
      <c r="P2595" s="114"/>
      <c r="Q2595" s="176"/>
      <c r="R2595" s="114"/>
      <c r="S2595" s="114"/>
      <c r="T2595" s="200"/>
      <c r="U2595" s="114"/>
      <c r="V2595" s="414"/>
      <c r="W2595" s="176"/>
      <c r="X2595" s="176"/>
      <c r="Y2595" s="176"/>
      <c r="Z2595" s="176"/>
    </row>
    <row r="2596" ht="15.75" customHeight="1">
      <c r="A2596" s="408"/>
      <c r="B2596" s="428"/>
      <c r="C2596" s="200"/>
      <c r="D2596" s="176"/>
      <c r="E2596" s="176"/>
      <c r="F2596" s="408"/>
      <c r="G2596" s="176"/>
      <c r="H2596" s="114"/>
      <c r="I2596" s="42"/>
      <c r="J2596" s="42"/>
      <c r="K2596" s="176"/>
      <c r="L2596" s="176"/>
      <c r="M2596" s="176"/>
      <c r="N2596" s="176"/>
      <c r="O2596" s="176"/>
      <c r="P2596" s="114"/>
      <c r="Q2596" s="176"/>
      <c r="R2596" s="114"/>
      <c r="S2596" s="114"/>
      <c r="T2596" s="200"/>
      <c r="U2596" s="114"/>
      <c r="V2596" s="414"/>
      <c r="W2596" s="176"/>
      <c r="X2596" s="176"/>
      <c r="Y2596" s="176"/>
      <c r="Z2596" s="176"/>
    </row>
    <row r="2597" ht="15.75" customHeight="1">
      <c r="A2597" s="408"/>
      <c r="B2597" s="428"/>
      <c r="C2597" s="200"/>
      <c r="D2597" s="176"/>
      <c r="E2597" s="176"/>
      <c r="F2597" s="408"/>
      <c r="G2597" s="176"/>
      <c r="H2597" s="114"/>
      <c r="I2597" s="42"/>
      <c r="J2597" s="42"/>
      <c r="K2597" s="176"/>
      <c r="L2597" s="176"/>
      <c r="M2597" s="176"/>
      <c r="N2597" s="176"/>
      <c r="O2597" s="176"/>
      <c r="P2597" s="114"/>
      <c r="Q2597" s="176"/>
      <c r="R2597" s="114"/>
      <c r="S2597" s="114"/>
      <c r="T2597" s="200"/>
      <c r="U2597" s="114"/>
      <c r="V2597" s="414"/>
      <c r="W2597" s="176"/>
      <c r="X2597" s="176"/>
      <c r="Y2597" s="176"/>
      <c r="Z2597" s="176"/>
    </row>
    <row r="2598" ht="15.75" customHeight="1">
      <c r="A2598" s="408"/>
      <c r="B2598" s="428"/>
      <c r="C2598" s="200"/>
      <c r="D2598" s="176"/>
      <c r="E2598" s="176"/>
      <c r="F2598" s="408"/>
      <c r="G2598" s="176"/>
      <c r="H2598" s="114"/>
      <c r="I2598" s="42"/>
      <c r="J2598" s="42"/>
      <c r="K2598" s="176"/>
      <c r="L2598" s="176"/>
      <c r="M2598" s="176"/>
      <c r="N2598" s="176"/>
      <c r="O2598" s="176"/>
      <c r="P2598" s="114"/>
      <c r="Q2598" s="176"/>
      <c r="R2598" s="114"/>
      <c r="S2598" s="114"/>
      <c r="T2598" s="200"/>
      <c r="U2598" s="114"/>
      <c r="V2598" s="414"/>
      <c r="W2598" s="176"/>
      <c r="X2598" s="176"/>
      <c r="Y2598" s="176"/>
      <c r="Z2598" s="176"/>
    </row>
    <row r="2599" ht="15.75" customHeight="1">
      <c r="A2599" s="408"/>
      <c r="B2599" s="428"/>
      <c r="C2599" s="200"/>
      <c r="D2599" s="176"/>
      <c r="E2599" s="176"/>
      <c r="F2599" s="408"/>
      <c r="G2599" s="176"/>
      <c r="H2599" s="114"/>
      <c r="I2599" s="42"/>
      <c r="J2599" s="42"/>
      <c r="K2599" s="176"/>
      <c r="L2599" s="176"/>
      <c r="M2599" s="176"/>
      <c r="N2599" s="176"/>
      <c r="O2599" s="176"/>
      <c r="P2599" s="114"/>
      <c r="Q2599" s="176"/>
      <c r="R2599" s="114"/>
      <c r="S2599" s="114"/>
      <c r="T2599" s="200"/>
      <c r="U2599" s="114"/>
      <c r="V2599" s="414"/>
      <c r="W2599" s="176"/>
      <c r="X2599" s="176"/>
      <c r="Y2599" s="176"/>
      <c r="Z2599" s="176"/>
    </row>
    <row r="2600" ht="15.75" customHeight="1">
      <c r="A2600" s="408"/>
      <c r="B2600" s="428"/>
      <c r="C2600" s="200"/>
      <c r="D2600" s="176"/>
      <c r="E2600" s="176"/>
      <c r="F2600" s="408"/>
      <c r="G2600" s="176"/>
      <c r="H2600" s="114"/>
      <c r="I2600" s="42"/>
      <c r="J2600" s="42"/>
      <c r="K2600" s="176"/>
      <c r="L2600" s="176"/>
      <c r="M2600" s="176"/>
      <c r="N2600" s="176"/>
      <c r="O2600" s="176"/>
      <c r="P2600" s="114"/>
      <c r="Q2600" s="176"/>
      <c r="R2600" s="114"/>
      <c r="S2600" s="114"/>
      <c r="T2600" s="200"/>
      <c r="U2600" s="114"/>
      <c r="V2600" s="414"/>
      <c r="W2600" s="176"/>
      <c r="X2600" s="176"/>
      <c r="Y2600" s="176"/>
      <c r="Z2600" s="176"/>
    </row>
    <row r="2601" ht="15.75" customHeight="1">
      <c r="A2601" s="408"/>
      <c r="B2601" s="428"/>
      <c r="C2601" s="200"/>
      <c r="D2601" s="176"/>
      <c r="E2601" s="176"/>
      <c r="F2601" s="408"/>
      <c r="G2601" s="176"/>
      <c r="H2601" s="114"/>
      <c r="I2601" s="42"/>
      <c r="J2601" s="42"/>
      <c r="K2601" s="176"/>
      <c r="L2601" s="176"/>
      <c r="M2601" s="176"/>
      <c r="N2601" s="176"/>
      <c r="O2601" s="176"/>
      <c r="P2601" s="114"/>
      <c r="Q2601" s="176"/>
      <c r="R2601" s="114"/>
      <c r="S2601" s="114"/>
      <c r="T2601" s="200"/>
      <c r="U2601" s="114"/>
      <c r="V2601" s="414"/>
      <c r="W2601" s="176"/>
      <c r="X2601" s="176"/>
      <c r="Y2601" s="176"/>
      <c r="Z2601" s="176"/>
    </row>
    <row r="2602" ht="15.75" customHeight="1">
      <c r="A2602" s="408"/>
      <c r="B2602" s="428"/>
      <c r="C2602" s="200"/>
      <c r="D2602" s="176"/>
      <c r="E2602" s="176"/>
      <c r="F2602" s="408"/>
      <c r="G2602" s="176"/>
      <c r="H2602" s="114"/>
      <c r="I2602" s="42"/>
      <c r="J2602" s="42"/>
      <c r="K2602" s="176"/>
      <c r="L2602" s="176"/>
      <c r="M2602" s="176"/>
      <c r="N2602" s="176"/>
      <c r="O2602" s="176"/>
      <c r="P2602" s="114"/>
      <c r="Q2602" s="176"/>
      <c r="R2602" s="114"/>
      <c r="S2602" s="114"/>
      <c r="T2602" s="200"/>
      <c r="U2602" s="114"/>
      <c r="V2602" s="414"/>
      <c r="W2602" s="176"/>
      <c r="X2602" s="176"/>
      <c r="Y2602" s="176"/>
      <c r="Z2602" s="176"/>
    </row>
    <row r="2603" ht="15.75" customHeight="1">
      <c r="A2603" s="408"/>
      <c r="B2603" s="428"/>
      <c r="C2603" s="200"/>
      <c r="D2603" s="176"/>
      <c r="E2603" s="176"/>
      <c r="F2603" s="408"/>
      <c r="G2603" s="176"/>
      <c r="H2603" s="114"/>
      <c r="I2603" s="42"/>
      <c r="J2603" s="42"/>
      <c r="K2603" s="176"/>
      <c r="L2603" s="176"/>
      <c r="M2603" s="176"/>
      <c r="N2603" s="176"/>
      <c r="O2603" s="176"/>
      <c r="P2603" s="114"/>
      <c r="Q2603" s="176"/>
      <c r="R2603" s="114"/>
      <c r="S2603" s="114"/>
      <c r="T2603" s="200"/>
      <c r="U2603" s="114"/>
      <c r="V2603" s="414"/>
      <c r="W2603" s="176"/>
      <c r="X2603" s="176"/>
      <c r="Y2603" s="176"/>
      <c r="Z2603" s="176"/>
    </row>
    <row r="2604" ht="15.75" customHeight="1">
      <c r="A2604" s="408"/>
      <c r="B2604" s="428"/>
      <c r="C2604" s="200"/>
      <c r="D2604" s="176"/>
      <c r="E2604" s="176"/>
      <c r="F2604" s="408"/>
      <c r="G2604" s="176"/>
      <c r="H2604" s="114"/>
      <c r="I2604" s="42"/>
      <c r="J2604" s="42"/>
      <c r="K2604" s="176"/>
      <c r="L2604" s="176"/>
      <c r="M2604" s="176"/>
      <c r="N2604" s="176"/>
      <c r="O2604" s="176"/>
      <c r="P2604" s="114"/>
      <c r="Q2604" s="176"/>
      <c r="R2604" s="114"/>
      <c r="S2604" s="114"/>
      <c r="T2604" s="200"/>
      <c r="U2604" s="114"/>
      <c r="V2604" s="414"/>
      <c r="W2604" s="176"/>
      <c r="X2604" s="176"/>
      <c r="Y2604" s="176"/>
      <c r="Z2604" s="176"/>
    </row>
    <row r="2605" ht="15.75" customHeight="1">
      <c r="A2605" s="408"/>
      <c r="B2605" s="428"/>
      <c r="C2605" s="200"/>
      <c r="D2605" s="176"/>
      <c r="E2605" s="176"/>
      <c r="F2605" s="408"/>
      <c r="G2605" s="176"/>
      <c r="H2605" s="114"/>
      <c r="I2605" s="42"/>
      <c r="J2605" s="42"/>
      <c r="K2605" s="176"/>
      <c r="L2605" s="176"/>
      <c r="M2605" s="176"/>
      <c r="N2605" s="176"/>
      <c r="O2605" s="176"/>
      <c r="P2605" s="114"/>
      <c r="Q2605" s="176"/>
      <c r="R2605" s="114"/>
      <c r="S2605" s="114"/>
      <c r="T2605" s="200"/>
      <c r="U2605" s="114"/>
      <c r="V2605" s="414"/>
      <c r="W2605" s="176"/>
      <c r="X2605" s="176"/>
      <c r="Y2605" s="176"/>
      <c r="Z2605" s="176"/>
    </row>
    <row r="2606" ht="15.75" customHeight="1">
      <c r="A2606" s="408"/>
      <c r="B2606" s="428"/>
      <c r="C2606" s="200"/>
      <c r="D2606" s="176"/>
      <c r="E2606" s="176"/>
      <c r="F2606" s="408"/>
      <c r="G2606" s="176"/>
      <c r="H2606" s="114"/>
      <c r="I2606" s="42"/>
      <c r="J2606" s="42"/>
      <c r="K2606" s="176"/>
      <c r="L2606" s="176"/>
      <c r="M2606" s="176"/>
      <c r="N2606" s="176"/>
      <c r="O2606" s="176"/>
      <c r="P2606" s="114"/>
      <c r="Q2606" s="176"/>
      <c r="R2606" s="114"/>
      <c r="S2606" s="114"/>
      <c r="T2606" s="200"/>
      <c r="U2606" s="114"/>
      <c r="V2606" s="414"/>
      <c r="W2606" s="176"/>
      <c r="X2606" s="176"/>
      <c r="Y2606" s="176"/>
      <c r="Z2606" s="176"/>
    </row>
    <row r="2607" ht="15.75" customHeight="1">
      <c r="A2607" s="408"/>
      <c r="B2607" s="428"/>
      <c r="C2607" s="200"/>
      <c r="D2607" s="176"/>
      <c r="E2607" s="176"/>
      <c r="F2607" s="408"/>
      <c r="G2607" s="176"/>
      <c r="H2607" s="114"/>
      <c r="I2607" s="42"/>
      <c r="J2607" s="42"/>
      <c r="K2607" s="176"/>
      <c r="L2607" s="176"/>
      <c r="M2607" s="176"/>
      <c r="N2607" s="176"/>
      <c r="O2607" s="176"/>
      <c r="P2607" s="114"/>
      <c r="Q2607" s="176"/>
      <c r="R2607" s="114"/>
      <c r="S2607" s="114"/>
      <c r="T2607" s="200"/>
      <c r="U2607" s="114"/>
      <c r="V2607" s="414"/>
      <c r="W2607" s="176"/>
      <c r="X2607" s="176"/>
      <c r="Y2607" s="176"/>
      <c r="Z2607" s="176"/>
    </row>
    <row r="2608" ht="15.75" customHeight="1">
      <c r="A2608" s="408"/>
      <c r="B2608" s="428"/>
      <c r="C2608" s="200"/>
      <c r="D2608" s="176"/>
      <c r="E2608" s="176"/>
      <c r="F2608" s="408"/>
      <c r="G2608" s="176"/>
      <c r="H2608" s="114"/>
      <c r="I2608" s="42"/>
      <c r="J2608" s="42"/>
      <c r="K2608" s="176"/>
      <c r="L2608" s="176"/>
      <c r="M2608" s="176"/>
      <c r="N2608" s="176"/>
      <c r="O2608" s="176"/>
      <c r="P2608" s="114"/>
      <c r="Q2608" s="176"/>
      <c r="R2608" s="114"/>
      <c r="S2608" s="114"/>
      <c r="T2608" s="200"/>
      <c r="U2608" s="114"/>
      <c r="V2608" s="414"/>
      <c r="W2608" s="176"/>
      <c r="X2608" s="176"/>
      <c r="Y2608" s="176"/>
      <c r="Z2608" s="176"/>
    </row>
    <row r="2609" ht="15.75" customHeight="1">
      <c r="A2609" s="408"/>
      <c r="B2609" s="428"/>
      <c r="C2609" s="200"/>
      <c r="D2609" s="176"/>
      <c r="E2609" s="176"/>
      <c r="F2609" s="408"/>
      <c r="G2609" s="176"/>
      <c r="H2609" s="114"/>
      <c r="I2609" s="42"/>
      <c r="J2609" s="42"/>
      <c r="K2609" s="176"/>
      <c r="L2609" s="176"/>
      <c r="M2609" s="176"/>
      <c r="N2609" s="176"/>
      <c r="O2609" s="176"/>
      <c r="P2609" s="114"/>
      <c r="Q2609" s="176"/>
      <c r="R2609" s="114"/>
      <c r="S2609" s="114"/>
      <c r="T2609" s="200"/>
      <c r="U2609" s="114"/>
      <c r="V2609" s="414"/>
      <c r="W2609" s="176"/>
      <c r="X2609" s="176"/>
      <c r="Y2609" s="176"/>
      <c r="Z2609" s="176"/>
    </row>
    <row r="2610" ht="15.75" customHeight="1">
      <c r="A2610" s="408"/>
      <c r="B2610" s="428"/>
      <c r="C2610" s="200"/>
      <c r="D2610" s="176"/>
      <c r="E2610" s="176"/>
      <c r="F2610" s="408"/>
      <c r="G2610" s="176"/>
      <c r="H2610" s="114"/>
      <c r="I2610" s="42"/>
      <c r="J2610" s="42"/>
      <c r="K2610" s="176"/>
      <c r="L2610" s="176"/>
      <c r="M2610" s="176"/>
      <c r="N2610" s="176"/>
      <c r="O2610" s="176"/>
      <c r="P2610" s="114"/>
      <c r="Q2610" s="176"/>
      <c r="R2610" s="114"/>
      <c r="S2610" s="114"/>
      <c r="T2610" s="200"/>
      <c r="U2610" s="114"/>
      <c r="V2610" s="414"/>
      <c r="W2610" s="176"/>
      <c r="X2610" s="176"/>
      <c r="Y2610" s="176"/>
      <c r="Z2610" s="176"/>
    </row>
    <row r="2611" ht="15.75" customHeight="1">
      <c r="A2611" s="408"/>
      <c r="B2611" s="428"/>
      <c r="C2611" s="200"/>
      <c r="D2611" s="176"/>
      <c r="E2611" s="176"/>
      <c r="F2611" s="408"/>
      <c r="G2611" s="176"/>
      <c r="H2611" s="114"/>
      <c r="I2611" s="42"/>
      <c r="J2611" s="42"/>
      <c r="K2611" s="176"/>
      <c r="L2611" s="176"/>
      <c r="M2611" s="176"/>
      <c r="N2611" s="176"/>
      <c r="O2611" s="176"/>
      <c r="P2611" s="114"/>
      <c r="Q2611" s="176"/>
      <c r="R2611" s="114"/>
      <c r="S2611" s="114"/>
      <c r="T2611" s="200"/>
      <c r="U2611" s="114"/>
      <c r="V2611" s="414"/>
      <c r="W2611" s="176"/>
      <c r="X2611" s="176"/>
      <c r="Y2611" s="176"/>
      <c r="Z2611" s="176"/>
    </row>
    <row r="2612" ht="15.75" customHeight="1">
      <c r="A2612" s="408"/>
      <c r="B2612" s="428"/>
      <c r="C2612" s="200"/>
      <c r="D2612" s="176"/>
      <c r="E2612" s="176"/>
      <c r="F2612" s="408"/>
      <c r="G2612" s="176"/>
      <c r="H2612" s="114"/>
      <c r="I2612" s="42"/>
      <c r="J2612" s="42"/>
      <c r="K2612" s="176"/>
      <c r="L2612" s="176"/>
      <c r="M2612" s="176"/>
      <c r="N2612" s="176"/>
      <c r="O2612" s="176"/>
      <c r="P2612" s="114"/>
      <c r="Q2612" s="176"/>
      <c r="R2612" s="114"/>
      <c r="S2612" s="114"/>
      <c r="T2612" s="200"/>
      <c r="U2612" s="114"/>
      <c r="V2612" s="414"/>
      <c r="W2612" s="176"/>
      <c r="X2612" s="176"/>
      <c r="Y2612" s="176"/>
      <c r="Z2612" s="176"/>
    </row>
    <row r="2613" ht="15.75" customHeight="1">
      <c r="A2613" s="408"/>
      <c r="B2613" s="428"/>
      <c r="C2613" s="200"/>
      <c r="D2613" s="176"/>
      <c r="E2613" s="176"/>
      <c r="F2613" s="408"/>
      <c r="G2613" s="176"/>
      <c r="H2613" s="114"/>
      <c r="I2613" s="42"/>
      <c r="J2613" s="42"/>
      <c r="K2613" s="176"/>
      <c r="L2613" s="176"/>
      <c r="M2613" s="176"/>
      <c r="N2613" s="176"/>
      <c r="O2613" s="176"/>
      <c r="P2613" s="114"/>
      <c r="Q2613" s="176"/>
      <c r="R2613" s="114"/>
      <c r="S2613" s="114"/>
      <c r="T2613" s="200"/>
      <c r="U2613" s="114"/>
      <c r="V2613" s="414"/>
      <c r="W2613" s="176"/>
      <c r="X2613" s="176"/>
      <c r="Y2613" s="176"/>
      <c r="Z2613" s="176"/>
    </row>
    <row r="2614" ht="15.75" customHeight="1">
      <c r="A2614" s="408"/>
      <c r="B2614" s="428"/>
      <c r="C2614" s="200"/>
      <c r="D2614" s="176"/>
      <c r="E2614" s="176"/>
      <c r="F2614" s="408"/>
      <c r="G2614" s="176"/>
      <c r="H2614" s="114"/>
      <c r="I2614" s="42"/>
      <c r="J2614" s="42"/>
      <c r="K2614" s="176"/>
      <c r="L2614" s="176"/>
      <c r="M2614" s="176"/>
      <c r="N2614" s="176"/>
      <c r="O2614" s="176"/>
      <c r="P2614" s="114"/>
      <c r="Q2614" s="176"/>
      <c r="R2614" s="114"/>
      <c r="S2614" s="114"/>
      <c r="T2614" s="200"/>
      <c r="U2614" s="114"/>
      <c r="V2614" s="414"/>
      <c r="W2614" s="176"/>
      <c r="X2614" s="176"/>
      <c r="Y2614" s="176"/>
      <c r="Z2614" s="176"/>
    </row>
    <row r="2615" ht="15.75" customHeight="1">
      <c r="A2615" s="408"/>
      <c r="B2615" s="428"/>
      <c r="C2615" s="200"/>
      <c r="D2615" s="176"/>
      <c r="E2615" s="176"/>
      <c r="F2615" s="408"/>
      <c r="G2615" s="176"/>
      <c r="H2615" s="114"/>
      <c r="I2615" s="42"/>
      <c r="J2615" s="42"/>
      <c r="K2615" s="176"/>
      <c r="L2615" s="176"/>
      <c r="M2615" s="176"/>
      <c r="N2615" s="176"/>
      <c r="O2615" s="176"/>
      <c r="P2615" s="114"/>
      <c r="Q2615" s="176"/>
      <c r="R2615" s="114"/>
      <c r="S2615" s="114"/>
      <c r="T2615" s="200"/>
      <c r="U2615" s="114"/>
      <c r="V2615" s="414"/>
      <c r="W2615" s="176"/>
      <c r="X2615" s="176"/>
      <c r="Y2615" s="176"/>
      <c r="Z2615" s="176"/>
    </row>
    <row r="2616" ht="15.75" customHeight="1">
      <c r="A2616" s="408"/>
      <c r="B2616" s="428"/>
      <c r="C2616" s="200"/>
      <c r="D2616" s="176"/>
      <c r="E2616" s="176"/>
      <c r="F2616" s="408"/>
      <c r="G2616" s="176"/>
      <c r="H2616" s="114"/>
      <c r="I2616" s="42"/>
      <c r="J2616" s="42"/>
      <c r="K2616" s="176"/>
      <c r="L2616" s="176"/>
      <c r="M2616" s="176"/>
      <c r="N2616" s="176"/>
      <c r="O2616" s="176"/>
      <c r="P2616" s="114"/>
      <c r="Q2616" s="176"/>
      <c r="R2616" s="114"/>
      <c r="S2616" s="114"/>
      <c r="T2616" s="200"/>
      <c r="U2616" s="114"/>
      <c r="V2616" s="414"/>
      <c r="W2616" s="176"/>
      <c r="X2616" s="176"/>
      <c r="Y2616" s="176"/>
      <c r="Z2616" s="176"/>
    </row>
    <row r="2617" ht="15.75" customHeight="1">
      <c r="A2617" s="408"/>
      <c r="B2617" s="428"/>
      <c r="C2617" s="200"/>
      <c r="D2617" s="176"/>
      <c r="E2617" s="176"/>
      <c r="F2617" s="408"/>
      <c r="G2617" s="176"/>
      <c r="H2617" s="114"/>
      <c r="I2617" s="42"/>
      <c r="J2617" s="42"/>
      <c r="K2617" s="176"/>
      <c r="L2617" s="176"/>
      <c r="M2617" s="176"/>
      <c r="N2617" s="176"/>
      <c r="O2617" s="176"/>
      <c r="P2617" s="114"/>
      <c r="Q2617" s="176"/>
      <c r="R2617" s="114"/>
      <c r="S2617" s="114"/>
      <c r="T2617" s="200"/>
      <c r="U2617" s="114"/>
      <c r="V2617" s="414"/>
      <c r="W2617" s="176"/>
      <c r="X2617" s="176"/>
      <c r="Y2617" s="176"/>
      <c r="Z2617" s="176"/>
    </row>
    <row r="2618" ht="15.75" customHeight="1">
      <c r="A2618" s="408"/>
      <c r="B2618" s="428"/>
      <c r="C2618" s="200"/>
      <c r="D2618" s="176"/>
      <c r="E2618" s="176"/>
      <c r="F2618" s="408"/>
      <c r="G2618" s="176"/>
      <c r="H2618" s="114"/>
      <c r="I2618" s="42"/>
      <c r="J2618" s="42"/>
      <c r="K2618" s="176"/>
      <c r="L2618" s="176"/>
      <c r="M2618" s="176"/>
      <c r="N2618" s="176"/>
      <c r="O2618" s="176"/>
      <c r="P2618" s="114"/>
      <c r="Q2618" s="176"/>
      <c r="R2618" s="114"/>
      <c r="S2618" s="114"/>
      <c r="T2618" s="200"/>
      <c r="U2618" s="114"/>
      <c r="V2618" s="414"/>
      <c r="W2618" s="176"/>
      <c r="X2618" s="176"/>
      <c r="Y2618" s="176"/>
      <c r="Z2618" s="176"/>
    </row>
    <row r="2619" ht="15.75" customHeight="1">
      <c r="A2619" s="408"/>
      <c r="B2619" s="428"/>
      <c r="C2619" s="200"/>
      <c r="D2619" s="176"/>
      <c r="E2619" s="176"/>
      <c r="F2619" s="408"/>
      <c r="G2619" s="176"/>
      <c r="H2619" s="114"/>
      <c r="I2619" s="42"/>
      <c r="J2619" s="42"/>
      <c r="K2619" s="176"/>
      <c r="L2619" s="176"/>
      <c r="M2619" s="176"/>
      <c r="N2619" s="176"/>
      <c r="O2619" s="176"/>
      <c r="P2619" s="114"/>
      <c r="Q2619" s="176"/>
      <c r="R2619" s="114"/>
      <c r="S2619" s="114"/>
      <c r="T2619" s="200"/>
      <c r="U2619" s="114"/>
      <c r="V2619" s="414"/>
      <c r="W2619" s="176"/>
      <c r="X2619" s="176"/>
      <c r="Y2619" s="176"/>
      <c r="Z2619" s="176"/>
    </row>
    <row r="2620" ht="15.75" customHeight="1">
      <c r="A2620" s="408"/>
      <c r="B2620" s="428"/>
      <c r="C2620" s="200"/>
      <c r="D2620" s="176"/>
      <c r="E2620" s="176"/>
      <c r="F2620" s="408"/>
      <c r="G2620" s="176"/>
      <c r="H2620" s="114"/>
      <c r="I2620" s="42"/>
      <c r="J2620" s="42"/>
      <c r="K2620" s="176"/>
      <c r="L2620" s="176"/>
      <c r="M2620" s="176"/>
      <c r="N2620" s="176"/>
      <c r="O2620" s="176"/>
      <c r="P2620" s="114"/>
      <c r="Q2620" s="176"/>
      <c r="R2620" s="114"/>
      <c r="S2620" s="114"/>
      <c r="T2620" s="200"/>
      <c r="U2620" s="114"/>
      <c r="V2620" s="414"/>
      <c r="W2620" s="176"/>
      <c r="X2620" s="176"/>
      <c r="Y2620" s="176"/>
      <c r="Z2620" s="176"/>
    </row>
    <row r="2621" ht="15.75" customHeight="1">
      <c r="A2621" s="408"/>
      <c r="B2621" s="428"/>
      <c r="C2621" s="200"/>
      <c r="D2621" s="176"/>
      <c r="E2621" s="176"/>
      <c r="F2621" s="408"/>
      <c r="G2621" s="176"/>
      <c r="H2621" s="114"/>
      <c r="I2621" s="42"/>
      <c r="J2621" s="42"/>
      <c r="K2621" s="176"/>
      <c r="L2621" s="176"/>
      <c r="M2621" s="176"/>
      <c r="N2621" s="176"/>
      <c r="O2621" s="176"/>
      <c r="P2621" s="114"/>
      <c r="Q2621" s="176"/>
      <c r="R2621" s="114"/>
      <c r="S2621" s="114"/>
      <c r="T2621" s="200"/>
      <c r="U2621" s="114"/>
      <c r="V2621" s="414"/>
      <c r="W2621" s="176"/>
      <c r="X2621" s="176"/>
      <c r="Y2621" s="176"/>
      <c r="Z2621" s="176"/>
    </row>
    <row r="2622" ht="15.75" customHeight="1">
      <c r="A2622" s="408"/>
      <c r="B2622" s="428"/>
      <c r="C2622" s="200"/>
      <c r="D2622" s="176"/>
      <c r="E2622" s="176"/>
      <c r="F2622" s="408"/>
      <c r="G2622" s="176"/>
      <c r="H2622" s="114"/>
      <c r="I2622" s="42"/>
      <c r="J2622" s="42"/>
      <c r="K2622" s="176"/>
      <c r="L2622" s="176"/>
      <c r="M2622" s="176"/>
      <c r="N2622" s="176"/>
      <c r="O2622" s="176"/>
      <c r="P2622" s="114"/>
      <c r="Q2622" s="176"/>
      <c r="R2622" s="114"/>
      <c r="S2622" s="114"/>
      <c r="T2622" s="200"/>
      <c r="U2622" s="114"/>
      <c r="V2622" s="414"/>
      <c r="W2622" s="176"/>
      <c r="X2622" s="176"/>
      <c r="Y2622" s="176"/>
      <c r="Z2622" s="176"/>
    </row>
    <row r="2623" ht="15.75" customHeight="1">
      <c r="A2623" s="408"/>
      <c r="B2623" s="428"/>
      <c r="C2623" s="200"/>
      <c r="D2623" s="176"/>
      <c r="E2623" s="176"/>
      <c r="F2623" s="408"/>
      <c r="G2623" s="176"/>
      <c r="H2623" s="114"/>
      <c r="I2623" s="42"/>
      <c r="J2623" s="42"/>
      <c r="K2623" s="176"/>
      <c r="L2623" s="176"/>
      <c r="M2623" s="176"/>
      <c r="N2623" s="176"/>
      <c r="O2623" s="176"/>
      <c r="P2623" s="114"/>
      <c r="Q2623" s="176"/>
      <c r="R2623" s="114"/>
      <c r="S2623" s="114"/>
      <c r="T2623" s="200"/>
      <c r="U2623" s="114"/>
      <c r="V2623" s="414"/>
      <c r="W2623" s="176"/>
      <c r="X2623" s="176"/>
      <c r="Y2623" s="176"/>
      <c r="Z2623" s="176"/>
    </row>
    <row r="2624" ht="15.75" customHeight="1">
      <c r="A2624" s="408"/>
      <c r="B2624" s="428"/>
      <c r="C2624" s="200"/>
      <c r="D2624" s="176"/>
      <c r="E2624" s="176"/>
      <c r="F2624" s="408"/>
      <c r="G2624" s="176"/>
      <c r="H2624" s="114"/>
      <c r="I2624" s="42"/>
      <c r="J2624" s="42"/>
      <c r="K2624" s="176"/>
      <c r="L2624" s="176"/>
      <c r="M2624" s="176"/>
      <c r="N2624" s="176"/>
      <c r="O2624" s="176"/>
      <c r="P2624" s="114"/>
      <c r="Q2624" s="176"/>
      <c r="R2624" s="114"/>
      <c r="S2624" s="114"/>
      <c r="T2624" s="200"/>
      <c r="U2624" s="114"/>
      <c r="V2624" s="414"/>
      <c r="W2624" s="176"/>
      <c r="X2624" s="176"/>
      <c r="Y2624" s="176"/>
      <c r="Z2624" s="176"/>
    </row>
    <row r="2625" ht="15.75" customHeight="1">
      <c r="A2625" s="408"/>
      <c r="B2625" s="428"/>
      <c r="C2625" s="200"/>
      <c r="D2625" s="176"/>
      <c r="E2625" s="176"/>
      <c r="F2625" s="408"/>
      <c r="G2625" s="176"/>
      <c r="H2625" s="114"/>
      <c r="I2625" s="42"/>
      <c r="J2625" s="42"/>
      <c r="K2625" s="176"/>
      <c r="L2625" s="176"/>
      <c r="M2625" s="176"/>
      <c r="N2625" s="176"/>
      <c r="O2625" s="176"/>
      <c r="P2625" s="114"/>
      <c r="Q2625" s="176"/>
      <c r="R2625" s="114"/>
      <c r="S2625" s="114"/>
      <c r="T2625" s="200"/>
      <c r="U2625" s="114"/>
      <c r="V2625" s="414"/>
      <c r="W2625" s="176"/>
      <c r="X2625" s="176"/>
      <c r="Y2625" s="176"/>
      <c r="Z2625" s="176"/>
    </row>
    <row r="2626" ht="15.75" customHeight="1">
      <c r="A2626" s="408"/>
      <c r="B2626" s="428"/>
      <c r="C2626" s="200"/>
      <c r="D2626" s="176"/>
      <c r="E2626" s="176"/>
      <c r="F2626" s="408"/>
      <c r="G2626" s="176"/>
      <c r="H2626" s="114"/>
      <c r="I2626" s="42"/>
      <c r="J2626" s="42"/>
      <c r="K2626" s="176"/>
      <c r="L2626" s="176"/>
      <c r="M2626" s="176"/>
      <c r="N2626" s="176"/>
      <c r="O2626" s="176"/>
      <c r="P2626" s="114"/>
      <c r="Q2626" s="176"/>
      <c r="R2626" s="114"/>
      <c r="S2626" s="114"/>
      <c r="T2626" s="200"/>
      <c r="U2626" s="114"/>
      <c r="V2626" s="414"/>
      <c r="W2626" s="176"/>
      <c r="X2626" s="176"/>
      <c r="Y2626" s="176"/>
      <c r="Z2626" s="176"/>
    </row>
    <row r="2627" ht="15.75" customHeight="1">
      <c r="A2627" s="408"/>
      <c r="B2627" s="428"/>
      <c r="C2627" s="200"/>
      <c r="D2627" s="176"/>
      <c r="E2627" s="176"/>
      <c r="F2627" s="408"/>
      <c r="G2627" s="176"/>
      <c r="H2627" s="114"/>
      <c r="I2627" s="42"/>
      <c r="J2627" s="42"/>
      <c r="K2627" s="176"/>
      <c r="L2627" s="176"/>
      <c r="M2627" s="176"/>
      <c r="N2627" s="176"/>
      <c r="O2627" s="176"/>
      <c r="P2627" s="114"/>
      <c r="Q2627" s="176"/>
      <c r="R2627" s="114"/>
      <c r="S2627" s="114"/>
      <c r="T2627" s="200"/>
      <c r="U2627" s="114"/>
      <c r="V2627" s="414"/>
      <c r="W2627" s="176"/>
      <c r="X2627" s="176"/>
      <c r="Y2627" s="176"/>
      <c r="Z2627" s="176"/>
    </row>
    <row r="2628" ht="15.75" customHeight="1">
      <c r="A2628" s="408"/>
      <c r="B2628" s="428"/>
      <c r="C2628" s="200"/>
      <c r="D2628" s="176"/>
      <c r="E2628" s="176"/>
      <c r="F2628" s="408"/>
      <c r="G2628" s="176"/>
      <c r="H2628" s="114"/>
      <c r="I2628" s="42"/>
      <c r="J2628" s="42"/>
      <c r="K2628" s="176"/>
      <c r="L2628" s="176"/>
      <c r="M2628" s="176"/>
      <c r="N2628" s="176"/>
      <c r="O2628" s="176"/>
      <c r="P2628" s="114"/>
      <c r="Q2628" s="176"/>
      <c r="R2628" s="114"/>
      <c r="S2628" s="114"/>
      <c r="T2628" s="200"/>
      <c r="U2628" s="114"/>
      <c r="V2628" s="414"/>
      <c r="W2628" s="176"/>
      <c r="X2628" s="176"/>
      <c r="Y2628" s="176"/>
      <c r="Z2628" s="176"/>
    </row>
    <row r="2629" ht="15.75" customHeight="1">
      <c r="A2629" s="408"/>
      <c r="B2629" s="428"/>
      <c r="C2629" s="200"/>
      <c r="D2629" s="176"/>
      <c r="E2629" s="176"/>
      <c r="F2629" s="408"/>
      <c r="G2629" s="176"/>
      <c r="H2629" s="114"/>
      <c r="I2629" s="42"/>
      <c r="J2629" s="42"/>
      <c r="K2629" s="176"/>
      <c r="L2629" s="176"/>
      <c r="M2629" s="176"/>
      <c r="N2629" s="176"/>
      <c r="O2629" s="176"/>
      <c r="P2629" s="114"/>
      <c r="Q2629" s="176"/>
      <c r="R2629" s="114"/>
      <c r="S2629" s="114"/>
      <c r="T2629" s="200"/>
      <c r="U2629" s="114"/>
      <c r="V2629" s="414"/>
      <c r="W2629" s="176"/>
      <c r="X2629" s="176"/>
      <c r="Y2629" s="176"/>
      <c r="Z2629" s="176"/>
    </row>
    <row r="2630" ht="15.75" customHeight="1">
      <c r="A2630" s="408"/>
      <c r="B2630" s="428"/>
      <c r="C2630" s="200"/>
      <c r="D2630" s="176"/>
      <c r="E2630" s="176"/>
      <c r="F2630" s="408"/>
      <c r="G2630" s="176"/>
      <c r="H2630" s="114"/>
      <c r="I2630" s="42"/>
      <c r="J2630" s="42"/>
      <c r="K2630" s="176"/>
      <c r="L2630" s="176"/>
      <c r="M2630" s="176"/>
      <c r="N2630" s="176"/>
      <c r="O2630" s="176"/>
      <c r="P2630" s="114"/>
      <c r="Q2630" s="176"/>
      <c r="R2630" s="114"/>
      <c r="S2630" s="114"/>
      <c r="T2630" s="200"/>
      <c r="U2630" s="114"/>
      <c r="V2630" s="414"/>
      <c r="W2630" s="176"/>
      <c r="X2630" s="176"/>
      <c r="Y2630" s="176"/>
      <c r="Z2630" s="176"/>
    </row>
    <row r="2631" ht="15.75" customHeight="1">
      <c r="A2631" s="408"/>
      <c r="B2631" s="428"/>
      <c r="C2631" s="200"/>
      <c r="D2631" s="176"/>
      <c r="E2631" s="176"/>
      <c r="F2631" s="408"/>
      <c r="G2631" s="176"/>
      <c r="H2631" s="114"/>
      <c r="I2631" s="42"/>
      <c r="J2631" s="42"/>
      <c r="K2631" s="176"/>
      <c r="L2631" s="176"/>
      <c r="M2631" s="176"/>
      <c r="N2631" s="176"/>
      <c r="O2631" s="176"/>
      <c r="P2631" s="114"/>
      <c r="Q2631" s="176"/>
      <c r="R2631" s="114"/>
      <c r="S2631" s="114"/>
      <c r="T2631" s="200"/>
      <c r="U2631" s="114"/>
      <c r="V2631" s="414"/>
      <c r="W2631" s="176"/>
      <c r="X2631" s="176"/>
      <c r="Y2631" s="176"/>
      <c r="Z2631" s="176"/>
    </row>
    <row r="2632" ht="15.75" customHeight="1">
      <c r="A2632" s="408"/>
      <c r="B2632" s="428"/>
      <c r="C2632" s="200"/>
      <c r="D2632" s="176"/>
      <c r="E2632" s="176"/>
      <c r="F2632" s="408"/>
      <c r="G2632" s="176"/>
      <c r="H2632" s="114"/>
      <c r="I2632" s="42"/>
      <c r="J2632" s="42"/>
      <c r="K2632" s="176"/>
      <c r="L2632" s="176"/>
      <c r="M2632" s="176"/>
      <c r="N2632" s="176"/>
      <c r="O2632" s="176"/>
      <c r="P2632" s="114"/>
      <c r="Q2632" s="176"/>
      <c r="R2632" s="114"/>
      <c r="S2632" s="114"/>
      <c r="T2632" s="200"/>
      <c r="U2632" s="114"/>
      <c r="V2632" s="414"/>
      <c r="W2632" s="176"/>
      <c r="X2632" s="176"/>
      <c r="Y2632" s="176"/>
      <c r="Z2632" s="176"/>
    </row>
    <row r="2633" ht="15.75" customHeight="1">
      <c r="A2633" s="408"/>
      <c r="B2633" s="428"/>
      <c r="C2633" s="200"/>
      <c r="D2633" s="176"/>
      <c r="E2633" s="176"/>
      <c r="F2633" s="408"/>
      <c r="G2633" s="176"/>
      <c r="H2633" s="114"/>
      <c r="I2633" s="42"/>
      <c r="J2633" s="42"/>
      <c r="K2633" s="176"/>
      <c r="L2633" s="176"/>
      <c r="M2633" s="176"/>
      <c r="N2633" s="176"/>
      <c r="O2633" s="176"/>
      <c r="P2633" s="114"/>
      <c r="Q2633" s="176"/>
      <c r="R2633" s="114"/>
      <c r="S2633" s="114"/>
      <c r="T2633" s="200"/>
      <c r="U2633" s="114"/>
      <c r="V2633" s="414"/>
      <c r="W2633" s="176"/>
      <c r="X2633" s="176"/>
      <c r="Y2633" s="176"/>
      <c r="Z2633" s="176"/>
    </row>
    <row r="2634" ht="15.75" customHeight="1">
      <c r="A2634" s="408"/>
      <c r="B2634" s="428"/>
      <c r="C2634" s="200"/>
      <c r="D2634" s="176"/>
      <c r="E2634" s="176"/>
      <c r="F2634" s="408"/>
      <c r="G2634" s="176"/>
      <c r="H2634" s="114"/>
      <c r="I2634" s="42"/>
      <c r="J2634" s="42"/>
      <c r="K2634" s="176"/>
      <c r="L2634" s="176"/>
      <c r="M2634" s="176"/>
      <c r="N2634" s="176"/>
      <c r="O2634" s="176"/>
      <c r="P2634" s="114"/>
      <c r="Q2634" s="176"/>
      <c r="R2634" s="114"/>
      <c r="S2634" s="114"/>
      <c r="T2634" s="200"/>
      <c r="U2634" s="114"/>
      <c r="V2634" s="414"/>
      <c r="W2634" s="176"/>
      <c r="X2634" s="176"/>
      <c r="Y2634" s="176"/>
      <c r="Z2634" s="176"/>
    </row>
    <row r="2635" ht="15.75" customHeight="1">
      <c r="A2635" s="408"/>
      <c r="B2635" s="428"/>
      <c r="C2635" s="200"/>
      <c r="D2635" s="176"/>
      <c r="E2635" s="176"/>
      <c r="F2635" s="408"/>
      <c r="G2635" s="176"/>
      <c r="H2635" s="114"/>
      <c r="I2635" s="42"/>
      <c r="J2635" s="42"/>
      <c r="K2635" s="176"/>
      <c r="L2635" s="176"/>
      <c r="M2635" s="176"/>
      <c r="N2635" s="176"/>
      <c r="O2635" s="176"/>
      <c r="P2635" s="114"/>
      <c r="Q2635" s="176"/>
      <c r="R2635" s="114"/>
      <c r="S2635" s="114"/>
      <c r="T2635" s="200"/>
      <c r="U2635" s="114"/>
      <c r="V2635" s="414"/>
      <c r="W2635" s="176"/>
      <c r="X2635" s="176"/>
      <c r="Y2635" s="176"/>
      <c r="Z2635" s="176"/>
    </row>
    <row r="2636" ht="15.75" customHeight="1">
      <c r="A2636" s="408"/>
      <c r="B2636" s="428"/>
      <c r="C2636" s="200"/>
      <c r="D2636" s="176"/>
      <c r="E2636" s="176"/>
      <c r="F2636" s="408"/>
      <c r="G2636" s="176"/>
      <c r="H2636" s="114"/>
      <c r="I2636" s="42"/>
      <c r="J2636" s="42"/>
      <c r="K2636" s="176"/>
      <c r="L2636" s="176"/>
      <c r="M2636" s="176"/>
      <c r="N2636" s="176"/>
      <c r="O2636" s="176"/>
      <c r="P2636" s="114"/>
      <c r="Q2636" s="176"/>
      <c r="R2636" s="114"/>
      <c r="S2636" s="114"/>
      <c r="T2636" s="200"/>
      <c r="U2636" s="114"/>
      <c r="V2636" s="414"/>
      <c r="W2636" s="176"/>
      <c r="X2636" s="176"/>
      <c r="Y2636" s="176"/>
      <c r="Z2636" s="176"/>
    </row>
    <row r="2637" ht="15.75" customHeight="1">
      <c r="A2637" s="408"/>
      <c r="B2637" s="428"/>
      <c r="C2637" s="200"/>
      <c r="D2637" s="176"/>
      <c r="E2637" s="176"/>
      <c r="F2637" s="408"/>
      <c r="G2637" s="176"/>
      <c r="H2637" s="114"/>
      <c r="I2637" s="42"/>
      <c r="J2637" s="42"/>
      <c r="K2637" s="176"/>
      <c r="L2637" s="176"/>
      <c r="M2637" s="176"/>
      <c r="N2637" s="176"/>
      <c r="O2637" s="176"/>
      <c r="P2637" s="114"/>
      <c r="Q2637" s="176"/>
      <c r="R2637" s="114"/>
      <c r="S2637" s="114"/>
      <c r="T2637" s="200"/>
      <c r="U2637" s="114"/>
      <c r="V2637" s="414"/>
      <c r="W2637" s="176"/>
      <c r="X2637" s="176"/>
      <c r="Y2637" s="176"/>
      <c r="Z2637" s="176"/>
    </row>
    <row r="2638" ht="15.75" customHeight="1">
      <c r="A2638" s="408"/>
      <c r="B2638" s="428"/>
      <c r="C2638" s="200"/>
      <c r="D2638" s="176"/>
      <c r="E2638" s="176"/>
      <c r="F2638" s="408"/>
      <c r="G2638" s="176"/>
      <c r="H2638" s="114"/>
      <c r="I2638" s="42"/>
      <c r="J2638" s="42"/>
      <c r="K2638" s="176"/>
      <c r="L2638" s="176"/>
      <c r="M2638" s="176"/>
      <c r="N2638" s="176"/>
      <c r="O2638" s="176"/>
      <c r="P2638" s="114"/>
      <c r="Q2638" s="176"/>
      <c r="R2638" s="114"/>
      <c r="S2638" s="114"/>
      <c r="T2638" s="200"/>
      <c r="U2638" s="114"/>
      <c r="V2638" s="414"/>
      <c r="W2638" s="176"/>
      <c r="X2638" s="176"/>
      <c r="Y2638" s="176"/>
      <c r="Z2638" s="176"/>
    </row>
    <row r="2639" ht="15.75" customHeight="1">
      <c r="A2639" s="408"/>
      <c r="B2639" s="428"/>
      <c r="C2639" s="200"/>
      <c r="D2639" s="176"/>
      <c r="E2639" s="176"/>
      <c r="F2639" s="408"/>
      <c r="G2639" s="176"/>
      <c r="H2639" s="114"/>
      <c r="I2639" s="42"/>
      <c r="J2639" s="42"/>
      <c r="K2639" s="176"/>
      <c r="L2639" s="176"/>
      <c r="M2639" s="176"/>
      <c r="N2639" s="176"/>
      <c r="O2639" s="176"/>
      <c r="P2639" s="114"/>
      <c r="Q2639" s="176"/>
      <c r="R2639" s="114"/>
      <c r="S2639" s="114"/>
      <c r="T2639" s="200"/>
      <c r="U2639" s="114"/>
      <c r="V2639" s="414"/>
      <c r="W2639" s="176"/>
      <c r="X2639" s="176"/>
      <c r="Y2639" s="176"/>
      <c r="Z2639" s="176"/>
    </row>
    <row r="2640" ht="15.75" customHeight="1">
      <c r="A2640" s="408"/>
      <c r="B2640" s="428"/>
      <c r="C2640" s="200"/>
      <c r="D2640" s="176"/>
      <c r="E2640" s="176"/>
      <c r="F2640" s="408"/>
      <c r="G2640" s="176"/>
      <c r="H2640" s="114"/>
      <c r="I2640" s="42"/>
      <c r="J2640" s="42"/>
      <c r="K2640" s="176"/>
      <c r="L2640" s="176"/>
      <c r="M2640" s="176"/>
      <c r="N2640" s="176"/>
      <c r="O2640" s="176"/>
      <c r="P2640" s="114"/>
      <c r="Q2640" s="176"/>
      <c r="R2640" s="114"/>
      <c r="S2640" s="114"/>
      <c r="T2640" s="200"/>
      <c r="U2640" s="114"/>
      <c r="V2640" s="414"/>
      <c r="W2640" s="176"/>
      <c r="X2640" s="176"/>
      <c r="Y2640" s="176"/>
      <c r="Z2640" s="176"/>
    </row>
    <row r="2641" ht="15.75" customHeight="1">
      <c r="A2641" s="408"/>
      <c r="B2641" s="428"/>
      <c r="C2641" s="200"/>
      <c r="D2641" s="176"/>
      <c r="E2641" s="176"/>
      <c r="F2641" s="408"/>
      <c r="G2641" s="176"/>
      <c r="H2641" s="114"/>
      <c r="I2641" s="42"/>
      <c r="J2641" s="42"/>
      <c r="K2641" s="176"/>
      <c r="L2641" s="176"/>
      <c r="M2641" s="176"/>
      <c r="N2641" s="176"/>
      <c r="O2641" s="176"/>
      <c r="P2641" s="114"/>
      <c r="Q2641" s="176"/>
      <c r="R2641" s="114"/>
      <c r="S2641" s="114"/>
      <c r="T2641" s="200"/>
      <c r="U2641" s="114"/>
      <c r="V2641" s="414"/>
      <c r="W2641" s="176"/>
      <c r="X2641" s="176"/>
      <c r="Y2641" s="176"/>
      <c r="Z2641" s="176"/>
    </row>
    <row r="2642" ht="15.75" customHeight="1">
      <c r="A2642" s="408"/>
      <c r="B2642" s="428"/>
      <c r="C2642" s="200"/>
      <c r="D2642" s="176"/>
      <c r="E2642" s="176"/>
      <c r="F2642" s="408"/>
      <c r="G2642" s="176"/>
      <c r="H2642" s="114"/>
      <c r="I2642" s="42"/>
      <c r="J2642" s="42"/>
      <c r="K2642" s="176"/>
      <c r="L2642" s="176"/>
      <c r="M2642" s="176"/>
      <c r="N2642" s="176"/>
      <c r="O2642" s="176"/>
      <c r="P2642" s="114"/>
      <c r="Q2642" s="176"/>
      <c r="R2642" s="114"/>
      <c r="S2642" s="114"/>
      <c r="T2642" s="200"/>
      <c r="U2642" s="114"/>
      <c r="V2642" s="414"/>
      <c r="W2642" s="176"/>
      <c r="X2642" s="176"/>
      <c r="Y2642" s="176"/>
      <c r="Z2642" s="176"/>
    </row>
    <row r="2643" ht="15.75" customHeight="1">
      <c r="A2643" s="408"/>
      <c r="B2643" s="428"/>
      <c r="C2643" s="200"/>
      <c r="D2643" s="176"/>
      <c r="E2643" s="176"/>
      <c r="F2643" s="408"/>
      <c r="G2643" s="176"/>
      <c r="H2643" s="114"/>
      <c r="I2643" s="42"/>
      <c r="J2643" s="42"/>
      <c r="K2643" s="176"/>
      <c r="L2643" s="176"/>
      <c r="M2643" s="176"/>
      <c r="N2643" s="176"/>
      <c r="O2643" s="176"/>
      <c r="P2643" s="114"/>
      <c r="Q2643" s="176"/>
      <c r="R2643" s="114"/>
      <c r="S2643" s="114"/>
      <c r="T2643" s="200"/>
      <c r="U2643" s="114"/>
      <c r="V2643" s="414"/>
      <c r="W2643" s="176"/>
      <c r="X2643" s="176"/>
      <c r="Y2643" s="176"/>
      <c r="Z2643" s="176"/>
    </row>
    <row r="2644" ht="15.75" customHeight="1">
      <c r="A2644" s="408"/>
      <c r="B2644" s="428"/>
      <c r="C2644" s="200"/>
      <c r="D2644" s="176"/>
      <c r="E2644" s="176"/>
      <c r="F2644" s="408"/>
      <c r="G2644" s="176"/>
      <c r="H2644" s="114"/>
      <c r="I2644" s="42"/>
      <c r="J2644" s="42"/>
      <c r="K2644" s="176"/>
      <c r="L2644" s="176"/>
      <c r="M2644" s="176"/>
      <c r="N2644" s="176"/>
      <c r="O2644" s="176"/>
      <c r="P2644" s="114"/>
      <c r="Q2644" s="176"/>
      <c r="R2644" s="114"/>
      <c r="S2644" s="114"/>
      <c r="T2644" s="200"/>
      <c r="U2644" s="114"/>
      <c r="V2644" s="414"/>
      <c r="W2644" s="176"/>
      <c r="X2644" s="176"/>
      <c r="Y2644" s="176"/>
      <c r="Z2644" s="176"/>
    </row>
    <row r="2645" ht="15.75" customHeight="1">
      <c r="A2645" s="408"/>
      <c r="B2645" s="428"/>
      <c r="C2645" s="200"/>
      <c r="D2645" s="176"/>
      <c r="E2645" s="176"/>
      <c r="F2645" s="408"/>
      <c r="G2645" s="176"/>
      <c r="H2645" s="114"/>
      <c r="I2645" s="42"/>
      <c r="J2645" s="42"/>
      <c r="K2645" s="176"/>
      <c r="L2645" s="176"/>
      <c r="M2645" s="176"/>
      <c r="N2645" s="176"/>
      <c r="O2645" s="176"/>
      <c r="P2645" s="114"/>
      <c r="Q2645" s="176"/>
      <c r="R2645" s="114"/>
      <c r="S2645" s="114"/>
      <c r="T2645" s="200"/>
      <c r="U2645" s="114"/>
      <c r="V2645" s="414"/>
      <c r="W2645" s="176"/>
      <c r="X2645" s="176"/>
      <c r="Y2645" s="176"/>
      <c r="Z2645" s="176"/>
    </row>
    <row r="2646" ht="15.75" customHeight="1">
      <c r="A2646" s="408"/>
      <c r="B2646" s="428"/>
      <c r="C2646" s="200"/>
      <c r="D2646" s="176"/>
      <c r="E2646" s="176"/>
      <c r="F2646" s="408"/>
      <c r="G2646" s="176"/>
      <c r="H2646" s="114"/>
      <c r="I2646" s="42"/>
      <c r="J2646" s="42"/>
      <c r="K2646" s="176"/>
      <c r="L2646" s="176"/>
      <c r="M2646" s="176"/>
      <c r="N2646" s="176"/>
      <c r="O2646" s="176"/>
      <c r="P2646" s="114"/>
      <c r="Q2646" s="176"/>
      <c r="R2646" s="114"/>
      <c r="S2646" s="114"/>
      <c r="T2646" s="200"/>
      <c r="U2646" s="114"/>
      <c r="V2646" s="414"/>
      <c r="W2646" s="176"/>
      <c r="X2646" s="176"/>
      <c r="Y2646" s="176"/>
      <c r="Z2646" s="176"/>
    </row>
    <row r="2647" ht="15.75" customHeight="1">
      <c r="A2647" s="408"/>
      <c r="B2647" s="428"/>
      <c r="C2647" s="200"/>
      <c r="D2647" s="176"/>
      <c r="E2647" s="176"/>
      <c r="F2647" s="408"/>
      <c r="G2647" s="176"/>
      <c r="H2647" s="114"/>
      <c r="I2647" s="42"/>
      <c r="J2647" s="42"/>
      <c r="K2647" s="176"/>
      <c r="L2647" s="176"/>
      <c r="M2647" s="176"/>
      <c r="N2647" s="176"/>
      <c r="O2647" s="176"/>
      <c r="P2647" s="114"/>
      <c r="Q2647" s="176"/>
      <c r="R2647" s="114"/>
      <c r="S2647" s="114"/>
      <c r="T2647" s="200"/>
      <c r="U2647" s="114"/>
      <c r="V2647" s="414"/>
      <c r="W2647" s="176"/>
      <c r="X2647" s="176"/>
      <c r="Y2647" s="176"/>
      <c r="Z2647" s="176"/>
    </row>
    <row r="2648" ht="15.75" customHeight="1">
      <c r="A2648" s="408"/>
      <c r="B2648" s="428"/>
      <c r="C2648" s="200"/>
      <c r="D2648" s="176"/>
      <c r="E2648" s="176"/>
      <c r="F2648" s="408"/>
      <c r="G2648" s="176"/>
      <c r="H2648" s="114"/>
      <c r="I2648" s="42"/>
      <c r="J2648" s="42"/>
      <c r="K2648" s="176"/>
      <c r="L2648" s="176"/>
      <c r="M2648" s="176"/>
      <c r="N2648" s="176"/>
      <c r="O2648" s="176"/>
      <c r="P2648" s="114"/>
      <c r="Q2648" s="176"/>
      <c r="R2648" s="114"/>
      <c r="S2648" s="114"/>
      <c r="T2648" s="200"/>
      <c r="U2648" s="114"/>
      <c r="V2648" s="414"/>
      <c r="W2648" s="176"/>
      <c r="X2648" s="176"/>
      <c r="Y2648" s="176"/>
      <c r="Z2648" s="176"/>
    </row>
    <row r="2649" ht="15.75" customHeight="1">
      <c r="A2649" s="408"/>
      <c r="B2649" s="428"/>
      <c r="C2649" s="200"/>
      <c r="D2649" s="176"/>
      <c r="E2649" s="176"/>
      <c r="F2649" s="408"/>
      <c r="G2649" s="176"/>
      <c r="H2649" s="114"/>
      <c r="I2649" s="42"/>
      <c r="J2649" s="42"/>
      <c r="K2649" s="176"/>
      <c r="L2649" s="176"/>
      <c r="M2649" s="176"/>
      <c r="N2649" s="176"/>
      <c r="O2649" s="176"/>
      <c r="P2649" s="114"/>
      <c r="Q2649" s="176"/>
      <c r="R2649" s="114"/>
      <c r="S2649" s="114"/>
      <c r="T2649" s="200"/>
      <c r="U2649" s="114"/>
      <c r="V2649" s="414"/>
      <c r="W2649" s="176"/>
      <c r="X2649" s="176"/>
      <c r="Y2649" s="176"/>
      <c r="Z2649" s="176"/>
    </row>
    <row r="2650" ht="15.75" customHeight="1">
      <c r="A2650" s="408"/>
      <c r="B2650" s="428"/>
      <c r="C2650" s="200"/>
      <c r="D2650" s="176"/>
      <c r="E2650" s="176"/>
      <c r="F2650" s="408"/>
      <c r="G2650" s="176"/>
      <c r="H2650" s="114"/>
      <c r="I2650" s="42"/>
      <c r="J2650" s="42"/>
      <c r="K2650" s="176"/>
      <c r="L2650" s="176"/>
      <c r="M2650" s="176"/>
      <c r="N2650" s="176"/>
      <c r="O2650" s="176"/>
      <c r="P2650" s="114"/>
      <c r="Q2650" s="176"/>
      <c r="R2650" s="114"/>
      <c r="S2650" s="114"/>
      <c r="T2650" s="200"/>
      <c r="U2650" s="114"/>
      <c r="V2650" s="414"/>
      <c r="W2650" s="176"/>
      <c r="X2650" s="176"/>
      <c r="Y2650" s="176"/>
      <c r="Z2650" s="176"/>
    </row>
    <row r="2651" ht="15.75" customHeight="1">
      <c r="A2651" s="408"/>
      <c r="B2651" s="428"/>
      <c r="C2651" s="200"/>
      <c r="D2651" s="176"/>
      <c r="E2651" s="176"/>
      <c r="F2651" s="408"/>
      <c r="G2651" s="176"/>
      <c r="H2651" s="114"/>
      <c r="I2651" s="42"/>
      <c r="J2651" s="42"/>
      <c r="K2651" s="176"/>
      <c r="L2651" s="176"/>
      <c r="M2651" s="176"/>
      <c r="N2651" s="176"/>
      <c r="O2651" s="176"/>
      <c r="P2651" s="114"/>
      <c r="Q2651" s="176"/>
      <c r="R2651" s="114"/>
      <c r="S2651" s="114"/>
      <c r="T2651" s="200"/>
      <c r="U2651" s="114"/>
      <c r="V2651" s="414"/>
      <c r="W2651" s="176"/>
      <c r="X2651" s="176"/>
      <c r="Y2651" s="176"/>
      <c r="Z2651" s="176"/>
    </row>
    <row r="2652" ht="15.75" customHeight="1">
      <c r="A2652" s="408"/>
      <c r="B2652" s="428"/>
      <c r="C2652" s="200"/>
      <c r="D2652" s="176"/>
      <c r="E2652" s="176"/>
      <c r="F2652" s="408"/>
      <c r="G2652" s="176"/>
      <c r="H2652" s="114"/>
      <c r="I2652" s="42"/>
      <c r="J2652" s="42"/>
      <c r="K2652" s="176"/>
      <c r="L2652" s="176"/>
      <c r="M2652" s="176"/>
      <c r="N2652" s="176"/>
      <c r="O2652" s="176"/>
      <c r="P2652" s="114"/>
      <c r="Q2652" s="176"/>
      <c r="R2652" s="114"/>
      <c r="S2652" s="114"/>
      <c r="T2652" s="200"/>
      <c r="U2652" s="114"/>
      <c r="V2652" s="414"/>
      <c r="W2652" s="176"/>
      <c r="X2652" s="176"/>
      <c r="Y2652" s="176"/>
      <c r="Z2652" s="176"/>
    </row>
    <row r="2653" ht="15.75" customHeight="1">
      <c r="A2653" s="408"/>
      <c r="B2653" s="428"/>
      <c r="C2653" s="200"/>
      <c r="D2653" s="176"/>
      <c r="E2653" s="176"/>
      <c r="F2653" s="408"/>
      <c r="G2653" s="176"/>
      <c r="H2653" s="114"/>
      <c r="I2653" s="42"/>
      <c r="J2653" s="42"/>
      <c r="K2653" s="176"/>
      <c r="L2653" s="176"/>
      <c r="M2653" s="176"/>
      <c r="N2653" s="176"/>
      <c r="O2653" s="176"/>
      <c r="P2653" s="114"/>
      <c r="Q2653" s="176"/>
      <c r="R2653" s="114"/>
      <c r="S2653" s="114"/>
      <c r="T2653" s="200"/>
      <c r="U2653" s="114"/>
      <c r="V2653" s="414"/>
      <c r="W2653" s="176"/>
      <c r="X2653" s="176"/>
      <c r="Y2653" s="176"/>
      <c r="Z2653" s="176"/>
    </row>
    <row r="2654" ht="15.75" customHeight="1">
      <c r="A2654" s="408"/>
      <c r="B2654" s="428"/>
      <c r="C2654" s="200"/>
      <c r="D2654" s="176"/>
      <c r="E2654" s="176"/>
      <c r="F2654" s="408"/>
      <c r="G2654" s="176"/>
      <c r="H2654" s="114"/>
      <c r="I2654" s="42"/>
      <c r="J2654" s="42"/>
      <c r="K2654" s="176"/>
      <c r="L2654" s="176"/>
      <c r="M2654" s="176"/>
      <c r="N2654" s="176"/>
      <c r="O2654" s="176"/>
      <c r="P2654" s="114"/>
      <c r="Q2654" s="176"/>
      <c r="R2654" s="114"/>
      <c r="S2654" s="114"/>
      <c r="T2654" s="200"/>
      <c r="U2654" s="114"/>
      <c r="V2654" s="414"/>
      <c r="W2654" s="176"/>
      <c r="X2654" s="176"/>
      <c r="Y2654" s="176"/>
      <c r="Z2654" s="176"/>
    </row>
    <row r="2655" ht="15.75" customHeight="1">
      <c r="A2655" s="408"/>
      <c r="B2655" s="428"/>
      <c r="C2655" s="200"/>
      <c r="D2655" s="176"/>
      <c r="E2655" s="176"/>
      <c r="F2655" s="408"/>
      <c r="G2655" s="176"/>
      <c r="H2655" s="114"/>
      <c r="I2655" s="42"/>
      <c r="J2655" s="42"/>
      <c r="K2655" s="176"/>
      <c r="L2655" s="176"/>
      <c r="M2655" s="176"/>
      <c r="N2655" s="176"/>
      <c r="O2655" s="176"/>
      <c r="P2655" s="114"/>
      <c r="Q2655" s="176"/>
      <c r="R2655" s="114"/>
      <c r="S2655" s="114"/>
      <c r="T2655" s="200"/>
      <c r="U2655" s="114"/>
      <c r="V2655" s="414"/>
      <c r="W2655" s="176"/>
      <c r="X2655" s="176"/>
      <c r="Y2655" s="176"/>
      <c r="Z2655" s="176"/>
    </row>
    <row r="2656" ht="15.75" customHeight="1">
      <c r="A2656" s="408"/>
      <c r="B2656" s="428"/>
      <c r="C2656" s="200"/>
      <c r="D2656" s="176"/>
      <c r="E2656" s="176"/>
      <c r="F2656" s="408"/>
      <c r="G2656" s="176"/>
      <c r="H2656" s="114"/>
      <c r="I2656" s="42"/>
      <c r="J2656" s="42"/>
      <c r="K2656" s="176"/>
      <c r="L2656" s="176"/>
      <c r="M2656" s="176"/>
      <c r="N2656" s="176"/>
      <c r="O2656" s="176"/>
      <c r="P2656" s="114"/>
      <c r="Q2656" s="176"/>
      <c r="R2656" s="114"/>
      <c r="S2656" s="114"/>
      <c r="T2656" s="200"/>
      <c r="U2656" s="114"/>
      <c r="V2656" s="414"/>
      <c r="W2656" s="176"/>
      <c r="X2656" s="176"/>
      <c r="Y2656" s="176"/>
      <c r="Z2656" s="176"/>
    </row>
    <row r="2657" ht="15.75" customHeight="1">
      <c r="A2657" s="408"/>
      <c r="B2657" s="428"/>
      <c r="C2657" s="200"/>
      <c r="D2657" s="176"/>
      <c r="E2657" s="176"/>
      <c r="F2657" s="408"/>
      <c r="G2657" s="176"/>
      <c r="H2657" s="114"/>
      <c r="I2657" s="42"/>
      <c r="J2657" s="42"/>
      <c r="K2657" s="176"/>
      <c r="L2657" s="176"/>
      <c r="M2657" s="176"/>
      <c r="N2657" s="176"/>
      <c r="O2657" s="176"/>
      <c r="P2657" s="114"/>
      <c r="Q2657" s="176"/>
      <c r="R2657" s="114"/>
      <c r="S2657" s="114"/>
      <c r="T2657" s="200"/>
      <c r="U2657" s="114"/>
      <c r="V2657" s="414"/>
      <c r="W2657" s="176"/>
      <c r="X2657" s="176"/>
      <c r="Y2657" s="176"/>
      <c r="Z2657" s="176"/>
    </row>
    <row r="2658" ht="15.75" customHeight="1">
      <c r="A2658" s="408"/>
      <c r="B2658" s="428"/>
      <c r="C2658" s="200"/>
      <c r="D2658" s="176"/>
      <c r="E2658" s="176"/>
      <c r="F2658" s="408"/>
      <c r="G2658" s="176"/>
      <c r="H2658" s="114"/>
      <c r="I2658" s="42"/>
      <c r="J2658" s="42"/>
      <c r="K2658" s="176"/>
      <c r="L2658" s="176"/>
      <c r="M2658" s="176"/>
      <c r="N2658" s="176"/>
      <c r="O2658" s="176"/>
      <c r="P2658" s="114"/>
      <c r="Q2658" s="176"/>
      <c r="R2658" s="114"/>
      <c r="S2658" s="114"/>
      <c r="T2658" s="200"/>
      <c r="U2658" s="114"/>
      <c r="V2658" s="414"/>
      <c r="W2658" s="176"/>
      <c r="X2658" s="176"/>
      <c r="Y2658" s="176"/>
      <c r="Z2658" s="176"/>
    </row>
    <row r="2659" ht="15.75" customHeight="1">
      <c r="A2659" s="408"/>
      <c r="B2659" s="428"/>
      <c r="C2659" s="200"/>
      <c r="D2659" s="176"/>
      <c r="E2659" s="176"/>
      <c r="F2659" s="408"/>
      <c r="G2659" s="176"/>
      <c r="H2659" s="114"/>
      <c r="I2659" s="42"/>
      <c r="J2659" s="42"/>
      <c r="K2659" s="176"/>
      <c r="L2659" s="176"/>
      <c r="M2659" s="176"/>
      <c r="N2659" s="176"/>
      <c r="O2659" s="176"/>
      <c r="P2659" s="114"/>
      <c r="Q2659" s="176"/>
      <c r="R2659" s="114"/>
      <c r="S2659" s="114"/>
      <c r="T2659" s="200"/>
      <c r="U2659" s="114"/>
      <c r="V2659" s="414"/>
      <c r="W2659" s="176"/>
      <c r="X2659" s="176"/>
      <c r="Y2659" s="176"/>
      <c r="Z2659" s="176"/>
    </row>
    <row r="2660" ht="15.75" customHeight="1">
      <c r="A2660" s="408"/>
      <c r="B2660" s="428"/>
      <c r="C2660" s="200"/>
      <c r="D2660" s="176"/>
      <c r="E2660" s="176"/>
      <c r="F2660" s="408"/>
      <c r="G2660" s="176"/>
      <c r="H2660" s="114"/>
      <c r="I2660" s="42"/>
      <c r="J2660" s="42"/>
      <c r="K2660" s="176"/>
      <c r="L2660" s="176"/>
      <c r="M2660" s="176"/>
      <c r="N2660" s="176"/>
      <c r="O2660" s="176"/>
      <c r="P2660" s="114"/>
      <c r="Q2660" s="176"/>
      <c r="R2660" s="114"/>
      <c r="S2660" s="114"/>
      <c r="T2660" s="200"/>
      <c r="U2660" s="114"/>
      <c r="V2660" s="414"/>
      <c r="W2660" s="176"/>
      <c r="X2660" s="176"/>
      <c r="Y2660" s="176"/>
      <c r="Z2660" s="176"/>
    </row>
    <row r="2661" ht="15.75" customHeight="1">
      <c r="A2661" s="408"/>
      <c r="B2661" s="428"/>
      <c r="C2661" s="200"/>
      <c r="D2661" s="176"/>
      <c r="E2661" s="176"/>
      <c r="F2661" s="408"/>
      <c r="G2661" s="176"/>
      <c r="H2661" s="114"/>
      <c r="I2661" s="42"/>
      <c r="J2661" s="42"/>
      <c r="K2661" s="176"/>
      <c r="L2661" s="176"/>
      <c r="M2661" s="176"/>
      <c r="N2661" s="176"/>
      <c r="O2661" s="176"/>
      <c r="P2661" s="114"/>
      <c r="Q2661" s="176"/>
      <c r="R2661" s="114"/>
      <c r="S2661" s="114"/>
      <c r="T2661" s="200"/>
      <c r="U2661" s="114"/>
      <c r="V2661" s="414"/>
      <c r="W2661" s="176"/>
      <c r="X2661" s="176"/>
      <c r="Y2661" s="176"/>
      <c r="Z2661" s="176"/>
    </row>
    <row r="2662" ht="15.75" customHeight="1">
      <c r="A2662" s="408"/>
      <c r="B2662" s="428"/>
      <c r="C2662" s="200"/>
      <c r="D2662" s="176"/>
      <c r="E2662" s="176"/>
      <c r="F2662" s="408"/>
      <c r="G2662" s="176"/>
      <c r="H2662" s="114"/>
      <c r="I2662" s="42"/>
      <c r="J2662" s="42"/>
      <c r="K2662" s="176"/>
      <c r="L2662" s="176"/>
      <c r="M2662" s="176"/>
      <c r="N2662" s="176"/>
      <c r="O2662" s="176"/>
      <c r="P2662" s="114"/>
      <c r="Q2662" s="176"/>
      <c r="R2662" s="114"/>
      <c r="S2662" s="114"/>
      <c r="T2662" s="200"/>
      <c r="U2662" s="114"/>
      <c r="V2662" s="414"/>
      <c r="W2662" s="176"/>
      <c r="X2662" s="176"/>
      <c r="Y2662" s="176"/>
      <c r="Z2662" s="176"/>
    </row>
    <row r="2663" ht="15.75" customHeight="1">
      <c r="A2663" s="408"/>
      <c r="B2663" s="428"/>
      <c r="C2663" s="200"/>
      <c r="D2663" s="176"/>
      <c r="E2663" s="176"/>
      <c r="F2663" s="408"/>
      <c r="G2663" s="176"/>
      <c r="H2663" s="114"/>
      <c r="I2663" s="42"/>
      <c r="J2663" s="42"/>
      <c r="K2663" s="176"/>
      <c r="L2663" s="176"/>
      <c r="M2663" s="176"/>
      <c r="N2663" s="176"/>
      <c r="O2663" s="176"/>
      <c r="P2663" s="114"/>
      <c r="Q2663" s="176"/>
      <c r="R2663" s="114"/>
      <c r="S2663" s="114"/>
      <c r="T2663" s="200"/>
      <c r="U2663" s="114"/>
      <c r="V2663" s="414"/>
      <c r="W2663" s="176"/>
      <c r="X2663" s="176"/>
      <c r="Y2663" s="176"/>
      <c r="Z2663" s="176"/>
    </row>
    <row r="2664" ht="15.75" customHeight="1">
      <c r="A2664" s="408"/>
      <c r="B2664" s="428"/>
      <c r="C2664" s="200"/>
      <c r="D2664" s="176"/>
      <c r="E2664" s="176"/>
      <c r="F2664" s="408"/>
      <c r="G2664" s="176"/>
      <c r="H2664" s="114"/>
      <c r="I2664" s="42"/>
      <c r="J2664" s="42"/>
      <c r="K2664" s="176"/>
      <c r="L2664" s="176"/>
      <c r="M2664" s="176"/>
      <c r="N2664" s="176"/>
      <c r="O2664" s="176"/>
      <c r="P2664" s="114"/>
      <c r="Q2664" s="176"/>
      <c r="R2664" s="114"/>
      <c r="S2664" s="114"/>
      <c r="T2664" s="200"/>
      <c r="U2664" s="114"/>
      <c r="V2664" s="414"/>
      <c r="W2664" s="176"/>
      <c r="X2664" s="176"/>
      <c r="Y2664" s="176"/>
      <c r="Z2664" s="176"/>
    </row>
    <row r="2665" ht="15.75" customHeight="1">
      <c r="A2665" s="408"/>
      <c r="B2665" s="428"/>
      <c r="C2665" s="200"/>
      <c r="D2665" s="176"/>
      <c r="E2665" s="176"/>
      <c r="F2665" s="408"/>
      <c r="G2665" s="176"/>
      <c r="H2665" s="114"/>
      <c r="I2665" s="42"/>
      <c r="J2665" s="42"/>
      <c r="K2665" s="176"/>
      <c r="L2665" s="176"/>
      <c r="M2665" s="176"/>
      <c r="N2665" s="176"/>
      <c r="O2665" s="176"/>
      <c r="P2665" s="114"/>
      <c r="Q2665" s="176"/>
      <c r="R2665" s="114"/>
      <c r="S2665" s="114"/>
      <c r="T2665" s="200"/>
      <c r="U2665" s="114"/>
      <c r="V2665" s="414"/>
      <c r="W2665" s="176"/>
      <c r="X2665" s="176"/>
      <c r="Y2665" s="176"/>
      <c r="Z2665" s="176"/>
    </row>
    <row r="2666" ht="15.75" customHeight="1">
      <c r="A2666" s="408"/>
      <c r="B2666" s="428"/>
      <c r="C2666" s="200"/>
      <c r="D2666" s="176"/>
      <c r="E2666" s="176"/>
      <c r="F2666" s="408"/>
      <c r="G2666" s="176"/>
      <c r="H2666" s="114"/>
      <c r="I2666" s="42"/>
      <c r="J2666" s="42"/>
      <c r="K2666" s="176"/>
      <c r="L2666" s="176"/>
      <c r="M2666" s="176"/>
      <c r="N2666" s="176"/>
      <c r="O2666" s="176"/>
      <c r="P2666" s="114"/>
      <c r="Q2666" s="176"/>
      <c r="R2666" s="114"/>
      <c r="S2666" s="114"/>
      <c r="T2666" s="200"/>
      <c r="U2666" s="114"/>
      <c r="V2666" s="414"/>
      <c r="W2666" s="176"/>
      <c r="X2666" s="176"/>
      <c r="Y2666" s="176"/>
      <c r="Z2666" s="176"/>
    </row>
    <row r="2667" ht="15.75" customHeight="1">
      <c r="A2667" s="408"/>
      <c r="B2667" s="428"/>
      <c r="C2667" s="200"/>
      <c r="D2667" s="176"/>
      <c r="E2667" s="176"/>
      <c r="F2667" s="408"/>
      <c r="G2667" s="176"/>
      <c r="H2667" s="114"/>
      <c r="I2667" s="42"/>
      <c r="J2667" s="42"/>
      <c r="K2667" s="176"/>
      <c r="L2667" s="176"/>
      <c r="M2667" s="176"/>
      <c r="N2667" s="176"/>
      <c r="O2667" s="176"/>
      <c r="P2667" s="114"/>
      <c r="Q2667" s="176"/>
      <c r="R2667" s="114"/>
      <c r="S2667" s="114"/>
      <c r="T2667" s="200"/>
      <c r="U2667" s="114"/>
      <c r="V2667" s="414"/>
      <c r="W2667" s="176"/>
      <c r="X2667" s="176"/>
      <c r="Y2667" s="176"/>
      <c r="Z2667" s="176"/>
    </row>
    <row r="2668" ht="15.75" customHeight="1">
      <c r="A2668" s="408"/>
      <c r="B2668" s="428"/>
      <c r="C2668" s="200"/>
      <c r="D2668" s="176"/>
      <c r="E2668" s="176"/>
      <c r="F2668" s="408"/>
      <c r="G2668" s="176"/>
      <c r="H2668" s="114"/>
      <c r="I2668" s="42"/>
      <c r="J2668" s="42"/>
      <c r="K2668" s="176"/>
      <c r="L2668" s="176"/>
      <c r="M2668" s="176"/>
      <c r="N2668" s="176"/>
      <c r="O2668" s="176"/>
      <c r="P2668" s="114"/>
      <c r="Q2668" s="176"/>
      <c r="R2668" s="114"/>
      <c r="S2668" s="114"/>
      <c r="T2668" s="200"/>
      <c r="U2668" s="114"/>
      <c r="V2668" s="414"/>
      <c r="W2668" s="176"/>
      <c r="X2668" s="176"/>
      <c r="Y2668" s="176"/>
      <c r="Z2668" s="176"/>
    </row>
    <row r="2669" ht="15.75" customHeight="1">
      <c r="A2669" s="408"/>
      <c r="B2669" s="428"/>
      <c r="C2669" s="200"/>
      <c r="D2669" s="176"/>
      <c r="E2669" s="176"/>
      <c r="F2669" s="408"/>
      <c r="G2669" s="176"/>
      <c r="H2669" s="114"/>
      <c r="I2669" s="42"/>
      <c r="J2669" s="42"/>
      <c r="K2669" s="176"/>
      <c r="L2669" s="176"/>
      <c r="M2669" s="176"/>
      <c r="N2669" s="176"/>
      <c r="O2669" s="176"/>
      <c r="P2669" s="114"/>
      <c r="Q2669" s="176"/>
      <c r="R2669" s="114"/>
      <c r="S2669" s="114"/>
      <c r="T2669" s="200"/>
      <c r="U2669" s="114"/>
      <c r="V2669" s="414"/>
      <c r="W2669" s="176"/>
      <c r="X2669" s="176"/>
      <c r="Y2669" s="176"/>
      <c r="Z2669" s="176"/>
    </row>
    <row r="2670" ht="15.75" customHeight="1">
      <c r="A2670" s="408"/>
      <c r="B2670" s="428"/>
      <c r="C2670" s="200"/>
      <c r="D2670" s="176"/>
      <c r="E2670" s="176"/>
      <c r="F2670" s="408"/>
      <c r="G2670" s="176"/>
      <c r="H2670" s="114"/>
      <c r="I2670" s="42"/>
      <c r="J2670" s="42"/>
      <c r="K2670" s="176"/>
      <c r="L2670" s="176"/>
      <c r="M2670" s="176"/>
      <c r="N2670" s="176"/>
      <c r="O2670" s="176"/>
      <c r="P2670" s="114"/>
      <c r="Q2670" s="176"/>
      <c r="R2670" s="114"/>
      <c r="S2670" s="114"/>
      <c r="T2670" s="200"/>
      <c r="U2670" s="114"/>
      <c r="V2670" s="414"/>
      <c r="W2670" s="176"/>
      <c r="X2670" s="176"/>
      <c r="Y2670" s="176"/>
      <c r="Z2670" s="176"/>
    </row>
    <row r="2671" ht="15.75" customHeight="1">
      <c r="A2671" s="408"/>
      <c r="B2671" s="428"/>
      <c r="C2671" s="200"/>
      <c r="D2671" s="176"/>
      <c r="E2671" s="176"/>
      <c r="F2671" s="408"/>
      <c r="G2671" s="176"/>
      <c r="H2671" s="114"/>
      <c r="I2671" s="42"/>
      <c r="J2671" s="42"/>
      <c r="K2671" s="176"/>
      <c r="L2671" s="176"/>
      <c r="M2671" s="176"/>
      <c r="N2671" s="176"/>
      <c r="O2671" s="176"/>
      <c r="P2671" s="114"/>
      <c r="Q2671" s="176"/>
      <c r="R2671" s="114"/>
      <c r="S2671" s="114"/>
      <c r="T2671" s="200"/>
      <c r="U2671" s="114"/>
      <c r="V2671" s="414"/>
      <c r="W2671" s="176"/>
      <c r="X2671" s="176"/>
      <c r="Y2671" s="176"/>
      <c r="Z2671" s="176"/>
    </row>
    <row r="2672" ht="15.75" customHeight="1">
      <c r="A2672" s="408"/>
      <c r="B2672" s="428"/>
      <c r="C2672" s="200"/>
      <c r="D2672" s="176"/>
      <c r="E2672" s="176"/>
      <c r="F2672" s="408"/>
      <c r="G2672" s="176"/>
      <c r="H2672" s="114"/>
      <c r="I2672" s="42"/>
      <c r="J2672" s="42"/>
      <c r="K2672" s="176"/>
      <c r="L2672" s="176"/>
      <c r="M2672" s="176"/>
      <c r="N2672" s="176"/>
      <c r="O2672" s="176"/>
      <c r="P2672" s="114"/>
      <c r="Q2672" s="176"/>
      <c r="R2672" s="114"/>
      <c r="S2672" s="114"/>
      <c r="T2672" s="200"/>
      <c r="U2672" s="114"/>
      <c r="V2672" s="414"/>
      <c r="W2672" s="176"/>
      <c r="X2672" s="176"/>
      <c r="Y2672" s="176"/>
      <c r="Z2672" s="176"/>
    </row>
    <row r="2673" ht="15.75" customHeight="1">
      <c r="A2673" s="408"/>
      <c r="B2673" s="428"/>
      <c r="C2673" s="200"/>
      <c r="D2673" s="176"/>
      <c r="E2673" s="176"/>
      <c r="F2673" s="408"/>
      <c r="G2673" s="176"/>
      <c r="H2673" s="114"/>
      <c r="I2673" s="42"/>
      <c r="J2673" s="42"/>
      <c r="K2673" s="176"/>
      <c r="L2673" s="176"/>
      <c r="M2673" s="176"/>
      <c r="N2673" s="176"/>
      <c r="O2673" s="176"/>
      <c r="P2673" s="114"/>
      <c r="Q2673" s="176"/>
      <c r="R2673" s="114"/>
      <c r="S2673" s="114"/>
      <c r="T2673" s="200"/>
      <c r="U2673" s="114"/>
      <c r="V2673" s="414"/>
      <c r="W2673" s="176"/>
      <c r="X2673" s="176"/>
      <c r="Y2673" s="176"/>
      <c r="Z2673" s="176"/>
    </row>
    <row r="2674" ht="15.75" customHeight="1">
      <c r="A2674" s="408"/>
      <c r="B2674" s="428"/>
      <c r="C2674" s="200"/>
      <c r="D2674" s="176"/>
      <c r="E2674" s="176"/>
      <c r="F2674" s="408"/>
      <c r="G2674" s="176"/>
      <c r="H2674" s="114"/>
      <c r="I2674" s="42"/>
      <c r="J2674" s="42"/>
      <c r="K2674" s="176"/>
      <c r="L2674" s="176"/>
      <c r="M2674" s="176"/>
      <c r="N2674" s="176"/>
      <c r="O2674" s="176"/>
      <c r="P2674" s="114"/>
      <c r="Q2674" s="176"/>
      <c r="R2674" s="114"/>
      <c r="S2674" s="114"/>
      <c r="T2674" s="200"/>
      <c r="U2674" s="114"/>
      <c r="V2674" s="414"/>
      <c r="W2674" s="176"/>
      <c r="X2674" s="176"/>
      <c r="Y2674" s="176"/>
      <c r="Z2674" s="176"/>
    </row>
    <row r="2675" ht="15.75" customHeight="1">
      <c r="A2675" s="408"/>
      <c r="B2675" s="428"/>
      <c r="C2675" s="200"/>
      <c r="D2675" s="176"/>
      <c r="E2675" s="176"/>
      <c r="F2675" s="408"/>
      <c r="G2675" s="176"/>
      <c r="H2675" s="114"/>
      <c r="I2675" s="42"/>
      <c r="J2675" s="42"/>
      <c r="K2675" s="176"/>
      <c r="L2675" s="176"/>
      <c r="M2675" s="176"/>
      <c r="N2675" s="176"/>
      <c r="O2675" s="176"/>
      <c r="P2675" s="114"/>
      <c r="Q2675" s="176"/>
      <c r="R2675" s="114"/>
      <c r="S2675" s="114"/>
      <c r="T2675" s="200"/>
      <c r="U2675" s="114"/>
      <c r="V2675" s="414"/>
      <c r="W2675" s="176"/>
      <c r="X2675" s="176"/>
      <c r="Y2675" s="176"/>
      <c r="Z2675" s="176"/>
    </row>
    <row r="2676" ht="15.75" customHeight="1">
      <c r="A2676" s="408"/>
      <c r="B2676" s="428"/>
      <c r="C2676" s="200"/>
      <c r="D2676" s="176"/>
      <c r="E2676" s="176"/>
      <c r="F2676" s="408"/>
      <c r="G2676" s="176"/>
      <c r="H2676" s="114"/>
      <c r="I2676" s="42"/>
      <c r="J2676" s="42"/>
      <c r="K2676" s="176"/>
      <c r="L2676" s="176"/>
      <c r="M2676" s="176"/>
      <c r="N2676" s="176"/>
      <c r="O2676" s="176"/>
      <c r="P2676" s="114"/>
      <c r="Q2676" s="176"/>
      <c r="R2676" s="114"/>
      <c r="S2676" s="114"/>
      <c r="T2676" s="200"/>
      <c r="U2676" s="114"/>
      <c r="V2676" s="414"/>
      <c r="W2676" s="176"/>
      <c r="X2676" s="176"/>
      <c r="Y2676" s="176"/>
      <c r="Z2676" s="176"/>
    </row>
    <row r="2677" ht="15.75" customHeight="1">
      <c r="A2677" s="408"/>
      <c r="B2677" s="428"/>
      <c r="C2677" s="200"/>
      <c r="D2677" s="176"/>
      <c r="E2677" s="176"/>
      <c r="F2677" s="408"/>
      <c r="G2677" s="176"/>
      <c r="H2677" s="114"/>
      <c r="I2677" s="42"/>
      <c r="J2677" s="42"/>
      <c r="K2677" s="176"/>
      <c r="L2677" s="176"/>
      <c r="M2677" s="176"/>
      <c r="N2677" s="176"/>
      <c r="O2677" s="176"/>
      <c r="P2677" s="114"/>
      <c r="Q2677" s="176"/>
      <c r="R2677" s="114"/>
      <c r="S2677" s="114"/>
      <c r="T2677" s="200"/>
      <c r="U2677" s="114"/>
      <c r="V2677" s="414"/>
      <c r="W2677" s="176"/>
      <c r="X2677" s="176"/>
      <c r="Y2677" s="176"/>
      <c r="Z2677" s="176"/>
    </row>
    <row r="2678" ht="15.75" customHeight="1">
      <c r="A2678" s="408"/>
      <c r="B2678" s="428"/>
      <c r="C2678" s="200"/>
      <c r="D2678" s="176"/>
      <c r="E2678" s="176"/>
      <c r="F2678" s="408"/>
      <c r="G2678" s="176"/>
      <c r="H2678" s="114"/>
      <c r="I2678" s="42"/>
      <c r="J2678" s="42"/>
      <c r="K2678" s="176"/>
      <c r="L2678" s="176"/>
      <c r="M2678" s="176"/>
      <c r="N2678" s="176"/>
      <c r="O2678" s="176"/>
      <c r="P2678" s="114"/>
      <c r="Q2678" s="176"/>
      <c r="R2678" s="114"/>
      <c r="S2678" s="114"/>
      <c r="T2678" s="200"/>
      <c r="U2678" s="114"/>
      <c r="V2678" s="414"/>
      <c r="W2678" s="176"/>
      <c r="X2678" s="176"/>
      <c r="Y2678" s="176"/>
      <c r="Z2678" s="176"/>
    </row>
    <row r="2679" ht="15.75" customHeight="1">
      <c r="A2679" s="408"/>
      <c r="B2679" s="428"/>
      <c r="C2679" s="200"/>
      <c r="D2679" s="176"/>
      <c r="E2679" s="176"/>
      <c r="F2679" s="408"/>
      <c r="G2679" s="176"/>
      <c r="H2679" s="114"/>
      <c r="I2679" s="42"/>
      <c r="J2679" s="42"/>
      <c r="K2679" s="176"/>
      <c r="L2679" s="176"/>
      <c r="M2679" s="176"/>
      <c r="N2679" s="176"/>
      <c r="O2679" s="176"/>
      <c r="P2679" s="114"/>
      <c r="Q2679" s="176"/>
      <c r="R2679" s="114"/>
      <c r="S2679" s="114"/>
      <c r="T2679" s="200"/>
      <c r="U2679" s="114"/>
      <c r="V2679" s="414"/>
      <c r="W2679" s="176"/>
      <c r="X2679" s="176"/>
      <c r="Y2679" s="176"/>
      <c r="Z2679" s="176"/>
    </row>
    <row r="2680" ht="15.75" customHeight="1">
      <c r="A2680" s="408"/>
      <c r="B2680" s="428"/>
      <c r="C2680" s="200"/>
      <c r="D2680" s="176"/>
      <c r="E2680" s="176"/>
      <c r="F2680" s="408"/>
      <c r="G2680" s="176"/>
      <c r="H2680" s="114"/>
      <c r="I2680" s="42"/>
      <c r="J2680" s="42"/>
      <c r="K2680" s="176"/>
      <c r="L2680" s="176"/>
      <c r="M2680" s="176"/>
      <c r="N2680" s="176"/>
      <c r="O2680" s="176"/>
      <c r="P2680" s="114"/>
      <c r="Q2680" s="176"/>
      <c r="R2680" s="114"/>
      <c r="S2680" s="114"/>
      <c r="T2680" s="200"/>
      <c r="U2680" s="114"/>
      <c r="V2680" s="414"/>
      <c r="W2680" s="176"/>
      <c r="X2680" s="176"/>
      <c r="Y2680" s="176"/>
      <c r="Z2680" s="176"/>
    </row>
    <row r="2681" ht="15.75" customHeight="1">
      <c r="A2681" s="408"/>
      <c r="B2681" s="428"/>
      <c r="C2681" s="200"/>
      <c r="D2681" s="176"/>
      <c r="E2681" s="176"/>
      <c r="F2681" s="408"/>
      <c r="G2681" s="176"/>
      <c r="H2681" s="114"/>
      <c r="I2681" s="42"/>
      <c r="J2681" s="42"/>
      <c r="K2681" s="176"/>
      <c r="L2681" s="176"/>
      <c r="M2681" s="176"/>
      <c r="N2681" s="176"/>
      <c r="O2681" s="176"/>
      <c r="P2681" s="114"/>
      <c r="Q2681" s="176"/>
      <c r="R2681" s="114"/>
      <c r="S2681" s="114"/>
      <c r="T2681" s="200"/>
      <c r="U2681" s="114"/>
      <c r="V2681" s="414"/>
      <c r="W2681" s="176"/>
      <c r="X2681" s="176"/>
      <c r="Y2681" s="176"/>
      <c r="Z2681" s="176"/>
    </row>
    <row r="2682" ht="15.75" customHeight="1">
      <c r="A2682" s="408"/>
      <c r="B2682" s="428"/>
      <c r="C2682" s="200"/>
      <c r="D2682" s="176"/>
      <c r="E2682" s="176"/>
      <c r="F2682" s="408"/>
      <c r="G2682" s="176"/>
      <c r="H2682" s="114"/>
      <c r="I2682" s="42"/>
      <c r="J2682" s="42"/>
      <c r="K2682" s="176"/>
      <c r="L2682" s="176"/>
      <c r="M2682" s="176"/>
      <c r="N2682" s="176"/>
      <c r="O2682" s="176"/>
      <c r="P2682" s="114"/>
      <c r="Q2682" s="176"/>
      <c r="R2682" s="114"/>
      <c r="S2682" s="114"/>
      <c r="T2682" s="200"/>
      <c r="U2682" s="114"/>
      <c r="V2682" s="414"/>
      <c r="W2682" s="176"/>
      <c r="X2682" s="176"/>
      <c r="Y2682" s="176"/>
      <c r="Z2682" s="176"/>
    </row>
    <row r="2683" ht="15.75" customHeight="1">
      <c r="A2683" s="408"/>
      <c r="B2683" s="428"/>
      <c r="C2683" s="200"/>
      <c r="D2683" s="176"/>
      <c r="E2683" s="176"/>
      <c r="F2683" s="408"/>
      <c r="G2683" s="176"/>
      <c r="H2683" s="114"/>
      <c r="I2683" s="42"/>
      <c r="J2683" s="42"/>
      <c r="K2683" s="176"/>
      <c r="L2683" s="176"/>
      <c r="M2683" s="176"/>
      <c r="N2683" s="176"/>
      <c r="O2683" s="176"/>
      <c r="P2683" s="114"/>
      <c r="Q2683" s="176"/>
      <c r="R2683" s="114"/>
      <c r="S2683" s="114"/>
      <c r="T2683" s="200"/>
      <c r="U2683" s="114"/>
      <c r="V2683" s="414"/>
      <c r="W2683" s="176"/>
      <c r="X2683" s="176"/>
      <c r="Y2683" s="176"/>
      <c r="Z2683" s="176"/>
    </row>
    <row r="2684" ht="15.75" customHeight="1">
      <c r="A2684" s="408"/>
      <c r="B2684" s="428"/>
      <c r="C2684" s="200"/>
      <c r="D2684" s="176"/>
      <c r="E2684" s="176"/>
      <c r="F2684" s="408"/>
      <c r="G2684" s="176"/>
      <c r="H2684" s="114"/>
      <c r="I2684" s="42"/>
      <c r="J2684" s="42"/>
      <c r="K2684" s="176"/>
      <c r="L2684" s="176"/>
      <c r="M2684" s="176"/>
      <c r="N2684" s="176"/>
      <c r="O2684" s="176"/>
      <c r="P2684" s="114"/>
      <c r="Q2684" s="176"/>
      <c r="R2684" s="114"/>
      <c r="S2684" s="114"/>
      <c r="T2684" s="200"/>
      <c r="U2684" s="114"/>
      <c r="V2684" s="414"/>
      <c r="W2684" s="176"/>
      <c r="X2684" s="176"/>
      <c r="Y2684" s="176"/>
      <c r="Z2684" s="176"/>
    </row>
    <row r="2685" ht="15.75" customHeight="1">
      <c r="A2685" s="408"/>
      <c r="B2685" s="428"/>
      <c r="C2685" s="200"/>
      <c r="D2685" s="176"/>
      <c r="E2685" s="176"/>
      <c r="F2685" s="408"/>
      <c r="G2685" s="176"/>
      <c r="H2685" s="114"/>
      <c r="I2685" s="42"/>
      <c r="J2685" s="42"/>
      <c r="K2685" s="176"/>
      <c r="L2685" s="176"/>
      <c r="M2685" s="176"/>
      <c r="N2685" s="176"/>
      <c r="O2685" s="176"/>
      <c r="P2685" s="114"/>
      <c r="Q2685" s="176"/>
      <c r="R2685" s="114"/>
      <c r="S2685" s="114"/>
      <c r="T2685" s="200"/>
      <c r="U2685" s="114"/>
      <c r="V2685" s="414"/>
      <c r="W2685" s="176"/>
      <c r="X2685" s="176"/>
      <c r="Y2685" s="176"/>
      <c r="Z2685" s="176"/>
    </row>
    <row r="2686" ht="15.75" customHeight="1">
      <c r="A2686" s="408"/>
      <c r="B2686" s="428"/>
      <c r="C2686" s="200"/>
      <c r="D2686" s="176"/>
      <c r="E2686" s="176"/>
      <c r="F2686" s="408"/>
      <c r="G2686" s="176"/>
      <c r="H2686" s="114"/>
      <c r="I2686" s="42"/>
      <c r="J2686" s="42"/>
      <c r="K2686" s="176"/>
      <c r="L2686" s="176"/>
      <c r="M2686" s="176"/>
      <c r="N2686" s="176"/>
      <c r="O2686" s="176"/>
      <c r="P2686" s="114"/>
      <c r="Q2686" s="176"/>
      <c r="R2686" s="114"/>
      <c r="S2686" s="114"/>
      <c r="T2686" s="200"/>
      <c r="U2686" s="114"/>
      <c r="V2686" s="414"/>
      <c r="W2686" s="176"/>
      <c r="X2686" s="176"/>
      <c r="Y2686" s="176"/>
      <c r="Z2686" s="176"/>
    </row>
    <row r="2687" ht="15.75" customHeight="1">
      <c r="A2687" s="408"/>
      <c r="B2687" s="428"/>
      <c r="C2687" s="200"/>
      <c r="D2687" s="176"/>
      <c r="E2687" s="176"/>
      <c r="F2687" s="408"/>
      <c r="G2687" s="176"/>
      <c r="H2687" s="114"/>
      <c r="I2687" s="42"/>
      <c r="J2687" s="42"/>
      <c r="K2687" s="176"/>
      <c r="L2687" s="176"/>
      <c r="M2687" s="176"/>
      <c r="N2687" s="176"/>
      <c r="O2687" s="176"/>
      <c r="P2687" s="114"/>
      <c r="Q2687" s="176"/>
      <c r="R2687" s="114"/>
      <c r="S2687" s="114"/>
      <c r="T2687" s="200"/>
      <c r="U2687" s="114"/>
      <c r="V2687" s="414"/>
      <c r="W2687" s="176"/>
      <c r="X2687" s="176"/>
      <c r="Y2687" s="176"/>
      <c r="Z2687" s="176"/>
    </row>
    <row r="2688" ht="15.75" customHeight="1">
      <c r="A2688" s="408"/>
      <c r="B2688" s="428"/>
      <c r="C2688" s="200"/>
      <c r="D2688" s="176"/>
      <c r="E2688" s="176"/>
      <c r="F2688" s="408"/>
      <c r="G2688" s="176"/>
      <c r="H2688" s="114"/>
      <c r="I2688" s="42"/>
      <c r="J2688" s="42"/>
      <c r="K2688" s="176"/>
      <c r="L2688" s="176"/>
      <c r="M2688" s="176"/>
      <c r="N2688" s="176"/>
      <c r="O2688" s="176"/>
      <c r="P2688" s="114"/>
      <c r="Q2688" s="176"/>
      <c r="R2688" s="114"/>
      <c r="S2688" s="114"/>
      <c r="T2688" s="200"/>
      <c r="U2688" s="114"/>
      <c r="V2688" s="414"/>
      <c r="W2688" s="176"/>
      <c r="X2688" s="176"/>
      <c r="Y2688" s="176"/>
      <c r="Z2688" s="176"/>
    </row>
    <row r="2689" ht="15.75" customHeight="1">
      <c r="A2689" s="408"/>
      <c r="B2689" s="428"/>
      <c r="C2689" s="200"/>
      <c r="D2689" s="176"/>
      <c r="E2689" s="176"/>
      <c r="F2689" s="408"/>
      <c r="G2689" s="176"/>
      <c r="H2689" s="114"/>
      <c r="I2689" s="42"/>
      <c r="J2689" s="42"/>
      <c r="K2689" s="176"/>
      <c r="L2689" s="176"/>
      <c r="M2689" s="176"/>
      <c r="N2689" s="176"/>
      <c r="O2689" s="176"/>
      <c r="P2689" s="114"/>
      <c r="Q2689" s="176"/>
      <c r="R2689" s="114"/>
      <c r="S2689" s="114"/>
      <c r="T2689" s="200"/>
      <c r="U2689" s="114"/>
      <c r="V2689" s="414"/>
      <c r="W2689" s="176"/>
      <c r="X2689" s="176"/>
      <c r="Y2689" s="176"/>
      <c r="Z2689" s="176"/>
    </row>
    <row r="2690" ht="15.75" customHeight="1">
      <c r="A2690" s="408"/>
      <c r="B2690" s="428"/>
      <c r="C2690" s="200"/>
      <c r="D2690" s="176"/>
      <c r="E2690" s="176"/>
      <c r="F2690" s="408"/>
      <c r="G2690" s="176"/>
      <c r="H2690" s="114"/>
      <c r="I2690" s="42"/>
      <c r="J2690" s="42"/>
      <c r="K2690" s="176"/>
      <c r="L2690" s="176"/>
      <c r="M2690" s="176"/>
      <c r="N2690" s="176"/>
      <c r="O2690" s="176"/>
      <c r="P2690" s="114"/>
      <c r="Q2690" s="176"/>
      <c r="R2690" s="114"/>
      <c r="S2690" s="114"/>
      <c r="T2690" s="200"/>
      <c r="U2690" s="114"/>
      <c r="V2690" s="414"/>
      <c r="W2690" s="176"/>
      <c r="X2690" s="176"/>
      <c r="Y2690" s="176"/>
      <c r="Z2690" s="176"/>
    </row>
    <row r="2691" ht="15.75" customHeight="1">
      <c r="A2691" s="408"/>
      <c r="B2691" s="428"/>
      <c r="C2691" s="200"/>
      <c r="D2691" s="176"/>
      <c r="E2691" s="176"/>
      <c r="F2691" s="408"/>
      <c r="G2691" s="176"/>
      <c r="H2691" s="114"/>
      <c r="I2691" s="42"/>
      <c r="J2691" s="42"/>
      <c r="K2691" s="176"/>
      <c r="L2691" s="176"/>
      <c r="M2691" s="176"/>
      <c r="N2691" s="176"/>
      <c r="O2691" s="176"/>
      <c r="P2691" s="114"/>
      <c r="Q2691" s="176"/>
      <c r="R2691" s="114"/>
      <c r="S2691" s="114"/>
      <c r="T2691" s="200"/>
      <c r="U2691" s="114"/>
      <c r="V2691" s="414"/>
      <c r="W2691" s="176"/>
      <c r="X2691" s="176"/>
      <c r="Y2691" s="176"/>
      <c r="Z2691" s="176"/>
    </row>
    <row r="2692" ht="15.75" customHeight="1">
      <c r="A2692" s="408"/>
      <c r="B2692" s="428"/>
      <c r="C2692" s="200"/>
      <c r="D2692" s="176"/>
      <c r="E2692" s="176"/>
      <c r="F2692" s="408"/>
      <c r="G2692" s="176"/>
      <c r="H2692" s="114"/>
      <c r="I2692" s="42"/>
      <c r="J2692" s="42"/>
      <c r="K2692" s="176"/>
      <c r="L2692" s="176"/>
      <c r="M2692" s="176"/>
      <c r="N2692" s="176"/>
      <c r="O2692" s="176"/>
      <c r="P2692" s="114"/>
      <c r="Q2692" s="176"/>
      <c r="R2692" s="114"/>
      <c r="S2692" s="114"/>
      <c r="T2692" s="200"/>
      <c r="U2692" s="114"/>
      <c r="V2692" s="414"/>
      <c r="W2692" s="176"/>
      <c r="X2692" s="176"/>
      <c r="Y2692" s="176"/>
      <c r="Z2692" s="176"/>
    </row>
    <row r="2693" ht="15.75" customHeight="1">
      <c r="A2693" s="408"/>
      <c r="B2693" s="428"/>
      <c r="C2693" s="200"/>
      <c r="D2693" s="176"/>
      <c r="E2693" s="176"/>
      <c r="F2693" s="408"/>
      <c r="G2693" s="176"/>
      <c r="H2693" s="114"/>
      <c r="I2693" s="42"/>
      <c r="J2693" s="42"/>
      <c r="K2693" s="176"/>
      <c r="L2693" s="176"/>
      <c r="M2693" s="176"/>
      <c r="N2693" s="176"/>
      <c r="O2693" s="176"/>
      <c r="P2693" s="114"/>
      <c r="Q2693" s="176"/>
      <c r="R2693" s="114"/>
      <c r="S2693" s="114"/>
      <c r="T2693" s="200"/>
      <c r="U2693" s="114"/>
      <c r="V2693" s="414"/>
      <c r="W2693" s="176"/>
      <c r="X2693" s="176"/>
      <c r="Y2693" s="176"/>
      <c r="Z2693" s="176"/>
    </row>
    <row r="2694" ht="15.75" customHeight="1">
      <c r="A2694" s="408"/>
      <c r="B2694" s="428"/>
      <c r="C2694" s="200"/>
      <c r="D2694" s="176"/>
      <c r="E2694" s="176"/>
      <c r="F2694" s="408"/>
      <c r="G2694" s="176"/>
      <c r="H2694" s="114"/>
      <c r="I2694" s="42"/>
      <c r="J2694" s="42"/>
      <c r="K2694" s="176"/>
      <c r="L2694" s="176"/>
      <c r="M2694" s="176"/>
      <c r="N2694" s="176"/>
      <c r="O2694" s="176"/>
      <c r="P2694" s="114"/>
      <c r="Q2694" s="176"/>
      <c r="R2694" s="114"/>
      <c r="S2694" s="114"/>
      <c r="T2694" s="200"/>
      <c r="U2694" s="114"/>
      <c r="V2694" s="414"/>
      <c r="W2694" s="176"/>
      <c r="X2694" s="176"/>
      <c r="Y2694" s="176"/>
      <c r="Z2694" s="176"/>
    </row>
    <row r="2695" ht="15.75" customHeight="1">
      <c r="A2695" s="408"/>
      <c r="B2695" s="428"/>
      <c r="C2695" s="200"/>
      <c r="D2695" s="176"/>
      <c r="E2695" s="176"/>
      <c r="F2695" s="408"/>
      <c r="G2695" s="176"/>
      <c r="H2695" s="114"/>
      <c r="I2695" s="42"/>
      <c r="J2695" s="42"/>
      <c r="K2695" s="176"/>
      <c r="L2695" s="176"/>
      <c r="M2695" s="176"/>
      <c r="N2695" s="176"/>
      <c r="O2695" s="176"/>
      <c r="P2695" s="114"/>
      <c r="Q2695" s="176"/>
      <c r="R2695" s="114"/>
      <c r="S2695" s="114"/>
      <c r="T2695" s="200"/>
      <c r="U2695" s="114"/>
      <c r="V2695" s="414"/>
      <c r="W2695" s="176"/>
      <c r="X2695" s="176"/>
      <c r="Y2695" s="176"/>
      <c r="Z2695" s="176"/>
    </row>
    <row r="2696" ht="15.75" customHeight="1">
      <c r="A2696" s="408"/>
      <c r="B2696" s="428"/>
      <c r="C2696" s="200"/>
      <c r="D2696" s="176"/>
      <c r="E2696" s="176"/>
      <c r="F2696" s="408"/>
      <c r="G2696" s="176"/>
      <c r="H2696" s="114"/>
      <c r="I2696" s="42"/>
      <c r="J2696" s="42"/>
      <c r="K2696" s="176"/>
      <c r="L2696" s="176"/>
      <c r="M2696" s="176"/>
      <c r="N2696" s="176"/>
      <c r="O2696" s="176"/>
      <c r="P2696" s="114"/>
      <c r="Q2696" s="176"/>
      <c r="R2696" s="114"/>
      <c r="S2696" s="114"/>
      <c r="T2696" s="200"/>
      <c r="U2696" s="114"/>
      <c r="V2696" s="414"/>
      <c r="W2696" s="176"/>
      <c r="X2696" s="176"/>
      <c r="Y2696" s="176"/>
      <c r="Z2696" s="176"/>
    </row>
    <row r="2697" ht="15.75" customHeight="1">
      <c r="A2697" s="408"/>
      <c r="B2697" s="428"/>
      <c r="C2697" s="200"/>
      <c r="D2697" s="176"/>
      <c r="E2697" s="176"/>
      <c r="F2697" s="408"/>
      <c r="G2697" s="176"/>
      <c r="H2697" s="114"/>
      <c r="I2697" s="42"/>
      <c r="J2697" s="42"/>
      <c r="K2697" s="176"/>
      <c r="L2697" s="176"/>
      <c r="M2697" s="176"/>
      <c r="N2697" s="176"/>
      <c r="O2697" s="176"/>
      <c r="P2697" s="114"/>
      <c r="Q2697" s="176"/>
      <c r="R2697" s="114"/>
      <c r="S2697" s="114"/>
      <c r="T2697" s="200"/>
      <c r="U2697" s="114"/>
      <c r="V2697" s="414"/>
      <c r="W2697" s="176"/>
      <c r="X2697" s="176"/>
      <c r="Y2697" s="176"/>
      <c r="Z2697" s="176"/>
    </row>
    <row r="2698" ht="15.75" customHeight="1">
      <c r="A2698" s="408"/>
      <c r="B2698" s="428"/>
      <c r="C2698" s="200"/>
      <c r="D2698" s="176"/>
      <c r="E2698" s="176"/>
      <c r="F2698" s="408"/>
      <c r="G2698" s="176"/>
      <c r="H2698" s="114"/>
      <c r="I2698" s="42"/>
      <c r="J2698" s="42"/>
      <c r="K2698" s="176"/>
      <c r="L2698" s="176"/>
      <c r="M2698" s="176"/>
      <c r="N2698" s="176"/>
      <c r="O2698" s="176"/>
      <c r="P2698" s="114"/>
      <c r="Q2698" s="176"/>
      <c r="R2698" s="114"/>
      <c r="S2698" s="114"/>
      <c r="T2698" s="200"/>
      <c r="U2698" s="114"/>
      <c r="V2698" s="414"/>
      <c r="W2698" s="176"/>
      <c r="X2698" s="176"/>
      <c r="Y2698" s="176"/>
      <c r="Z2698" s="176"/>
    </row>
    <row r="2699" ht="15.75" customHeight="1">
      <c r="A2699" s="408"/>
      <c r="B2699" s="428"/>
      <c r="C2699" s="200"/>
      <c r="D2699" s="176"/>
      <c r="E2699" s="176"/>
      <c r="F2699" s="408"/>
      <c r="G2699" s="176"/>
      <c r="H2699" s="114"/>
      <c r="I2699" s="42"/>
      <c r="J2699" s="42"/>
      <c r="K2699" s="176"/>
      <c r="L2699" s="176"/>
      <c r="M2699" s="176"/>
      <c r="N2699" s="176"/>
      <c r="O2699" s="176"/>
      <c r="P2699" s="114"/>
      <c r="Q2699" s="176"/>
      <c r="R2699" s="114"/>
      <c r="S2699" s="114"/>
      <c r="T2699" s="200"/>
      <c r="U2699" s="114"/>
      <c r="V2699" s="414"/>
      <c r="W2699" s="176"/>
      <c r="X2699" s="176"/>
      <c r="Y2699" s="176"/>
      <c r="Z2699" s="176"/>
    </row>
    <row r="2700" ht="15.75" customHeight="1">
      <c r="A2700" s="408"/>
      <c r="B2700" s="428"/>
      <c r="C2700" s="200"/>
      <c r="D2700" s="176"/>
      <c r="E2700" s="176"/>
      <c r="F2700" s="408"/>
      <c r="G2700" s="176"/>
      <c r="H2700" s="114"/>
      <c r="I2700" s="42"/>
      <c r="J2700" s="42"/>
      <c r="K2700" s="176"/>
      <c r="L2700" s="176"/>
      <c r="M2700" s="176"/>
      <c r="N2700" s="176"/>
      <c r="O2700" s="176"/>
      <c r="P2700" s="114"/>
      <c r="Q2700" s="176"/>
      <c r="R2700" s="114"/>
      <c r="S2700" s="114"/>
      <c r="T2700" s="200"/>
      <c r="U2700" s="114"/>
      <c r="V2700" s="414"/>
      <c r="W2700" s="176"/>
      <c r="X2700" s="176"/>
      <c r="Y2700" s="176"/>
      <c r="Z2700" s="176"/>
    </row>
    <row r="2701" ht="15.75" customHeight="1">
      <c r="A2701" s="408"/>
      <c r="B2701" s="428"/>
      <c r="C2701" s="200"/>
      <c r="D2701" s="176"/>
      <c r="E2701" s="176"/>
      <c r="F2701" s="408"/>
      <c r="G2701" s="176"/>
      <c r="H2701" s="114"/>
      <c r="I2701" s="42"/>
      <c r="J2701" s="42"/>
      <c r="K2701" s="176"/>
      <c r="L2701" s="176"/>
      <c r="M2701" s="176"/>
      <c r="N2701" s="176"/>
      <c r="O2701" s="176"/>
      <c r="P2701" s="114"/>
      <c r="Q2701" s="176"/>
      <c r="R2701" s="114"/>
      <c r="S2701" s="114"/>
      <c r="T2701" s="200"/>
      <c r="U2701" s="114"/>
      <c r="V2701" s="414"/>
      <c r="W2701" s="176"/>
      <c r="X2701" s="176"/>
      <c r="Y2701" s="176"/>
      <c r="Z2701" s="176"/>
    </row>
    <row r="2702" ht="15.75" customHeight="1">
      <c r="A2702" s="408"/>
      <c r="B2702" s="428"/>
      <c r="C2702" s="200"/>
      <c r="D2702" s="176"/>
      <c r="E2702" s="176"/>
      <c r="F2702" s="408"/>
      <c r="G2702" s="176"/>
      <c r="H2702" s="114"/>
      <c r="I2702" s="42"/>
      <c r="J2702" s="42"/>
      <c r="K2702" s="176"/>
      <c r="L2702" s="176"/>
      <c r="M2702" s="176"/>
      <c r="N2702" s="176"/>
      <c r="O2702" s="176"/>
      <c r="P2702" s="114"/>
      <c r="Q2702" s="176"/>
      <c r="R2702" s="114"/>
      <c r="S2702" s="114"/>
      <c r="T2702" s="200"/>
      <c r="U2702" s="114"/>
      <c r="V2702" s="414"/>
      <c r="W2702" s="176"/>
      <c r="X2702" s="176"/>
      <c r="Y2702" s="176"/>
      <c r="Z2702" s="176"/>
    </row>
    <row r="2703" ht="15.75" customHeight="1">
      <c r="A2703" s="408"/>
      <c r="B2703" s="428"/>
      <c r="C2703" s="200"/>
      <c r="D2703" s="176"/>
      <c r="E2703" s="176"/>
      <c r="F2703" s="408"/>
      <c r="G2703" s="176"/>
      <c r="H2703" s="114"/>
      <c r="I2703" s="42"/>
      <c r="J2703" s="42"/>
      <c r="K2703" s="176"/>
      <c r="L2703" s="176"/>
      <c r="M2703" s="176"/>
      <c r="N2703" s="176"/>
      <c r="O2703" s="176"/>
      <c r="P2703" s="114"/>
      <c r="Q2703" s="176"/>
      <c r="R2703" s="114"/>
      <c r="S2703" s="114"/>
      <c r="T2703" s="200"/>
      <c r="U2703" s="114"/>
      <c r="V2703" s="414"/>
      <c r="W2703" s="176"/>
      <c r="X2703" s="176"/>
      <c r="Y2703" s="176"/>
      <c r="Z2703" s="176"/>
    </row>
    <row r="2704" ht="15.75" customHeight="1">
      <c r="A2704" s="408"/>
      <c r="B2704" s="428"/>
      <c r="C2704" s="200"/>
      <c r="D2704" s="176"/>
      <c r="E2704" s="176"/>
      <c r="F2704" s="408"/>
      <c r="G2704" s="176"/>
      <c r="H2704" s="114"/>
      <c r="I2704" s="42"/>
      <c r="J2704" s="42"/>
      <c r="K2704" s="176"/>
      <c r="L2704" s="176"/>
      <c r="M2704" s="176"/>
      <c r="N2704" s="176"/>
      <c r="O2704" s="176"/>
      <c r="P2704" s="114"/>
      <c r="Q2704" s="176"/>
      <c r="R2704" s="114"/>
      <c r="S2704" s="114"/>
      <c r="T2704" s="200"/>
      <c r="U2704" s="114"/>
      <c r="V2704" s="414"/>
      <c r="W2704" s="176"/>
      <c r="X2704" s="176"/>
      <c r="Y2704" s="176"/>
      <c r="Z2704" s="176"/>
    </row>
    <row r="2705" ht="15.75" customHeight="1">
      <c r="A2705" s="408"/>
      <c r="B2705" s="428"/>
      <c r="C2705" s="200"/>
      <c r="D2705" s="176"/>
      <c r="E2705" s="176"/>
      <c r="F2705" s="408"/>
      <c r="G2705" s="176"/>
      <c r="H2705" s="114"/>
      <c r="I2705" s="42"/>
      <c r="J2705" s="42"/>
      <c r="K2705" s="176"/>
      <c r="L2705" s="176"/>
      <c r="M2705" s="176"/>
      <c r="N2705" s="176"/>
      <c r="O2705" s="176"/>
      <c r="P2705" s="114"/>
      <c r="Q2705" s="176"/>
      <c r="R2705" s="114"/>
      <c r="S2705" s="114"/>
      <c r="T2705" s="200"/>
      <c r="U2705" s="114"/>
      <c r="V2705" s="414"/>
      <c r="W2705" s="176"/>
      <c r="X2705" s="176"/>
      <c r="Y2705" s="176"/>
      <c r="Z2705" s="176"/>
    </row>
    <row r="2706" ht="15.75" customHeight="1">
      <c r="A2706" s="408"/>
      <c r="B2706" s="428"/>
      <c r="C2706" s="200"/>
      <c r="D2706" s="176"/>
      <c r="E2706" s="176"/>
      <c r="F2706" s="408"/>
      <c r="G2706" s="176"/>
      <c r="H2706" s="114"/>
      <c r="I2706" s="42"/>
      <c r="J2706" s="42"/>
      <c r="K2706" s="176"/>
      <c r="L2706" s="176"/>
      <c r="M2706" s="176"/>
      <c r="N2706" s="176"/>
      <c r="O2706" s="176"/>
      <c r="P2706" s="114"/>
      <c r="Q2706" s="176"/>
      <c r="R2706" s="114"/>
      <c r="S2706" s="114"/>
      <c r="T2706" s="200"/>
      <c r="U2706" s="114"/>
      <c r="V2706" s="414"/>
      <c r="W2706" s="176"/>
      <c r="X2706" s="176"/>
      <c r="Y2706" s="176"/>
      <c r="Z2706" s="176"/>
    </row>
    <row r="2707" ht="15.75" customHeight="1">
      <c r="A2707" s="408"/>
      <c r="B2707" s="428"/>
      <c r="C2707" s="200"/>
      <c r="D2707" s="176"/>
      <c r="E2707" s="176"/>
      <c r="F2707" s="408"/>
      <c r="G2707" s="176"/>
      <c r="H2707" s="114"/>
      <c r="I2707" s="42"/>
      <c r="J2707" s="42"/>
      <c r="K2707" s="176"/>
      <c r="L2707" s="176"/>
      <c r="M2707" s="176"/>
      <c r="N2707" s="176"/>
      <c r="O2707" s="176"/>
      <c r="P2707" s="114"/>
      <c r="Q2707" s="176"/>
      <c r="R2707" s="114"/>
      <c r="S2707" s="114"/>
      <c r="T2707" s="200"/>
      <c r="U2707" s="114"/>
      <c r="V2707" s="414"/>
      <c r="W2707" s="176"/>
      <c r="X2707" s="176"/>
      <c r="Y2707" s="176"/>
      <c r="Z2707" s="176"/>
    </row>
    <row r="2708" ht="15.75" customHeight="1">
      <c r="A2708" s="408"/>
      <c r="B2708" s="428"/>
      <c r="C2708" s="200"/>
      <c r="D2708" s="176"/>
      <c r="E2708" s="176"/>
      <c r="F2708" s="408"/>
      <c r="G2708" s="176"/>
      <c r="H2708" s="114"/>
      <c r="I2708" s="42"/>
      <c r="J2708" s="42"/>
      <c r="K2708" s="176"/>
      <c r="L2708" s="176"/>
      <c r="M2708" s="176"/>
      <c r="N2708" s="176"/>
      <c r="O2708" s="176"/>
      <c r="P2708" s="114"/>
      <c r="Q2708" s="176"/>
      <c r="R2708" s="114"/>
      <c r="S2708" s="114"/>
      <c r="T2708" s="200"/>
      <c r="U2708" s="114"/>
      <c r="V2708" s="414"/>
      <c r="W2708" s="176"/>
      <c r="X2708" s="176"/>
      <c r="Y2708" s="176"/>
      <c r="Z2708" s="176"/>
    </row>
    <row r="2709" ht="15.75" customHeight="1">
      <c r="A2709" s="408"/>
      <c r="B2709" s="428"/>
      <c r="C2709" s="200"/>
      <c r="D2709" s="176"/>
      <c r="E2709" s="176"/>
      <c r="F2709" s="408"/>
      <c r="G2709" s="176"/>
      <c r="H2709" s="114"/>
      <c r="I2709" s="42"/>
      <c r="J2709" s="42"/>
      <c r="K2709" s="176"/>
      <c r="L2709" s="176"/>
      <c r="M2709" s="176"/>
      <c r="N2709" s="176"/>
      <c r="O2709" s="176"/>
      <c r="P2709" s="114"/>
      <c r="Q2709" s="176"/>
      <c r="R2709" s="114"/>
      <c r="S2709" s="114"/>
      <c r="T2709" s="200"/>
      <c r="U2709" s="114"/>
      <c r="V2709" s="414"/>
      <c r="W2709" s="176"/>
      <c r="X2709" s="176"/>
      <c r="Y2709" s="176"/>
      <c r="Z2709" s="176"/>
    </row>
    <row r="2710" ht="15.75" customHeight="1">
      <c r="A2710" s="408"/>
      <c r="B2710" s="428"/>
      <c r="C2710" s="200"/>
      <c r="D2710" s="176"/>
      <c r="E2710" s="176"/>
      <c r="F2710" s="408"/>
      <c r="G2710" s="176"/>
      <c r="H2710" s="114"/>
      <c r="I2710" s="42"/>
      <c r="J2710" s="42"/>
      <c r="K2710" s="176"/>
      <c r="L2710" s="176"/>
      <c r="M2710" s="176"/>
      <c r="N2710" s="176"/>
      <c r="O2710" s="176"/>
      <c r="P2710" s="114"/>
      <c r="Q2710" s="176"/>
      <c r="R2710" s="114"/>
      <c r="S2710" s="114"/>
      <c r="T2710" s="200"/>
      <c r="U2710" s="114"/>
      <c r="V2710" s="414"/>
      <c r="W2710" s="176"/>
      <c r="X2710" s="176"/>
      <c r="Y2710" s="176"/>
      <c r="Z2710" s="176"/>
    </row>
    <row r="2711" ht="15.75" customHeight="1">
      <c r="A2711" s="408"/>
      <c r="B2711" s="428"/>
      <c r="C2711" s="200"/>
      <c r="D2711" s="176"/>
      <c r="E2711" s="176"/>
      <c r="F2711" s="408"/>
      <c r="G2711" s="176"/>
      <c r="H2711" s="114"/>
      <c r="I2711" s="42"/>
      <c r="J2711" s="42"/>
      <c r="K2711" s="176"/>
      <c r="L2711" s="176"/>
      <c r="M2711" s="176"/>
      <c r="N2711" s="176"/>
      <c r="O2711" s="176"/>
      <c r="P2711" s="114"/>
      <c r="Q2711" s="176"/>
      <c r="R2711" s="114"/>
      <c r="S2711" s="114"/>
      <c r="T2711" s="200"/>
      <c r="U2711" s="114"/>
      <c r="V2711" s="414"/>
      <c r="W2711" s="176"/>
      <c r="X2711" s="176"/>
      <c r="Y2711" s="176"/>
      <c r="Z2711" s="176"/>
    </row>
    <row r="2712" ht="15.75" customHeight="1">
      <c r="A2712" s="408"/>
      <c r="B2712" s="428"/>
      <c r="C2712" s="200"/>
      <c r="D2712" s="176"/>
      <c r="E2712" s="176"/>
      <c r="F2712" s="408"/>
      <c r="G2712" s="176"/>
      <c r="H2712" s="114"/>
      <c r="I2712" s="42"/>
      <c r="J2712" s="42"/>
      <c r="K2712" s="176"/>
      <c r="L2712" s="176"/>
      <c r="M2712" s="176"/>
      <c r="N2712" s="176"/>
      <c r="O2712" s="176"/>
      <c r="P2712" s="114"/>
      <c r="Q2712" s="176"/>
      <c r="R2712" s="114"/>
      <c r="S2712" s="114"/>
      <c r="T2712" s="200"/>
      <c r="U2712" s="114"/>
      <c r="V2712" s="414"/>
      <c r="W2712" s="176"/>
      <c r="X2712" s="176"/>
      <c r="Y2712" s="176"/>
      <c r="Z2712" s="176"/>
    </row>
    <row r="2713" ht="15.75" customHeight="1">
      <c r="A2713" s="408"/>
      <c r="B2713" s="428"/>
      <c r="C2713" s="200"/>
      <c r="D2713" s="176"/>
      <c r="E2713" s="176"/>
      <c r="F2713" s="408"/>
      <c r="G2713" s="176"/>
      <c r="H2713" s="114"/>
      <c r="I2713" s="42"/>
      <c r="J2713" s="42"/>
      <c r="K2713" s="176"/>
      <c r="L2713" s="176"/>
      <c r="M2713" s="176"/>
      <c r="N2713" s="176"/>
      <c r="O2713" s="176"/>
      <c r="P2713" s="114"/>
      <c r="Q2713" s="176"/>
      <c r="R2713" s="114"/>
      <c r="S2713" s="114"/>
      <c r="T2713" s="200"/>
      <c r="U2713" s="114"/>
      <c r="V2713" s="414"/>
      <c r="W2713" s="176"/>
      <c r="X2713" s="176"/>
      <c r="Y2713" s="176"/>
      <c r="Z2713" s="176"/>
    </row>
    <row r="2714" ht="15.75" customHeight="1">
      <c r="A2714" s="408"/>
      <c r="B2714" s="428"/>
      <c r="C2714" s="200"/>
      <c r="D2714" s="176"/>
      <c r="E2714" s="176"/>
      <c r="F2714" s="408"/>
      <c r="G2714" s="176"/>
      <c r="H2714" s="114"/>
      <c r="I2714" s="42"/>
      <c r="J2714" s="42"/>
      <c r="K2714" s="176"/>
      <c r="L2714" s="176"/>
      <c r="M2714" s="176"/>
      <c r="N2714" s="176"/>
      <c r="O2714" s="176"/>
      <c r="P2714" s="114"/>
      <c r="Q2714" s="176"/>
      <c r="R2714" s="114"/>
      <c r="S2714" s="114"/>
      <c r="T2714" s="200"/>
      <c r="U2714" s="114"/>
      <c r="V2714" s="414"/>
      <c r="W2714" s="176"/>
      <c r="X2714" s="176"/>
      <c r="Y2714" s="176"/>
      <c r="Z2714" s="176"/>
    </row>
    <row r="2715" ht="15.75" customHeight="1">
      <c r="A2715" s="408"/>
      <c r="B2715" s="428"/>
      <c r="C2715" s="200"/>
      <c r="D2715" s="176"/>
      <c r="E2715" s="176"/>
      <c r="F2715" s="408"/>
      <c r="G2715" s="176"/>
      <c r="H2715" s="114"/>
      <c r="I2715" s="42"/>
      <c r="J2715" s="42"/>
      <c r="K2715" s="176"/>
      <c r="L2715" s="176"/>
      <c r="M2715" s="176"/>
      <c r="N2715" s="176"/>
      <c r="O2715" s="176"/>
      <c r="P2715" s="114"/>
      <c r="Q2715" s="176"/>
      <c r="R2715" s="114"/>
      <c r="S2715" s="114"/>
      <c r="T2715" s="200"/>
      <c r="U2715" s="114"/>
      <c r="V2715" s="414"/>
      <c r="W2715" s="176"/>
      <c r="X2715" s="176"/>
      <c r="Y2715" s="176"/>
      <c r="Z2715" s="176"/>
    </row>
    <row r="2716" ht="15.75" customHeight="1">
      <c r="A2716" s="408"/>
      <c r="B2716" s="428"/>
      <c r="C2716" s="200"/>
      <c r="D2716" s="176"/>
      <c r="E2716" s="176"/>
      <c r="F2716" s="408"/>
      <c r="G2716" s="176"/>
      <c r="H2716" s="114"/>
      <c r="I2716" s="42"/>
      <c r="J2716" s="42"/>
      <c r="K2716" s="176"/>
      <c r="L2716" s="176"/>
      <c r="M2716" s="176"/>
      <c r="N2716" s="176"/>
      <c r="O2716" s="176"/>
      <c r="P2716" s="114"/>
      <c r="Q2716" s="176"/>
      <c r="R2716" s="114"/>
      <c r="S2716" s="114"/>
      <c r="T2716" s="200"/>
      <c r="U2716" s="114"/>
      <c r="V2716" s="414"/>
      <c r="W2716" s="176"/>
      <c r="X2716" s="176"/>
      <c r="Y2716" s="176"/>
      <c r="Z2716" s="176"/>
    </row>
    <row r="2717" ht="15.75" customHeight="1">
      <c r="A2717" s="408"/>
      <c r="B2717" s="428"/>
      <c r="C2717" s="200"/>
      <c r="D2717" s="176"/>
      <c r="E2717" s="176"/>
      <c r="F2717" s="408"/>
      <c r="G2717" s="176"/>
      <c r="H2717" s="114"/>
      <c r="I2717" s="42"/>
      <c r="J2717" s="42"/>
      <c r="K2717" s="176"/>
      <c r="L2717" s="176"/>
      <c r="M2717" s="176"/>
      <c r="N2717" s="176"/>
      <c r="O2717" s="176"/>
      <c r="P2717" s="114"/>
      <c r="Q2717" s="176"/>
      <c r="R2717" s="114"/>
      <c r="S2717" s="114"/>
      <c r="T2717" s="200"/>
      <c r="U2717" s="114"/>
      <c r="V2717" s="414"/>
      <c r="W2717" s="176"/>
      <c r="X2717" s="176"/>
      <c r="Y2717" s="176"/>
      <c r="Z2717" s="176"/>
    </row>
    <row r="2718" ht="15.75" customHeight="1">
      <c r="A2718" s="408"/>
      <c r="B2718" s="428"/>
      <c r="C2718" s="200"/>
      <c r="D2718" s="176"/>
      <c r="E2718" s="176"/>
      <c r="F2718" s="408"/>
      <c r="G2718" s="176"/>
      <c r="H2718" s="114"/>
      <c r="I2718" s="42"/>
      <c r="J2718" s="42"/>
      <c r="K2718" s="176"/>
      <c r="L2718" s="176"/>
      <c r="M2718" s="176"/>
      <c r="N2718" s="176"/>
      <c r="O2718" s="176"/>
      <c r="P2718" s="114"/>
      <c r="Q2718" s="176"/>
      <c r="R2718" s="114"/>
      <c r="S2718" s="114"/>
      <c r="T2718" s="200"/>
      <c r="U2718" s="114"/>
      <c r="V2718" s="414"/>
      <c r="W2718" s="176"/>
      <c r="X2718" s="176"/>
      <c r="Y2718" s="176"/>
      <c r="Z2718" s="176"/>
    </row>
    <row r="2719" ht="15.75" customHeight="1">
      <c r="A2719" s="408"/>
      <c r="B2719" s="428"/>
      <c r="C2719" s="200"/>
      <c r="D2719" s="176"/>
      <c r="E2719" s="176"/>
      <c r="F2719" s="408"/>
      <c r="G2719" s="176"/>
      <c r="H2719" s="114"/>
      <c r="I2719" s="42"/>
      <c r="J2719" s="42"/>
      <c r="K2719" s="176"/>
      <c r="L2719" s="176"/>
      <c r="M2719" s="176"/>
      <c r="N2719" s="176"/>
      <c r="O2719" s="176"/>
      <c r="P2719" s="114"/>
      <c r="Q2719" s="176"/>
      <c r="R2719" s="114"/>
      <c r="S2719" s="114"/>
      <c r="T2719" s="200"/>
      <c r="U2719" s="114"/>
      <c r="V2719" s="414"/>
      <c r="W2719" s="176"/>
      <c r="X2719" s="176"/>
      <c r="Y2719" s="176"/>
      <c r="Z2719" s="176"/>
    </row>
    <row r="2720" ht="15.75" customHeight="1">
      <c r="A2720" s="408"/>
      <c r="B2720" s="428"/>
      <c r="C2720" s="200"/>
      <c r="D2720" s="176"/>
      <c r="E2720" s="176"/>
      <c r="F2720" s="408"/>
      <c r="G2720" s="176"/>
      <c r="H2720" s="114"/>
      <c r="I2720" s="42"/>
      <c r="J2720" s="42"/>
      <c r="K2720" s="176"/>
      <c r="L2720" s="176"/>
      <c r="M2720" s="176"/>
      <c r="N2720" s="176"/>
      <c r="O2720" s="176"/>
      <c r="P2720" s="114"/>
      <c r="Q2720" s="176"/>
      <c r="R2720" s="114"/>
      <c r="S2720" s="114"/>
      <c r="T2720" s="200"/>
      <c r="U2720" s="114"/>
      <c r="V2720" s="414"/>
      <c r="W2720" s="176"/>
      <c r="X2720" s="176"/>
      <c r="Y2720" s="176"/>
      <c r="Z2720" s="176"/>
    </row>
    <row r="2721" ht="15.75" customHeight="1">
      <c r="A2721" s="408"/>
      <c r="B2721" s="428"/>
      <c r="C2721" s="200"/>
      <c r="D2721" s="176"/>
      <c r="E2721" s="176"/>
      <c r="F2721" s="408"/>
      <c r="G2721" s="176"/>
      <c r="H2721" s="114"/>
      <c r="I2721" s="42"/>
      <c r="J2721" s="42"/>
      <c r="K2721" s="176"/>
      <c r="L2721" s="176"/>
      <c r="M2721" s="176"/>
      <c r="N2721" s="176"/>
      <c r="O2721" s="176"/>
      <c r="P2721" s="114"/>
      <c r="Q2721" s="176"/>
      <c r="R2721" s="114"/>
      <c r="S2721" s="114"/>
      <c r="T2721" s="200"/>
      <c r="U2721" s="114"/>
      <c r="V2721" s="414"/>
      <c r="W2721" s="176"/>
      <c r="X2721" s="176"/>
      <c r="Y2721" s="176"/>
      <c r="Z2721" s="176"/>
    </row>
    <row r="2722" ht="15.75" customHeight="1">
      <c r="A2722" s="408"/>
      <c r="B2722" s="428"/>
      <c r="C2722" s="200"/>
      <c r="D2722" s="176"/>
      <c r="E2722" s="176"/>
      <c r="F2722" s="408"/>
      <c r="G2722" s="176"/>
      <c r="H2722" s="114"/>
      <c r="I2722" s="42"/>
      <c r="J2722" s="42"/>
      <c r="K2722" s="176"/>
      <c r="L2722" s="176"/>
      <c r="M2722" s="176"/>
      <c r="N2722" s="176"/>
      <c r="O2722" s="176"/>
      <c r="P2722" s="114"/>
      <c r="Q2722" s="176"/>
      <c r="R2722" s="114"/>
      <c r="S2722" s="114"/>
      <c r="T2722" s="200"/>
      <c r="U2722" s="114"/>
      <c r="V2722" s="414"/>
      <c r="W2722" s="176"/>
      <c r="X2722" s="176"/>
      <c r="Y2722" s="176"/>
      <c r="Z2722" s="176"/>
    </row>
    <row r="2723" ht="15.75" customHeight="1">
      <c r="A2723" s="408"/>
      <c r="B2723" s="428"/>
      <c r="C2723" s="200"/>
      <c r="D2723" s="176"/>
      <c r="E2723" s="176"/>
      <c r="F2723" s="408"/>
      <c r="G2723" s="176"/>
      <c r="H2723" s="114"/>
      <c r="I2723" s="42"/>
      <c r="J2723" s="42"/>
      <c r="K2723" s="176"/>
      <c r="L2723" s="176"/>
      <c r="M2723" s="176"/>
      <c r="N2723" s="176"/>
      <c r="O2723" s="176"/>
      <c r="P2723" s="114"/>
      <c r="Q2723" s="176"/>
      <c r="R2723" s="114"/>
      <c r="S2723" s="114"/>
      <c r="T2723" s="200"/>
      <c r="U2723" s="114"/>
      <c r="V2723" s="414"/>
      <c r="W2723" s="176"/>
      <c r="X2723" s="176"/>
      <c r="Y2723" s="176"/>
      <c r="Z2723" s="176"/>
    </row>
    <row r="2724" ht="15.75" customHeight="1">
      <c r="A2724" s="408"/>
      <c r="B2724" s="428"/>
      <c r="C2724" s="200"/>
      <c r="D2724" s="176"/>
      <c r="E2724" s="176"/>
      <c r="F2724" s="408"/>
      <c r="G2724" s="176"/>
      <c r="H2724" s="114"/>
      <c r="I2724" s="42"/>
      <c r="J2724" s="42"/>
      <c r="K2724" s="176"/>
      <c r="L2724" s="176"/>
      <c r="M2724" s="176"/>
      <c r="N2724" s="176"/>
      <c r="O2724" s="176"/>
      <c r="P2724" s="114"/>
      <c r="Q2724" s="176"/>
      <c r="R2724" s="114"/>
      <c r="S2724" s="114"/>
      <c r="T2724" s="200"/>
      <c r="U2724" s="114"/>
      <c r="V2724" s="414"/>
      <c r="W2724" s="176"/>
      <c r="X2724" s="176"/>
      <c r="Y2724" s="176"/>
      <c r="Z2724" s="176"/>
    </row>
    <row r="2725" ht="15.75" customHeight="1">
      <c r="A2725" s="408"/>
      <c r="B2725" s="428"/>
      <c r="C2725" s="200"/>
      <c r="D2725" s="176"/>
      <c r="E2725" s="176"/>
      <c r="F2725" s="408"/>
      <c r="G2725" s="176"/>
      <c r="H2725" s="114"/>
      <c r="I2725" s="42"/>
      <c r="J2725" s="42"/>
      <c r="K2725" s="176"/>
      <c r="L2725" s="176"/>
      <c r="M2725" s="176"/>
      <c r="N2725" s="176"/>
      <c r="O2725" s="176"/>
      <c r="P2725" s="114"/>
      <c r="Q2725" s="176"/>
      <c r="R2725" s="114"/>
      <c r="S2725" s="114"/>
      <c r="T2725" s="200"/>
      <c r="U2725" s="114"/>
      <c r="V2725" s="414"/>
      <c r="W2725" s="176"/>
      <c r="X2725" s="176"/>
      <c r="Y2725" s="176"/>
      <c r="Z2725" s="176"/>
    </row>
    <row r="2726" ht="15.75" customHeight="1">
      <c r="A2726" s="408"/>
      <c r="B2726" s="428"/>
      <c r="C2726" s="200"/>
      <c r="D2726" s="176"/>
      <c r="E2726" s="176"/>
      <c r="F2726" s="408"/>
      <c r="G2726" s="176"/>
      <c r="H2726" s="114"/>
      <c r="I2726" s="42"/>
      <c r="J2726" s="42"/>
      <c r="K2726" s="176"/>
      <c r="L2726" s="176"/>
      <c r="M2726" s="176"/>
      <c r="N2726" s="176"/>
      <c r="O2726" s="176"/>
      <c r="P2726" s="114"/>
      <c r="Q2726" s="176"/>
      <c r="R2726" s="114"/>
      <c r="S2726" s="114"/>
      <c r="T2726" s="200"/>
      <c r="U2726" s="114"/>
      <c r="V2726" s="414"/>
      <c r="W2726" s="176"/>
      <c r="X2726" s="176"/>
      <c r="Y2726" s="176"/>
      <c r="Z2726" s="176"/>
    </row>
    <row r="2727" ht="15.75" customHeight="1">
      <c r="A2727" s="408"/>
      <c r="B2727" s="428"/>
      <c r="C2727" s="200"/>
      <c r="D2727" s="176"/>
      <c r="E2727" s="176"/>
      <c r="F2727" s="408"/>
      <c r="G2727" s="176"/>
      <c r="H2727" s="114"/>
      <c r="I2727" s="42"/>
      <c r="J2727" s="42"/>
      <c r="K2727" s="176"/>
      <c r="L2727" s="176"/>
      <c r="M2727" s="176"/>
      <c r="N2727" s="176"/>
      <c r="O2727" s="176"/>
      <c r="P2727" s="114"/>
      <c r="Q2727" s="176"/>
      <c r="R2727" s="114"/>
      <c r="S2727" s="114"/>
      <c r="T2727" s="200"/>
      <c r="U2727" s="114"/>
      <c r="V2727" s="414"/>
      <c r="W2727" s="176"/>
      <c r="X2727" s="176"/>
      <c r="Y2727" s="176"/>
      <c r="Z2727" s="176"/>
    </row>
    <row r="2728" ht="15.75" customHeight="1">
      <c r="A2728" s="408"/>
      <c r="B2728" s="428"/>
      <c r="C2728" s="200"/>
      <c r="D2728" s="176"/>
      <c r="E2728" s="176"/>
      <c r="F2728" s="408"/>
      <c r="G2728" s="176"/>
      <c r="H2728" s="114"/>
      <c r="I2728" s="42"/>
      <c r="J2728" s="42"/>
      <c r="K2728" s="176"/>
      <c r="L2728" s="176"/>
      <c r="M2728" s="176"/>
      <c r="N2728" s="176"/>
      <c r="O2728" s="176"/>
      <c r="P2728" s="114"/>
      <c r="Q2728" s="176"/>
      <c r="R2728" s="114"/>
      <c r="S2728" s="114"/>
      <c r="T2728" s="200"/>
      <c r="U2728" s="114"/>
      <c r="V2728" s="414"/>
      <c r="W2728" s="176"/>
      <c r="X2728" s="176"/>
      <c r="Y2728" s="176"/>
      <c r="Z2728" s="176"/>
    </row>
    <row r="2729" ht="15.75" customHeight="1">
      <c r="A2729" s="408"/>
      <c r="B2729" s="428"/>
      <c r="C2729" s="200"/>
      <c r="D2729" s="176"/>
      <c r="E2729" s="176"/>
      <c r="F2729" s="408"/>
      <c r="G2729" s="176"/>
      <c r="H2729" s="114"/>
      <c r="I2729" s="42"/>
      <c r="J2729" s="42"/>
      <c r="K2729" s="176"/>
      <c r="L2729" s="176"/>
      <c r="M2729" s="176"/>
      <c r="N2729" s="176"/>
      <c r="O2729" s="176"/>
      <c r="P2729" s="114"/>
      <c r="Q2729" s="176"/>
      <c r="R2729" s="114"/>
      <c r="S2729" s="114"/>
      <c r="T2729" s="200"/>
      <c r="U2729" s="114"/>
      <c r="V2729" s="414"/>
      <c r="W2729" s="176"/>
      <c r="X2729" s="176"/>
      <c r="Y2729" s="176"/>
      <c r="Z2729" s="176"/>
    </row>
    <row r="2730" ht="15.75" customHeight="1">
      <c r="A2730" s="408"/>
      <c r="B2730" s="428"/>
      <c r="C2730" s="200"/>
      <c r="D2730" s="176"/>
      <c r="E2730" s="176"/>
      <c r="F2730" s="408"/>
      <c r="G2730" s="176"/>
      <c r="H2730" s="114"/>
      <c r="I2730" s="42"/>
      <c r="J2730" s="42"/>
      <c r="K2730" s="176"/>
      <c r="L2730" s="176"/>
      <c r="M2730" s="176"/>
      <c r="N2730" s="176"/>
      <c r="O2730" s="176"/>
      <c r="P2730" s="114"/>
      <c r="Q2730" s="176"/>
      <c r="R2730" s="114"/>
      <c r="S2730" s="114"/>
      <c r="T2730" s="200"/>
      <c r="U2730" s="114"/>
      <c r="V2730" s="414"/>
      <c r="W2730" s="176"/>
      <c r="X2730" s="176"/>
      <c r="Y2730" s="176"/>
      <c r="Z2730" s="176"/>
    </row>
    <row r="2731" ht="15.75" customHeight="1">
      <c r="A2731" s="408"/>
      <c r="B2731" s="428"/>
      <c r="C2731" s="200"/>
      <c r="D2731" s="176"/>
      <c r="E2731" s="176"/>
      <c r="F2731" s="408"/>
      <c r="G2731" s="176"/>
      <c r="H2731" s="114"/>
      <c r="I2731" s="42"/>
      <c r="J2731" s="42"/>
      <c r="K2731" s="176"/>
      <c r="L2731" s="176"/>
      <c r="M2731" s="176"/>
      <c r="N2731" s="176"/>
      <c r="O2731" s="176"/>
      <c r="P2731" s="114"/>
      <c r="Q2731" s="176"/>
      <c r="R2731" s="114"/>
      <c r="S2731" s="114"/>
      <c r="T2731" s="200"/>
      <c r="U2731" s="114"/>
      <c r="V2731" s="414"/>
      <c r="W2731" s="176"/>
      <c r="X2731" s="176"/>
      <c r="Y2731" s="176"/>
      <c r="Z2731" s="176"/>
    </row>
    <row r="2732" ht="15.75" customHeight="1">
      <c r="A2732" s="408"/>
      <c r="B2732" s="428"/>
      <c r="C2732" s="200"/>
      <c r="D2732" s="176"/>
      <c r="E2732" s="176"/>
      <c r="F2732" s="408"/>
      <c r="G2732" s="176"/>
      <c r="H2732" s="114"/>
      <c r="I2732" s="42"/>
      <c r="J2732" s="42"/>
      <c r="K2732" s="176"/>
      <c r="L2732" s="176"/>
      <c r="M2732" s="176"/>
      <c r="N2732" s="176"/>
      <c r="O2732" s="176"/>
      <c r="P2732" s="114"/>
      <c r="Q2732" s="176"/>
      <c r="R2732" s="114"/>
      <c r="S2732" s="114"/>
      <c r="T2732" s="200"/>
      <c r="U2732" s="114"/>
      <c r="V2732" s="414"/>
      <c r="W2732" s="176"/>
      <c r="X2732" s="176"/>
      <c r="Y2732" s="176"/>
      <c r="Z2732" s="176"/>
    </row>
    <row r="2733" ht="15.75" customHeight="1">
      <c r="A2733" s="408"/>
      <c r="B2733" s="428"/>
      <c r="C2733" s="200"/>
      <c r="D2733" s="176"/>
      <c r="E2733" s="176"/>
      <c r="F2733" s="408"/>
      <c r="G2733" s="176"/>
      <c r="H2733" s="114"/>
      <c r="I2733" s="42"/>
      <c r="J2733" s="42"/>
      <c r="K2733" s="176"/>
      <c r="L2733" s="176"/>
      <c r="M2733" s="176"/>
      <c r="N2733" s="176"/>
      <c r="O2733" s="176"/>
      <c r="P2733" s="114"/>
      <c r="Q2733" s="176"/>
      <c r="R2733" s="114"/>
      <c r="S2733" s="114"/>
      <c r="T2733" s="200"/>
      <c r="U2733" s="114"/>
      <c r="V2733" s="414"/>
      <c r="W2733" s="176"/>
      <c r="X2733" s="176"/>
      <c r="Y2733" s="176"/>
      <c r="Z2733" s="176"/>
    </row>
    <row r="2734" ht="15.75" customHeight="1">
      <c r="A2734" s="408"/>
      <c r="B2734" s="428"/>
      <c r="C2734" s="200"/>
      <c r="D2734" s="176"/>
      <c r="E2734" s="176"/>
      <c r="F2734" s="408"/>
      <c r="G2734" s="176"/>
      <c r="H2734" s="114"/>
      <c r="I2734" s="42"/>
      <c r="J2734" s="42"/>
      <c r="K2734" s="176"/>
      <c r="L2734" s="176"/>
      <c r="M2734" s="176"/>
      <c r="N2734" s="176"/>
      <c r="O2734" s="176"/>
      <c r="P2734" s="114"/>
      <c r="Q2734" s="176"/>
      <c r="R2734" s="114"/>
      <c r="S2734" s="114"/>
      <c r="T2734" s="200"/>
      <c r="U2734" s="114"/>
      <c r="V2734" s="414"/>
      <c r="W2734" s="176"/>
      <c r="X2734" s="176"/>
      <c r="Y2734" s="176"/>
      <c r="Z2734" s="176"/>
    </row>
    <row r="2735" ht="15.75" customHeight="1">
      <c r="A2735" s="408"/>
      <c r="B2735" s="428"/>
      <c r="C2735" s="200"/>
      <c r="D2735" s="176"/>
      <c r="E2735" s="176"/>
      <c r="F2735" s="408"/>
      <c r="G2735" s="176"/>
      <c r="H2735" s="114"/>
      <c r="I2735" s="42"/>
      <c r="J2735" s="42"/>
      <c r="K2735" s="176"/>
      <c r="L2735" s="176"/>
      <c r="M2735" s="176"/>
      <c r="N2735" s="176"/>
      <c r="O2735" s="176"/>
      <c r="P2735" s="114"/>
      <c r="Q2735" s="176"/>
      <c r="R2735" s="114"/>
      <c r="S2735" s="114"/>
      <c r="T2735" s="200"/>
      <c r="U2735" s="114"/>
      <c r="V2735" s="414"/>
      <c r="W2735" s="176"/>
      <c r="X2735" s="176"/>
      <c r="Y2735" s="176"/>
      <c r="Z2735" s="176"/>
    </row>
    <row r="2736" ht="15.75" customHeight="1">
      <c r="A2736" s="408"/>
      <c r="B2736" s="428"/>
      <c r="C2736" s="200"/>
      <c r="D2736" s="176"/>
      <c r="E2736" s="176"/>
      <c r="F2736" s="408"/>
      <c r="G2736" s="176"/>
      <c r="H2736" s="114"/>
      <c r="I2736" s="42"/>
      <c r="J2736" s="42"/>
      <c r="K2736" s="176"/>
      <c r="L2736" s="176"/>
      <c r="M2736" s="176"/>
      <c r="N2736" s="176"/>
      <c r="O2736" s="176"/>
      <c r="P2736" s="114"/>
      <c r="Q2736" s="176"/>
      <c r="R2736" s="114"/>
      <c r="S2736" s="114"/>
      <c r="T2736" s="200"/>
      <c r="U2736" s="114"/>
      <c r="V2736" s="414"/>
      <c r="W2736" s="176"/>
      <c r="X2736" s="176"/>
      <c r="Y2736" s="176"/>
      <c r="Z2736" s="176"/>
    </row>
    <row r="2737" ht="15.75" customHeight="1">
      <c r="A2737" s="408"/>
      <c r="B2737" s="428"/>
      <c r="C2737" s="200"/>
      <c r="D2737" s="176"/>
      <c r="E2737" s="176"/>
      <c r="F2737" s="408"/>
      <c r="G2737" s="176"/>
      <c r="H2737" s="114"/>
      <c r="I2737" s="42"/>
      <c r="J2737" s="42"/>
      <c r="K2737" s="176"/>
      <c r="L2737" s="176"/>
      <c r="M2737" s="176"/>
      <c r="N2737" s="176"/>
      <c r="O2737" s="176"/>
      <c r="P2737" s="114"/>
      <c r="Q2737" s="176"/>
      <c r="R2737" s="114"/>
      <c r="S2737" s="114"/>
      <c r="T2737" s="200"/>
      <c r="U2737" s="114"/>
      <c r="V2737" s="414"/>
      <c r="W2737" s="176"/>
      <c r="X2737" s="176"/>
      <c r="Y2737" s="176"/>
      <c r="Z2737" s="176"/>
    </row>
    <row r="2738" ht="15.75" customHeight="1">
      <c r="A2738" s="408"/>
      <c r="B2738" s="428"/>
      <c r="C2738" s="200"/>
      <c r="D2738" s="176"/>
      <c r="E2738" s="176"/>
      <c r="F2738" s="408"/>
      <c r="G2738" s="176"/>
      <c r="H2738" s="114"/>
      <c r="I2738" s="42"/>
      <c r="J2738" s="42"/>
      <c r="K2738" s="176"/>
      <c r="L2738" s="176"/>
      <c r="M2738" s="176"/>
      <c r="N2738" s="176"/>
      <c r="O2738" s="176"/>
      <c r="P2738" s="114"/>
      <c r="Q2738" s="176"/>
      <c r="R2738" s="114"/>
      <c r="S2738" s="114"/>
      <c r="T2738" s="200"/>
      <c r="U2738" s="114"/>
      <c r="V2738" s="414"/>
      <c r="W2738" s="176"/>
      <c r="X2738" s="176"/>
      <c r="Y2738" s="176"/>
      <c r="Z2738" s="176"/>
    </row>
    <row r="2739" ht="15.75" customHeight="1">
      <c r="A2739" s="408"/>
      <c r="B2739" s="428"/>
      <c r="C2739" s="200"/>
      <c r="D2739" s="176"/>
      <c r="E2739" s="176"/>
      <c r="F2739" s="408"/>
      <c r="G2739" s="176"/>
      <c r="H2739" s="114"/>
      <c r="I2739" s="42"/>
      <c r="J2739" s="42"/>
      <c r="K2739" s="176"/>
      <c r="L2739" s="176"/>
      <c r="M2739" s="176"/>
      <c r="N2739" s="176"/>
      <c r="O2739" s="176"/>
      <c r="P2739" s="114"/>
      <c r="Q2739" s="176"/>
      <c r="R2739" s="114"/>
      <c r="S2739" s="114"/>
      <c r="T2739" s="200"/>
      <c r="U2739" s="114"/>
      <c r="V2739" s="414"/>
      <c r="W2739" s="176"/>
      <c r="X2739" s="176"/>
      <c r="Y2739" s="176"/>
      <c r="Z2739" s="176"/>
    </row>
    <row r="2740" ht="15.75" customHeight="1">
      <c r="A2740" s="408"/>
      <c r="B2740" s="428"/>
      <c r="C2740" s="200"/>
      <c r="D2740" s="176"/>
      <c r="E2740" s="176"/>
      <c r="F2740" s="408"/>
      <c r="G2740" s="176"/>
      <c r="H2740" s="114"/>
      <c r="I2740" s="42"/>
      <c r="J2740" s="42"/>
      <c r="K2740" s="176"/>
      <c r="L2740" s="176"/>
      <c r="M2740" s="176"/>
      <c r="N2740" s="176"/>
      <c r="O2740" s="176"/>
      <c r="P2740" s="114"/>
      <c r="Q2740" s="176"/>
      <c r="R2740" s="114"/>
      <c r="S2740" s="114"/>
      <c r="T2740" s="200"/>
      <c r="U2740" s="114"/>
      <c r="V2740" s="414"/>
      <c r="W2740" s="176"/>
      <c r="X2740" s="176"/>
      <c r="Y2740" s="176"/>
      <c r="Z2740" s="176"/>
    </row>
    <row r="2741" ht="15.75" customHeight="1">
      <c r="A2741" s="408"/>
      <c r="B2741" s="428"/>
      <c r="C2741" s="200"/>
      <c r="D2741" s="176"/>
      <c r="E2741" s="176"/>
      <c r="F2741" s="408"/>
      <c r="G2741" s="176"/>
      <c r="H2741" s="114"/>
      <c r="I2741" s="42"/>
      <c r="J2741" s="42"/>
      <c r="K2741" s="176"/>
      <c r="L2741" s="176"/>
      <c r="M2741" s="176"/>
      <c r="N2741" s="176"/>
      <c r="O2741" s="176"/>
      <c r="P2741" s="114"/>
      <c r="Q2741" s="176"/>
      <c r="R2741" s="114"/>
      <c r="S2741" s="114"/>
      <c r="T2741" s="200"/>
      <c r="U2741" s="114"/>
      <c r="V2741" s="414"/>
      <c r="W2741" s="176"/>
      <c r="X2741" s="176"/>
      <c r="Y2741" s="176"/>
      <c r="Z2741" s="176"/>
    </row>
    <row r="2742" ht="15.75" customHeight="1">
      <c r="A2742" s="408"/>
      <c r="B2742" s="428"/>
      <c r="C2742" s="200"/>
      <c r="D2742" s="176"/>
      <c r="E2742" s="176"/>
      <c r="F2742" s="408"/>
      <c r="G2742" s="176"/>
      <c r="H2742" s="114"/>
      <c r="I2742" s="42"/>
      <c r="J2742" s="42"/>
      <c r="K2742" s="176"/>
      <c r="L2742" s="176"/>
      <c r="M2742" s="176"/>
      <c r="N2742" s="176"/>
      <c r="O2742" s="176"/>
      <c r="P2742" s="114"/>
      <c r="Q2742" s="176"/>
      <c r="R2742" s="114"/>
      <c r="S2742" s="114"/>
      <c r="T2742" s="200"/>
      <c r="U2742" s="114"/>
      <c r="V2742" s="414"/>
      <c r="W2742" s="176"/>
      <c r="X2742" s="176"/>
      <c r="Y2742" s="176"/>
      <c r="Z2742" s="176"/>
    </row>
    <row r="2743" ht="15.75" customHeight="1">
      <c r="A2743" s="408"/>
      <c r="B2743" s="428"/>
      <c r="C2743" s="200"/>
      <c r="D2743" s="176"/>
      <c r="E2743" s="176"/>
      <c r="F2743" s="408"/>
      <c r="G2743" s="176"/>
      <c r="H2743" s="114"/>
      <c r="I2743" s="42"/>
      <c r="J2743" s="42"/>
      <c r="K2743" s="176"/>
      <c r="L2743" s="176"/>
      <c r="M2743" s="176"/>
      <c r="N2743" s="176"/>
      <c r="O2743" s="176"/>
      <c r="P2743" s="114"/>
      <c r="Q2743" s="176"/>
      <c r="R2743" s="114"/>
      <c r="S2743" s="114"/>
      <c r="T2743" s="200"/>
      <c r="U2743" s="114"/>
      <c r="V2743" s="414"/>
      <c r="W2743" s="176"/>
      <c r="X2743" s="176"/>
      <c r="Y2743" s="176"/>
      <c r="Z2743" s="176"/>
    </row>
    <row r="2744" ht="15.75" customHeight="1">
      <c r="A2744" s="408"/>
      <c r="B2744" s="428"/>
      <c r="C2744" s="200"/>
      <c r="D2744" s="176"/>
      <c r="E2744" s="176"/>
      <c r="F2744" s="408"/>
      <c r="G2744" s="176"/>
      <c r="H2744" s="114"/>
      <c r="I2744" s="42"/>
      <c r="J2744" s="42"/>
      <c r="K2744" s="176"/>
      <c r="L2744" s="176"/>
      <c r="M2744" s="176"/>
      <c r="N2744" s="176"/>
      <c r="O2744" s="176"/>
      <c r="P2744" s="114"/>
      <c r="Q2744" s="176"/>
      <c r="R2744" s="114"/>
      <c r="S2744" s="114"/>
      <c r="T2744" s="200"/>
      <c r="U2744" s="114"/>
      <c r="V2744" s="414"/>
      <c r="W2744" s="176"/>
      <c r="X2744" s="176"/>
      <c r="Y2744" s="176"/>
      <c r="Z2744" s="176"/>
    </row>
    <row r="2745" ht="15.75" customHeight="1">
      <c r="A2745" s="408"/>
      <c r="B2745" s="428"/>
      <c r="C2745" s="200"/>
      <c r="D2745" s="176"/>
      <c r="E2745" s="176"/>
      <c r="F2745" s="408"/>
      <c r="G2745" s="176"/>
      <c r="H2745" s="114"/>
      <c r="I2745" s="42"/>
      <c r="J2745" s="42"/>
      <c r="K2745" s="176"/>
      <c r="L2745" s="176"/>
      <c r="M2745" s="176"/>
      <c r="N2745" s="176"/>
      <c r="O2745" s="176"/>
      <c r="P2745" s="114"/>
      <c r="Q2745" s="176"/>
      <c r="R2745" s="114"/>
      <c r="S2745" s="114"/>
      <c r="T2745" s="200"/>
      <c r="U2745" s="114"/>
      <c r="V2745" s="414"/>
      <c r="W2745" s="176"/>
      <c r="X2745" s="176"/>
      <c r="Y2745" s="176"/>
      <c r="Z2745" s="176"/>
    </row>
    <row r="2746" ht="15.75" customHeight="1">
      <c r="A2746" s="408"/>
      <c r="B2746" s="428"/>
      <c r="C2746" s="200"/>
      <c r="D2746" s="176"/>
      <c r="E2746" s="176"/>
      <c r="F2746" s="408"/>
      <c r="G2746" s="176"/>
      <c r="H2746" s="114"/>
      <c r="I2746" s="42"/>
      <c r="J2746" s="42"/>
      <c r="K2746" s="176"/>
      <c r="L2746" s="176"/>
      <c r="M2746" s="176"/>
      <c r="N2746" s="176"/>
      <c r="O2746" s="176"/>
      <c r="P2746" s="114"/>
      <c r="Q2746" s="176"/>
      <c r="R2746" s="114"/>
      <c r="S2746" s="114"/>
      <c r="T2746" s="200"/>
      <c r="U2746" s="114"/>
      <c r="V2746" s="414"/>
      <c r="W2746" s="176"/>
      <c r="X2746" s="176"/>
      <c r="Y2746" s="176"/>
      <c r="Z2746" s="176"/>
    </row>
    <row r="2747" ht="15.75" customHeight="1">
      <c r="A2747" s="408"/>
      <c r="B2747" s="428"/>
      <c r="C2747" s="200"/>
      <c r="D2747" s="176"/>
      <c r="E2747" s="176"/>
      <c r="F2747" s="408"/>
      <c r="G2747" s="176"/>
      <c r="H2747" s="114"/>
      <c r="I2747" s="42"/>
      <c r="J2747" s="42"/>
      <c r="K2747" s="176"/>
      <c r="L2747" s="176"/>
      <c r="M2747" s="176"/>
      <c r="N2747" s="176"/>
      <c r="O2747" s="176"/>
      <c r="P2747" s="114"/>
      <c r="Q2747" s="176"/>
      <c r="R2747" s="114"/>
      <c r="S2747" s="114"/>
      <c r="T2747" s="200"/>
      <c r="U2747" s="114"/>
      <c r="V2747" s="414"/>
      <c r="W2747" s="176"/>
      <c r="X2747" s="176"/>
      <c r="Y2747" s="176"/>
      <c r="Z2747" s="176"/>
    </row>
    <row r="2748" ht="15.75" customHeight="1">
      <c r="A2748" s="408"/>
      <c r="B2748" s="428"/>
      <c r="C2748" s="200"/>
      <c r="D2748" s="176"/>
      <c r="E2748" s="176"/>
      <c r="F2748" s="408"/>
      <c r="G2748" s="176"/>
      <c r="H2748" s="114"/>
      <c r="I2748" s="42"/>
      <c r="J2748" s="42"/>
      <c r="K2748" s="176"/>
      <c r="L2748" s="176"/>
      <c r="M2748" s="176"/>
      <c r="N2748" s="176"/>
      <c r="O2748" s="176"/>
      <c r="P2748" s="114"/>
      <c r="Q2748" s="176"/>
      <c r="R2748" s="114"/>
      <c r="S2748" s="114"/>
      <c r="T2748" s="200"/>
      <c r="U2748" s="114"/>
      <c r="V2748" s="414"/>
      <c r="W2748" s="176"/>
      <c r="X2748" s="176"/>
      <c r="Y2748" s="176"/>
      <c r="Z2748" s="176"/>
    </row>
    <row r="2749" ht="15.75" customHeight="1">
      <c r="A2749" s="408"/>
      <c r="B2749" s="428"/>
      <c r="C2749" s="200"/>
      <c r="D2749" s="176"/>
      <c r="E2749" s="176"/>
      <c r="F2749" s="408"/>
      <c r="G2749" s="176"/>
      <c r="H2749" s="114"/>
      <c r="I2749" s="42"/>
      <c r="J2749" s="42"/>
      <c r="K2749" s="176"/>
      <c r="L2749" s="176"/>
      <c r="M2749" s="176"/>
      <c r="N2749" s="176"/>
      <c r="O2749" s="176"/>
      <c r="P2749" s="114"/>
      <c r="Q2749" s="176"/>
      <c r="R2749" s="114"/>
      <c r="S2749" s="114"/>
      <c r="T2749" s="200"/>
      <c r="U2749" s="114"/>
      <c r="V2749" s="414"/>
      <c r="W2749" s="176"/>
      <c r="X2749" s="176"/>
      <c r="Y2749" s="176"/>
      <c r="Z2749" s="176"/>
    </row>
    <row r="2750" ht="15.75" customHeight="1">
      <c r="A2750" s="408"/>
      <c r="B2750" s="428"/>
      <c r="C2750" s="200"/>
      <c r="D2750" s="176"/>
      <c r="E2750" s="176"/>
      <c r="F2750" s="408"/>
      <c r="G2750" s="176"/>
      <c r="H2750" s="114"/>
      <c r="I2750" s="42"/>
      <c r="J2750" s="42"/>
      <c r="K2750" s="176"/>
      <c r="L2750" s="176"/>
      <c r="M2750" s="176"/>
      <c r="N2750" s="176"/>
      <c r="O2750" s="176"/>
      <c r="P2750" s="114"/>
      <c r="Q2750" s="176"/>
      <c r="R2750" s="114"/>
      <c r="S2750" s="114"/>
      <c r="T2750" s="200"/>
      <c r="U2750" s="114"/>
      <c r="V2750" s="414"/>
      <c r="W2750" s="176"/>
      <c r="X2750" s="176"/>
      <c r="Y2750" s="176"/>
      <c r="Z2750" s="176"/>
    </row>
    <row r="2751" ht="15.75" customHeight="1">
      <c r="A2751" s="408"/>
      <c r="B2751" s="428"/>
      <c r="C2751" s="200"/>
      <c r="D2751" s="176"/>
      <c r="E2751" s="176"/>
      <c r="F2751" s="408"/>
      <c r="G2751" s="176"/>
      <c r="H2751" s="114"/>
      <c r="I2751" s="42"/>
      <c r="J2751" s="42"/>
      <c r="K2751" s="176"/>
      <c r="L2751" s="176"/>
      <c r="M2751" s="176"/>
      <c r="N2751" s="176"/>
      <c r="O2751" s="176"/>
      <c r="P2751" s="114"/>
      <c r="Q2751" s="176"/>
      <c r="R2751" s="114"/>
      <c r="S2751" s="114"/>
      <c r="T2751" s="200"/>
      <c r="U2751" s="114"/>
      <c r="V2751" s="414"/>
      <c r="W2751" s="176"/>
      <c r="X2751" s="176"/>
      <c r="Y2751" s="176"/>
      <c r="Z2751" s="176"/>
    </row>
    <row r="2752" ht="15.75" customHeight="1">
      <c r="A2752" s="408"/>
      <c r="B2752" s="428"/>
      <c r="C2752" s="200"/>
      <c r="D2752" s="176"/>
      <c r="E2752" s="176"/>
      <c r="F2752" s="408"/>
      <c r="G2752" s="176"/>
      <c r="H2752" s="114"/>
      <c r="I2752" s="42"/>
      <c r="J2752" s="42"/>
      <c r="K2752" s="176"/>
      <c r="L2752" s="176"/>
      <c r="M2752" s="176"/>
      <c r="N2752" s="176"/>
      <c r="O2752" s="176"/>
      <c r="P2752" s="114"/>
      <c r="Q2752" s="176"/>
      <c r="R2752" s="114"/>
      <c r="S2752" s="114"/>
      <c r="T2752" s="200"/>
      <c r="U2752" s="114"/>
      <c r="V2752" s="414"/>
      <c r="W2752" s="176"/>
      <c r="X2752" s="176"/>
      <c r="Y2752" s="176"/>
      <c r="Z2752" s="176"/>
    </row>
    <row r="2753" ht="15.75" customHeight="1">
      <c r="A2753" s="408"/>
      <c r="B2753" s="428"/>
      <c r="C2753" s="200"/>
      <c r="D2753" s="176"/>
      <c r="E2753" s="176"/>
      <c r="F2753" s="408"/>
      <c r="G2753" s="176"/>
      <c r="H2753" s="114"/>
      <c r="I2753" s="42"/>
      <c r="J2753" s="42"/>
      <c r="K2753" s="176"/>
      <c r="L2753" s="176"/>
      <c r="M2753" s="176"/>
      <c r="N2753" s="176"/>
      <c r="O2753" s="176"/>
      <c r="P2753" s="114"/>
      <c r="Q2753" s="176"/>
      <c r="R2753" s="114"/>
      <c r="S2753" s="114"/>
      <c r="T2753" s="200"/>
      <c r="U2753" s="114"/>
      <c r="V2753" s="414"/>
      <c r="W2753" s="176"/>
      <c r="X2753" s="176"/>
      <c r="Y2753" s="176"/>
      <c r="Z2753" s="176"/>
    </row>
    <row r="2754" ht="15.75" customHeight="1">
      <c r="A2754" s="408"/>
      <c r="B2754" s="428"/>
      <c r="C2754" s="200"/>
      <c r="D2754" s="176"/>
      <c r="E2754" s="176"/>
      <c r="F2754" s="408"/>
      <c r="G2754" s="176"/>
      <c r="H2754" s="114"/>
      <c r="I2754" s="42"/>
      <c r="J2754" s="42"/>
      <c r="K2754" s="176"/>
      <c r="L2754" s="176"/>
      <c r="M2754" s="176"/>
      <c r="N2754" s="176"/>
      <c r="O2754" s="176"/>
      <c r="P2754" s="114"/>
      <c r="Q2754" s="176"/>
      <c r="R2754" s="114"/>
      <c r="S2754" s="114"/>
      <c r="T2754" s="200"/>
      <c r="U2754" s="114"/>
      <c r="V2754" s="414"/>
      <c r="W2754" s="176"/>
      <c r="X2754" s="176"/>
      <c r="Y2754" s="176"/>
      <c r="Z2754" s="176"/>
    </row>
    <row r="2755" ht="15.75" customHeight="1">
      <c r="A2755" s="408"/>
      <c r="B2755" s="428"/>
      <c r="C2755" s="200"/>
      <c r="D2755" s="176"/>
      <c r="E2755" s="176"/>
      <c r="F2755" s="408"/>
      <c r="G2755" s="176"/>
      <c r="H2755" s="114"/>
      <c r="I2755" s="42"/>
      <c r="J2755" s="42"/>
      <c r="K2755" s="176"/>
      <c r="L2755" s="176"/>
      <c r="M2755" s="176"/>
      <c r="N2755" s="176"/>
      <c r="O2755" s="176"/>
      <c r="P2755" s="114"/>
      <c r="Q2755" s="176"/>
      <c r="R2755" s="114"/>
      <c r="S2755" s="114"/>
      <c r="T2755" s="200"/>
      <c r="U2755" s="114"/>
      <c r="V2755" s="414"/>
      <c r="W2755" s="176"/>
      <c r="X2755" s="176"/>
      <c r="Y2755" s="176"/>
      <c r="Z2755" s="176"/>
    </row>
    <row r="2756" ht="15.75" customHeight="1">
      <c r="A2756" s="408"/>
      <c r="B2756" s="428"/>
      <c r="C2756" s="200"/>
      <c r="D2756" s="176"/>
      <c r="E2756" s="176"/>
      <c r="F2756" s="408"/>
      <c r="G2756" s="176"/>
      <c r="H2756" s="114"/>
      <c r="I2756" s="42"/>
      <c r="J2756" s="42"/>
      <c r="K2756" s="176"/>
      <c r="L2756" s="176"/>
      <c r="M2756" s="176"/>
      <c r="N2756" s="176"/>
      <c r="O2756" s="176"/>
      <c r="P2756" s="114"/>
      <c r="Q2756" s="176"/>
      <c r="R2756" s="114"/>
      <c r="S2756" s="114"/>
      <c r="T2756" s="200"/>
      <c r="U2756" s="114"/>
      <c r="V2756" s="414"/>
      <c r="W2756" s="176"/>
      <c r="X2756" s="176"/>
      <c r="Y2756" s="176"/>
      <c r="Z2756" s="176"/>
    </row>
    <row r="2757" ht="15.75" customHeight="1">
      <c r="A2757" s="408"/>
      <c r="B2757" s="428"/>
      <c r="C2757" s="200"/>
      <c r="D2757" s="176"/>
      <c r="E2757" s="176"/>
      <c r="F2757" s="408"/>
      <c r="G2757" s="176"/>
      <c r="H2757" s="114"/>
      <c r="I2757" s="42"/>
      <c r="J2757" s="42"/>
      <c r="K2757" s="176"/>
      <c r="L2757" s="176"/>
      <c r="M2757" s="176"/>
      <c r="N2757" s="176"/>
      <c r="O2757" s="176"/>
      <c r="P2757" s="114"/>
      <c r="Q2757" s="176"/>
      <c r="R2757" s="114"/>
      <c r="S2757" s="114"/>
      <c r="T2757" s="200"/>
      <c r="U2757" s="114"/>
      <c r="V2757" s="414"/>
      <c r="W2757" s="176"/>
      <c r="X2757" s="176"/>
      <c r="Y2757" s="176"/>
      <c r="Z2757" s="176"/>
    </row>
    <row r="2758" ht="15.75" customHeight="1">
      <c r="A2758" s="408"/>
      <c r="B2758" s="428"/>
      <c r="C2758" s="200"/>
      <c r="D2758" s="176"/>
      <c r="E2758" s="176"/>
      <c r="F2758" s="408"/>
      <c r="G2758" s="176"/>
      <c r="H2758" s="114"/>
      <c r="I2758" s="42"/>
      <c r="J2758" s="42"/>
      <c r="K2758" s="176"/>
      <c r="L2758" s="176"/>
      <c r="M2758" s="176"/>
      <c r="N2758" s="176"/>
      <c r="O2758" s="176"/>
      <c r="P2758" s="114"/>
      <c r="Q2758" s="176"/>
      <c r="R2758" s="114"/>
      <c r="S2758" s="114"/>
      <c r="T2758" s="200"/>
      <c r="U2758" s="114"/>
      <c r="V2758" s="414"/>
      <c r="W2758" s="176"/>
      <c r="X2758" s="176"/>
      <c r="Y2758" s="176"/>
      <c r="Z2758" s="176"/>
    </row>
    <row r="2759" ht="15.75" customHeight="1">
      <c r="A2759" s="408"/>
      <c r="B2759" s="428"/>
      <c r="C2759" s="200"/>
      <c r="D2759" s="176"/>
      <c r="E2759" s="176"/>
      <c r="F2759" s="408"/>
      <c r="G2759" s="176"/>
      <c r="H2759" s="114"/>
      <c r="I2759" s="42"/>
      <c r="J2759" s="42"/>
      <c r="K2759" s="176"/>
      <c r="L2759" s="176"/>
      <c r="M2759" s="176"/>
      <c r="N2759" s="176"/>
      <c r="O2759" s="176"/>
      <c r="P2759" s="114"/>
      <c r="Q2759" s="176"/>
      <c r="R2759" s="114"/>
      <c r="S2759" s="114"/>
      <c r="T2759" s="200"/>
      <c r="U2759" s="114"/>
      <c r="V2759" s="414"/>
      <c r="W2759" s="176"/>
      <c r="X2759" s="176"/>
      <c r="Y2759" s="176"/>
      <c r="Z2759" s="176"/>
    </row>
    <row r="2760" ht="15.75" customHeight="1">
      <c r="A2760" s="408"/>
      <c r="B2760" s="428"/>
      <c r="C2760" s="200"/>
      <c r="D2760" s="176"/>
      <c r="E2760" s="176"/>
      <c r="F2760" s="408"/>
      <c r="G2760" s="176"/>
      <c r="H2760" s="114"/>
      <c r="I2760" s="42"/>
      <c r="J2760" s="42"/>
      <c r="K2760" s="176"/>
      <c r="L2760" s="176"/>
      <c r="M2760" s="176"/>
      <c r="N2760" s="176"/>
      <c r="O2760" s="176"/>
      <c r="P2760" s="114"/>
      <c r="Q2760" s="176"/>
      <c r="R2760" s="114"/>
      <c r="S2760" s="114"/>
      <c r="T2760" s="200"/>
      <c r="U2760" s="114"/>
      <c r="V2760" s="414"/>
      <c r="W2760" s="176"/>
      <c r="X2760" s="176"/>
      <c r="Y2760" s="176"/>
      <c r="Z2760" s="176"/>
    </row>
    <row r="2761" ht="15.75" customHeight="1">
      <c r="A2761" s="408"/>
      <c r="B2761" s="428"/>
      <c r="C2761" s="200"/>
      <c r="D2761" s="176"/>
      <c r="E2761" s="176"/>
      <c r="F2761" s="408"/>
      <c r="G2761" s="176"/>
      <c r="H2761" s="114"/>
      <c r="I2761" s="42"/>
      <c r="J2761" s="42"/>
      <c r="K2761" s="176"/>
      <c r="L2761" s="176"/>
      <c r="M2761" s="176"/>
      <c r="N2761" s="176"/>
      <c r="O2761" s="176"/>
      <c r="P2761" s="114"/>
      <c r="Q2761" s="176"/>
      <c r="R2761" s="114"/>
      <c r="S2761" s="114"/>
      <c r="T2761" s="200"/>
      <c r="U2761" s="114"/>
      <c r="V2761" s="414"/>
      <c r="W2761" s="176"/>
      <c r="X2761" s="176"/>
      <c r="Y2761" s="176"/>
      <c r="Z2761" s="176"/>
    </row>
    <row r="2762" ht="15.75" customHeight="1">
      <c r="A2762" s="408"/>
      <c r="B2762" s="428"/>
      <c r="C2762" s="200"/>
      <c r="D2762" s="176"/>
      <c r="E2762" s="176"/>
      <c r="F2762" s="408"/>
      <c r="G2762" s="176"/>
      <c r="H2762" s="114"/>
      <c r="I2762" s="42"/>
      <c r="J2762" s="42"/>
      <c r="K2762" s="176"/>
      <c r="L2762" s="176"/>
      <c r="M2762" s="176"/>
      <c r="N2762" s="176"/>
      <c r="O2762" s="176"/>
      <c r="P2762" s="114"/>
      <c r="Q2762" s="176"/>
      <c r="R2762" s="114"/>
      <c r="S2762" s="114"/>
      <c r="T2762" s="200"/>
      <c r="U2762" s="114"/>
      <c r="V2762" s="414"/>
      <c r="W2762" s="176"/>
      <c r="X2762" s="176"/>
      <c r="Y2762" s="176"/>
      <c r="Z2762" s="176"/>
    </row>
    <row r="2763" ht="15.75" customHeight="1">
      <c r="A2763" s="408"/>
      <c r="B2763" s="428"/>
      <c r="C2763" s="200"/>
      <c r="D2763" s="176"/>
      <c r="E2763" s="176"/>
      <c r="F2763" s="408"/>
      <c r="G2763" s="176"/>
      <c r="H2763" s="114"/>
      <c r="I2763" s="42"/>
      <c r="J2763" s="42"/>
      <c r="K2763" s="176"/>
      <c r="L2763" s="176"/>
      <c r="M2763" s="176"/>
      <c r="N2763" s="176"/>
      <c r="O2763" s="176"/>
      <c r="P2763" s="114"/>
      <c r="Q2763" s="176"/>
      <c r="R2763" s="114"/>
      <c r="S2763" s="114"/>
      <c r="T2763" s="200"/>
      <c r="U2763" s="114"/>
      <c r="V2763" s="414"/>
      <c r="W2763" s="176"/>
      <c r="X2763" s="176"/>
      <c r="Y2763" s="176"/>
      <c r="Z2763" s="176"/>
    </row>
    <row r="2764" ht="15.75" customHeight="1">
      <c r="A2764" s="408"/>
      <c r="B2764" s="428"/>
      <c r="C2764" s="200"/>
      <c r="D2764" s="176"/>
      <c r="E2764" s="176"/>
      <c r="F2764" s="408"/>
      <c r="G2764" s="176"/>
      <c r="H2764" s="114"/>
      <c r="I2764" s="42"/>
      <c r="J2764" s="42"/>
      <c r="K2764" s="176"/>
      <c r="L2764" s="176"/>
      <c r="M2764" s="176"/>
      <c r="N2764" s="176"/>
      <c r="O2764" s="176"/>
      <c r="P2764" s="114"/>
      <c r="Q2764" s="176"/>
      <c r="R2764" s="114"/>
      <c r="S2764" s="114"/>
      <c r="T2764" s="200"/>
      <c r="U2764" s="114"/>
      <c r="V2764" s="414"/>
      <c r="W2764" s="176"/>
      <c r="X2764" s="176"/>
      <c r="Y2764" s="176"/>
      <c r="Z2764" s="176"/>
    </row>
    <row r="2765" ht="15.75" customHeight="1">
      <c r="A2765" s="408"/>
      <c r="B2765" s="428"/>
      <c r="C2765" s="200"/>
      <c r="D2765" s="176"/>
      <c r="E2765" s="176"/>
      <c r="F2765" s="408"/>
      <c r="G2765" s="176"/>
      <c r="H2765" s="114"/>
      <c r="I2765" s="42"/>
      <c r="J2765" s="42"/>
      <c r="K2765" s="176"/>
      <c r="L2765" s="176"/>
      <c r="M2765" s="176"/>
      <c r="N2765" s="176"/>
      <c r="O2765" s="176"/>
      <c r="P2765" s="114"/>
      <c r="Q2765" s="176"/>
      <c r="R2765" s="114"/>
      <c r="S2765" s="114"/>
      <c r="T2765" s="200"/>
      <c r="U2765" s="114"/>
      <c r="V2765" s="414"/>
      <c r="W2765" s="176"/>
      <c r="X2765" s="176"/>
      <c r="Y2765" s="176"/>
      <c r="Z2765" s="176"/>
    </row>
    <row r="2766" ht="15.75" customHeight="1">
      <c r="A2766" s="408"/>
      <c r="B2766" s="428"/>
      <c r="C2766" s="200"/>
      <c r="D2766" s="176"/>
      <c r="E2766" s="176"/>
      <c r="F2766" s="408"/>
      <c r="G2766" s="176"/>
      <c r="H2766" s="114"/>
      <c r="I2766" s="42"/>
      <c r="J2766" s="42"/>
      <c r="K2766" s="176"/>
      <c r="L2766" s="176"/>
      <c r="M2766" s="176"/>
      <c r="N2766" s="176"/>
      <c r="O2766" s="176"/>
      <c r="P2766" s="114"/>
      <c r="Q2766" s="176"/>
      <c r="R2766" s="114"/>
      <c r="S2766" s="114"/>
      <c r="T2766" s="200"/>
      <c r="U2766" s="114"/>
      <c r="V2766" s="414"/>
      <c r="W2766" s="176"/>
      <c r="X2766" s="176"/>
      <c r="Y2766" s="176"/>
      <c r="Z2766" s="176"/>
    </row>
    <row r="2767" ht="15.75" customHeight="1">
      <c r="A2767" s="408"/>
      <c r="B2767" s="428"/>
      <c r="C2767" s="200"/>
      <c r="D2767" s="176"/>
      <c r="E2767" s="176"/>
      <c r="F2767" s="408"/>
      <c r="G2767" s="176"/>
      <c r="H2767" s="114"/>
      <c r="I2767" s="42"/>
      <c r="J2767" s="42"/>
      <c r="K2767" s="176"/>
      <c r="L2767" s="176"/>
      <c r="M2767" s="176"/>
      <c r="N2767" s="176"/>
      <c r="O2767" s="176"/>
      <c r="P2767" s="114"/>
      <c r="Q2767" s="176"/>
      <c r="R2767" s="114"/>
      <c r="S2767" s="114"/>
      <c r="T2767" s="200"/>
      <c r="U2767" s="114"/>
      <c r="V2767" s="414"/>
      <c r="W2767" s="176"/>
      <c r="X2767" s="176"/>
      <c r="Y2767" s="176"/>
      <c r="Z2767" s="176"/>
    </row>
    <row r="2768" ht="15.75" customHeight="1">
      <c r="A2768" s="408"/>
      <c r="B2768" s="428"/>
      <c r="C2768" s="200"/>
      <c r="D2768" s="176"/>
      <c r="E2768" s="176"/>
      <c r="F2768" s="408"/>
      <c r="G2768" s="176"/>
      <c r="H2768" s="114"/>
      <c r="I2768" s="42"/>
      <c r="J2768" s="42"/>
      <c r="K2768" s="176"/>
      <c r="L2768" s="176"/>
      <c r="M2768" s="176"/>
      <c r="N2768" s="176"/>
      <c r="O2768" s="176"/>
      <c r="P2768" s="114"/>
      <c r="Q2768" s="176"/>
      <c r="R2768" s="114"/>
      <c r="S2768" s="114"/>
      <c r="T2768" s="200"/>
      <c r="U2768" s="114"/>
      <c r="V2768" s="414"/>
      <c r="W2768" s="176"/>
      <c r="X2768" s="176"/>
      <c r="Y2768" s="176"/>
      <c r="Z2768" s="176"/>
    </row>
    <row r="2769" ht="15.75" customHeight="1">
      <c r="A2769" s="408"/>
      <c r="B2769" s="428"/>
      <c r="C2769" s="200"/>
      <c r="D2769" s="176"/>
      <c r="E2769" s="176"/>
      <c r="F2769" s="408"/>
      <c r="G2769" s="176"/>
      <c r="H2769" s="114"/>
      <c r="I2769" s="42"/>
      <c r="J2769" s="42"/>
      <c r="K2769" s="176"/>
      <c r="L2769" s="176"/>
      <c r="M2769" s="176"/>
      <c r="N2769" s="176"/>
      <c r="O2769" s="176"/>
      <c r="P2769" s="114"/>
      <c r="Q2769" s="176"/>
      <c r="R2769" s="114"/>
      <c r="S2769" s="114"/>
      <c r="T2769" s="200"/>
      <c r="U2769" s="114"/>
      <c r="V2769" s="414"/>
      <c r="W2769" s="176"/>
      <c r="X2769" s="176"/>
      <c r="Y2769" s="176"/>
      <c r="Z2769" s="176"/>
    </row>
    <row r="2770" ht="15.75" customHeight="1">
      <c r="A2770" s="408"/>
      <c r="B2770" s="428"/>
      <c r="C2770" s="200"/>
      <c r="D2770" s="176"/>
      <c r="E2770" s="176"/>
      <c r="F2770" s="408"/>
      <c r="G2770" s="176"/>
      <c r="H2770" s="114"/>
      <c r="I2770" s="42"/>
      <c r="J2770" s="42"/>
      <c r="K2770" s="176"/>
      <c r="L2770" s="176"/>
      <c r="M2770" s="176"/>
      <c r="N2770" s="176"/>
      <c r="O2770" s="176"/>
      <c r="P2770" s="114"/>
      <c r="Q2770" s="176"/>
      <c r="R2770" s="114"/>
      <c r="S2770" s="114"/>
      <c r="T2770" s="200"/>
      <c r="U2770" s="114"/>
      <c r="V2770" s="414"/>
      <c r="W2770" s="176"/>
      <c r="X2770" s="176"/>
      <c r="Y2770" s="176"/>
      <c r="Z2770" s="176"/>
    </row>
    <row r="2771" ht="15.75" customHeight="1">
      <c r="A2771" s="408"/>
      <c r="B2771" s="428"/>
      <c r="C2771" s="200"/>
      <c r="D2771" s="176"/>
      <c r="E2771" s="176"/>
      <c r="F2771" s="408"/>
      <c r="G2771" s="176"/>
      <c r="H2771" s="114"/>
      <c r="I2771" s="42"/>
      <c r="J2771" s="42"/>
      <c r="K2771" s="176"/>
      <c r="L2771" s="176"/>
      <c r="M2771" s="176"/>
      <c r="N2771" s="176"/>
      <c r="O2771" s="176"/>
      <c r="P2771" s="114"/>
      <c r="Q2771" s="176"/>
      <c r="R2771" s="114"/>
      <c r="S2771" s="114"/>
      <c r="T2771" s="200"/>
      <c r="U2771" s="114"/>
      <c r="V2771" s="414"/>
      <c r="W2771" s="176"/>
      <c r="X2771" s="176"/>
      <c r="Y2771" s="176"/>
      <c r="Z2771" s="176"/>
    </row>
    <row r="2772" ht="15.75" customHeight="1">
      <c r="A2772" s="408"/>
      <c r="B2772" s="428"/>
      <c r="C2772" s="200"/>
      <c r="D2772" s="176"/>
      <c r="E2772" s="176"/>
      <c r="F2772" s="408"/>
      <c r="G2772" s="176"/>
      <c r="H2772" s="114"/>
      <c r="I2772" s="42"/>
      <c r="J2772" s="42"/>
      <c r="K2772" s="176"/>
      <c r="L2772" s="176"/>
      <c r="M2772" s="176"/>
      <c r="N2772" s="176"/>
      <c r="O2772" s="176"/>
      <c r="P2772" s="114"/>
      <c r="Q2772" s="176"/>
      <c r="R2772" s="114"/>
      <c r="S2772" s="114"/>
      <c r="T2772" s="200"/>
      <c r="U2772" s="114"/>
      <c r="V2772" s="414"/>
      <c r="W2772" s="176"/>
      <c r="X2772" s="176"/>
      <c r="Y2772" s="176"/>
      <c r="Z2772" s="176"/>
    </row>
    <row r="2773" ht="15.75" customHeight="1">
      <c r="A2773" s="408"/>
      <c r="B2773" s="428"/>
      <c r="C2773" s="200"/>
      <c r="D2773" s="176"/>
      <c r="E2773" s="176"/>
      <c r="F2773" s="408"/>
      <c r="G2773" s="176"/>
      <c r="H2773" s="114"/>
      <c r="I2773" s="42"/>
      <c r="J2773" s="42"/>
      <c r="K2773" s="176"/>
      <c r="L2773" s="176"/>
      <c r="M2773" s="176"/>
      <c r="N2773" s="176"/>
      <c r="O2773" s="176"/>
      <c r="P2773" s="114"/>
      <c r="Q2773" s="176"/>
      <c r="R2773" s="114"/>
      <c r="S2773" s="114"/>
      <c r="T2773" s="200"/>
      <c r="U2773" s="114"/>
      <c r="V2773" s="414"/>
      <c r="W2773" s="176"/>
      <c r="X2773" s="176"/>
      <c r="Y2773" s="176"/>
      <c r="Z2773" s="176"/>
    </row>
    <row r="2774" ht="15.75" customHeight="1">
      <c r="A2774" s="408"/>
      <c r="B2774" s="428"/>
      <c r="C2774" s="200"/>
      <c r="D2774" s="176"/>
      <c r="E2774" s="176"/>
      <c r="F2774" s="408"/>
      <c r="G2774" s="176"/>
      <c r="H2774" s="114"/>
      <c r="I2774" s="42"/>
      <c r="J2774" s="42"/>
      <c r="K2774" s="176"/>
      <c r="L2774" s="176"/>
      <c r="M2774" s="176"/>
      <c r="N2774" s="176"/>
      <c r="O2774" s="176"/>
      <c r="P2774" s="114"/>
      <c r="Q2774" s="176"/>
      <c r="R2774" s="114"/>
      <c r="S2774" s="114"/>
      <c r="T2774" s="200"/>
      <c r="U2774" s="114"/>
      <c r="V2774" s="414"/>
      <c r="W2774" s="176"/>
      <c r="X2774" s="176"/>
      <c r="Y2774" s="176"/>
      <c r="Z2774" s="176"/>
    </row>
    <row r="2775" ht="15.75" customHeight="1">
      <c r="A2775" s="408"/>
      <c r="B2775" s="428"/>
      <c r="C2775" s="200"/>
      <c r="D2775" s="176"/>
      <c r="E2775" s="176"/>
      <c r="F2775" s="408"/>
      <c r="G2775" s="176"/>
      <c r="H2775" s="114"/>
      <c r="I2775" s="42"/>
      <c r="J2775" s="42"/>
      <c r="K2775" s="176"/>
      <c r="L2775" s="176"/>
      <c r="M2775" s="176"/>
      <c r="N2775" s="176"/>
      <c r="O2775" s="176"/>
      <c r="P2775" s="114"/>
      <c r="Q2775" s="176"/>
      <c r="R2775" s="114"/>
      <c r="S2775" s="114"/>
      <c r="T2775" s="200"/>
      <c r="U2775" s="114"/>
      <c r="V2775" s="414"/>
      <c r="W2775" s="176"/>
      <c r="X2775" s="176"/>
      <c r="Y2775" s="176"/>
      <c r="Z2775" s="176"/>
    </row>
    <row r="2776" ht="15.75" customHeight="1">
      <c r="A2776" s="408"/>
      <c r="B2776" s="428"/>
      <c r="C2776" s="200"/>
      <c r="D2776" s="176"/>
      <c r="E2776" s="176"/>
      <c r="F2776" s="408"/>
      <c r="G2776" s="176"/>
      <c r="H2776" s="114"/>
      <c r="I2776" s="42"/>
      <c r="J2776" s="42"/>
      <c r="K2776" s="176"/>
      <c r="L2776" s="176"/>
      <c r="M2776" s="176"/>
      <c r="N2776" s="176"/>
      <c r="O2776" s="176"/>
      <c r="P2776" s="114"/>
      <c r="Q2776" s="176"/>
      <c r="R2776" s="114"/>
      <c r="S2776" s="114"/>
      <c r="T2776" s="200"/>
      <c r="U2776" s="114"/>
      <c r="V2776" s="414"/>
      <c r="W2776" s="176"/>
      <c r="X2776" s="176"/>
      <c r="Y2776" s="176"/>
      <c r="Z2776" s="176"/>
    </row>
    <row r="2777" ht="15.75" customHeight="1">
      <c r="A2777" s="408"/>
      <c r="B2777" s="428"/>
      <c r="C2777" s="200"/>
      <c r="D2777" s="176"/>
      <c r="E2777" s="176"/>
      <c r="F2777" s="408"/>
      <c r="G2777" s="176"/>
      <c r="H2777" s="114"/>
      <c r="I2777" s="42"/>
      <c r="J2777" s="42"/>
      <c r="K2777" s="176"/>
      <c r="L2777" s="176"/>
      <c r="M2777" s="176"/>
      <c r="N2777" s="176"/>
      <c r="O2777" s="176"/>
      <c r="P2777" s="114"/>
      <c r="Q2777" s="176"/>
      <c r="R2777" s="114"/>
      <c r="S2777" s="114"/>
      <c r="T2777" s="200"/>
      <c r="U2777" s="114"/>
      <c r="V2777" s="414"/>
      <c r="W2777" s="176"/>
      <c r="X2777" s="176"/>
      <c r="Y2777" s="176"/>
      <c r="Z2777" s="176"/>
    </row>
    <row r="2778" ht="15.75" customHeight="1">
      <c r="A2778" s="408"/>
      <c r="B2778" s="428"/>
      <c r="C2778" s="200"/>
      <c r="D2778" s="176"/>
      <c r="E2778" s="176"/>
      <c r="F2778" s="408"/>
      <c r="G2778" s="176"/>
      <c r="H2778" s="114"/>
      <c r="I2778" s="42"/>
      <c r="J2778" s="42"/>
      <c r="K2778" s="176"/>
      <c r="L2778" s="176"/>
      <c r="M2778" s="176"/>
      <c r="N2778" s="176"/>
      <c r="O2778" s="176"/>
      <c r="P2778" s="114"/>
      <c r="Q2778" s="176"/>
      <c r="R2778" s="114"/>
      <c r="S2778" s="114"/>
      <c r="T2778" s="200"/>
      <c r="U2778" s="114"/>
      <c r="V2778" s="414"/>
      <c r="W2778" s="176"/>
      <c r="X2778" s="176"/>
      <c r="Y2778" s="176"/>
      <c r="Z2778" s="176"/>
    </row>
    <row r="2779" ht="15.75" customHeight="1">
      <c r="A2779" s="408"/>
      <c r="B2779" s="428"/>
      <c r="C2779" s="200"/>
      <c r="D2779" s="176"/>
      <c r="E2779" s="176"/>
      <c r="F2779" s="408"/>
      <c r="G2779" s="176"/>
      <c r="H2779" s="114"/>
      <c r="I2779" s="42"/>
      <c r="J2779" s="42"/>
      <c r="K2779" s="176"/>
      <c r="L2779" s="176"/>
      <c r="M2779" s="176"/>
      <c r="N2779" s="176"/>
      <c r="O2779" s="176"/>
      <c r="P2779" s="114"/>
      <c r="Q2779" s="176"/>
      <c r="R2779" s="114"/>
      <c r="S2779" s="114"/>
      <c r="T2779" s="200"/>
      <c r="U2779" s="114"/>
      <c r="V2779" s="414"/>
      <c r="W2779" s="176"/>
      <c r="X2779" s="176"/>
      <c r="Y2779" s="176"/>
      <c r="Z2779" s="176"/>
    </row>
    <row r="2780" ht="15.75" customHeight="1">
      <c r="A2780" s="408"/>
      <c r="B2780" s="428"/>
      <c r="C2780" s="200"/>
      <c r="D2780" s="176"/>
      <c r="E2780" s="176"/>
      <c r="F2780" s="408"/>
      <c r="G2780" s="176"/>
      <c r="H2780" s="114"/>
      <c r="I2780" s="42"/>
      <c r="J2780" s="42"/>
      <c r="K2780" s="176"/>
      <c r="L2780" s="176"/>
      <c r="M2780" s="176"/>
      <c r="N2780" s="176"/>
      <c r="O2780" s="176"/>
      <c r="P2780" s="114"/>
      <c r="Q2780" s="176"/>
      <c r="R2780" s="114"/>
      <c r="S2780" s="114"/>
      <c r="T2780" s="200"/>
      <c r="U2780" s="114"/>
      <c r="V2780" s="414"/>
      <c r="W2780" s="176"/>
      <c r="X2780" s="176"/>
      <c r="Y2780" s="176"/>
      <c r="Z2780" s="176"/>
    </row>
    <row r="2781" ht="15.75" customHeight="1">
      <c r="A2781" s="408"/>
      <c r="B2781" s="428"/>
      <c r="C2781" s="200"/>
      <c r="D2781" s="176"/>
      <c r="E2781" s="176"/>
      <c r="F2781" s="408"/>
      <c r="G2781" s="176"/>
      <c r="H2781" s="114"/>
      <c r="I2781" s="42"/>
      <c r="J2781" s="42"/>
      <c r="K2781" s="176"/>
      <c r="L2781" s="176"/>
      <c r="M2781" s="176"/>
      <c r="N2781" s="176"/>
      <c r="O2781" s="176"/>
      <c r="P2781" s="114"/>
      <c r="Q2781" s="176"/>
      <c r="R2781" s="114"/>
      <c r="S2781" s="114"/>
      <c r="T2781" s="200"/>
      <c r="U2781" s="114"/>
      <c r="V2781" s="414"/>
      <c r="W2781" s="176"/>
      <c r="X2781" s="176"/>
      <c r="Y2781" s="176"/>
      <c r="Z2781" s="176"/>
    </row>
    <row r="2782" ht="15.75" customHeight="1">
      <c r="A2782" s="408"/>
      <c r="B2782" s="428"/>
      <c r="C2782" s="200"/>
      <c r="D2782" s="176"/>
      <c r="E2782" s="176"/>
      <c r="F2782" s="408"/>
      <c r="G2782" s="176"/>
      <c r="H2782" s="114"/>
      <c r="I2782" s="42"/>
      <c r="J2782" s="42"/>
      <c r="K2782" s="176"/>
      <c r="L2782" s="176"/>
      <c r="M2782" s="176"/>
      <c r="N2782" s="176"/>
      <c r="O2782" s="176"/>
      <c r="P2782" s="114"/>
      <c r="Q2782" s="176"/>
      <c r="R2782" s="114"/>
      <c r="S2782" s="114"/>
      <c r="T2782" s="200"/>
      <c r="U2782" s="114"/>
      <c r="V2782" s="414"/>
      <c r="W2782" s="176"/>
      <c r="X2782" s="176"/>
      <c r="Y2782" s="176"/>
      <c r="Z2782" s="176"/>
    </row>
    <row r="2783" ht="15.75" customHeight="1">
      <c r="A2783" s="408"/>
      <c r="B2783" s="428"/>
      <c r="C2783" s="200"/>
      <c r="D2783" s="176"/>
      <c r="E2783" s="176"/>
      <c r="F2783" s="408"/>
      <c r="G2783" s="176"/>
      <c r="H2783" s="114"/>
      <c r="I2783" s="42"/>
      <c r="J2783" s="42"/>
      <c r="K2783" s="176"/>
      <c r="L2783" s="176"/>
      <c r="M2783" s="176"/>
      <c r="N2783" s="176"/>
      <c r="O2783" s="176"/>
      <c r="P2783" s="114"/>
      <c r="Q2783" s="176"/>
      <c r="R2783" s="114"/>
      <c r="S2783" s="114"/>
      <c r="T2783" s="200"/>
      <c r="U2783" s="114"/>
      <c r="V2783" s="414"/>
      <c r="W2783" s="176"/>
      <c r="X2783" s="176"/>
      <c r="Y2783" s="176"/>
      <c r="Z2783" s="176"/>
    </row>
    <row r="2784" ht="15.75" customHeight="1">
      <c r="A2784" s="408"/>
      <c r="B2784" s="428"/>
      <c r="C2784" s="200"/>
      <c r="D2784" s="176"/>
      <c r="E2784" s="176"/>
      <c r="F2784" s="408"/>
      <c r="G2784" s="176"/>
      <c r="H2784" s="114"/>
      <c r="I2784" s="42"/>
      <c r="J2784" s="42"/>
      <c r="K2784" s="176"/>
      <c r="L2784" s="176"/>
      <c r="M2784" s="176"/>
      <c r="N2784" s="176"/>
      <c r="O2784" s="176"/>
      <c r="P2784" s="114"/>
      <c r="Q2784" s="176"/>
      <c r="R2784" s="114"/>
      <c r="S2784" s="114"/>
      <c r="T2784" s="200"/>
      <c r="U2784" s="114"/>
      <c r="V2784" s="414"/>
      <c r="W2784" s="176"/>
      <c r="X2784" s="176"/>
      <c r="Y2784" s="176"/>
      <c r="Z2784" s="176"/>
    </row>
    <row r="2785" ht="15.75" customHeight="1">
      <c r="A2785" s="408"/>
      <c r="B2785" s="428"/>
      <c r="C2785" s="200"/>
      <c r="D2785" s="176"/>
      <c r="E2785" s="176"/>
      <c r="F2785" s="408"/>
      <c r="G2785" s="176"/>
      <c r="H2785" s="114"/>
      <c r="I2785" s="42"/>
      <c r="J2785" s="42"/>
      <c r="K2785" s="176"/>
      <c r="L2785" s="176"/>
      <c r="M2785" s="176"/>
      <c r="N2785" s="176"/>
      <c r="O2785" s="176"/>
      <c r="P2785" s="114"/>
      <c r="Q2785" s="176"/>
      <c r="R2785" s="114"/>
      <c r="S2785" s="114"/>
      <c r="T2785" s="200"/>
      <c r="U2785" s="114"/>
      <c r="V2785" s="414"/>
      <c r="W2785" s="176"/>
      <c r="X2785" s="176"/>
      <c r="Y2785" s="176"/>
      <c r="Z2785" s="176"/>
    </row>
    <row r="2786" ht="15.75" customHeight="1">
      <c r="A2786" s="408"/>
      <c r="B2786" s="428"/>
      <c r="C2786" s="200"/>
      <c r="D2786" s="176"/>
      <c r="E2786" s="176"/>
      <c r="F2786" s="408"/>
      <c r="G2786" s="176"/>
      <c r="H2786" s="114"/>
      <c r="I2786" s="42"/>
      <c r="J2786" s="42"/>
      <c r="K2786" s="176"/>
      <c r="L2786" s="176"/>
      <c r="M2786" s="176"/>
      <c r="N2786" s="176"/>
      <c r="O2786" s="176"/>
      <c r="P2786" s="114"/>
      <c r="Q2786" s="176"/>
      <c r="R2786" s="114"/>
      <c r="S2786" s="114"/>
      <c r="T2786" s="200"/>
      <c r="U2786" s="114"/>
      <c r="V2786" s="414"/>
      <c r="W2786" s="176"/>
      <c r="X2786" s="176"/>
      <c r="Y2786" s="176"/>
      <c r="Z2786" s="176"/>
    </row>
    <row r="2787" ht="15.75" customHeight="1">
      <c r="A2787" s="408"/>
      <c r="B2787" s="428"/>
      <c r="C2787" s="200"/>
      <c r="D2787" s="176"/>
      <c r="E2787" s="176"/>
      <c r="F2787" s="408"/>
      <c r="G2787" s="176"/>
      <c r="H2787" s="114"/>
      <c r="I2787" s="42"/>
      <c r="J2787" s="42"/>
      <c r="K2787" s="176"/>
      <c r="L2787" s="176"/>
      <c r="M2787" s="176"/>
      <c r="N2787" s="176"/>
      <c r="O2787" s="176"/>
      <c r="P2787" s="114"/>
      <c r="Q2787" s="176"/>
      <c r="R2787" s="114"/>
      <c r="S2787" s="114"/>
      <c r="T2787" s="200"/>
      <c r="U2787" s="114"/>
      <c r="V2787" s="414"/>
      <c r="W2787" s="176"/>
      <c r="X2787" s="176"/>
      <c r="Y2787" s="176"/>
      <c r="Z2787" s="176"/>
    </row>
    <row r="2788" ht="15.75" customHeight="1">
      <c r="A2788" s="408"/>
      <c r="B2788" s="428"/>
      <c r="C2788" s="200"/>
      <c r="D2788" s="176"/>
      <c r="E2788" s="176"/>
      <c r="F2788" s="408"/>
      <c r="G2788" s="176"/>
      <c r="H2788" s="114"/>
      <c r="I2788" s="42"/>
      <c r="J2788" s="42"/>
      <c r="K2788" s="176"/>
      <c r="L2788" s="176"/>
      <c r="M2788" s="176"/>
      <c r="N2788" s="176"/>
      <c r="O2788" s="176"/>
      <c r="P2788" s="114"/>
      <c r="Q2788" s="176"/>
      <c r="R2788" s="114"/>
      <c r="S2788" s="114"/>
      <c r="T2788" s="200"/>
      <c r="U2788" s="114"/>
      <c r="V2788" s="414"/>
      <c r="W2788" s="176"/>
      <c r="X2788" s="176"/>
      <c r="Y2788" s="176"/>
      <c r="Z2788" s="176"/>
    </row>
    <row r="2789" ht="15.75" customHeight="1">
      <c r="A2789" s="408"/>
      <c r="B2789" s="428"/>
      <c r="C2789" s="200"/>
      <c r="D2789" s="176"/>
      <c r="E2789" s="176"/>
      <c r="F2789" s="408"/>
      <c r="G2789" s="176"/>
      <c r="H2789" s="114"/>
      <c r="I2789" s="42"/>
      <c r="J2789" s="42"/>
      <c r="K2789" s="176"/>
      <c r="L2789" s="176"/>
      <c r="M2789" s="176"/>
      <c r="N2789" s="176"/>
      <c r="O2789" s="176"/>
      <c r="P2789" s="114"/>
      <c r="Q2789" s="176"/>
      <c r="R2789" s="114"/>
      <c r="S2789" s="114"/>
      <c r="T2789" s="200"/>
      <c r="U2789" s="114"/>
      <c r="V2789" s="414"/>
      <c r="W2789" s="176"/>
      <c r="X2789" s="176"/>
      <c r="Y2789" s="176"/>
      <c r="Z2789" s="176"/>
    </row>
    <row r="2790" ht="15.75" customHeight="1">
      <c r="A2790" s="408"/>
      <c r="B2790" s="428"/>
      <c r="C2790" s="200"/>
      <c r="D2790" s="176"/>
      <c r="E2790" s="176"/>
      <c r="F2790" s="408"/>
      <c r="G2790" s="176"/>
      <c r="H2790" s="114"/>
      <c r="I2790" s="42"/>
      <c r="J2790" s="42"/>
      <c r="K2790" s="176"/>
      <c r="L2790" s="176"/>
      <c r="M2790" s="176"/>
      <c r="N2790" s="176"/>
      <c r="O2790" s="176"/>
      <c r="P2790" s="114"/>
      <c r="Q2790" s="176"/>
      <c r="R2790" s="114"/>
      <c r="S2790" s="114"/>
      <c r="T2790" s="200"/>
      <c r="U2790" s="114"/>
      <c r="V2790" s="414"/>
      <c r="W2790" s="176"/>
      <c r="X2790" s="176"/>
      <c r="Y2790" s="176"/>
      <c r="Z2790" s="176"/>
    </row>
    <row r="2791" ht="15.75" customHeight="1">
      <c r="A2791" s="408"/>
      <c r="B2791" s="428"/>
      <c r="C2791" s="200"/>
      <c r="D2791" s="176"/>
      <c r="E2791" s="176"/>
      <c r="F2791" s="408"/>
      <c r="G2791" s="176"/>
      <c r="H2791" s="114"/>
      <c r="I2791" s="42"/>
      <c r="J2791" s="42"/>
      <c r="K2791" s="176"/>
      <c r="L2791" s="176"/>
      <c r="M2791" s="176"/>
      <c r="N2791" s="176"/>
      <c r="O2791" s="176"/>
      <c r="P2791" s="114"/>
      <c r="Q2791" s="176"/>
      <c r="R2791" s="114"/>
      <c r="S2791" s="114"/>
      <c r="T2791" s="200"/>
      <c r="U2791" s="114"/>
      <c r="V2791" s="414"/>
      <c r="W2791" s="176"/>
      <c r="X2791" s="176"/>
      <c r="Y2791" s="176"/>
      <c r="Z2791" s="176"/>
    </row>
    <row r="2792" ht="15.75" customHeight="1">
      <c r="A2792" s="408"/>
      <c r="B2792" s="428"/>
      <c r="C2792" s="200"/>
      <c r="D2792" s="176"/>
      <c r="E2792" s="176"/>
      <c r="F2792" s="408"/>
      <c r="G2792" s="176"/>
      <c r="H2792" s="114"/>
      <c r="I2792" s="42"/>
      <c r="J2792" s="42"/>
      <c r="K2792" s="176"/>
      <c r="L2792" s="176"/>
      <c r="M2792" s="176"/>
      <c r="N2792" s="176"/>
      <c r="O2792" s="176"/>
      <c r="P2792" s="114"/>
      <c r="Q2792" s="176"/>
      <c r="R2792" s="114"/>
      <c r="S2792" s="114"/>
      <c r="T2792" s="200"/>
      <c r="U2792" s="114"/>
      <c r="V2792" s="414"/>
      <c r="W2792" s="176"/>
      <c r="X2792" s="176"/>
      <c r="Y2792" s="176"/>
      <c r="Z2792" s="176"/>
    </row>
    <row r="2793" ht="15.75" customHeight="1">
      <c r="A2793" s="408"/>
      <c r="B2793" s="428"/>
      <c r="C2793" s="200"/>
      <c r="D2793" s="176"/>
      <c r="E2793" s="176"/>
      <c r="F2793" s="408"/>
      <c r="G2793" s="176"/>
      <c r="H2793" s="114"/>
      <c r="I2793" s="42"/>
      <c r="J2793" s="42"/>
      <c r="K2793" s="176"/>
      <c r="L2793" s="176"/>
      <c r="M2793" s="176"/>
      <c r="N2793" s="176"/>
      <c r="O2793" s="176"/>
      <c r="P2793" s="114"/>
      <c r="Q2793" s="176"/>
      <c r="R2793" s="114"/>
      <c r="S2793" s="114"/>
      <c r="T2793" s="200"/>
      <c r="U2793" s="114"/>
      <c r="V2793" s="414"/>
      <c r="W2793" s="176"/>
      <c r="X2793" s="176"/>
      <c r="Y2793" s="176"/>
      <c r="Z2793" s="176"/>
    </row>
    <row r="2794" ht="15.75" customHeight="1">
      <c r="A2794" s="408"/>
      <c r="B2794" s="428"/>
      <c r="C2794" s="200"/>
      <c r="D2794" s="176"/>
      <c r="E2794" s="176"/>
      <c r="F2794" s="408"/>
      <c r="G2794" s="176"/>
      <c r="H2794" s="114"/>
      <c r="I2794" s="42"/>
      <c r="J2794" s="42"/>
      <c r="K2794" s="176"/>
      <c r="L2794" s="176"/>
      <c r="M2794" s="176"/>
      <c r="N2794" s="176"/>
      <c r="O2794" s="176"/>
      <c r="P2794" s="114"/>
      <c r="Q2794" s="176"/>
      <c r="R2794" s="114"/>
      <c r="S2794" s="114"/>
      <c r="T2794" s="200"/>
      <c r="U2794" s="114"/>
      <c r="V2794" s="414"/>
      <c r="W2794" s="176"/>
      <c r="X2794" s="176"/>
      <c r="Y2794" s="176"/>
      <c r="Z2794" s="176"/>
    </row>
    <row r="2795" ht="15.75" customHeight="1">
      <c r="A2795" s="408"/>
      <c r="B2795" s="428"/>
      <c r="C2795" s="200"/>
      <c r="D2795" s="176"/>
      <c r="E2795" s="176"/>
      <c r="F2795" s="408"/>
      <c r="G2795" s="176"/>
      <c r="H2795" s="114"/>
      <c r="I2795" s="42"/>
      <c r="J2795" s="42"/>
      <c r="K2795" s="176"/>
      <c r="L2795" s="176"/>
      <c r="M2795" s="176"/>
      <c r="N2795" s="176"/>
      <c r="O2795" s="176"/>
      <c r="P2795" s="114"/>
      <c r="Q2795" s="176"/>
      <c r="R2795" s="114"/>
      <c r="S2795" s="114"/>
      <c r="T2795" s="200"/>
      <c r="U2795" s="114"/>
      <c r="V2795" s="414"/>
      <c r="W2795" s="176"/>
      <c r="X2795" s="176"/>
      <c r="Y2795" s="176"/>
      <c r="Z2795" s="176"/>
    </row>
    <row r="2796" ht="15.75" customHeight="1">
      <c r="A2796" s="408"/>
      <c r="B2796" s="428"/>
      <c r="C2796" s="200"/>
      <c r="D2796" s="176"/>
      <c r="E2796" s="176"/>
      <c r="F2796" s="408"/>
      <c r="G2796" s="176"/>
      <c r="H2796" s="114"/>
      <c r="I2796" s="42"/>
      <c r="J2796" s="42"/>
      <c r="K2796" s="176"/>
      <c r="L2796" s="176"/>
      <c r="M2796" s="176"/>
      <c r="N2796" s="176"/>
      <c r="O2796" s="176"/>
      <c r="P2796" s="114"/>
      <c r="Q2796" s="176"/>
      <c r="R2796" s="114"/>
      <c r="S2796" s="114"/>
      <c r="T2796" s="200"/>
      <c r="U2796" s="114"/>
      <c r="V2796" s="414"/>
      <c r="W2796" s="176"/>
      <c r="X2796" s="176"/>
      <c r="Y2796" s="176"/>
      <c r="Z2796" s="176"/>
    </row>
    <row r="2797" ht="15.75" customHeight="1">
      <c r="A2797" s="408"/>
      <c r="B2797" s="428"/>
      <c r="C2797" s="200"/>
      <c r="D2797" s="176"/>
      <c r="E2797" s="176"/>
      <c r="F2797" s="408"/>
      <c r="G2797" s="176"/>
      <c r="H2797" s="114"/>
      <c r="I2797" s="42"/>
      <c r="J2797" s="42"/>
      <c r="K2797" s="176"/>
      <c r="L2797" s="176"/>
      <c r="M2797" s="176"/>
      <c r="N2797" s="176"/>
      <c r="O2797" s="176"/>
      <c r="P2797" s="114"/>
      <c r="Q2797" s="176"/>
      <c r="R2797" s="114"/>
      <c r="S2797" s="114"/>
      <c r="T2797" s="200"/>
      <c r="U2797" s="114"/>
      <c r="V2797" s="414"/>
      <c r="W2797" s="176"/>
      <c r="X2797" s="176"/>
      <c r="Y2797" s="176"/>
      <c r="Z2797" s="176"/>
    </row>
    <row r="2798" ht="15.75" customHeight="1">
      <c r="A2798" s="408"/>
      <c r="B2798" s="428"/>
      <c r="C2798" s="200"/>
      <c r="D2798" s="176"/>
      <c r="E2798" s="176"/>
      <c r="F2798" s="408"/>
      <c r="G2798" s="176"/>
      <c r="H2798" s="114"/>
      <c r="I2798" s="42"/>
      <c r="J2798" s="42"/>
      <c r="K2798" s="176"/>
      <c r="L2798" s="176"/>
      <c r="M2798" s="176"/>
      <c r="N2798" s="176"/>
      <c r="O2798" s="176"/>
      <c r="P2798" s="114"/>
      <c r="Q2798" s="176"/>
      <c r="R2798" s="114"/>
      <c r="S2798" s="114"/>
      <c r="T2798" s="200"/>
      <c r="U2798" s="114"/>
      <c r="V2798" s="414"/>
      <c r="W2798" s="176"/>
      <c r="X2798" s="176"/>
      <c r="Y2798" s="176"/>
      <c r="Z2798" s="176"/>
    </row>
    <row r="2799" ht="15.75" customHeight="1">
      <c r="A2799" s="408"/>
      <c r="B2799" s="428"/>
      <c r="C2799" s="200"/>
      <c r="D2799" s="176"/>
      <c r="E2799" s="176"/>
      <c r="F2799" s="408"/>
      <c r="G2799" s="176"/>
      <c r="H2799" s="114"/>
      <c r="I2799" s="42"/>
      <c r="J2799" s="42"/>
      <c r="K2799" s="176"/>
      <c r="L2799" s="176"/>
      <c r="M2799" s="176"/>
      <c r="N2799" s="176"/>
      <c r="O2799" s="176"/>
      <c r="P2799" s="114"/>
      <c r="Q2799" s="176"/>
      <c r="R2799" s="114"/>
      <c r="S2799" s="114"/>
      <c r="T2799" s="200"/>
      <c r="U2799" s="114"/>
      <c r="V2799" s="414"/>
      <c r="W2799" s="176"/>
      <c r="X2799" s="176"/>
      <c r="Y2799" s="176"/>
      <c r="Z2799" s="176"/>
    </row>
    <row r="2800" ht="15.75" customHeight="1">
      <c r="A2800" s="408"/>
      <c r="B2800" s="428"/>
      <c r="C2800" s="200"/>
      <c r="D2800" s="176"/>
      <c r="E2800" s="176"/>
      <c r="F2800" s="408"/>
      <c r="G2800" s="176"/>
      <c r="H2800" s="114"/>
      <c r="I2800" s="42"/>
      <c r="J2800" s="42"/>
      <c r="K2800" s="176"/>
      <c r="L2800" s="176"/>
      <c r="M2800" s="176"/>
      <c r="N2800" s="176"/>
      <c r="O2800" s="176"/>
      <c r="P2800" s="114"/>
      <c r="Q2800" s="176"/>
      <c r="R2800" s="114"/>
      <c r="S2800" s="114"/>
      <c r="T2800" s="200"/>
      <c r="U2800" s="114"/>
      <c r="V2800" s="414"/>
      <c r="W2800" s="176"/>
      <c r="X2800" s="176"/>
      <c r="Y2800" s="176"/>
      <c r="Z2800" s="176"/>
    </row>
    <row r="2801" ht="15.75" customHeight="1">
      <c r="A2801" s="408"/>
      <c r="B2801" s="428"/>
      <c r="C2801" s="200"/>
      <c r="D2801" s="176"/>
      <c r="E2801" s="176"/>
      <c r="F2801" s="408"/>
      <c r="G2801" s="176"/>
      <c r="H2801" s="114"/>
      <c r="I2801" s="42"/>
      <c r="J2801" s="42"/>
      <c r="K2801" s="176"/>
      <c r="L2801" s="176"/>
      <c r="M2801" s="176"/>
      <c r="N2801" s="176"/>
      <c r="O2801" s="176"/>
      <c r="P2801" s="114"/>
      <c r="Q2801" s="176"/>
      <c r="R2801" s="114"/>
      <c r="S2801" s="114"/>
      <c r="T2801" s="200"/>
      <c r="U2801" s="114"/>
      <c r="V2801" s="414"/>
      <c r="W2801" s="176"/>
      <c r="X2801" s="176"/>
      <c r="Y2801" s="176"/>
      <c r="Z2801" s="176"/>
    </row>
    <row r="2802" ht="15.75" customHeight="1">
      <c r="A2802" s="408"/>
      <c r="B2802" s="428"/>
      <c r="C2802" s="200"/>
      <c r="D2802" s="176"/>
      <c r="E2802" s="176"/>
      <c r="F2802" s="408"/>
      <c r="G2802" s="176"/>
      <c r="H2802" s="114"/>
      <c r="I2802" s="42"/>
      <c r="J2802" s="42"/>
      <c r="K2802" s="176"/>
      <c r="L2802" s="176"/>
      <c r="M2802" s="176"/>
      <c r="N2802" s="176"/>
      <c r="O2802" s="176"/>
      <c r="P2802" s="114"/>
      <c r="Q2802" s="176"/>
      <c r="R2802" s="114"/>
      <c r="S2802" s="114"/>
      <c r="T2802" s="200"/>
      <c r="U2802" s="114"/>
      <c r="V2802" s="414"/>
      <c r="W2802" s="176"/>
      <c r="X2802" s="176"/>
      <c r="Y2802" s="176"/>
      <c r="Z2802" s="176"/>
    </row>
    <row r="2803" ht="15.75" customHeight="1">
      <c r="A2803" s="408"/>
      <c r="B2803" s="428"/>
      <c r="C2803" s="200"/>
      <c r="D2803" s="176"/>
      <c r="E2803" s="176"/>
      <c r="F2803" s="408"/>
      <c r="G2803" s="176"/>
      <c r="H2803" s="114"/>
      <c r="I2803" s="42"/>
      <c r="J2803" s="42"/>
      <c r="K2803" s="176"/>
      <c r="L2803" s="176"/>
      <c r="M2803" s="176"/>
      <c r="N2803" s="176"/>
      <c r="O2803" s="176"/>
      <c r="P2803" s="114"/>
      <c r="Q2803" s="176"/>
      <c r="R2803" s="114"/>
      <c r="S2803" s="114"/>
      <c r="T2803" s="200"/>
      <c r="U2803" s="114"/>
      <c r="V2803" s="414"/>
      <c r="W2803" s="176"/>
      <c r="X2803" s="176"/>
      <c r="Y2803" s="176"/>
      <c r="Z2803" s="176"/>
    </row>
    <row r="2804" ht="15.75" customHeight="1">
      <c r="A2804" s="408"/>
      <c r="B2804" s="428"/>
      <c r="C2804" s="200"/>
      <c r="D2804" s="176"/>
      <c r="E2804" s="176"/>
      <c r="F2804" s="408"/>
      <c r="G2804" s="176"/>
      <c r="H2804" s="114"/>
      <c r="I2804" s="42"/>
      <c r="J2804" s="42"/>
      <c r="K2804" s="176"/>
      <c r="L2804" s="176"/>
      <c r="M2804" s="176"/>
      <c r="N2804" s="176"/>
      <c r="O2804" s="176"/>
      <c r="P2804" s="114"/>
      <c r="Q2804" s="176"/>
      <c r="R2804" s="114"/>
      <c r="S2804" s="114"/>
      <c r="T2804" s="200"/>
      <c r="U2804" s="114"/>
      <c r="V2804" s="414"/>
      <c r="W2804" s="176"/>
      <c r="X2804" s="176"/>
      <c r="Y2804" s="176"/>
      <c r="Z2804" s="176"/>
    </row>
    <row r="2805" ht="15.75" customHeight="1">
      <c r="A2805" s="408"/>
      <c r="B2805" s="428"/>
      <c r="C2805" s="200"/>
      <c r="D2805" s="176"/>
      <c r="E2805" s="176"/>
      <c r="F2805" s="408"/>
      <c r="G2805" s="176"/>
      <c r="H2805" s="114"/>
      <c r="I2805" s="42"/>
      <c r="J2805" s="42"/>
      <c r="K2805" s="176"/>
      <c r="L2805" s="176"/>
      <c r="M2805" s="176"/>
      <c r="N2805" s="176"/>
      <c r="O2805" s="176"/>
      <c r="P2805" s="114"/>
      <c r="Q2805" s="176"/>
      <c r="R2805" s="114"/>
      <c r="S2805" s="114"/>
      <c r="T2805" s="200"/>
      <c r="U2805" s="114"/>
      <c r="V2805" s="414"/>
      <c r="W2805" s="176"/>
      <c r="X2805" s="176"/>
      <c r="Y2805" s="176"/>
      <c r="Z2805" s="176"/>
    </row>
    <row r="2806" ht="15.75" customHeight="1">
      <c r="A2806" s="408"/>
      <c r="B2806" s="428"/>
      <c r="C2806" s="200"/>
      <c r="D2806" s="176"/>
      <c r="E2806" s="176"/>
      <c r="F2806" s="408"/>
      <c r="G2806" s="176"/>
      <c r="H2806" s="114"/>
      <c r="I2806" s="42"/>
      <c r="J2806" s="42"/>
      <c r="K2806" s="176"/>
      <c r="L2806" s="176"/>
      <c r="M2806" s="176"/>
      <c r="N2806" s="176"/>
      <c r="O2806" s="176"/>
      <c r="P2806" s="114"/>
      <c r="Q2806" s="176"/>
      <c r="R2806" s="114"/>
      <c r="S2806" s="114"/>
      <c r="T2806" s="200"/>
      <c r="U2806" s="114"/>
      <c r="V2806" s="414"/>
      <c r="W2806" s="176"/>
      <c r="X2806" s="176"/>
      <c r="Y2806" s="176"/>
      <c r="Z2806" s="176"/>
    </row>
    <row r="2807" ht="15.75" customHeight="1">
      <c r="A2807" s="408"/>
      <c r="B2807" s="428"/>
      <c r="C2807" s="200"/>
      <c r="D2807" s="176"/>
      <c r="E2807" s="176"/>
      <c r="F2807" s="408"/>
      <c r="G2807" s="176"/>
      <c r="H2807" s="114"/>
      <c r="I2807" s="42"/>
      <c r="J2807" s="42"/>
      <c r="K2807" s="176"/>
      <c r="L2807" s="176"/>
      <c r="M2807" s="176"/>
      <c r="N2807" s="176"/>
      <c r="O2807" s="176"/>
      <c r="P2807" s="114"/>
      <c r="Q2807" s="176"/>
      <c r="R2807" s="114"/>
      <c r="S2807" s="114"/>
      <c r="T2807" s="200"/>
      <c r="U2807" s="114"/>
      <c r="V2807" s="414"/>
      <c r="W2807" s="176"/>
      <c r="X2807" s="176"/>
      <c r="Y2807" s="176"/>
      <c r="Z2807" s="176"/>
    </row>
    <row r="2808" ht="15.75" customHeight="1">
      <c r="A2808" s="408"/>
      <c r="B2808" s="428"/>
      <c r="C2808" s="200"/>
      <c r="D2808" s="176"/>
      <c r="E2808" s="176"/>
      <c r="F2808" s="408"/>
      <c r="G2808" s="176"/>
      <c r="H2808" s="114"/>
      <c r="I2808" s="42"/>
      <c r="J2808" s="42"/>
      <c r="K2808" s="176"/>
      <c r="L2808" s="176"/>
      <c r="M2808" s="176"/>
      <c r="N2808" s="176"/>
      <c r="O2808" s="176"/>
      <c r="P2808" s="114"/>
      <c r="Q2808" s="176"/>
      <c r="R2808" s="114"/>
      <c r="S2808" s="114"/>
      <c r="T2808" s="200"/>
      <c r="U2808" s="114"/>
      <c r="V2808" s="414"/>
      <c r="W2808" s="176"/>
      <c r="X2808" s="176"/>
      <c r="Y2808" s="176"/>
      <c r="Z2808" s="176"/>
    </row>
    <row r="2809" ht="15.75" customHeight="1">
      <c r="A2809" s="408"/>
      <c r="B2809" s="428"/>
      <c r="C2809" s="200"/>
      <c r="D2809" s="176"/>
      <c r="E2809" s="176"/>
      <c r="F2809" s="408"/>
      <c r="G2809" s="176"/>
      <c r="H2809" s="114"/>
      <c r="I2809" s="42"/>
      <c r="J2809" s="42"/>
      <c r="K2809" s="176"/>
      <c r="L2809" s="176"/>
      <c r="M2809" s="176"/>
      <c r="N2809" s="176"/>
      <c r="O2809" s="176"/>
      <c r="P2809" s="114"/>
      <c r="Q2809" s="176"/>
      <c r="R2809" s="114"/>
      <c r="S2809" s="114"/>
      <c r="T2809" s="200"/>
      <c r="U2809" s="114"/>
      <c r="V2809" s="414"/>
      <c r="W2809" s="176"/>
      <c r="X2809" s="176"/>
      <c r="Y2809" s="176"/>
      <c r="Z2809" s="176"/>
    </row>
    <row r="2810" ht="15.75" customHeight="1">
      <c r="A2810" s="408"/>
      <c r="B2810" s="428"/>
      <c r="C2810" s="200"/>
      <c r="D2810" s="176"/>
      <c r="E2810" s="176"/>
      <c r="F2810" s="408"/>
      <c r="G2810" s="176"/>
      <c r="H2810" s="114"/>
      <c r="I2810" s="42"/>
      <c r="J2810" s="42"/>
      <c r="K2810" s="176"/>
      <c r="L2810" s="176"/>
      <c r="M2810" s="176"/>
      <c r="N2810" s="176"/>
      <c r="O2810" s="176"/>
      <c r="P2810" s="114"/>
      <c r="Q2810" s="176"/>
      <c r="R2810" s="114"/>
      <c r="S2810" s="114"/>
      <c r="T2810" s="200"/>
      <c r="U2810" s="114"/>
      <c r="V2810" s="414"/>
      <c r="W2810" s="176"/>
      <c r="X2810" s="176"/>
      <c r="Y2810" s="176"/>
      <c r="Z2810" s="176"/>
    </row>
    <row r="2811" ht="15.75" customHeight="1">
      <c r="A2811" s="408"/>
      <c r="B2811" s="428"/>
      <c r="C2811" s="200"/>
      <c r="D2811" s="176"/>
      <c r="E2811" s="176"/>
      <c r="F2811" s="408"/>
      <c r="G2811" s="176"/>
      <c r="H2811" s="114"/>
      <c r="I2811" s="42"/>
      <c r="J2811" s="42"/>
      <c r="K2811" s="176"/>
      <c r="L2811" s="176"/>
      <c r="M2811" s="176"/>
      <c r="N2811" s="176"/>
      <c r="O2811" s="176"/>
      <c r="P2811" s="114"/>
      <c r="Q2811" s="176"/>
      <c r="R2811" s="114"/>
      <c r="S2811" s="114"/>
      <c r="T2811" s="200"/>
      <c r="U2811" s="114"/>
      <c r="V2811" s="414"/>
      <c r="W2811" s="176"/>
      <c r="X2811" s="176"/>
      <c r="Y2811" s="176"/>
      <c r="Z2811" s="176"/>
    </row>
    <row r="2812" ht="15.75" customHeight="1">
      <c r="A2812" s="408"/>
      <c r="B2812" s="428"/>
      <c r="C2812" s="200"/>
      <c r="D2812" s="176"/>
      <c r="E2812" s="176"/>
      <c r="F2812" s="408"/>
      <c r="G2812" s="176"/>
      <c r="H2812" s="114"/>
      <c r="I2812" s="42"/>
      <c r="J2812" s="42"/>
      <c r="K2812" s="176"/>
      <c r="L2812" s="176"/>
      <c r="M2812" s="176"/>
      <c r="N2812" s="176"/>
      <c r="O2812" s="176"/>
      <c r="P2812" s="114"/>
      <c r="Q2812" s="176"/>
      <c r="R2812" s="114"/>
      <c r="S2812" s="114"/>
      <c r="T2812" s="200"/>
      <c r="U2812" s="114"/>
      <c r="V2812" s="414"/>
      <c r="W2812" s="176"/>
      <c r="X2812" s="176"/>
      <c r="Y2812" s="176"/>
      <c r="Z2812" s="176"/>
    </row>
    <row r="2813" ht="15.75" customHeight="1">
      <c r="A2813" s="408"/>
      <c r="B2813" s="428"/>
      <c r="C2813" s="200"/>
      <c r="D2813" s="176"/>
      <c r="E2813" s="176"/>
      <c r="F2813" s="408"/>
      <c r="G2813" s="176"/>
      <c r="H2813" s="114"/>
      <c r="I2813" s="42"/>
      <c r="J2813" s="42"/>
      <c r="K2813" s="176"/>
      <c r="L2813" s="176"/>
      <c r="M2813" s="176"/>
      <c r="N2813" s="176"/>
      <c r="O2813" s="176"/>
      <c r="P2813" s="114"/>
      <c r="Q2813" s="176"/>
      <c r="R2813" s="114"/>
      <c r="S2813" s="114"/>
      <c r="T2813" s="200"/>
      <c r="U2813" s="114"/>
      <c r="V2813" s="414"/>
      <c r="W2813" s="176"/>
      <c r="X2813" s="176"/>
      <c r="Y2813" s="176"/>
      <c r="Z2813" s="176"/>
    </row>
    <row r="2814" ht="15.75" customHeight="1">
      <c r="A2814" s="408"/>
      <c r="B2814" s="428"/>
      <c r="C2814" s="200"/>
      <c r="D2814" s="176"/>
      <c r="E2814" s="176"/>
      <c r="F2814" s="408"/>
      <c r="G2814" s="176"/>
      <c r="H2814" s="114"/>
      <c r="I2814" s="42"/>
      <c r="J2814" s="42"/>
      <c r="K2814" s="176"/>
      <c r="L2814" s="176"/>
      <c r="M2814" s="176"/>
      <c r="N2814" s="176"/>
      <c r="O2814" s="176"/>
      <c r="P2814" s="114"/>
      <c r="Q2814" s="176"/>
      <c r="R2814" s="114"/>
      <c r="S2814" s="114"/>
      <c r="T2814" s="200"/>
      <c r="U2814" s="114"/>
      <c r="V2814" s="414"/>
      <c r="W2814" s="176"/>
      <c r="X2814" s="176"/>
      <c r="Y2814" s="176"/>
      <c r="Z2814" s="176"/>
    </row>
    <row r="2815" ht="15.75" customHeight="1">
      <c r="A2815" s="408"/>
      <c r="B2815" s="428"/>
      <c r="C2815" s="200"/>
      <c r="D2815" s="176"/>
      <c r="E2815" s="176"/>
      <c r="F2815" s="408"/>
      <c r="G2815" s="176"/>
      <c r="H2815" s="114"/>
      <c r="I2815" s="42"/>
      <c r="J2815" s="42"/>
      <c r="K2815" s="176"/>
      <c r="L2815" s="176"/>
      <c r="M2815" s="176"/>
      <c r="N2815" s="176"/>
      <c r="O2815" s="176"/>
      <c r="P2815" s="114"/>
      <c r="Q2815" s="176"/>
      <c r="R2815" s="114"/>
      <c r="S2815" s="114"/>
      <c r="T2815" s="200"/>
      <c r="U2815" s="114"/>
      <c r="V2815" s="414"/>
      <c r="W2815" s="176"/>
      <c r="X2815" s="176"/>
      <c r="Y2815" s="176"/>
      <c r="Z2815" s="176"/>
    </row>
    <row r="2816" ht="15.75" customHeight="1">
      <c r="A2816" s="408"/>
      <c r="B2816" s="428"/>
      <c r="C2816" s="200"/>
      <c r="D2816" s="176"/>
      <c r="E2816" s="176"/>
      <c r="F2816" s="408"/>
      <c r="G2816" s="176"/>
      <c r="H2816" s="114"/>
      <c r="I2816" s="42"/>
      <c r="J2816" s="42"/>
      <c r="K2816" s="176"/>
      <c r="L2816" s="176"/>
      <c r="M2816" s="176"/>
      <c r="N2816" s="176"/>
      <c r="O2816" s="176"/>
      <c r="P2816" s="114"/>
      <c r="Q2816" s="176"/>
      <c r="R2816" s="114"/>
      <c r="S2816" s="114"/>
      <c r="T2816" s="200"/>
      <c r="U2816" s="114"/>
      <c r="V2816" s="414"/>
      <c r="W2816" s="176"/>
      <c r="X2816" s="176"/>
      <c r="Y2816" s="176"/>
      <c r="Z2816" s="176"/>
    </row>
    <row r="2817" ht="15.75" customHeight="1">
      <c r="A2817" s="408"/>
      <c r="B2817" s="428"/>
      <c r="C2817" s="200"/>
      <c r="D2817" s="176"/>
      <c r="E2817" s="176"/>
      <c r="F2817" s="408"/>
      <c r="G2817" s="176"/>
      <c r="H2817" s="114"/>
      <c r="I2817" s="42"/>
      <c r="J2817" s="42"/>
      <c r="K2817" s="176"/>
      <c r="L2817" s="176"/>
      <c r="M2817" s="176"/>
      <c r="N2817" s="176"/>
      <c r="O2817" s="176"/>
      <c r="P2817" s="114"/>
      <c r="Q2817" s="176"/>
      <c r="R2817" s="114"/>
      <c r="S2817" s="114"/>
      <c r="T2817" s="200"/>
      <c r="U2817" s="114"/>
      <c r="V2817" s="414"/>
      <c r="W2817" s="176"/>
      <c r="X2817" s="176"/>
      <c r="Y2817" s="176"/>
      <c r="Z2817" s="176"/>
    </row>
    <row r="2818" ht="15.75" customHeight="1">
      <c r="A2818" s="408"/>
      <c r="B2818" s="428"/>
      <c r="C2818" s="200"/>
      <c r="D2818" s="176"/>
      <c r="E2818" s="176"/>
      <c r="F2818" s="408"/>
      <c r="G2818" s="176"/>
      <c r="H2818" s="114"/>
      <c r="I2818" s="42"/>
      <c r="J2818" s="42"/>
      <c r="K2818" s="176"/>
      <c r="L2818" s="176"/>
      <c r="M2818" s="176"/>
      <c r="N2818" s="176"/>
      <c r="O2818" s="176"/>
      <c r="P2818" s="114"/>
      <c r="Q2818" s="176"/>
      <c r="R2818" s="114"/>
      <c r="S2818" s="114"/>
      <c r="T2818" s="200"/>
      <c r="U2818" s="114"/>
      <c r="V2818" s="414"/>
      <c r="W2818" s="176"/>
      <c r="X2818" s="176"/>
      <c r="Y2818" s="176"/>
      <c r="Z2818" s="176"/>
    </row>
    <row r="2819" ht="15.75" customHeight="1">
      <c r="A2819" s="408"/>
      <c r="B2819" s="428"/>
      <c r="C2819" s="200"/>
      <c r="D2819" s="176"/>
      <c r="E2819" s="176"/>
      <c r="F2819" s="408"/>
      <c r="G2819" s="176"/>
      <c r="H2819" s="114"/>
      <c r="I2819" s="42"/>
      <c r="J2819" s="42"/>
      <c r="K2819" s="176"/>
      <c r="L2819" s="176"/>
      <c r="M2819" s="176"/>
      <c r="N2819" s="176"/>
      <c r="O2819" s="176"/>
      <c r="P2819" s="114"/>
      <c r="Q2819" s="176"/>
      <c r="R2819" s="114"/>
      <c r="S2819" s="114"/>
      <c r="T2819" s="200"/>
      <c r="U2819" s="114"/>
      <c r="V2819" s="414"/>
      <c r="W2819" s="176"/>
      <c r="X2819" s="176"/>
      <c r="Y2819" s="176"/>
      <c r="Z2819" s="176"/>
    </row>
    <row r="2820" ht="15.75" customHeight="1">
      <c r="A2820" s="408"/>
      <c r="B2820" s="428"/>
      <c r="C2820" s="200"/>
      <c r="D2820" s="176"/>
      <c r="E2820" s="176"/>
      <c r="F2820" s="408"/>
      <c r="G2820" s="176"/>
      <c r="H2820" s="114"/>
      <c r="I2820" s="42"/>
      <c r="J2820" s="42"/>
      <c r="K2820" s="176"/>
      <c r="L2820" s="176"/>
      <c r="M2820" s="176"/>
      <c r="N2820" s="176"/>
      <c r="O2820" s="176"/>
      <c r="P2820" s="114"/>
      <c r="Q2820" s="176"/>
      <c r="R2820" s="114"/>
      <c r="S2820" s="114"/>
      <c r="T2820" s="200"/>
      <c r="U2820" s="114"/>
      <c r="V2820" s="414"/>
      <c r="W2820" s="176"/>
      <c r="X2820" s="176"/>
      <c r="Y2820" s="176"/>
      <c r="Z2820" s="176"/>
    </row>
    <row r="2821" ht="15.75" customHeight="1">
      <c r="A2821" s="408"/>
      <c r="B2821" s="428"/>
      <c r="C2821" s="200"/>
      <c r="D2821" s="176"/>
      <c r="E2821" s="176"/>
      <c r="F2821" s="408"/>
      <c r="G2821" s="176"/>
      <c r="H2821" s="114"/>
      <c r="I2821" s="42"/>
      <c r="J2821" s="42"/>
      <c r="K2821" s="176"/>
      <c r="L2821" s="176"/>
      <c r="M2821" s="176"/>
      <c r="N2821" s="176"/>
      <c r="O2821" s="176"/>
      <c r="P2821" s="114"/>
      <c r="Q2821" s="176"/>
      <c r="R2821" s="114"/>
      <c r="S2821" s="114"/>
      <c r="T2821" s="200"/>
      <c r="U2821" s="114"/>
      <c r="V2821" s="414"/>
      <c r="W2821" s="176"/>
      <c r="X2821" s="176"/>
      <c r="Y2821" s="176"/>
      <c r="Z2821" s="176"/>
    </row>
    <row r="2822" ht="15.75" customHeight="1">
      <c r="A2822" s="408"/>
      <c r="B2822" s="428"/>
      <c r="C2822" s="200"/>
      <c r="D2822" s="176"/>
      <c r="E2822" s="176"/>
      <c r="F2822" s="408"/>
      <c r="G2822" s="176"/>
      <c r="H2822" s="114"/>
      <c r="I2822" s="42"/>
      <c r="J2822" s="42"/>
      <c r="K2822" s="176"/>
      <c r="L2822" s="176"/>
      <c r="M2822" s="176"/>
      <c r="N2822" s="176"/>
      <c r="O2822" s="176"/>
      <c r="P2822" s="114"/>
      <c r="Q2822" s="176"/>
      <c r="R2822" s="114"/>
      <c r="S2822" s="114"/>
      <c r="T2822" s="200"/>
      <c r="U2822" s="114"/>
      <c r="V2822" s="414"/>
      <c r="W2822" s="176"/>
      <c r="X2822" s="176"/>
      <c r="Y2822" s="176"/>
      <c r="Z2822" s="176"/>
    </row>
    <row r="2823" ht="15.75" customHeight="1">
      <c r="A2823" s="408"/>
      <c r="B2823" s="428"/>
      <c r="C2823" s="200"/>
      <c r="D2823" s="176"/>
      <c r="E2823" s="176"/>
      <c r="F2823" s="408"/>
      <c r="G2823" s="176"/>
      <c r="H2823" s="114"/>
      <c r="I2823" s="42"/>
      <c r="J2823" s="42"/>
      <c r="K2823" s="176"/>
      <c r="L2823" s="176"/>
      <c r="M2823" s="176"/>
      <c r="N2823" s="176"/>
      <c r="O2823" s="176"/>
      <c r="P2823" s="114"/>
      <c r="Q2823" s="176"/>
      <c r="R2823" s="114"/>
      <c r="S2823" s="114"/>
      <c r="T2823" s="200"/>
      <c r="U2823" s="114"/>
      <c r="V2823" s="414"/>
      <c r="W2823" s="176"/>
      <c r="X2823" s="176"/>
      <c r="Y2823" s="176"/>
      <c r="Z2823" s="176"/>
    </row>
    <row r="2824" ht="15.75" customHeight="1">
      <c r="A2824" s="408"/>
      <c r="B2824" s="428"/>
      <c r="C2824" s="200"/>
      <c r="D2824" s="176"/>
      <c r="E2824" s="176"/>
      <c r="F2824" s="408"/>
      <c r="G2824" s="176"/>
      <c r="H2824" s="114"/>
      <c r="I2824" s="42"/>
      <c r="J2824" s="42"/>
      <c r="K2824" s="176"/>
      <c r="L2824" s="176"/>
      <c r="M2824" s="176"/>
      <c r="N2824" s="176"/>
      <c r="O2824" s="176"/>
      <c r="P2824" s="114"/>
      <c r="Q2824" s="176"/>
      <c r="R2824" s="114"/>
      <c r="S2824" s="114"/>
      <c r="T2824" s="200"/>
      <c r="U2824" s="114"/>
      <c r="V2824" s="414"/>
      <c r="W2824" s="176"/>
      <c r="X2824" s="176"/>
      <c r="Y2824" s="176"/>
      <c r="Z2824" s="176"/>
    </row>
    <row r="2825" ht="15.75" customHeight="1">
      <c r="A2825" s="408"/>
      <c r="B2825" s="428"/>
      <c r="C2825" s="200"/>
      <c r="D2825" s="176"/>
      <c r="E2825" s="176"/>
      <c r="F2825" s="408"/>
      <c r="G2825" s="176"/>
      <c r="H2825" s="114"/>
      <c r="I2825" s="42"/>
      <c r="J2825" s="42"/>
      <c r="K2825" s="176"/>
      <c r="L2825" s="176"/>
      <c r="M2825" s="176"/>
      <c r="N2825" s="176"/>
      <c r="O2825" s="176"/>
      <c r="P2825" s="114"/>
      <c r="Q2825" s="176"/>
      <c r="R2825" s="114"/>
      <c r="S2825" s="114"/>
      <c r="T2825" s="200"/>
      <c r="U2825" s="114"/>
      <c r="V2825" s="414"/>
      <c r="W2825" s="176"/>
      <c r="X2825" s="176"/>
      <c r="Y2825" s="176"/>
      <c r="Z2825" s="176"/>
    </row>
    <row r="2826" ht="15.75" customHeight="1">
      <c r="A2826" s="408"/>
      <c r="B2826" s="428"/>
      <c r="C2826" s="200"/>
      <c r="D2826" s="176"/>
      <c r="E2826" s="176"/>
      <c r="F2826" s="408"/>
      <c r="G2826" s="176"/>
      <c r="H2826" s="114"/>
      <c r="I2826" s="42"/>
      <c r="J2826" s="42"/>
      <c r="K2826" s="176"/>
      <c r="L2826" s="176"/>
      <c r="M2826" s="176"/>
      <c r="N2826" s="176"/>
      <c r="O2826" s="176"/>
      <c r="P2826" s="114"/>
      <c r="Q2826" s="176"/>
      <c r="R2826" s="114"/>
      <c r="S2826" s="114"/>
      <c r="T2826" s="200"/>
      <c r="U2826" s="114"/>
      <c r="V2826" s="414"/>
      <c r="W2826" s="176"/>
      <c r="X2826" s="176"/>
      <c r="Y2826" s="176"/>
      <c r="Z2826" s="176"/>
    </row>
    <row r="2827" ht="15.75" customHeight="1">
      <c r="A2827" s="408"/>
      <c r="B2827" s="428"/>
      <c r="C2827" s="200"/>
      <c r="D2827" s="176"/>
      <c r="E2827" s="176"/>
      <c r="F2827" s="408"/>
      <c r="G2827" s="176"/>
      <c r="H2827" s="114"/>
      <c r="I2827" s="42"/>
      <c r="J2827" s="42"/>
      <c r="K2827" s="176"/>
      <c r="L2827" s="176"/>
      <c r="M2827" s="176"/>
      <c r="N2827" s="176"/>
      <c r="O2827" s="176"/>
      <c r="P2827" s="114"/>
      <c r="Q2827" s="176"/>
      <c r="R2827" s="114"/>
      <c r="S2827" s="114"/>
      <c r="T2827" s="200"/>
      <c r="U2827" s="114"/>
      <c r="V2827" s="414"/>
      <c r="W2827" s="176"/>
      <c r="X2827" s="176"/>
      <c r="Y2827" s="176"/>
      <c r="Z2827" s="176"/>
    </row>
    <row r="2828" ht="15.75" customHeight="1">
      <c r="A2828" s="408"/>
      <c r="B2828" s="428"/>
      <c r="C2828" s="200"/>
      <c r="D2828" s="176"/>
      <c r="E2828" s="176"/>
      <c r="F2828" s="408"/>
      <c r="G2828" s="176"/>
      <c r="H2828" s="114"/>
      <c r="I2828" s="42"/>
      <c r="J2828" s="42"/>
      <c r="K2828" s="176"/>
      <c r="L2828" s="176"/>
      <c r="M2828" s="176"/>
      <c r="N2828" s="176"/>
      <c r="O2828" s="176"/>
      <c r="P2828" s="114"/>
      <c r="Q2828" s="176"/>
      <c r="R2828" s="114"/>
      <c r="S2828" s="114"/>
      <c r="T2828" s="200"/>
      <c r="U2828" s="114"/>
      <c r="V2828" s="414"/>
      <c r="W2828" s="176"/>
      <c r="X2828" s="176"/>
      <c r="Y2828" s="176"/>
      <c r="Z2828" s="176"/>
    </row>
    <row r="2829" ht="15.75" customHeight="1">
      <c r="A2829" s="408"/>
      <c r="B2829" s="428"/>
      <c r="C2829" s="200"/>
      <c r="D2829" s="176"/>
      <c r="E2829" s="176"/>
      <c r="F2829" s="408"/>
      <c r="G2829" s="176"/>
      <c r="H2829" s="114"/>
      <c r="I2829" s="42"/>
      <c r="J2829" s="42"/>
      <c r="K2829" s="176"/>
      <c r="L2829" s="176"/>
      <c r="M2829" s="176"/>
      <c r="N2829" s="176"/>
      <c r="O2829" s="176"/>
      <c r="P2829" s="114"/>
      <c r="Q2829" s="176"/>
      <c r="R2829" s="114"/>
      <c r="S2829" s="114"/>
      <c r="T2829" s="200"/>
      <c r="U2829" s="114"/>
      <c r="V2829" s="414"/>
      <c r="W2829" s="176"/>
      <c r="X2829" s="176"/>
      <c r="Y2829" s="176"/>
      <c r="Z2829" s="176"/>
    </row>
    <row r="2830" ht="15.75" customHeight="1">
      <c r="A2830" s="408"/>
      <c r="B2830" s="428"/>
      <c r="C2830" s="200"/>
      <c r="D2830" s="176"/>
      <c r="E2830" s="176"/>
      <c r="F2830" s="408"/>
      <c r="G2830" s="176"/>
      <c r="H2830" s="114"/>
      <c r="I2830" s="42"/>
      <c r="J2830" s="42"/>
      <c r="K2830" s="176"/>
      <c r="L2830" s="176"/>
      <c r="M2830" s="176"/>
      <c r="N2830" s="176"/>
      <c r="O2830" s="176"/>
      <c r="P2830" s="114"/>
      <c r="Q2830" s="176"/>
      <c r="R2830" s="114"/>
      <c r="S2830" s="114"/>
      <c r="T2830" s="200"/>
      <c r="U2830" s="114"/>
      <c r="V2830" s="414"/>
      <c r="W2830" s="176"/>
      <c r="X2830" s="176"/>
      <c r="Y2830" s="176"/>
      <c r="Z2830" s="176"/>
    </row>
    <row r="2831" ht="15.75" customHeight="1">
      <c r="A2831" s="408"/>
      <c r="B2831" s="428"/>
      <c r="C2831" s="200"/>
      <c r="D2831" s="176"/>
      <c r="E2831" s="176"/>
      <c r="F2831" s="408"/>
      <c r="G2831" s="176"/>
      <c r="H2831" s="114"/>
      <c r="I2831" s="42"/>
      <c r="J2831" s="42"/>
      <c r="K2831" s="176"/>
      <c r="L2831" s="176"/>
      <c r="M2831" s="176"/>
      <c r="N2831" s="176"/>
      <c r="O2831" s="176"/>
      <c r="P2831" s="114"/>
      <c r="Q2831" s="176"/>
      <c r="R2831" s="114"/>
      <c r="S2831" s="114"/>
      <c r="T2831" s="200"/>
      <c r="U2831" s="114"/>
      <c r="V2831" s="414"/>
      <c r="W2831" s="176"/>
      <c r="X2831" s="176"/>
      <c r="Y2831" s="176"/>
      <c r="Z2831" s="176"/>
    </row>
    <row r="2832" ht="15.75" customHeight="1">
      <c r="A2832" s="408"/>
      <c r="B2832" s="428"/>
      <c r="C2832" s="200"/>
      <c r="D2832" s="176"/>
      <c r="E2832" s="176"/>
      <c r="F2832" s="408"/>
      <c r="G2832" s="176"/>
      <c r="H2832" s="114"/>
      <c r="I2832" s="42"/>
      <c r="J2832" s="42"/>
      <c r="K2832" s="176"/>
      <c r="L2832" s="176"/>
      <c r="M2832" s="176"/>
      <c r="N2832" s="176"/>
      <c r="O2832" s="176"/>
      <c r="P2832" s="114"/>
      <c r="Q2832" s="176"/>
      <c r="R2832" s="114"/>
      <c r="S2832" s="114"/>
      <c r="T2832" s="200"/>
      <c r="U2832" s="114"/>
      <c r="V2832" s="414"/>
      <c r="W2832" s="176"/>
      <c r="X2832" s="176"/>
      <c r="Y2832" s="176"/>
      <c r="Z2832" s="176"/>
    </row>
    <row r="2833" ht="15.75" customHeight="1">
      <c r="A2833" s="408"/>
      <c r="B2833" s="428"/>
      <c r="C2833" s="200"/>
      <c r="D2833" s="176"/>
      <c r="E2833" s="176"/>
      <c r="F2833" s="408"/>
      <c r="G2833" s="176"/>
      <c r="H2833" s="114"/>
      <c r="I2833" s="42"/>
      <c r="J2833" s="42"/>
      <c r="K2833" s="176"/>
      <c r="L2833" s="176"/>
      <c r="M2833" s="176"/>
      <c r="N2833" s="176"/>
      <c r="O2833" s="176"/>
      <c r="P2833" s="114"/>
      <c r="Q2833" s="176"/>
      <c r="R2833" s="114"/>
      <c r="S2833" s="114"/>
      <c r="T2833" s="200"/>
      <c r="U2833" s="114"/>
      <c r="V2833" s="414"/>
      <c r="W2833" s="176"/>
      <c r="X2833" s="176"/>
      <c r="Y2833" s="176"/>
      <c r="Z2833" s="176"/>
    </row>
    <row r="2834" ht="15.75" customHeight="1">
      <c r="A2834" s="408"/>
      <c r="B2834" s="428"/>
      <c r="C2834" s="200"/>
      <c r="D2834" s="176"/>
      <c r="E2834" s="176"/>
      <c r="F2834" s="408"/>
      <c r="G2834" s="176"/>
      <c r="H2834" s="114"/>
      <c r="I2834" s="42"/>
      <c r="J2834" s="42"/>
      <c r="K2834" s="176"/>
      <c r="L2834" s="176"/>
      <c r="M2834" s="176"/>
      <c r="N2834" s="176"/>
      <c r="O2834" s="176"/>
      <c r="P2834" s="114"/>
      <c r="Q2834" s="176"/>
      <c r="R2834" s="114"/>
      <c r="S2834" s="114"/>
      <c r="T2834" s="200"/>
      <c r="U2834" s="114"/>
      <c r="V2834" s="414"/>
      <c r="W2834" s="176"/>
      <c r="X2834" s="176"/>
      <c r="Y2834" s="176"/>
      <c r="Z2834" s="176"/>
    </row>
    <row r="2835" ht="15.75" customHeight="1">
      <c r="A2835" s="408"/>
      <c r="B2835" s="428"/>
      <c r="C2835" s="200"/>
      <c r="D2835" s="176"/>
      <c r="E2835" s="176"/>
      <c r="F2835" s="408"/>
      <c r="G2835" s="176"/>
      <c r="H2835" s="114"/>
      <c r="I2835" s="42"/>
      <c r="J2835" s="42"/>
      <c r="K2835" s="176"/>
      <c r="L2835" s="176"/>
      <c r="M2835" s="176"/>
      <c r="N2835" s="176"/>
      <c r="O2835" s="176"/>
      <c r="P2835" s="114"/>
      <c r="Q2835" s="176"/>
      <c r="R2835" s="114"/>
      <c r="S2835" s="114"/>
      <c r="T2835" s="200"/>
      <c r="U2835" s="114"/>
      <c r="V2835" s="414"/>
      <c r="W2835" s="176"/>
      <c r="X2835" s="176"/>
      <c r="Y2835" s="176"/>
      <c r="Z2835" s="176"/>
    </row>
    <row r="2836" ht="15.75" customHeight="1">
      <c r="A2836" s="408"/>
      <c r="B2836" s="428"/>
      <c r="C2836" s="200"/>
      <c r="D2836" s="176"/>
      <c r="E2836" s="176"/>
      <c r="F2836" s="408"/>
      <c r="G2836" s="176"/>
      <c r="H2836" s="114"/>
      <c r="I2836" s="42"/>
      <c r="J2836" s="42"/>
      <c r="K2836" s="176"/>
      <c r="L2836" s="176"/>
      <c r="M2836" s="176"/>
      <c r="N2836" s="176"/>
      <c r="O2836" s="176"/>
      <c r="P2836" s="114"/>
      <c r="Q2836" s="176"/>
      <c r="R2836" s="114"/>
      <c r="S2836" s="114"/>
      <c r="T2836" s="200"/>
      <c r="U2836" s="114"/>
      <c r="V2836" s="414"/>
      <c r="W2836" s="176"/>
      <c r="X2836" s="176"/>
      <c r="Y2836" s="176"/>
      <c r="Z2836" s="176"/>
    </row>
    <row r="2837" ht="15.75" customHeight="1">
      <c r="A2837" s="408"/>
      <c r="B2837" s="428"/>
      <c r="C2837" s="200"/>
      <c r="D2837" s="176"/>
      <c r="E2837" s="176"/>
      <c r="F2837" s="408"/>
      <c r="G2837" s="176"/>
      <c r="H2837" s="114"/>
      <c r="I2837" s="42"/>
      <c r="J2837" s="42"/>
      <c r="K2837" s="176"/>
      <c r="L2837" s="176"/>
      <c r="M2837" s="176"/>
      <c r="N2837" s="176"/>
      <c r="O2837" s="176"/>
      <c r="P2837" s="114"/>
      <c r="Q2837" s="176"/>
      <c r="R2837" s="114"/>
      <c r="S2837" s="114"/>
      <c r="T2837" s="200"/>
      <c r="U2837" s="114"/>
      <c r="V2837" s="414"/>
      <c r="W2837" s="176"/>
      <c r="X2837" s="176"/>
      <c r="Y2837" s="176"/>
      <c r="Z2837" s="176"/>
    </row>
    <row r="2838" ht="15.75" customHeight="1">
      <c r="A2838" s="408"/>
      <c r="B2838" s="428"/>
      <c r="C2838" s="200"/>
      <c r="D2838" s="176"/>
      <c r="E2838" s="176"/>
      <c r="F2838" s="408"/>
      <c r="G2838" s="176"/>
      <c r="H2838" s="114"/>
      <c r="I2838" s="42"/>
      <c r="J2838" s="42"/>
      <c r="K2838" s="176"/>
      <c r="L2838" s="176"/>
      <c r="M2838" s="176"/>
      <c r="N2838" s="176"/>
      <c r="O2838" s="176"/>
      <c r="P2838" s="114"/>
      <c r="Q2838" s="176"/>
      <c r="R2838" s="114"/>
      <c r="S2838" s="114"/>
      <c r="T2838" s="200"/>
      <c r="U2838" s="114"/>
      <c r="V2838" s="414"/>
      <c r="W2838" s="176"/>
      <c r="X2838" s="176"/>
      <c r="Y2838" s="176"/>
      <c r="Z2838" s="176"/>
    </row>
    <row r="2839" ht="15.75" customHeight="1">
      <c r="A2839" s="408"/>
      <c r="B2839" s="428"/>
      <c r="C2839" s="200"/>
      <c r="D2839" s="176"/>
      <c r="E2839" s="176"/>
      <c r="F2839" s="408"/>
      <c r="G2839" s="176"/>
      <c r="H2839" s="114"/>
      <c r="I2839" s="42"/>
      <c r="J2839" s="42"/>
      <c r="K2839" s="176"/>
      <c r="L2839" s="176"/>
      <c r="M2839" s="176"/>
      <c r="N2839" s="176"/>
      <c r="O2839" s="176"/>
      <c r="P2839" s="114"/>
      <c r="Q2839" s="176"/>
      <c r="R2839" s="114"/>
      <c r="S2839" s="114"/>
      <c r="T2839" s="200"/>
      <c r="U2839" s="114"/>
      <c r="V2839" s="414"/>
      <c r="W2839" s="176"/>
      <c r="X2839" s="176"/>
      <c r="Y2839" s="176"/>
      <c r="Z2839" s="176"/>
    </row>
    <row r="2840" ht="15.75" customHeight="1">
      <c r="A2840" s="408"/>
      <c r="B2840" s="428"/>
      <c r="C2840" s="200"/>
      <c r="D2840" s="176"/>
      <c r="E2840" s="176"/>
      <c r="F2840" s="408"/>
      <c r="G2840" s="176"/>
      <c r="H2840" s="114"/>
      <c r="I2840" s="42"/>
      <c r="J2840" s="42"/>
      <c r="K2840" s="176"/>
      <c r="L2840" s="176"/>
      <c r="M2840" s="176"/>
      <c r="N2840" s="176"/>
      <c r="O2840" s="176"/>
      <c r="P2840" s="114"/>
      <c r="Q2840" s="176"/>
      <c r="R2840" s="114"/>
      <c r="S2840" s="114"/>
      <c r="T2840" s="200"/>
      <c r="U2840" s="114"/>
      <c r="V2840" s="414"/>
      <c r="W2840" s="176"/>
      <c r="X2840" s="176"/>
      <c r="Y2840" s="176"/>
      <c r="Z2840" s="176"/>
    </row>
    <row r="2841" ht="15.75" customHeight="1">
      <c r="A2841" s="408"/>
      <c r="B2841" s="428"/>
      <c r="C2841" s="200"/>
      <c r="D2841" s="176"/>
      <c r="E2841" s="176"/>
      <c r="F2841" s="408"/>
      <c r="G2841" s="176"/>
      <c r="H2841" s="114"/>
      <c r="I2841" s="42"/>
      <c r="J2841" s="42"/>
      <c r="K2841" s="176"/>
      <c r="L2841" s="176"/>
      <c r="M2841" s="176"/>
      <c r="N2841" s="176"/>
      <c r="O2841" s="176"/>
      <c r="P2841" s="114"/>
      <c r="Q2841" s="176"/>
      <c r="R2841" s="114"/>
      <c r="S2841" s="114"/>
      <c r="T2841" s="200"/>
      <c r="U2841" s="114"/>
      <c r="V2841" s="414"/>
      <c r="W2841" s="176"/>
      <c r="X2841" s="176"/>
      <c r="Y2841" s="176"/>
      <c r="Z2841" s="176"/>
    </row>
    <row r="2842" ht="15.75" customHeight="1">
      <c r="A2842" s="408"/>
      <c r="B2842" s="428"/>
      <c r="C2842" s="200"/>
      <c r="D2842" s="176"/>
      <c r="E2842" s="176"/>
      <c r="F2842" s="408"/>
      <c r="G2842" s="176"/>
      <c r="H2842" s="114"/>
      <c r="I2842" s="42"/>
      <c r="J2842" s="42"/>
      <c r="K2842" s="176"/>
      <c r="L2842" s="176"/>
      <c r="M2842" s="176"/>
      <c r="N2842" s="176"/>
      <c r="O2842" s="176"/>
      <c r="P2842" s="114"/>
      <c r="Q2842" s="176"/>
      <c r="R2842" s="114"/>
      <c r="S2842" s="114"/>
      <c r="T2842" s="200"/>
      <c r="U2842" s="114"/>
      <c r="V2842" s="414"/>
      <c r="W2842" s="176"/>
      <c r="X2842" s="176"/>
      <c r="Y2842" s="176"/>
      <c r="Z2842" s="176"/>
    </row>
    <row r="2843" ht="15.75" customHeight="1">
      <c r="A2843" s="408"/>
      <c r="B2843" s="428"/>
      <c r="C2843" s="200"/>
      <c r="D2843" s="176"/>
      <c r="E2843" s="176"/>
      <c r="F2843" s="408"/>
      <c r="G2843" s="176"/>
      <c r="H2843" s="114"/>
      <c r="I2843" s="42"/>
      <c r="J2843" s="42"/>
      <c r="K2843" s="176"/>
      <c r="L2843" s="176"/>
      <c r="M2843" s="176"/>
      <c r="N2843" s="176"/>
      <c r="O2843" s="176"/>
      <c r="P2843" s="114"/>
      <c r="Q2843" s="176"/>
      <c r="R2843" s="114"/>
      <c r="S2843" s="114"/>
      <c r="T2843" s="200"/>
      <c r="U2843" s="114"/>
      <c r="V2843" s="414"/>
      <c r="W2843" s="176"/>
      <c r="X2843" s="176"/>
      <c r="Y2843" s="176"/>
      <c r="Z2843" s="176"/>
    </row>
    <row r="2844" ht="15.75" customHeight="1">
      <c r="A2844" s="408"/>
      <c r="B2844" s="428"/>
      <c r="C2844" s="200"/>
      <c r="D2844" s="176"/>
      <c r="E2844" s="176"/>
      <c r="F2844" s="408"/>
      <c r="G2844" s="176"/>
      <c r="H2844" s="114"/>
      <c r="I2844" s="42"/>
      <c r="J2844" s="42"/>
      <c r="K2844" s="176"/>
      <c r="L2844" s="176"/>
      <c r="M2844" s="176"/>
      <c r="N2844" s="176"/>
      <c r="O2844" s="176"/>
      <c r="P2844" s="114"/>
      <c r="Q2844" s="176"/>
      <c r="R2844" s="114"/>
      <c r="S2844" s="114"/>
      <c r="T2844" s="200"/>
      <c r="U2844" s="114"/>
      <c r="V2844" s="414"/>
      <c r="W2844" s="176"/>
      <c r="X2844" s="176"/>
      <c r="Y2844" s="176"/>
      <c r="Z2844" s="176"/>
    </row>
    <row r="2845" ht="15.75" customHeight="1">
      <c r="A2845" s="408"/>
      <c r="B2845" s="428"/>
      <c r="C2845" s="200"/>
      <c r="D2845" s="176"/>
      <c r="E2845" s="176"/>
      <c r="F2845" s="408"/>
      <c r="G2845" s="176"/>
      <c r="H2845" s="114"/>
      <c r="I2845" s="42"/>
      <c r="J2845" s="42"/>
      <c r="K2845" s="176"/>
      <c r="L2845" s="176"/>
      <c r="M2845" s="176"/>
      <c r="N2845" s="176"/>
      <c r="O2845" s="176"/>
      <c r="P2845" s="114"/>
      <c r="Q2845" s="176"/>
      <c r="R2845" s="114"/>
      <c r="S2845" s="114"/>
      <c r="T2845" s="200"/>
      <c r="U2845" s="114"/>
      <c r="V2845" s="414"/>
      <c r="W2845" s="176"/>
      <c r="X2845" s="176"/>
      <c r="Y2845" s="176"/>
      <c r="Z2845" s="176"/>
    </row>
    <row r="2846" ht="15.75" customHeight="1">
      <c r="A2846" s="408"/>
      <c r="B2846" s="428"/>
      <c r="C2846" s="200"/>
      <c r="D2846" s="176"/>
      <c r="E2846" s="176"/>
      <c r="F2846" s="408"/>
      <c r="G2846" s="176"/>
      <c r="H2846" s="114"/>
      <c r="I2846" s="42"/>
      <c r="J2846" s="42"/>
      <c r="K2846" s="176"/>
      <c r="L2846" s="176"/>
      <c r="M2846" s="176"/>
      <c r="N2846" s="176"/>
      <c r="O2846" s="176"/>
      <c r="P2846" s="114"/>
      <c r="Q2846" s="176"/>
      <c r="R2846" s="114"/>
      <c r="S2846" s="114"/>
      <c r="T2846" s="200"/>
      <c r="U2846" s="114"/>
      <c r="V2846" s="414"/>
      <c r="W2846" s="176"/>
      <c r="X2846" s="176"/>
      <c r="Y2846" s="176"/>
      <c r="Z2846" s="176"/>
    </row>
    <row r="2847" ht="15.75" customHeight="1">
      <c r="A2847" s="408"/>
      <c r="B2847" s="428"/>
      <c r="C2847" s="200"/>
      <c r="D2847" s="176"/>
      <c r="E2847" s="176"/>
      <c r="F2847" s="408"/>
      <c r="G2847" s="176"/>
      <c r="H2847" s="114"/>
      <c r="I2847" s="42"/>
      <c r="J2847" s="42"/>
      <c r="K2847" s="176"/>
      <c r="L2847" s="176"/>
      <c r="M2847" s="176"/>
      <c r="N2847" s="176"/>
      <c r="O2847" s="176"/>
      <c r="P2847" s="114"/>
      <c r="Q2847" s="176"/>
      <c r="R2847" s="114"/>
      <c r="S2847" s="114"/>
      <c r="T2847" s="200"/>
      <c r="U2847" s="114"/>
      <c r="V2847" s="414"/>
      <c r="W2847" s="176"/>
      <c r="X2847" s="176"/>
      <c r="Y2847" s="176"/>
      <c r="Z2847" s="176"/>
    </row>
    <row r="2848" ht="15.75" customHeight="1">
      <c r="A2848" s="408"/>
      <c r="B2848" s="428"/>
      <c r="C2848" s="200"/>
      <c r="D2848" s="176"/>
      <c r="E2848" s="176"/>
      <c r="F2848" s="408"/>
      <c r="G2848" s="176"/>
      <c r="H2848" s="114"/>
      <c r="I2848" s="42"/>
      <c r="J2848" s="42"/>
      <c r="K2848" s="176"/>
      <c r="L2848" s="176"/>
      <c r="M2848" s="176"/>
      <c r="N2848" s="176"/>
      <c r="O2848" s="176"/>
      <c r="P2848" s="114"/>
      <c r="Q2848" s="176"/>
      <c r="R2848" s="114"/>
      <c r="S2848" s="114"/>
      <c r="T2848" s="200"/>
      <c r="U2848" s="114"/>
      <c r="V2848" s="414"/>
      <c r="W2848" s="176"/>
      <c r="X2848" s="176"/>
      <c r="Y2848" s="176"/>
      <c r="Z2848" s="176"/>
    </row>
    <row r="2849" ht="15.75" customHeight="1">
      <c r="A2849" s="408"/>
      <c r="B2849" s="428"/>
      <c r="C2849" s="200"/>
      <c r="D2849" s="176"/>
      <c r="E2849" s="176"/>
      <c r="F2849" s="408"/>
      <c r="G2849" s="176"/>
      <c r="H2849" s="114"/>
      <c r="I2849" s="42"/>
      <c r="J2849" s="42"/>
      <c r="K2849" s="176"/>
      <c r="L2849" s="176"/>
      <c r="M2849" s="176"/>
      <c r="N2849" s="176"/>
      <c r="O2849" s="176"/>
      <c r="P2849" s="114"/>
      <c r="Q2849" s="176"/>
      <c r="R2849" s="114"/>
      <c r="S2849" s="114"/>
      <c r="T2849" s="200"/>
      <c r="U2849" s="114"/>
      <c r="V2849" s="414"/>
      <c r="W2849" s="176"/>
      <c r="X2849" s="176"/>
      <c r="Y2849" s="176"/>
      <c r="Z2849" s="176"/>
    </row>
    <row r="2850" ht="15.75" customHeight="1">
      <c r="A2850" s="408"/>
      <c r="B2850" s="428"/>
      <c r="C2850" s="200"/>
      <c r="D2850" s="176"/>
      <c r="E2850" s="176"/>
      <c r="F2850" s="408"/>
      <c r="G2850" s="176"/>
      <c r="H2850" s="114"/>
      <c r="I2850" s="42"/>
      <c r="J2850" s="42"/>
      <c r="K2850" s="176"/>
      <c r="L2850" s="176"/>
      <c r="M2850" s="176"/>
      <c r="N2850" s="176"/>
      <c r="O2850" s="176"/>
      <c r="P2850" s="114"/>
      <c r="Q2850" s="176"/>
      <c r="R2850" s="114"/>
      <c r="S2850" s="114"/>
      <c r="T2850" s="200"/>
      <c r="U2850" s="114"/>
      <c r="V2850" s="414"/>
      <c r="W2850" s="176"/>
      <c r="X2850" s="176"/>
      <c r="Y2850" s="176"/>
      <c r="Z2850" s="176"/>
    </row>
    <row r="2851" ht="15.75" customHeight="1">
      <c r="A2851" s="408"/>
      <c r="B2851" s="428"/>
      <c r="C2851" s="200"/>
      <c r="D2851" s="176"/>
      <c r="E2851" s="176"/>
      <c r="F2851" s="408"/>
      <c r="G2851" s="176"/>
      <c r="H2851" s="114"/>
      <c r="I2851" s="42"/>
      <c r="J2851" s="42"/>
      <c r="K2851" s="176"/>
      <c r="L2851" s="176"/>
      <c r="M2851" s="176"/>
      <c r="N2851" s="176"/>
      <c r="O2851" s="176"/>
      <c r="P2851" s="114"/>
      <c r="Q2851" s="176"/>
      <c r="R2851" s="114"/>
      <c r="S2851" s="114"/>
      <c r="T2851" s="200"/>
      <c r="U2851" s="114"/>
      <c r="V2851" s="414"/>
      <c r="W2851" s="176"/>
      <c r="X2851" s="176"/>
      <c r="Y2851" s="176"/>
      <c r="Z2851" s="176"/>
    </row>
    <row r="2852" ht="15.75" customHeight="1">
      <c r="A2852" s="408"/>
      <c r="B2852" s="428"/>
      <c r="C2852" s="200"/>
      <c r="D2852" s="176"/>
      <c r="E2852" s="176"/>
      <c r="F2852" s="408"/>
      <c r="G2852" s="176"/>
      <c r="H2852" s="114"/>
      <c r="I2852" s="42"/>
      <c r="J2852" s="42"/>
      <c r="K2852" s="176"/>
      <c r="L2852" s="176"/>
      <c r="M2852" s="176"/>
      <c r="N2852" s="176"/>
      <c r="O2852" s="176"/>
      <c r="P2852" s="114"/>
      <c r="Q2852" s="176"/>
      <c r="R2852" s="114"/>
      <c r="S2852" s="114"/>
      <c r="T2852" s="200"/>
      <c r="U2852" s="114"/>
      <c r="V2852" s="414"/>
      <c r="W2852" s="176"/>
      <c r="X2852" s="176"/>
      <c r="Y2852" s="176"/>
      <c r="Z2852" s="176"/>
    </row>
    <row r="2853" ht="15.75" customHeight="1">
      <c r="A2853" s="408"/>
      <c r="B2853" s="428"/>
      <c r="C2853" s="200"/>
      <c r="D2853" s="176"/>
      <c r="E2853" s="176"/>
      <c r="F2853" s="408"/>
      <c r="G2853" s="176"/>
      <c r="H2853" s="114"/>
      <c r="I2853" s="42"/>
      <c r="J2853" s="42"/>
      <c r="K2853" s="176"/>
      <c r="L2853" s="176"/>
      <c r="M2853" s="176"/>
      <c r="N2853" s="176"/>
      <c r="O2853" s="176"/>
      <c r="P2853" s="114"/>
      <c r="Q2853" s="176"/>
      <c r="R2853" s="114"/>
      <c r="S2853" s="114"/>
      <c r="T2853" s="200"/>
      <c r="U2853" s="114"/>
      <c r="V2853" s="414"/>
      <c r="W2853" s="176"/>
      <c r="X2853" s="176"/>
      <c r="Y2853" s="176"/>
      <c r="Z2853" s="176"/>
    </row>
    <row r="2854" ht="15.75" customHeight="1">
      <c r="A2854" s="408"/>
      <c r="B2854" s="428"/>
      <c r="C2854" s="200"/>
      <c r="D2854" s="176"/>
      <c r="E2854" s="176"/>
      <c r="F2854" s="408"/>
      <c r="G2854" s="176"/>
      <c r="H2854" s="114"/>
      <c r="I2854" s="42"/>
      <c r="J2854" s="42"/>
      <c r="K2854" s="176"/>
      <c r="L2854" s="176"/>
      <c r="M2854" s="176"/>
      <c r="N2854" s="176"/>
      <c r="O2854" s="176"/>
      <c r="P2854" s="114"/>
      <c r="Q2854" s="176"/>
      <c r="R2854" s="114"/>
      <c r="S2854" s="114"/>
      <c r="T2854" s="200"/>
      <c r="U2854" s="114"/>
      <c r="V2854" s="414"/>
      <c r="W2854" s="176"/>
      <c r="X2854" s="176"/>
      <c r="Y2854" s="176"/>
      <c r="Z2854" s="176"/>
    </row>
    <row r="2855" ht="15.75" customHeight="1">
      <c r="A2855" s="408"/>
      <c r="B2855" s="428"/>
      <c r="C2855" s="200"/>
      <c r="D2855" s="176"/>
      <c r="E2855" s="176"/>
      <c r="F2855" s="408"/>
      <c r="G2855" s="176"/>
      <c r="H2855" s="114"/>
      <c r="I2855" s="42"/>
      <c r="J2855" s="42"/>
      <c r="K2855" s="176"/>
      <c r="L2855" s="176"/>
      <c r="M2855" s="176"/>
      <c r="N2855" s="176"/>
      <c r="O2855" s="176"/>
      <c r="P2855" s="114"/>
      <c r="Q2855" s="176"/>
      <c r="R2855" s="114"/>
      <c r="S2855" s="114"/>
      <c r="T2855" s="200"/>
      <c r="U2855" s="114"/>
      <c r="V2855" s="414"/>
      <c r="W2855" s="176"/>
      <c r="X2855" s="176"/>
      <c r="Y2855" s="176"/>
      <c r="Z2855" s="176"/>
    </row>
    <row r="2856" ht="15.75" customHeight="1">
      <c r="A2856" s="408"/>
      <c r="B2856" s="428"/>
      <c r="C2856" s="200"/>
      <c r="D2856" s="176"/>
      <c r="E2856" s="176"/>
      <c r="F2856" s="408"/>
      <c r="G2856" s="176"/>
      <c r="H2856" s="114"/>
      <c r="I2856" s="42"/>
      <c r="J2856" s="42"/>
      <c r="K2856" s="176"/>
      <c r="L2856" s="176"/>
      <c r="M2856" s="176"/>
      <c r="N2856" s="176"/>
      <c r="O2856" s="176"/>
      <c r="P2856" s="114"/>
      <c r="Q2856" s="176"/>
      <c r="R2856" s="114"/>
      <c r="S2856" s="114"/>
      <c r="T2856" s="200"/>
      <c r="U2856" s="114"/>
      <c r="V2856" s="414"/>
      <c r="W2856" s="176"/>
      <c r="X2856" s="176"/>
      <c r="Y2856" s="176"/>
      <c r="Z2856" s="176"/>
    </row>
    <row r="2857" ht="15.75" customHeight="1">
      <c r="A2857" s="408"/>
      <c r="B2857" s="428"/>
      <c r="C2857" s="200"/>
      <c r="D2857" s="176"/>
      <c r="E2857" s="176"/>
      <c r="F2857" s="408"/>
      <c r="G2857" s="176"/>
      <c r="H2857" s="114"/>
      <c r="I2857" s="42"/>
      <c r="J2857" s="42"/>
      <c r="K2857" s="176"/>
      <c r="L2857" s="176"/>
      <c r="M2857" s="176"/>
      <c r="N2857" s="176"/>
      <c r="O2857" s="176"/>
      <c r="P2857" s="114"/>
      <c r="Q2857" s="176"/>
      <c r="R2857" s="114"/>
      <c r="S2857" s="114"/>
      <c r="T2857" s="200"/>
      <c r="U2857" s="114"/>
      <c r="V2857" s="414"/>
      <c r="W2857" s="176"/>
      <c r="X2857" s="176"/>
      <c r="Y2857" s="176"/>
      <c r="Z2857" s="176"/>
    </row>
    <row r="2858" ht="15.75" customHeight="1">
      <c r="A2858" s="408"/>
      <c r="B2858" s="428"/>
      <c r="C2858" s="200"/>
      <c r="D2858" s="176"/>
      <c r="E2858" s="176"/>
      <c r="F2858" s="408"/>
      <c r="G2858" s="176"/>
      <c r="H2858" s="114"/>
      <c r="I2858" s="42"/>
      <c r="J2858" s="42"/>
      <c r="K2858" s="176"/>
      <c r="L2858" s="176"/>
      <c r="M2858" s="176"/>
      <c r="N2858" s="176"/>
      <c r="O2858" s="176"/>
      <c r="P2858" s="114"/>
      <c r="Q2858" s="176"/>
      <c r="R2858" s="114"/>
      <c r="S2858" s="114"/>
      <c r="T2858" s="200"/>
      <c r="U2858" s="114"/>
      <c r="V2858" s="414"/>
      <c r="W2858" s="176"/>
      <c r="X2858" s="176"/>
      <c r="Y2858" s="176"/>
      <c r="Z2858" s="176"/>
    </row>
    <row r="2859" ht="15.75" customHeight="1">
      <c r="A2859" s="408"/>
      <c r="B2859" s="428"/>
      <c r="C2859" s="200"/>
      <c r="D2859" s="176"/>
      <c r="E2859" s="176"/>
      <c r="F2859" s="408"/>
      <c r="G2859" s="176"/>
      <c r="H2859" s="114"/>
      <c r="I2859" s="42"/>
      <c r="J2859" s="42"/>
      <c r="K2859" s="176"/>
      <c r="L2859" s="176"/>
      <c r="M2859" s="176"/>
      <c r="N2859" s="176"/>
      <c r="O2859" s="176"/>
      <c r="P2859" s="114"/>
      <c r="Q2859" s="176"/>
      <c r="R2859" s="114"/>
      <c r="S2859" s="114"/>
      <c r="T2859" s="200"/>
      <c r="U2859" s="114"/>
      <c r="V2859" s="414"/>
      <c r="W2859" s="176"/>
      <c r="X2859" s="176"/>
      <c r="Y2859" s="176"/>
      <c r="Z2859" s="176"/>
    </row>
    <row r="2860" ht="15.75" customHeight="1">
      <c r="A2860" s="408"/>
      <c r="B2860" s="428"/>
      <c r="C2860" s="200"/>
      <c r="D2860" s="176"/>
      <c r="E2860" s="176"/>
      <c r="F2860" s="408"/>
      <c r="G2860" s="176"/>
      <c r="H2860" s="114"/>
      <c r="I2860" s="42"/>
      <c r="J2860" s="42"/>
      <c r="K2860" s="176"/>
      <c r="L2860" s="176"/>
      <c r="M2860" s="176"/>
      <c r="N2860" s="176"/>
      <c r="O2860" s="176"/>
      <c r="P2860" s="114"/>
      <c r="Q2860" s="176"/>
      <c r="R2860" s="114"/>
      <c r="S2860" s="114"/>
      <c r="T2860" s="200"/>
      <c r="U2860" s="114"/>
      <c r="V2860" s="414"/>
      <c r="W2860" s="176"/>
      <c r="X2860" s="176"/>
      <c r="Y2860" s="176"/>
      <c r="Z2860" s="176"/>
    </row>
    <row r="2861" ht="15.75" customHeight="1">
      <c r="A2861" s="408"/>
      <c r="B2861" s="428"/>
      <c r="C2861" s="200"/>
      <c r="D2861" s="176"/>
      <c r="E2861" s="176"/>
      <c r="F2861" s="408"/>
      <c r="G2861" s="176"/>
      <c r="H2861" s="114"/>
      <c r="I2861" s="42"/>
      <c r="J2861" s="42"/>
      <c r="K2861" s="176"/>
      <c r="L2861" s="176"/>
      <c r="M2861" s="176"/>
      <c r="N2861" s="176"/>
      <c r="O2861" s="176"/>
      <c r="P2861" s="114"/>
      <c r="Q2861" s="176"/>
      <c r="R2861" s="114"/>
      <c r="S2861" s="114"/>
      <c r="T2861" s="200"/>
      <c r="U2861" s="114"/>
      <c r="V2861" s="414"/>
      <c r="W2861" s="176"/>
      <c r="X2861" s="176"/>
      <c r="Y2861" s="176"/>
      <c r="Z2861" s="176"/>
    </row>
    <row r="2862" ht="15.75" customHeight="1">
      <c r="A2862" s="408"/>
      <c r="B2862" s="428"/>
      <c r="C2862" s="200"/>
      <c r="D2862" s="176"/>
      <c r="E2862" s="176"/>
      <c r="F2862" s="408"/>
      <c r="G2862" s="176"/>
      <c r="H2862" s="114"/>
      <c r="I2862" s="42"/>
      <c r="J2862" s="42"/>
      <c r="K2862" s="176"/>
      <c r="L2862" s="176"/>
      <c r="M2862" s="176"/>
      <c r="N2862" s="176"/>
      <c r="O2862" s="176"/>
      <c r="P2862" s="114"/>
      <c r="Q2862" s="176"/>
      <c r="R2862" s="114"/>
      <c r="S2862" s="114"/>
      <c r="T2862" s="200"/>
      <c r="U2862" s="114"/>
      <c r="V2862" s="414"/>
      <c r="W2862" s="176"/>
      <c r="X2862" s="176"/>
      <c r="Y2862" s="176"/>
      <c r="Z2862" s="176"/>
    </row>
    <row r="2863" ht="15.75" customHeight="1">
      <c r="A2863" s="408"/>
      <c r="B2863" s="428"/>
      <c r="C2863" s="200"/>
      <c r="D2863" s="176"/>
      <c r="E2863" s="176"/>
      <c r="F2863" s="408"/>
      <c r="G2863" s="176"/>
      <c r="H2863" s="114"/>
      <c r="I2863" s="42"/>
      <c r="J2863" s="42"/>
      <c r="K2863" s="176"/>
      <c r="L2863" s="176"/>
      <c r="M2863" s="176"/>
      <c r="N2863" s="176"/>
      <c r="O2863" s="176"/>
      <c r="P2863" s="114"/>
      <c r="Q2863" s="176"/>
      <c r="R2863" s="114"/>
      <c r="S2863" s="114"/>
      <c r="T2863" s="200"/>
      <c r="U2863" s="114"/>
      <c r="V2863" s="414"/>
      <c r="W2863" s="176"/>
      <c r="X2863" s="176"/>
      <c r="Y2863" s="176"/>
      <c r="Z2863" s="176"/>
    </row>
    <row r="2864" ht="15.75" customHeight="1">
      <c r="A2864" s="408"/>
      <c r="B2864" s="428"/>
      <c r="C2864" s="200"/>
      <c r="D2864" s="176"/>
      <c r="E2864" s="176"/>
      <c r="F2864" s="408"/>
      <c r="G2864" s="176"/>
      <c r="H2864" s="114"/>
      <c r="I2864" s="42"/>
      <c r="J2864" s="42"/>
      <c r="K2864" s="176"/>
      <c r="L2864" s="176"/>
      <c r="M2864" s="176"/>
      <c r="N2864" s="176"/>
      <c r="O2864" s="176"/>
      <c r="P2864" s="114"/>
      <c r="Q2864" s="176"/>
      <c r="R2864" s="114"/>
      <c r="S2864" s="114"/>
      <c r="T2864" s="200"/>
      <c r="U2864" s="114"/>
      <c r="V2864" s="414"/>
      <c r="W2864" s="176"/>
      <c r="X2864" s="176"/>
      <c r="Y2864" s="176"/>
      <c r="Z2864" s="176"/>
    </row>
    <row r="2865" ht="15.75" customHeight="1">
      <c r="A2865" s="408"/>
      <c r="B2865" s="428"/>
      <c r="C2865" s="200"/>
      <c r="D2865" s="176"/>
      <c r="E2865" s="176"/>
      <c r="F2865" s="408"/>
      <c r="G2865" s="176"/>
      <c r="H2865" s="114"/>
      <c r="I2865" s="42"/>
      <c r="J2865" s="42"/>
      <c r="K2865" s="176"/>
      <c r="L2865" s="176"/>
      <c r="M2865" s="176"/>
      <c r="N2865" s="176"/>
      <c r="O2865" s="176"/>
      <c r="P2865" s="114"/>
      <c r="Q2865" s="176"/>
      <c r="R2865" s="114"/>
      <c r="S2865" s="114"/>
      <c r="T2865" s="200"/>
      <c r="U2865" s="114"/>
      <c r="V2865" s="414"/>
      <c r="W2865" s="176"/>
      <c r="X2865" s="176"/>
      <c r="Y2865" s="176"/>
      <c r="Z2865" s="176"/>
    </row>
    <row r="2866" ht="15.75" customHeight="1">
      <c r="A2866" s="408"/>
      <c r="B2866" s="428"/>
      <c r="C2866" s="200"/>
      <c r="D2866" s="176"/>
      <c r="E2866" s="176"/>
      <c r="F2866" s="408"/>
      <c r="G2866" s="176"/>
      <c r="H2866" s="114"/>
      <c r="I2866" s="42"/>
      <c r="J2866" s="42"/>
      <c r="K2866" s="176"/>
      <c r="L2866" s="176"/>
      <c r="M2866" s="176"/>
      <c r="N2866" s="176"/>
      <c r="O2866" s="176"/>
      <c r="P2866" s="114"/>
      <c r="Q2866" s="176"/>
      <c r="R2866" s="114"/>
      <c r="S2866" s="114"/>
      <c r="T2866" s="200"/>
      <c r="U2866" s="114"/>
      <c r="V2866" s="414"/>
      <c r="W2866" s="176"/>
      <c r="X2866" s="176"/>
      <c r="Y2866" s="176"/>
      <c r="Z2866" s="176"/>
    </row>
    <row r="2867" ht="15.75" customHeight="1">
      <c r="A2867" s="408"/>
      <c r="B2867" s="428"/>
      <c r="C2867" s="200"/>
      <c r="D2867" s="176"/>
      <c r="E2867" s="176"/>
      <c r="F2867" s="408"/>
      <c r="G2867" s="176"/>
      <c r="H2867" s="114"/>
      <c r="I2867" s="42"/>
      <c r="J2867" s="42"/>
      <c r="K2867" s="176"/>
      <c r="L2867" s="176"/>
      <c r="M2867" s="176"/>
      <c r="N2867" s="176"/>
      <c r="O2867" s="176"/>
      <c r="P2867" s="114"/>
      <c r="Q2867" s="176"/>
      <c r="R2867" s="114"/>
      <c r="S2867" s="114"/>
      <c r="T2867" s="200"/>
      <c r="U2867" s="114"/>
      <c r="V2867" s="414"/>
      <c r="W2867" s="176"/>
      <c r="X2867" s="176"/>
      <c r="Y2867" s="176"/>
      <c r="Z2867" s="176"/>
    </row>
    <row r="2868" ht="15.75" customHeight="1">
      <c r="A2868" s="408"/>
      <c r="B2868" s="428"/>
      <c r="C2868" s="200"/>
      <c r="D2868" s="176"/>
      <c r="E2868" s="176"/>
      <c r="F2868" s="408"/>
      <c r="G2868" s="176"/>
      <c r="H2868" s="114"/>
      <c r="I2868" s="42"/>
      <c r="J2868" s="42"/>
      <c r="K2868" s="176"/>
      <c r="L2868" s="176"/>
      <c r="M2868" s="176"/>
      <c r="N2868" s="176"/>
      <c r="O2868" s="176"/>
      <c r="P2868" s="114"/>
      <c r="Q2868" s="176"/>
      <c r="R2868" s="114"/>
      <c r="S2868" s="114"/>
      <c r="T2868" s="200"/>
      <c r="U2868" s="114"/>
      <c r="V2868" s="414"/>
      <c r="W2868" s="176"/>
      <c r="X2868" s="176"/>
      <c r="Y2868" s="176"/>
      <c r="Z2868" s="176"/>
    </row>
    <row r="2869" ht="15.75" customHeight="1">
      <c r="A2869" s="408"/>
      <c r="B2869" s="428"/>
      <c r="C2869" s="200"/>
      <c r="D2869" s="176"/>
      <c r="E2869" s="176"/>
      <c r="F2869" s="408"/>
      <c r="G2869" s="176"/>
      <c r="H2869" s="114"/>
      <c r="I2869" s="42"/>
      <c r="J2869" s="42"/>
      <c r="K2869" s="176"/>
      <c r="L2869" s="176"/>
      <c r="M2869" s="176"/>
      <c r="N2869" s="176"/>
      <c r="O2869" s="176"/>
      <c r="P2869" s="114"/>
      <c r="Q2869" s="176"/>
      <c r="R2869" s="114"/>
      <c r="S2869" s="114"/>
      <c r="T2869" s="200"/>
      <c r="U2869" s="114"/>
      <c r="V2869" s="414"/>
      <c r="W2869" s="176"/>
      <c r="X2869" s="176"/>
      <c r="Y2869" s="176"/>
      <c r="Z2869" s="176"/>
    </row>
    <row r="2870" ht="15.75" customHeight="1">
      <c r="A2870" s="408"/>
      <c r="B2870" s="428"/>
      <c r="C2870" s="200"/>
      <c r="D2870" s="176"/>
      <c r="E2870" s="176"/>
      <c r="F2870" s="408"/>
      <c r="G2870" s="176"/>
      <c r="H2870" s="114"/>
      <c r="I2870" s="42"/>
      <c r="J2870" s="42"/>
      <c r="K2870" s="176"/>
      <c r="L2870" s="176"/>
      <c r="M2870" s="176"/>
      <c r="N2870" s="176"/>
      <c r="O2870" s="176"/>
      <c r="P2870" s="114"/>
      <c r="Q2870" s="176"/>
      <c r="R2870" s="114"/>
      <c r="S2870" s="114"/>
      <c r="T2870" s="200"/>
      <c r="U2870" s="114"/>
      <c r="V2870" s="414"/>
      <c r="W2870" s="176"/>
      <c r="X2870" s="176"/>
      <c r="Y2870" s="176"/>
      <c r="Z2870" s="176"/>
    </row>
    <row r="2871" ht="15.75" customHeight="1">
      <c r="A2871" s="408"/>
      <c r="B2871" s="428"/>
      <c r="C2871" s="200"/>
      <c r="D2871" s="176"/>
      <c r="E2871" s="176"/>
      <c r="F2871" s="408"/>
      <c r="G2871" s="176"/>
      <c r="H2871" s="114"/>
      <c r="I2871" s="42"/>
      <c r="J2871" s="42"/>
      <c r="K2871" s="176"/>
      <c r="L2871" s="176"/>
      <c r="M2871" s="176"/>
      <c r="N2871" s="176"/>
      <c r="O2871" s="176"/>
      <c r="P2871" s="114"/>
      <c r="Q2871" s="176"/>
      <c r="R2871" s="114"/>
      <c r="S2871" s="114"/>
      <c r="T2871" s="200"/>
      <c r="U2871" s="114"/>
      <c r="V2871" s="414"/>
      <c r="W2871" s="176"/>
      <c r="X2871" s="176"/>
      <c r="Y2871" s="176"/>
      <c r="Z2871" s="176"/>
    </row>
    <row r="2872" ht="15.75" customHeight="1">
      <c r="A2872" s="408"/>
      <c r="B2872" s="428"/>
      <c r="C2872" s="200"/>
      <c r="D2872" s="176"/>
      <c r="E2872" s="176"/>
      <c r="F2872" s="408"/>
      <c r="G2872" s="176"/>
      <c r="H2872" s="114"/>
      <c r="I2872" s="42"/>
      <c r="J2872" s="42"/>
      <c r="K2872" s="176"/>
      <c r="L2872" s="176"/>
      <c r="M2872" s="176"/>
      <c r="N2872" s="176"/>
      <c r="O2872" s="176"/>
      <c r="P2872" s="114"/>
      <c r="Q2872" s="176"/>
      <c r="R2872" s="114"/>
      <c r="S2872" s="114"/>
      <c r="T2872" s="200"/>
      <c r="U2872" s="114"/>
      <c r="V2872" s="414"/>
      <c r="W2872" s="176"/>
      <c r="X2872" s="176"/>
      <c r="Y2872" s="176"/>
      <c r="Z2872" s="176"/>
    </row>
    <row r="2873" ht="15.75" customHeight="1">
      <c r="A2873" s="408"/>
      <c r="B2873" s="428"/>
      <c r="C2873" s="200"/>
      <c r="D2873" s="176"/>
      <c r="E2873" s="176"/>
      <c r="F2873" s="408"/>
      <c r="G2873" s="176"/>
      <c r="H2873" s="114"/>
      <c r="I2873" s="42"/>
      <c r="J2873" s="42"/>
      <c r="K2873" s="176"/>
      <c r="L2873" s="176"/>
      <c r="M2873" s="176"/>
      <c r="N2873" s="176"/>
      <c r="O2873" s="176"/>
      <c r="P2873" s="114"/>
      <c r="Q2873" s="176"/>
      <c r="R2873" s="114"/>
      <c r="S2873" s="114"/>
      <c r="T2873" s="200"/>
      <c r="U2873" s="114"/>
      <c r="V2873" s="414"/>
      <c r="W2873" s="176"/>
      <c r="X2873" s="176"/>
      <c r="Y2873" s="176"/>
      <c r="Z2873" s="176"/>
    </row>
    <row r="2874" ht="15.75" customHeight="1">
      <c r="A2874" s="408"/>
      <c r="B2874" s="428"/>
      <c r="C2874" s="200"/>
      <c r="D2874" s="176"/>
      <c r="E2874" s="176"/>
      <c r="F2874" s="408"/>
      <c r="G2874" s="176"/>
      <c r="H2874" s="114"/>
      <c r="I2874" s="42"/>
      <c r="J2874" s="42"/>
      <c r="K2874" s="176"/>
      <c r="L2874" s="176"/>
      <c r="M2874" s="176"/>
      <c r="N2874" s="176"/>
      <c r="O2874" s="176"/>
      <c r="P2874" s="114"/>
      <c r="Q2874" s="176"/>
      <c r="R2874" s="114"/>
      <c r="S2874" s="114"/>
      <c r="T2874" s="200"/>
      <c r="U2874" s="114"/>
      <c r="V2874" s="414"/>
      <c r="W2874" s="176"/>
      <c r="X2874" s="176"/>
      <c r="Y2874" s="176"/>
      <c r="Z2874" s="176"/>
    </row>
    <row r="2875" ht="15.75" customHeight="1">
      <c r="A2875" s="408"/>
      <c r="B2875" s="428"/>
      <c r="C2875" s="200"/>
      <c r="D2875" s="176"/>
      <c r="E2875" s="176"/>
      <c r="F2875" s="408"/>
      <c r="G2875" s="176"/>
      <c r="H2875" s="114"/>
      <c r="I2875" s="42"/>
      <c r="J2875" s="42"/>
      <c r="K2875" s="176"/>
      <c r="L2875" s="176"/>
      <c r="M2875" s="176"/>
      <c r="N2875" s="176"/>
      <c r="O2875" s="176"/>
      <c r="P2875" s="114"/>
      <c r="Q2875" s="176"/>
      <c r="R2875" s="114"/>
      <c r="S2875" s="114"/>
      <c r="T2875" s="200"/>
      <c r="U2875" s="114"/>
      <c r="V2875" s="414"/>
      <c r="W2875" s="176"/>
      <c r="X2875" s="176"/>
      <c r="Y2875" s="176"/>
      <c r="Z2875" s="176"/>
    </row>
    <row r="2876" ht="15.75" customHeight="1">
      <c r="A2876" s="408"/>
      <c r="B2876" s="428"/>
      <c r="C2876" s="200"/>
      <c r="D2876" s="176"/>
      <c r="E2876" s="176"/>
      <c r="F2876" s="408"/>
      <c r="G2876" s="176"/>
      <c r="H2876" s="114"/>
      <c r="I2876" s="42"/>
      <c r="J2876" s="42"/>
      <c r="K2876" s="176"/>
      <c r="L2876" s="176"/>
      <c r="M2876" s="176"/>
      <c r="N2876" s="176"/>
      <c r="O2876" s="176"/>
      <c r="P2876" s="114"/>
      <c r="Q2876" s="176"/>
      <c r="R2876" s="114"/>
      <c r="S2876" s="114"/>
      <c r="T2876" s="200"/>
      <c r="U2876" s="114"/>
      <c r="V2876" s="414"/>
      <c r="W2876" s="176"/>
      <c r="X2876" s="176"/>
      <c r="Y2876" s="176"/>
      <c r="Z2876" s="176"/>
    </row>
    <row r="2877" ht="15.75" customHeight="1">
      <c r="A2877" s="408"/>
      <c r="B2877" s="428"/>
      <c r="C2877" s="200"/>
      <c r="D2877" s="176"/>
      <c r="E2877" s="176"/>
      <c r="F2877" s="408"/>
      <c r="G2877" s="176"/>
      <c r="H2877" s="114"/>
      <c r="I2877" s="42"/>
      <c r="J2877" s="42"/>
      <c r="K2877" s="176"/>
      <c r="L2877" s="176"/>
      <c r="M2877" s="176"/>
      <c r="N2877" s="176"/>
      <c r="O2877" s="176"/>
      <c r="P2877" s="114"/>
      <c r="Q2877" s="176"/>
      <c r="R2877" s="114"/>
      <c r="S2877" s="114"/>
      <c r="T2877" s="200"/>
      <c r="U2877" s="114"/>
      <c r="V2877" s="414"/>
      <c r="W2877" s="176"/>
      <c r="X2877" s="176"/>
      <c r="Y2877" s="176"/>
      <c r="Z2877" s="176"/>
    </row>
    <row r="2878" ht="15.75" customHeight="1">
      <c r="A2878" s="408"/>
      <c r="B2878" s="428"/>
      <c r="C2878" s="200"/>
      <c r="D2878" s="176"/>
      <c r="E2878" s="176"/>
      <c r="F2878" s="408"/>
      <c r="G2878" s="176"/>
      <c r="H2878" s="114"/>
      <c r="I2878" s="42"/>
      <c r="J2878" s="42"/>
      <c r="K2878" s="176"/>
      <c r="L2878" s="176"/>
      <c r="M2878" s="176"/>
      <c r="N2878" s="176"/>
      <c r="O2878" s="176"/>
      <c r="P2878" s="114"/>
      <c r="Q2878" s="176"/>
      <c r="R2878" s="114"/>
      <c r="S2878" s="114"/>
      <c r="T2878" s="200"/>
      <c r="U2878" s="114"/>
      <c r="V2878" s="414"/>
      <c r="W2878" s="176"/>
      <c r="X2878" s="176"/>
      <c r="Y2878" s="176"/>
      <c r="Z2878" s="176"/>
    </row>
    <row r="2879" ht="15.75" customHeight="1">
      <c r="A2879" s="408"/>
      <c r="B2879" s="428"/>
      <c r="C2879" s="200"/>
      <c r="D2879" s="176"/>
      <c r="E2879" s="176"/>
      <c r="F2879" s="408"/>
      <c r="G2879" s="176"/>
      <c r="H2879" s="114"/>
      <c r="I2879" s="42"/>
      <c r="J2879" s="42"/>
      <c r="K2879" s="176"/>
      <c r="L2879" s="176"/>
      <c r="M2879" s="176"/>
      <c r="N2879" s="176"/>
      <c r="O2879" s="176"/>
      <c r="P2879" s="114"/>
      <c r="Q2879" s="176"/>
      <c r="R2879" s="114"/>
      <c r="S2879" s="114"/>
      <c r="T2879" s="200"/>
      <c r="U2879" s="114"/>
      <c r="V2879" s="414"/>
      <c r="W2879" s="176"/>
      <c r="X2879" s="176"/>
      <c r="Y2879" s="176"/>
      <c r="Z2879" s="176"/>
    </row>
    <row r="2880" ht="15.75" customHeight="1">
      <c r="A2880" s="408"/>
      <c r="B2880" s="428"/>
      <c r="C2880" s="200"/>
      <c r="D2880" s="176"/>
      <c r="E2880" s="176"/>
      <c r="F2880" s="408"/>
      <c r="G2880" s="176"/>
      <c r="H2880" s="114"/>
      <c r="I2880" s="42"/>
      <c r="J2880" s="42"/>
      <c r="K2880" s="176"/>
      <c r="L2880" s="176"/>
      <c r="M2880" s="176"/>
      <c r="N2880" s="176"/>
      <c r="O2880" s="176"/>
      <c r="P2880" s="114"/>
      <c r="Q2880" s="176"/>
      <c r="R2880" s="114"/>
      <c r="S2880" s="114"/>
      <c r="T2880" s="200"/>
      <c r="U2880" s="114"/>
      <c r="V2880" s="414"/>
      <c r="W2880" s="176"/>
      <c r="X2880" s="176"/>
      <c r="Y2880" s="176"/>
      <c r="Z2880" s="176"/>
    </row>
    <row r="2881" ht="15.75" customHeight="1">
      <c r="A2881" s="408"/>
      <c r="B2881" s="428"/>
      <c r="C2881" s="200"/>
      <c r="D2881" s="176"/>
      <c r="E2881" s="176"/>
      <c r="F2881" s="408"/>
      <c r="G2881" s="176"/>
      <c r="H2881" s="114"/>
      <c r="I2881" s="42"/>
      <c r="J2881" s="42"/>
      <c r="K2881" s="176"/>
      <c r="L2881" s="176"/>
      <c r="M2881" s="176"/>
      <c r="N2881" s="176"/>
      <c r="O2881" s="176"/>
      <c r="P2881" s="114"/>
      <c r="Q2881" s="176"/>
      <c r="R2881" s="114"/>
      <c r="S2881" s="114"/>
      <c r="T2881" s="200"/>
      <c r="U2881" s="114"/>
      <c r="V2881" s="414"/>
      <c r="W2881" s="176"/>
      <c r="X2881" s="176"/>
      <c r="Y2881" s="176"/>
      <c r="Z2881" s="176"/>
    </row>
    <row r="2882" ht="15.75" customHeight="1">
      <c r="A2882" s="408"/>
      <c r="B2882" s="428"/>
      <c r="C2882" s="200"/>
      <c r="D2882" s="176"/>
      <c r="E2882" s="176"/>
      <c r="F2882" s="408"/>
      <c r="G2882" s="176"/>
      <c r="H2882" s="114"/>
      <c r="I2882" s="42"/>
      <c r="J2882" s="42"/>
      <c r="K2882" s="176"/>
      <c r="L2882" s="176"/>
      <c r="M2882" s="176"/>
      <c r="N2882" s="176"/>
      <c r="O2882" s="176"/>
      <c r="P2882" s="114"/>
      <c r="Q2882" s="176"/>
      <c r="R2882" s="114"/>
      <c r="S2882" s="114"/>
      <c r="T2882" s="200"/>
      <c r="U2882" s="114"/>
      <c r="V2882" s="414"/>
      <c r="W2882" s="176"/>
      <c r="X2882" s="176"/>
      <c r="Y2882" s="176"/>
      <c r="Z2882" s="176"/>
    </row>
    <row r="2883" ht="15.75" customHeight="1">
      <c r="A2883" s="408"/>
      <c r="B2883" s="428"/>
      <c r="C2883" s="200"/>
      <c r="D2883" s="176"/>
      <c r="E2883" s="176"/>
      <c r="F2883" s="408"/>
      <c r="G2883" s="176"/>
      <c r="H2883" s="114"/>
      <c r="I2883" s="42"/>
      <c r="J2883" s="42"/>
      <c r="K2883" s="176"/>
      <c r="L2883" s="176"/>
      <c r="M2883" s="176"/>
      <c r="N2883" s="176"/>
      <c r="O2883" s="176"/>
      <c r="P2883" s="114"/>
      <c r="Q2883" s="176"/>
      <c r="R2883" s="114"/>
      <c r="S2883" s="114"/>
      <c r="T2883" s="200"/>
      <c r="U2883" s="114"/>
      <c r="V2883" s="414"/>
      <c r="W2883" s="176"/>
      <c r="X2883" s="176"/>
      <c r="Y2883" s="176"/>
      <c r="Z2883" s="176"/>
    </row>
    <row r="2884" ht="15.75" customHeight="1">
      <c r="A2884" s="408"/>
      <c r="B2884" s="428"/>
      <c r="C2884" s="200"/>
      <c r="D2884" s="176"/>
      <c r="E2884" s="176"/>
      <c r="F2884" s="408"/>
      <c r="G2884" s="176"/>
      <c r="H2884" s="114"/>
      <c r="I2884" s="42"/>
      <c r="J2884" s="42"/>
      <c r="K2884" s="176"/>
      <c r="L2884" s="176"/>
      <c r="M2884" s="176"/>
      <c r="N2884" s="176"/>
      <c r="O2884" s="176"/>
      <c r="P2884" s="114"/>
      <c r="Q2884" s="176"/>
      <c r="R2884" s="114"/>
      <c r="S2884" s="114"/>
      <c r="T2884" s="200"/>
      <c r="U2884" s="114"/>
      <c r="V2884" s="414"/>
      <c r="W2884" s="176"/>
      <c r="X2884" s="176"/>
      <c r="Y2884" s="176"/>
      <c r="Z2884" s="176"/>
    </row>
    <row r="2885" ht="15.75" customHeight="1">
      <c r="A2885" s="408"/>
      <c r="B2885" s="428"/>
      <c r="C2885" s="200"/>
      <c r="D2885" s="176"/>
      <c r="E2885" s="176"/>
      <c r="F2885" s="408"/>
      <c r="G2885" s="176"/>
      <c r="H2885" s="114"/>
      <c r="I2885" s="42"/>
      <c r="J2885" s="42"/>
      <c r="K2885" s="176"/>
      <c r="L2885" s="176"/>
      <c r="M2885" s="176"/>
      <c r="N2885" s="176"/>
      <c r="O2885" s="176"/>
      <c r="P2885" s="114"/>
      <c r="Q2885" s="176"/>
      <c r="R2885" s="114"/>
      <c r="S2885" s="114"/>
      <c r="T2885" s="200"/>
      <c r="U2885" s="114"/>
      <c r="V2885" s="414"/>
      <c r="W2885" s="176"/>
      <c r="X2885" s="176"/>
      <c r="Y2885" s="176"/>
      <c r="Z2885" s="176"/>
    </row>
    <row r="2886" ht="15.75" customHeight="1">
      <c r="A2886" s="408"/>
      <c r="B2886" s="428"/>
      <c r="C2886" s="200"/>
      <c r="D2886" s="176"/>
      <c r="E2886" s="176"/>
      <c r="F2886" s="408"/>
      <c r="G2886" s="176"/>
      <c r="H2886" s="114"/>
      <c r="I2886" s="42"/>
      <c r="J2886" s="42"/>
      <c r="K2886" s="176"/>
      <c r="L2886" s="176"/>
      <c r="M2886" s="176"/>
      <c r="N2886" s="176"/>
      <c r="O2886" s="176"/>
      <c r="P2886" s="114"/>
      <c r="Q2886" s="176"/>
      <c r="R2886" s="114"/>
      <c r="S2886" s="114"/>
      <c r="T2886" s="200"/>
      <c r="U2886" s="114"/>
      <c r="V2886" s="414"/>
      <c r="W2886" s="176"/>
      <c r="X2886" s="176"/>
      <c r="Y2886" s="176"/>
      <c r="Z2886" s="176"/>
    </row>
    <row r="2887" ht="15.75" customHeight="1">
      <c r="A2887" s="408"/>
      <c r="B2887" s="428"/>
      <c r="C2887" s="200"/>
      <c r="D2887" s="176"/>
      <c r="E2887" s="176"/>
      <c r="F2887" s="408"/>
      <c r="G2887" s="176"/>
      <c r="H2887" s="114"/>
      <c r="I2887" s="42"/>
      <c r="J2887" s="42"/>
      <c r="K2887" s="176"/>
      <c r="L2887" s="176"/>
      <c r="M2887" s="176"/>
      <c r="N2887" s="176"/>
      <c r="O2887" s="176"/>
      <c r="P2887" s="114"/>
      <c r="Q2887" s="176"/>
      <c r="R2887" s="114"/>
      <c r="S2887" s="114"/>
      <c r="T2887" s="200"/>
      <c r="U2887" s="114"/>
      <c r="V2887" s="414"/>
      <c r="W2887" s="176"/>
      <c r="X2887" s="176"/>
      <c r="Y2887" s="176"/>
      <c r="Z2887" s="176"/>
    </row>
    <row r="2888" ht="15.75" customHeight="1">
      <c r="A2888" s="408"/>
      <c r="B2888" s="428"/>
      <c r="C2888" s="200"/>
      <c r="D2888" s="176"/>
      <c r="E2888" s="176"/>
      <c r="F2888" s="408"/>
      <c r="G2888" s="176"/>
      <c r="H2888" s="114"/>
      <c r="I2888" s="42"/>
      <c r="J2888" s="42"/>
      <c r="K2888" s="176"/>
      <c r="L2888" s="176"/>
      <c r="M2888" s="176"/>
      <c r="N2888" s="176"/>
      <c r="O2888" s="176"/>
      <c r="P2888" s="114"/>
      <c r="Q2888" s="176"/>
      <c r="R2888" s="114"/>
      <c r="S2888" s="114"/>
      <c r="T2888" s="200"/>
      <c r="U2888" s="114"/>
      <c r="V2888" s="414"/>
      <c r="W2888" s="176"/>
      <c r="X2888" s="176"/>
      <c r="Y2888" s="176"/>
      <c r="Z2888" s="176"/>
    </row>
    <row r="2889" ht="15.75" customHeight="1">
      <c r="A2889" s="408"/>
      <c r="B2889" s="428"/>
      <c r="C2889" s="200"/>
      <c r="D2889" s="176"/>
      <c r="E2889" s="176"/>
      <c r="F2889" s="408"/>
      <c r="G2889" s="176"/>
      <c r="H2889" s="114"/>
      <c r="I2889" s="42"/>
      <c r="J2889" s="42"/>
      <c r="K2889" s="176"/>
      <c r="L2889" s="176"/>
      <c r="M2889" s="176"/>
      <c r="N2889" s="176"/>
      <c r="O2889" s="176"/>
      <c r="P2889" s="114"/>
      <c r="Q2889" s="176"/>
      <c r="R2889" s="114"/>
      <c r="S2889" s="114"/>
      <c r="T2889" s="200"/>
      <c r="U2889" s="114"/>
      <c r="V2889" s="414"/>
      <c r="W2889" s="176"/>
      <c r="X2889" s="176"/>
      <c r="Y2889" s="176"/>
      <c r="Z2889" s="176"/>
    </row>
    <row r="2890" ht="15.75" customHeight="1">
      <c r="A2890" s="408"/>
      <c r="B2890" s="428"/>
      <c r="C2890" s="200"/>
      <c r="D2890" s="176"/>
      <c r="E2890" s="176"/>
      <c r="F2890" s="408"/>
      <c r="G2890" s="176"/>
      <c r="H2890" s="114"/>
      <c r="I2890" s="42"/>
      <c r="J2890" s="42"/>
      <c r="K2890" s="176"/>
      <c r="L2890" s="176"/>
      <c r="M2890" s="176"/>
      <c r="N2890" s="176"/>
      <c r="O2890" s="176"/>
      <c r="P2890" s="114"/>
      <c r="Q2890" s="176"/>
      <c r="R2890" s="114"/>
      <c r="S2890" s="114"/>
      <c r="T2890" s="200"/>
      <c r="U2890" s="114"/>
      <c r="V2890" s="414"/>
      <c r="W2890" s="176"/>
      <c r="X2890" s="176"/>
      <c r="Y2890" s="176"/>
      <c r="Z2890" s="176"/>
    </row>
    <row r="2891" ht="15.75" customHeight="1">
      <c r="A2891" s="408"/>
      <c r="B2891" s="428"/>
      <c r="C2891" s="200"/>
      <c r="D2891" s="176"/>
      <c r="E2891" s="176"/>
      <c r="F2891" s="408"/>
      <c r="G2891" s="176"/>
      <c r="H2891" s="114"/>
      <c r="I2891" s="42"/>
      <c r="J2891" s="42"/>
      <c r="K2891" s="176"/>
      <c r="L2891" s="176"/>
      <c r="M2891" s="176"/>
      <c r="N2891" s="176"/>
      <c r="O2891" s="176"/>
      <c r="P2891" s="114"/>
      <c r="Q2891" s="176"/>
      <c r="R2891" s="114"/>
      <c r="S2891" s="114"/>
      <c r="T2891" s="200"/>
      <c r="U2891" s="114"/>
      <c r="V2891" s="414"/>
      <c r="W2891" s="176"/>
      <c r="X2891" s="176"/>
      <c r="Y2891" s="176"/>
      <c r="Z2891" s="176"/>
    </row>
    <row r="2892" ht="15.75" customHeight="1">
      <c r="A2892" s="408"/>
      <c r="B2892" s="428"/>
      <c r="C2892" s="200"/>
      <c r="D2892" s="176"/>
      <c r="E2892" s="176"/>
      <c r="F2892" s="408"/>
      <c r="G2892" s="176"/>
      <c r="H2892" s="114"/>
      <c r="I2892" s="42"/>
      <c r="J2892" s="42"/>
      <c r="K2892" s="176"/>
      <c r="L2892" s="176"/>
      <c r="M2892" s="176"/>
      <c r="N2892" s="176"/>
      <c r="O2892" s="176"/>
      <c r="P2892" s="114"/>
      <c r="Q2892" s="176"/>
      <c r="R2892" s="114"/>
      <c r="S2892" s="114"/>
      <c r="T2892" s="200"/>
      <c r="U2892" s="114"/>
      <c r="V2892" s="414"/>
      <c r="W2892" s="176"/>
      <c r="X2892" s="176"/>
      <c r="Y2892" s="176"/>
      <c r="Z2892" s="176"/>
    </row>
    <row r="2893" ht="15.75" customHeight="1">
      <c r="A2893" s="408"/>
      <c r="B2893" s="428"/>
      <c r="C2893" s="200"/>
      <c r="D2893" s="176"/>
      <c r="E2893" s="176"/>
      <c r="F2893" s="408"/>
      <c r="G2893" s="176"/>
      <c r="H2893" s="114"/>
      <c r="I2893" s="42"/>
      <c r="J2893" s="42"/>
      <c r="K2893" s="176"/>
      <c r="L2893" s="176"/>
      <c r="M2893" s="176"/>
      <c r="N2893" s="176"/>
      <c r="O2893" s="176"/>
      <c r="P2893" s="114"/>
      <c r="Q2893" s="176"/>
      <c r="R2893" s="114"/>
      <c r="S2893" s="114"/>
      <c r="T2893" s="200"/>
      <c r="U2893" s="114"/>
      <c r="V2893" s="414"/>
      <c r="W2893" s="176"/>
      <c r="X2893" s="176"/>
      <c r="Y2893" s="176"/>
      <c r="Z2893" s="176"/>
    </row>
    <row r="2894" ht="15.75" customHeight="1">
      <c r="A2894" s="408"/>
      <c r="B2894" s="428"/>
      <c r="C2894" s="200"/>
      <c r="D2894" s="176"/>
      <c r="E2894" s="176"/>
      <c r="F2894" s="408"/>
      <c r="G2894" s="176"/>
      <c r="H2894" s="114"/>
      <c r="I2894" s="42"/>
      <c r="J2894" s="42"/>
      <c r="K2894" s="176"/>
      <c r="L2894" s="176"/>
      <c r="M2894" s="176"/>
      <c r="N2894" s="176"/>
      <c r="O2894" s="176"/>
      <c r="P2894" s="114"/>
      <c r="Q2894" s="176"/>
      <c r="R2894" s="114"/>
      <c r="S2894" s="114"/>
      <c r="T2894" s="200"/>
      <c r="U2894" s="114"/>
      <c r="V2894" s="414"/>
      <c r="W2894" s="176"/>
      <c r="X2894" s="176"/>
      <c r="Y2894" s="176"/>
      <c r="Z2894" s="176"/>
    </row>
    <row r="2895" ht="15.75" customHeight="1">
      <c r="A2895" s="408"/>
      <c r="B2895" s="428"/>
      <c r="C2895" s="200"/>
      <c r="D2895" s="176"/>
      <c r="E2895" s="176"/>
      <c r="F2895" s="408"/>
      <c r="G2895" s="176"/>
      <c r="H2895" s="114"/>
      <c r="I2895" s="42"/>
      <c r="J2895" s="42"/>
      <c r="K2895" s="176"/>
      <c r="L2895" s="176"/>
      <c r="M2895" s="176"/>
      <c r="N2895" s="176"/>
      <c r="O2895" s="176"/>
      <c r="P2895" s="114"/>
      <c r="Q2895" s="176"/>
      <c r="R2895" s="114"/>
      <c r="S2895" s="114"/>
      <c r="T2895" s="200"/>
      <c r="U2895" s="114"/>
      <c r="V2895" s="414"/>
      <c r="W2895" s="176"/>
      <c r="X2895" s="176"/>
      <c r="Y2895" s="176"/>
      <c r="Z2895" s="176"/>
    </row>
    <row r="2896" ht="15.75" customHeight="1">
      <c r="A2896" s="408"/>
      <c r="B2896" s="428"/>
      <c r="C2896" s="200"/>
      <c r="D2896" s="176"/>
      <c r="E2896" s="176"/>
      <c r="F2896" s="408"/>
      <c r="G2896" s="176"/>
      <c r="H2896" s="114"/>
      <c r="I2896" s="42"/>
      <c r="J2896" s="42"/>
      <c r="K2896" s="176"/>
      <c r="L2896" s="176"/>
      <c r="M2896" s="176"/>
      <c r="N2896" s="176"/>
      <c r="O2896" s="176"/>
      <c r="P2896" s="114"/>
      <c r="Q2896" s="176"/>
      <c r="R2896" s="114"/>
      <c r="S2896" s="114"/>
      <c r="T2896" s="200"/>
      <c r="U2896" s="114"/>
      <c r="V2896" s="414"/>
      <c r="W2896" s="176"/>
      <c r="X2896" s="176"/>
      <c r="Y2896" s="176"/>
      <c r="Z2896" s="176"/>
    </row>
    <row r="2897" ht="15.75" customHeight="1">
      <c r="A2897" s="408"/>
      <c r="B2897" s="428"/>
      <c r="C2897" s="200"/>
      <c r="D2897" s="176"/>
      <c r="E2897" s="176"/>
      <c r="F2897" s="408"/>
      <c r="G2897" s="176"/>
      <c r="H2897" s="114"/>
      <c r="I2897" s="42"/>
      <c r="J2897" s="42"/>
      <c r="K2897" s="176"/>
      <c r="L2897" s="176"/>
      <c r="M2897" s="176"/>
      <c r="N2897" s="176"/>
      <c r="O2897" s="176"/>
      <c r="P2897" s="114"/>
      <c r="Q2897" s="176"/>
      <c r="R2897" s="114"/>
      <c r="S2897" s="114"/>
      <c r="T2897" s="200"/>
      <c r="U2897" s="114"/>
      <c r="V2897" s="414"/>
      <c r="W2897" s="176"/>
      <c r="X2897" s="176"/>
      <c r="Y2897" s="176"/>
      <c r="Z2897" s="176"/>
    </row>
    <row r="2898" ht="15.75" customHeight="1">
      <c r="A2898" s="408"/>
      <c r="B2898" s="428"/>
      <c r="C2898" s="200"/>
      <c r="D2898" s="176"/>
      <c r="E2898" s="176"/>
      <c r="F2898" s="408"/>
      <c r="G2898" s="176"/>
      <c r="H2898" s="114"/>
      <c r="I2898" s="42"/>
      <c r="J2898" s="42"/>
      <c r="K2898" s="176"/>
      <c r="L2898" s="176"/>
      <c r="M2898" s="176"/>
      <c r="N2898" s="176"/>
      <c r="O2898" s="176"/>
      <c r="P2898" s="114"/>
      <c r="Q2898" s="176"/>
      <c r="R2898" s="114"/>
      <c r="S2898" s="114"/>
      <c r="T2898" s="200"/>
      <c r="U2898" s="114"/>
      <c r="V2898" s="414"/>
      <c r="W2898" s="176"/>
      <c r="X2898" s="176"/>
      <c r="Y2898" s="176"/>
      <c r="Z2898" s="176"/>
    </row>
    <row r="2899" ht="15.75" customHeight="1">
      <c r="A2899" s="408"/>
      <c r="B2899" s="428"/>
      <c r="C2899" s="200"/>
      <c r="D2899" s="176"/>
      <c r="E2899" s="176"/>
      <c r="F2899" s="408"/>
      <c r="G2899" s="176"/>
      <c r="H2899" s="114"/>
      <c r="I2899" s="42"/>
      <c r="J2899" s="42"/>
      <c r="K2899" s="176"/>
      <c r="L2899" s="176"/>
      <c r="M2899" s="176"/>
      <c r="N2899" s="176"/>
      <c r="O2899" s="176"/>
      <c r="P2899" s="114"/>
      <c r="Q2899" s="176"/>
      <c r="R2899" s="114"/>
      <c r="S2899" s="114"/>
      <c r="T2899" s="200"/>
      <c r="U2899" s="114"/>
      <c r="V2899" s="414"/>
      <c r="W2899" s="176"/>
      <c r="X2899" s="176"/>
      <c r="Y2899" s="176"/>
      <c r="Z2899" s="176"/>
    </row>
    <row r="2900" ht="15.75" customHeight="1">
      <c r="A2900" s="408"/>
      <c r="B2900" s="428"/>
      <c r="C2900" s="200"/>
      <c r="D2900" s="176"/>
      <c r="E2900" s="176"/>
      <c r="F2900" s="408"/>
      <c r="G2900" s="176"/>
      <c r="H2900" s="114"/>
      <c r="I2900" s="42"/>
      <c r="J2900" s="42"/>
      <c r="K2900" s="176"/>
      <c r="L2900" s="176"/>
      <c r="M2900" s="176"/>
      <c r="N2900" s="176"/>
      <c r="O2900" s="176"/>
      <c r="P2900" s="114"/>
      <c r="Q2900" s="176"/>
      <c r="R2900" s="114"/>
      <c r="S2900" s="114"/>
      <c r="T2900" s="200"/>
      <c r="U2900" s="114"/>
      <c r="V2900" s="414"/>
      <c r="W2900" s="176"/>
      <c r="X2900" s="176"/>
      <c r="Y2900" s="176"/>
      <c r="Z2900" s="176"/>
    </row>
    <row r="2901" ht="15.75" customHeight="1">
      <c r="A2901" s="408"/>
      <c r="B2901" s="428"/>
      <c r="C2901" s="200"/>
      <c r="D2901" s="176"/>
      <c r="E2901" s="176"/>
      <c r="F2901" s="408"/>
      <c r="G2901" s="176"/>
      <c r="H2901" s="114"/>
      <c r="I2901" s="42"/>
      <c r="J2901" s="42"/>
      <c r="K2901" s="176"/>
      <c r="L2901" s="176"/>
      <c r="M2901" s="176"/>
      <c r="N2901" s="176"/>
      <c r="O2901" s="176"/>
      <c r="P2901" s="114"/>
      <c r="Q2901" s="176"/>
      <c r="R2901" s="114"/>
      <c r="S2901" s="114"/>
      <c r="T2901" s="200"/>
      <c r="U2901" s="114"/>
      <c r="V2901" s="414"/>
      <c r="W2901" s="176"/>
      <c r="X2901" s="176"/>
      <c r="Y2901" s="176"/>
      <c r="Z2901" s="176"/>
    </row>
    <row r="2902" ht="15.75" customHeight="1">
      <c r="A2902" s="408"/>
      <c r="B2902" s="428"/>
      <c r="C2902" s="200"/>
      <c r="D2902" s="176"/>
      <c r="E2902" s="176"/>
      <c r="F2902" s="408"/>
      <c r="G2902" s="176"/>
      <c r="H2902" s="114"/>
      <c r="I2902" s="42"/>
      <c r="J2902" s="42"/>
      <c r="K2902" s="176"/>
      <c r="L2902" s="176"/>
      <c r="M2902" s="176"/>
      <c r="N2902" s="176"/>
      <c r="O2902" s="176"/>
      <c r="P2902" s="114"/>
      <c r="Q2902" s="176"/>
      <c r="R2902" s="114"/>
      <c r="S2902" s="114"/>
      <c r="T2902" s="200"/>
      <c r="U2902" s="114"/>
      <c r="V2902" s="414"/>
      <c r="W2902" s="176"/>
      <c r="X2902" s="176"/>
      <c r="Y2902" s="176"/>
      <c r="Z2902" s="176"/>
    </row>
    <row r="2903" ht="15.75" customHeight="1">
      <c r="A2903" s="408"/>
      <c r="B2903" s="428"/>
      <c r="C2903" s="200"/>
      <c r="D2903" s="176"/>
      <c r="E2903" s="176"/>
      <c r="F2903" s="408"/>
      <c r="G2903" s="176"/>
      <c r="H2903" s="114"/>
      <c r="I2903" s="42"/>
      <c r="J2903" s="42"/>
      <c r="K2903" s="176"/>
      <c r="L2903" s="176"/>
      <c r="M2903" s="176"/>
      <c r="N2903" s="176"/>
      <c r="O2903" s="176"/>
      <c r="P2903" s="114"/>
      <c r="Q2903" s="176"/>
      <c r="R2903" s="114"/>
      <c r="S2903" s="114"/>
      <c r="T2903" s="200"/>
      <c r="U2903" s="114"/>
      <c r="V2903" s="414"/>
      <c r="W2903" s="176"/>
      <c r="X2903" s="176"/>
      <c r="Y2903" s="176"/>
      <c r="Z2903" s="176"/>
    </row>
    <row r="2904" ht="15.75" customHeight="1">
      <c r="A2904" s="408"/>
      <c r="B2904" s="428"/>
      <c r="C2904" s="200"/>
      <c r="D2904" s="176"/>
      <c r="E2904" s="176"/>
      <c r="F2904" s="408"/>
      <c r="G2904" s="176"/>
      <c r="H2904" s="114"/>
      <c r="I2904" s="42"/>
      <c r="J2904" s="42"/>
      <c r="K2904" s="176"/>
      <c r="L2904" s="176"/>
      <c r="M2904" s="176"/>
      <c r="N2904" s="176"/>
      <c r="O2904" s="176"/>
      <c r="P2904" s="114"/>
      <c r="Q2904" s="176"/>
      <c r="R2904" s="114"/>
      <c r="S2904" s="114"/>
      <c r="T2904" s="200"/>
      <c r="U2904" s="114"/>
      <c r="V2904" s="414"/>
      <c r="W2904" s="176"/>
      <c r="X2904" s="176"/>
      <c r="Y2904" s="176"/>
      <c r="Z2904" s="176"/>
    </row>
    <row r="2905" ht="15.75" customHeight="1">
      <c r="A2905" s="408"/>
      <c r="B2905" s="428"/>
      <c r="C2905" s="200"/>
      <c r="D2905" s="176"/>
      <c r="E2905" s="176"/>
      <c r="F2905" s="408"/>
      <c r="G2905" s="176"/>
      <c r="H2905" s="114"/>
      <c r="I2905" s="42"/>
      <c r="J2905" s="42"/>
      <c r="K2905" s="176"/>
      <c r="L2905" s="176"/>
      <c r="M2905" s="176"/>
      <c r="N2905" s="176"/>
      <c r="O2905" s="176"/>
      <c r="P2905" s="114"/>
      <c r="Q2905" s="176"/>
      <c r="R2905" s="114"/>
      <c r="S2905" s="114"/>
      <c r="T2905" s="200"/>
      <c r="U2905" s="114"/>
      <c r="V2905" s="414"/>
      <c r="W2905" s="176"/>
      <c r="X2905" s="176"/>
      <c r="Y2905" s="176"/>
      <c r="Z2905" s="176"/>
    </row>
    <row r="2906" ht="15.75" customHeight="1">
      <c r="A2906" s="408"/>
      <c r="B2906" s="428"/>
      <c r="C2906" s="200"/>
      <c r="D2906" s="176"/>
      <c r="E2906" s="176"/>
      <c r="F2906" s="408"/>
      <c r="G2906" s="176"/>
      <c r="H2906" s="114"/>
      <c r="I2906" s="42"/>
      <c r="J2906" s="42"/>
      <c r="K2906" s="176"/>
      <c r="L2906" s="176"/>
      <c r="M2906" s="176"/>
      <c r="N2906" s="176"/>
      <c r="O2906" s="176"/>
      <c r="P2906" s="114"/>
      <c r="Q2906" s="176"/>
      <c r="R2906" s="114"/>
      <c r="S2906" s="114"/>
      <c r="T2906" s="200"/>
      <c r="U2906" s="114"/>
      <c r="V2906" s="414"/>
      <c r="W2906" s="176"/>
      <c r="X2906" s="176"/>
      <c r="Y2906" s="176"/>
      <c r="Z2906" s="176"/>
    </row>
    <row r="2907" ht="15.75" customHeight="1">
      <c r="A2907" s="408"/>
      <c r="B2907" s="428"/>
      <c r="C2907" s="200"/>
      <c r="D2907" s="176"/>
      <c r="E2907" s="176"/>
      <c r="F2907" s="408"/>
      <c r="G2907" s="176"/>
      <c r="H2907" s="114"/>
      <c r="I2907" s="42"/>
      <c r="J2907" s="42"/>
      <c r="K2907" s="176"/>
      <c r="L2907" s="176"/>
      <c r="M2907" s="176"/>
      <c r="N2907" s="176"/>
      <c r="O2907" s="176"/>
      <c r="P2907" s="114"/>
      <c r="Q2907" s="176"/>
      <c r="R2907" s="114"/>
      <c r="S2907" s="114"/>
      <c r="T2907" s="200"/>
      <c r="U2907" s="114"/>
      <c r="V2907" s="414"/>
      <c r="W2907" s="176"/>
      <c r="X2907" s="176"/>
      <c r="Y2907" s="176"/>
      <c r="Z2907" s="176"/>
    </row>
    <row r="2908" ht="15.75" customHeight="1">
      <c r="A2908" s="408"/>
      <c r="B2908" s="428"/>
      <c r="C2908" s="200"/>
      <c r="D2908" s="176"/>
      <c r="E2908" s="176"/>
      <c r="F2908" s="408"/>
      <c r="G2908" s="176"/>
      <c r="H2908" s="114"/>
      <c r="I2908" s="42"/>
      <c r="J2908" s="42"/>
      <c r="K2908" s="176"/>
      <c r="L2908" s="176"/>
      <c r="M2908" s="176"/>
      <c r="N2908" s="176"/>
      <c r="O2908" s="176"/>
      <c r="P2908" s="114"/>
      <c r="Q2908" s="176"/>
      <c r="R2908" s="114"/>
      <c r="S2908" s="114"/>
      <c r="T2908" s="200"/>
      <c r="U2908" s="114"/>
      <c r="V2908" s="414"/>
      <c r="W2908" s="176"/>
      <c r="X2908" s="176"/>
      <c r="Y2908" s="176"/>
      <c r="Z2908" s="176"/>
    </row>
    <row r="2909" ht="15.75" customHeight="1">
      <c r="A2909" s="408"/>
      <c r="B2909" s="428"/>
      <c r="C2909" s="200"/>
      <c r="D2909" s="176"/>
      <c r="E2909" s="176"/>
      <c r="F2909" s="408"/>
      <c r="G2909" s="176"/>
      <c r="H2909" s="114"/>
      <c r="I2909" s="42"/>
      <c r="J2909" s="42"/>
      <c r="K2909" s="176"/>
      <c r="L2909" s="176"/>
      <c r="M2909" s="176"/>
      <c r="N2909" s="176"/>
      <c r="O2909" s="176"/>
      <c r="P2909" s="114"/>
      <c r="Q2909" s="176"/>
      <c r="R2909" s="114"/>
      <c r="S2909" s="114"/>
      <c r="T2909" s="200"/>
      <c r="U2909" s="114"/>
      <c r="V2909" s="414"/>
      <c r="W2909" s="176"/>
      <c r="X2909" s="176"/>
      <c r="Y2909" s="176"/>
      <c r="Z2909" s="176"/>
    </row>
    <row r="2910" ht="15.75" customHeight="1">
      <c r="A2910" s="408"/>
      <c r="B2910" s="428"/>
      <c r="C2910" s="200"/>
      <c r="D2910" s="176"/>
      <c r="E2910" s="176"/>
      <c r="F2910" s="408"/>
      <c r="G2910" s="176"/>
      <c r="H2910" s="114"/>
      <c r="I2910" s="42"/>
      <c r="J2910" s="42"/>
      <c r="K2910" s="176"/>
      <c r="L2910" s="176"/>
      <c r="M2910" s="176"/>
      <c r="N2910" s="176"/>
      <c r="O2910" s="176"/>
      <c r="P2910" s="114"/>
      <c r="Q2910" s="176"/>
      <c r="R2910" s="114"/>
      <c r="S2910" s="114"/>
      <c r="T2910" s="200"/>
      <c r="U2910" s="114"/>
      <c r="V2910" s="414"/>
      <c r="W2910" s="176"/>
      <c r="X2910" s="176"/>
      <c r="Y2910" s="176"/>
      <c r="Z2910" s="176"/>
    </row>
    <row r="2911" ht="15.75" customHeight="1">
      <c r="A2911" s="408"/>
      <c r="B2911" s="428"/>
      <c r="C2911" s="200"/>
      <c r="D2911" s="176"/>
      <c r="E2911" s="176"/>
      <c r="F2911" s="408"/>
      <c r="G2911" s="176"/>
      <c r="H2911" s="114"/>
      <c r="I2911" s="42"/>
      <c r="J2911" s="42"/>
      <c r="K2911" s="176"/>
      <c r="L2911" s="176"/>
      <c r="M2911" s="176"/>
      <c r="N2911" s="176"/>
      <c r="O2911" s="176"/>
      <c r="P2911" s="114"/>
      <c r="Q2911" s="176"/>
      <c r="R2911" s="114"/>
      <c r="S2911" s="114"/>
      <c r="T2911" s="200"/>
      <c r="U2911" s="114"/>
      <c r="V2911" s="414"/>
      <c r="W2911" s="176"/>
      <c r="X2911" s="176"/>
      <c r="Y2911" s="176"/>
      <c r="Z2911" s="176"/>
    </row>
    <row r="2912" ht="15.75" customHeight="1">
      <c r="A2912" s="408"/>
      <c r="B2912" s="428"/>
      <c r="C2912" s="200"/>
      <c r="D2912" s="176"/>
      <c r="E2912" s="176"/>
      <c r="F2912" s="408"/>
      <c r="G2912" s="176"/>
      <c r="H2912" s="114"/>
      <c r="I2912" s="42"/>
      <c r="J2912" s="42"/>
      <c r="K2912" s="176"/>
      <c r="L2912" s="176"/>
      <c r="M2912" s="176"/>
      <c r="N2912" s="176"/>
      <c r="O2912" s="176"/>
      <c r="P2912" s="114"/>
      <c r="Q2912" s="176"/>
      <c r="R2912" s="114"/>
      <c r="S2912" s="114"/>
      <c r="T2912" s="200"/>
      <c r="U2912" s="114"/>
      <c r="V2912" s="414"/>
      <c r="W2912" s="176"/>
      <c r="X2912" s="176"/>
      <c r="Y2912" s="176"/>
      <c r="Z2912" s="176"/>
    </row>
    <row r="2913" ht="15.75" customHeight="1">
      <c r="A2913" s="408"/>
      <c r="B2913" s="428"/>
      <c r="C2913" s="200"/>
      <c r="D2913" s="176"/>
      <c r="E2913" s="176"/>
      <c r="F2913" s="408"/>
      <c r="G2913" s="176"/>
      <c r="H2913" s="114"/>
      <c r="I2913" s="42"/>
      <c r="J2913" s="42"/>
      <c r="K2913" s="176"/>
      <c r="L2913" s="176"/>
      <c r="M2913" s="176"/>
      <c r="N2913" s="176"/>
      <c r="O2913" s="176"/>
      <c r="P2913" s="114"/>
      <c r="Q2913" s="176"/>
      <c r="R2913" s="114"/>
      <c r="S2913" s="114"/>
      <c r="T2913" s="200"/>
      <c r="U2913" s="114"/>
      <c r="V2913" s="414"/>
      <c r="W2913" s="176"/>
      <c r="X2913" s="176"/>
      <c r="Y2913" s="176"/>
      <c r="Z2913" s="176"/>
    </row>
    <row r="2914" ht="15.75" customHeight="1">
      <c r="A2914" s="408"/>
      <c r="B2914" s="428"/>
      <c r="C2914" s="200"/>
      <c r="D2914" s="176"/>
      <c r="E2914" s="176"/>
      <c r="F2914" s="408"/>
      <c r="G2914" s="176"/>
      <c r="H2914" s="114"/>
      <c r="I2914" s="42"/>
      <c r="J2914" s="42"/>
      <c r="K2914" s="176"/>
      <c r="L2914" s="176"/>
      <c r="M2914" s="176"/>
      <c r="N2914" s="176"/>
      <c r="O2914" s="176"/>
      <c r="P2914" s="114"/>
      <c r="Q2914" s="176"/>
      <c r="R2914" s="114"/>
      <c r="S2914" s="114"/>
      <c r="T2914" s="200"/>
      <c r="U2914" s="114"/>
      <c r="V2914" s="414"/>
      <c r="W2914" s="176"/>
      <c r="X2914" s="176"/>
      <c r="Y2914" s="176"/>
      <c r="Z2914" s="176"/>
    </row>
    <row r="2915" ht="15.75" customHeight="1">
      <c r="A2915" s="408"/>
      <c r="B2915" s="428"/>
      <c r="C2915" s="200"/>
      <c r="D2915" s="176"/>
      <c r="E2915" s="176"/>
      <c r="F2915" s="408"/>
      <c r="G2915" s="176"/>
      <c r="H2915" s="114"/>
      <c r="I2915" s="42"/>
      <c r="J2915" s="42"/>
      <c r="K2915" s="176"/>
      <c r="L2915" s="176"/>
      <c r="M2915" s="176"/>
      <c r="N2915" s="176"/>
      <c r="O2915" s="176"/>
      <c r="P2915" s="114"/>
      <c r="Q2915" s="176"/>
      <c r="R2915" s="114"/>
      <c r="S2915" s="114"/>
      <c r="T2915" s="200"/>
      <c r="U2915" s="114"/>
      <c r="V2915" s="414"/>
      <c r="W2915" s="176"/>
      <c r="X2915" s="176"/>
      <c r="Y2915" s="176"/>
      <c r="Z2915" s="176"/>
    </row>
    <row r="2916" ht="15.75" customHeight="1">
      <c r="A2916" s="408"/>
      <c r="B2916" s="428"/>
      <c r="C2916" s="200"/>
      <c r="D2916" s="176"/>
      <c r="E2916" s="176"/>
      <c r="F2916" s="408"/>
      <c r="G2916" s="176"/>
      <c r="H2916" s="114"/>
      <c r="I2916" s="42"/>
      <c r="J2916" s="42"/>
      <c r="K2916" s="176"/>
      <c r="L2916" s="176"/>
      <c r="M2916" s="176"/>
      <c r="N2916" s="176"/>
      <c r="O2916" s="176"/>
      <c r="P2916" s="114"/>
      <c r="Q2916" s="176"/>
      <c r="R2916" s="114"/>
      <c r="S2916" s="114"/>
      <c r="T2916" s="200"/>
      <c r="U2916" s="114"/>
      <c r="V2916" s="414"/>
      <c r="W2916" s="176"/>
      <c r="X2916" s="176"/>
      <c r="Y2916" s="176"/>
      <c r="Z2916" s="176"/>
    </row>
    <row r="2917" ht="15.75" customHeight="1">
      <c r="A2917" s="408"/>
      <c r="B2917" s="428"/>
      <c r="C2917" s="200"/>
      <c r="D2917" s="176"/>
      <c r="E2917" s="176"/>
      <c r="F2917" s="408"/>
      <c r="G2917" s="176"/>
      <c r="H2917" s="114"/>
      <c r="I2917" s="42"/>
      <c r="J2917" s="42"/>
      <c r="K2917" s="176"/>
      <c r="L2917" s="176"/>
      <c r="M2917" s="176"/>
      <c r="N2917" s="176"/>
      <c r="O2917" s="176"/>
      <c r="P2917" s="114"/>
      <c r="Q2917" s="176"/>
      <c r="R2917" s="114"/>
      <c r="S2917" s="114"/>
      <c r="T2917" s="200"/>
      <c r="U2917" s="114"/>
      <c r="V2917" s="414"/>
      <c r="W2917" s="176"/>
      <c r="X2917" s="176"/>
      <c r="Y2917" s="176"/>
      <c r="Z2917" s="176"/>
    </row>
    <row r="2918" ht="15.75" customHeight="1">
      <c r="A2918" s="408"/>
      <c r="B2918" s="428"/>
      <c r="C2918" s="200"/>
      <c r="D2918" s="176"/>
      <c r="E2918" s="176"/>
      <c r="F2918" s="408"/>
      <c r="G2918" s="176"/>
      <c r="H2918" s="114"/>
      <c r="I2918" s="42"/>
      <c r="J2918" s="42"/>
      <c r="K2918" s="176"/>
      <c r="L2918" s="176"/>
      <c r="M2918" s="176"/>
      <c r="N2918" s="176"/>
      <c r="O2918" s="176"/>
      <c r="P2918" s="114"/>
      <c r="Q2918" s="176"/>
      <c r="R2918" s="114"/>
      <c r="S2918" s="114"/>
      <c r="T2918" s="200"/>
      <c r="U2918" s="114"/>
      <c r="V2918" s="414"/>
      <c r="W2918" s="176"/>
      <c r="X2918" s="176"/>
      <c r="Y2918" s="176"/>
      <c r="Z2918" s="176"/>
    </row>
    <row r="2919" ht="15.75" customHeight="1">
      <c r="A2919" s="408"/>
      <c r="B2919" s="428"/>
      <c r="C2919" s="200"/>
      <c r="D2919" s="176"/>
      <c r="E2919" s="176"/>
      <c r="F2919" s="408"/>
      <c r="G2919" s="176"/>
      <c r="H2919" s="114"/>
      <c r="I2919" s="42"/>
      <c r="J2919" s="42"/>
      <c r="K2919" s="176"/>
      <c r="L2919" s="176"/>
      <c r="M2919" s="176"/>
      <c r="N2919" s="176"/>
      <c r="O2919" s="176"/>
      <c r="P2919" s="114"/>
      <c r="Q2919" s="176"/>
      <c r="R2919" s="114"/>
      <c r="S2919" s="114"/>
      <c r="T2919" s="200"/>
      <c r="U2919" s="114"/>
      <c r="V2919" s="414"/>
      <c r="W2919" s="176"/>
      <c r="X2919" s="176"/>
      <c r="Y2919" s="176"/>
      <c r="Z2919" s="176"/>
    </row>
    <row r="2920" ht="15.75" customHeight="1">
      <c r="A2920" s="408"/>
      <c r="B2920" s="428"/>
      <c r="C2920" s="200"/>
      <c r="D2920" s="176"/>
      <c r="E2920" s="176"/>
      <c r="F2920" s="408"/>
      <c r="G2920" s="176"/>
      <c r="H2920" s="114"/>
      <c r="I2920" s="42"/>
      <c r="J2920" s="42"/>
      <c r="K2920" s="176"/>
      <c r="L2920" s="176"/>
      <c r="M2920" s="176"/>
      <c r="N2920" s="176"/>
      <c r="O2920" s="176"/>
      <c r="P2920" s="114"/>
      <c r="Q2920" s="176"/>
      <c r="R2920" s="114"/>
      <c r="S2920" s="114"/>
      <c r="T2920" s="200"/>
      <c r="U2920" s="114"/>
      <c r="V2920" s="414"/>
      <c r="W2920" s="176"/>
      <c r="X2920" s="176"/>
      <c r="Y2920" s="176"/>
      <c r="Z2920" s="176"/>
    </row>
    <row r="2921" ht="15.75" customHeight="1">
      <c r="A2921" s="408"/>
      <c r="B2921" s="428"/>
      <c r="C2921" s="200"/>
      <c r="D2921" s="176"/>
      <c r="E2921" s="176"/>
      <c r="F2921" s="408"/>
      <c r="G2921" s="176"/>
      <c r="H2921" s="114"/>
      <c r="I2921" s="42"/>
      <c r="J2921" s="42"/>
      <c r="K2921" s="176"/>
      <c r="L2921" s="176"/>
      <c r="M2921" s="176"/>
      <c r="N2921" s="176"/>
      <c r="O2921" s="176"/>
      <c r="P2921" s="114"/>
      <c r="Q2921" s="176"/>
      <c r="R2921" s="114"/>
      <c r="S2921" s="114"/>
      <c r="T2921" s="200"/>
      <c r="U2921" s="114"/>
      <c r="V2921" s="414"/>
      <c r="W2921" s="176"/>
      <c r="X2921" s="176"/>
      <c r="Y2921" s="176"/>
      <c r="Z2921" s="176"/>
    </row>
    <row r="2922" ht="15.75" customHeight="1">
      <c r="A2922" s="408"/>
      <c r="B2922" s="428"/>
      <c r="C2922" s="200"/>
      <c r="D2922" s="176"/>
      <c r="E2922" s="176"/>
      <c r="F2922" s="408"/>
      <c r="G2922" s="176"/>
      <c r="H2922" s="114"/>
      <c r="I2922" s="42"/>
      <c r="J2922" s="42"/>
      <c r="K2922" s="176"/>
      <c r="L2922" s="176"/>
      <c r="M2922" s="176"/>
      <c r="N2922" s="176"/>
      <c r="O2922" s="176"/>
      <c r="P2922" s="114"/>
      <c r="Q2922" s="176"/>
      <c r="R2922" s="114"/>
      <c r="S2922" s="114"/>
      <c r="T2922" s="200"/>
      <c r="U2922" s="114"/>
      <c r="V2922" s="414"/>
      <c r="W2922" s="176"/>
      <c r="X2922" s="176"/>
      <c r="Y2922" s="176"/>
      <c r="Z2922" s="176"/>
    </row>
    <row r="2923" ht="15.75" customHeight="1">
      <c r="A2923" s="408"/>
      <c r="B2923" s="428"/>
      <c r="C2923" s="200"/>
      <c r="D2923" s="176"/>
      <c r="E2923" s="176"/>
      <c r="F2923" s="408"/>
      <c r="G2923" s="176"/>
      <c r="H2923" s="114"/>
      <c r="I2923" s="42"/>
      <c r="J2923" s="42"/>
      <c r="K2923" s="176"/>
      <c r="L2923" s="176"/>
      <c r="M2923" s="176"/>
      <c r="N2923" s="176"/>
      <c r="O2923" s="176"/>
      <c r="P2923" s="114"/>
      <c r="Q2923" s="176"/>
      <c r="R2923" s="114"/>
      <c r="S2923" s="114"/>
      <c r="T2923" s="200"/>
      <c r="U2923" s="114"/>
      <c r="V2923" s="414"/>
      <c r="W2923" s="176"/>
      <c r="X2923" s="176"/>
      <c r="Y2923" s="176"/>
      <c r="Z2923" s="176"/>
    </row>
    <row r="2924" ht="15.75" customHeight="1">
      <c r="A2924" s="408"/>
      <c r="B2924" s="428"/>
      <c r="C2924" s="200"/>
      <c r="D2924" s="176"/>
      <c r="E2924" s="176"/>
      <c r="F2924" s="408"/>
      <c r="G2924" s="176"/>
      <c r="H2924" s="114"/>
      <c r="I2924" s="42"/>
      <c r="J2924" s="42"/>
      <c r="K2924" s="176"/>
      <c r="L2924" s="176"/>
      <c r="M2924" s="176"/>
      <c r="N2924" s="176"/>
      <c r="O2924" s="176"/>
      <c r="P2924" s="114"/>
      <c r="Q2924" s="176"/>
      <c r="R2924" s="114"/>
      <c r="S2924" s="114"/>
      <c r="T2924" s="200"/>
      <c r="U2924" s="114"/>
      <c r="V2924" s="414"/>
      <c r="W2924" s="176"/>
      <c r="X2924" s="176"/>
      <c r="Y2924" s="176"/>
      <c r="Z2924" s="176"/>
    </row>
    <row r="2925" ht="15.75" customHeight="1">
      <c r="A2925" s="408"/>
      <c r="B2925" s="428"/>
      <c r="C2925" s="200"/>
      <c r="D2925" s="176"/>
      <c r="E2925" s="176"/>
      <c r="F2925" s="408"/>
      <c r="G2925" s="176"/>
      <c r="H2925" s="114"/>
      <c r="I2925" s="42"/>
      <c r="J2925" s="42"/>
      <c r="K2925" s="176"/>
      <c r="L2925" s="176"/>
      <c r="M2925" s="176"/>
      <c r="N2925" s="176"/>
      <c r="O2925" s="176"/>
      <c r="P2925" s="114"/>
      <c r="Q2925" s="176"/>
      <c r="R2925" s="114"/>
      <c r="S2925" s="114"/>
      <c r="T2925" s="200"/>
      <c r="U2925" s="114"/>
      <c r="V2925" s="414"/>
      <c r="W2925" s="176"/>
      <c r="X2925" s="176"/>
      <c r="Y2925" s="176"/>
      <c r="Z2925" s="176"/>
    </row>
    <row r="2926" ht="15.75" customHeight="1">
      <c r="A2926" s="408"/>
      <c r="B2926" s="428"/>
      <c r="C2926" s="200"/>
      <c r="D2926" s="176"/>
      <c r="E2926" s="176"/>
      <c r="F2926" s="408"/>
      <c r="G2926" s="176"/>
      <c r="H2926" s="114"/>
      <c r="I2926" s="42"/>
      <c r="J2926" s="42"/>
      <c r="K2926" s="176"/>
      <c r="L2926" s="176"/>
      <c r="M2926" s="176"/>
      <c r="N2926" s="176"/>
      <c r="O2926" s="176"/>
      <c r="P2926" s="114"/>
      <c r="Q2926" s="176"/>
      <c r="R2926" s="114"/>
      <c r="S2926" s="114"/>
      <c r="T2926" s="200"/>
      <c r="U2926" s="114"/>
      <c r="V2926" s="414"/>
      <c r="W2926" s="176"/>
      <c r="X2926" s="176"/>
      <c r="Y2926" s="176"/>
      <c r="Z2926" s="176"/>
    </row>
    <row r="2927" ht="15.75" customHeight="1">
      <c r="A2927" s="408"/>
      <c r="B2927" s="428"/>
      <c r="C2927" s="200"/>
      <c r="D2927" s="176"/>
      <c r="E2927" s="176"/>
      <c r="F2927" s="408"/>
      <c r="G2927" s="176"/>
      <c r="H2927" s="114"/>
      <c r="I2927" s="42"/>
      <c r="J2927" s="42"/>
      <c r="K2927" s="176"/>
      <c r="L2927" s="176"/>
      <c r="M2927" s="176"/>
      <c r="N2927" s="176"/>
      <c r="O2927" s="176"/>
      <c r="P2927" s="114"/>
      <c r="Q2927" s="176"/>
      <c r="R2927" s="114"/>
      <c r="S2927" s="114"/>
      <c r="T2927" s="200"/>
      <c r="U2927" s="114"/>
      <c r="V2927" s="414"/>
      <c r="W2927" s="176"/>
      <c r="X2927" s="176"/>
      <c r="Y2927" s="176"/>
      <c r="Z2927" s="176"/>
    </row>
    <row r="2928" ht="15.75" customHeight="1">
      <c r="A2928" s="408"/>
      <c r="B2928" s="428"/>
      <c r="C2928" s="200"/>
      <c r="D2928" s="176"/>
      <c r="E2928" s="176"/>
      <c r="F2928" s="408"/>
      <c r="G2928" s="176"/>
      <c r="H2928" s="114"/>
      <c r="I2928" s="42"/>
      <c r="J2928" s="42"/>
      <c r="K2928" s="176"/>
      <c r="L2928" s="176"/>
      <c r="M2928" s="176"/>
      <c r="N2928" s="176"/>
      <c r="O2928" s="176"/>
      <c r="P2928" s="114"/>
      <c r="Q2928" s="176"/>
      <c r="R2928" s="114"/>
      <c r="S2928" s="114"/>
      <c r="T2928" s="200"/>
      <c r="U2928" s="114"/>
      <c r="V2928" s="414"/>
      <c r="W2928" s="176"/>
      <c r="X2928" s="176"/>
      <c r="Y2928" s="176"/>
      <c r="Z2928" s="176"/>
    </row>
    <row r="2929" ht="15.75" customHeight="1">
      <c r="A2929" s="408"/>
      <c r="B2929" s="428"/>
      <c r="C2929" s="200"/>
      <c r="D2929" s="176"/>
      <c r="E2929" s="176"/>
      <c r="F2929" s="408"/>
      <c r="G2929" s="176"/>
      <c r="H2929" s="114"/>
      <c r="I2929" s="42"/>
      <c r="J2929" s="42"/>
      <c r="K2929" s="176"/>
      <c r="L2929" s="176"/>
      <c r="M2929" s="176"/>
      <c r="N2929" s="176"/>
      <c r="O2929" s="176"/>
      <c r="P2929" s="114"/>
      <c r="Q2929" s="176"/>
      <c r="R2929" s="114"/>
      <c r="S2929" s="114"/>
      <c r="T2929" s="200"/>
      <c r="U2929" s="114"/>
      <c r="V2929" s="414"/>
      <c r="W2929" s="176"/>
      <c r="X2929" s="176"/>
      <c r="Y2929" s="176"/>
      <c r="Z2929" s="176"/>
    </row>
    <row r="2930" ht="15.75" customHeight="1">
      <c r="A2930" s="408"/>
      <c r="B2930" s="428"/>
      <c r="C2930" s="200"/>
      <c r="D2930" s="176"/>
      <c r="E2930" s="176"/>
      <c r="F2930" s="408"/>
      <c r="G2930" s="176"/>
      <c r="H2930" s="114"/>
      <c r="I2930" s="42"/>
      <c r="J2930" s="42"/>
      <c r="K2930" s="176"/>
      <c r="L2930" s="176"/>
      <c r="M2930" s="176"/>
      <c r="N2930" s="176"/>
      <c r="O2930" s="176"/>
      <c r="P2930" s="114"/>
      <c r="Q2930" s="176"/>
      <c r="R2930" s="114"/>
      <c r="S2930" s="114"/>
      <c r="T2930" s="200"/>
      <c r="U2930" s="114"/>
      <c r="V2930" s="414"/>
      <c r="W2930" s="176"/>
      <c r="X2930" s="176"/>
      <c r="Y2930" s="176"/>
      <c r="Z2930" s="176"/>
    </row>
    <row r="2931" ht="15.75" customHeight="1">
      <c r="A2931" s="408"/>
      <c r="B2931" s="428"/>
      <c r="C2931" s="200"/>
      <c r="D2931" s="176"/>
      <c r="E2931" s="176"/>
      <c r="F2931" s="408"/>
      <c r="G2931" s="176"/>
      <c r="H2931" s="114"/>
      <c r="I2931" s="42"/>
      <c r="J2931" s="42"/>
      <c r="K2931" s="176"/>
      <c r="L2931" s="176"/>
      <c r="M2931" s="176"/>
      <c r="N2931" s="176"/>
      <c r="O2931" s="176"/>
      <c r="P2931" s="114"/>
      <c r="Q2931" s="176"/>
      <c r="R2931" s="114"/>
      <c r="S2931" s="114"/>
      <c r="T2931" s="200"/>
      <c r="U2931" s="114"/>
      <c r="V2931" s="414"/>
      <c r="W2931" s="176"/>
      <c r="X2931" s="176"/>
      <c r="Y2931" s="176"/>
      <c r="Z2931" s="176"/>
    </row>
    <row r="2932" ht="15.75" customHeight="1">
      <c r="A2932" s="408"/>
      <c r="B2932" s="428"/>
      <c r="C2932" s="200"/>
      <c r="D2932" s="176"/>
      <c r="E2932" s="176"/>
      <c r="F2932" s="408"/>
      <c r="G2932" s="176"/>
      <c r="H2932" s="114"/>
      <c r="I2932" s="42"/>
      <c r="J2932" s="42"/>
      <c r="K2932" s="176"/>
      <c r="L2932" s="176"/>
      <c r="M2932" s="176"/>
      <c r="N2932" s="176"/>
      <c r="O2932" s="176"/>
      <c r="P2932" s="114"/>
      <c r="Q2932" s="176"/>
      <c r="R2932" s="114"/>
      <c r="S2932" s="114"/>
      <c r="T2932" s="200"/>
      <c r="U2932" s="114"/>
      <c r="V2932" s="414"/>
      <c r="W2932" s="176"/>
      <c r="X2932" s="176"/>
      <c r="Y2932" s="176"/>
      <c r="Z2932" s="176"/>
    </row>
    <row r="2933" ht="15.75" customHeight="1">
      <c r="A2933" s="408"/>
      <c r="B2933" s="428"/>
      <c r="C2933" s="200"/>
      <c r="D2933" s="176"/>
      <c r="E2933" s="176"/>
      <c r="F2933" s="408"/>
      <c r="G2933" s="176"/>
      <c r="H2933" s="114"/>
      <c r="I2933" s="42"/>
      <c r="J2933" s="42"/>
      <c r="K2933" s="176"/>
      <c r="L2933" s="176"/>
      <c r="M2933" s="176"/>
      <c r="N2933" s="176"/>
      <c r="O2933" s="176"/>
      <c r="P2933" s="114"/>
      <c r="Q2933" s="176"/>
      <c r="R2933" s="114"/>
      <c r="S2933" s="114"/>
      <c r="T2933" s="200"/>
      <c r="U2933" s="114"/>
      <c r="V2933" s="414"/>
      <c r="W2933" s="176"/>
      <c r="X2933" s="176"/>
      <c r="Y2933" s="176"/>
      <c r="Z2933" s="176"/>
    </row>
    <row r="2934" ht="15.75" customHeight="1">
      <c r="A2934" s="408"/>
      <c r="B2934" s="428"/>
      <c r="C2934" s="200"/>
      <c r="D2934" s="176"/>
      <c r="E2934" s="176"/>
      <c r="F2934" s="408"/>
      <c r="G2934" s="176"/>
      <c r="H2934" s="114"/>
      <c r="I2934" s="42"/>
      <c r="J2934" s="42"/>
      <c r="K2934" s="176"/>
      <c r="L2934" s="176"/>
      <c r="M2934" s="176"/>
      <c r="N2934" s="176"/>
      <c r="O2934" s="176"/>
      <c r="P2934" s="114"/>
      <c r="Q2934" s="176"/>
      <c r="R2934" s="114"/>
      <c r="S2934" s="114"/>
      <c r="T2934" s="200"/>
      <c r="U2934" s="114"/>
      <c r="V2934" s="414"/>
      <c r="W2934" s="176"/>
      <c r="X2934" s="176"/>
      <c r="Y2934" s="176"/>
      <c r="Z2934" s="176"/>
    </row>
    <row r="2935" ht="15.75" customHeight="1">
      <c r="A2935" s="408"/>
      <c r="B2935" s="428"/>
      <c r="C2935" s="200"/>
      <c r="D2935" s="176"/>
      <c r="E2935" s="176"/>
      <c r="F2935" s="408"/>
      <c r="G2935" s="176"/>
      <c r="H2935" s="114"/>
      <c r="I2935" s="42"/>
      <c r="J2935" s="42"/>
      <c r="K2935" s="176"/>
      <c r="L2935" s="176"/>
      <c r="M2935" s="176"/>
      <c r="N2935" s="176"/>
      <c r="O2935" s="176"/>
      <c r="P2935" s="114"/>
      <c r="Q2935" s="176"/>
      <c r="R2935" s="114"/>
      <c r="S2935" s="114"/>
      <c r="T2935" s="200"/>
      <c r="U2935" s="114"/>
      <c r="V2935" s="414"/>
      <c r="W2935" s="176"/>
      <c r="X2935" s="176"/>
      <c r="Y2935" s="176"/>
      <c r="Z2935" s="176"/>
    </row>
    <row r="2936" ht="15.75" customHeight="1">
      <c r="A2936" s="408"/>
      <c r="B2936" s="428"/>
      <c r="C2936" s="200"/>
      <c r="D2936" s="176"/>
      <c r="E2936" s="176"/>
      <c r="F2936" s="408"/>
      <c r="G2936" s="176"/>
      <c r="H2936" s="114"/>
      <c r="I2936" s="42"/>
      <c r="J2936" s="42"/>
      <c r="K2936" s="176"/>
      <c r="L2936" s="176"/>
      <c r="M2936" s="176"/>
      <c r="N2936" s="176"/>
      <c r="O2936" s="176"/>
      <c r="P2936" s="114"/>
      <c r="Q2936" s="176"/>
      <c r="R2936" s="114"/>
      <c r="S2936" s="114"/>
      <c r="T2936" s="200"/>
      <c r="U2936" s="114"/>
      <c r="V2936" s="414"/>
      <c r="W2936" s="176"/>
      <c r="X2936" s="176"/>
      <c r="Y2936" s="176"/>
      <c r="Z2936" s="176"/>
    </row>
    <row r="2937" ht="15.75" customHeight="1">
      <c r="A2937" s="408"/>
      <c r="B2937" s="428"/>
      <c r="C2937" s="200"/>
      <c r="D2937" s="176"/>
      <c r="E2937" s="176"/>
      <c r="F2937" s="408"/>
      <c r="G2937" s="176"/>
      <c r="H2937" s="114"/>
      <c r="I2937" s="42"/>
      <c r="J2937" s="42"/>
      <c r="K2937" s="176"/>
      <c r="L2937" s="176"/>
      <c r="M2937" s="176"/>
      <c r="N2937" s="176"/>
      <c r="O2937" s="176"/>
      <c r="P2937" s="114"/>
      <c r="Q2937" s="176"/>
      <c r="R2937" s="114"/>
      <c r="S2937" s="114"/>
      <c r="T2937" s="200"/>
      <c r="U2937" s="114"/>
      <c r="V2937" s="414"/>
      <c r="W2937" s="176"/>
      <c r="X2937" s="176"/>
      <c r="Y2937" s="176"/>
      <c r="Z2937" s="176"/>
    </row>
    <row r="2938" ht="15.75" customHeight="1">
      <c r="A2938" s="408"/>
      <c r="B2938" s="428"/>
      <c r="C2938" s="200"/>
      <c r="D2938" s="176"/>
      <c r="E2938" s="176"/>
      <c r="F2938" s="408"/>
      <c r="G2938" s="176"/>
      <c r="H2938" s="114"/>
      <c r="I2938" s="42"/>
      <c r="J2938" s="42"/>
      <c r="K2938" s="176"/>
      <c r="L2938" s="176"/>
      <c r="M2938" s="176"/>
      <c r="N2938" s="176"/>
      <c r="O2938" s="176"/>
      <c r="P2938" s="114"/>
      <c r="Q2938" s="176"/>
      <c r="R2938" s="114"/>
      <c r="S2938" s="114"/>
      <c r="T2938" s="200"/>
      <c r="U2938" s="114"/>
      <c r="V2938" s="414"/>
      <c r="W2938" s="176"/>
      <c r="X2938" s="176"/>
      <c r="Y2938" s="176"/>
      <c r="Z2938" s="176"/>
    </row>
    <row r="2939" ht="15.75" customHeight="1">
      <c r="A2939" s="408"/>
      <c r="B2939" s="428"/>
      <c r="C2939" s="200"/>
      <c r="D2939" s="176"/>
      <c r="E2939" s="176"/>
      <c r="F2939" s="408"/>
      <c r="G2939" s="176"/>
      <c r="H2939" s="114"/>
      <c r="I2939" s="42"/>
      <c r="J2939" s="42"/>
      <c r="K2939" s="176"/>
      <c r="L2939" s="176"/>
      <c r="M2939" s="176"/>
      <c r="N2939" s="176"/>
      <c r="O2939" s="176"/>
      <c r="P2939" s="114"/>
      <c r="Q2939" s="176"/>
      <c r="R2939" s="114"/>
      <c r="S2939" s="114"/>
      <c r="T2939" s="200"/>
      <c r="U2939" s="114"/>
      <c r="V2939" s="414"/>
      <c r="W2939" s="176"/>
      <c r="X2939" s="176"/>
      <c r="Y2939" s="176"/>
      <c r="Z2939" s="176"/>
    </row>
    <row r="2940" ht="15.75" customHeight="1">
      <c r="A2940" s="408"/>
      <c r="B2940" s="428"/>
      <c r="C2940" s="200"/>
      <c r="D2940" s="176"/>
      <c r="E2940" s="176"/>
      <c r="F2940" s="408"/>
      <c r="G2940" s="176"/>
      <c r="H2940" s="114"/>
      <c r="I2940" s="42"/>
      <c r="J2940" s="42"/>
      <c r="K2940" s="176"/>
      <c r="L2940" s="176"/>
      <c r="M2940" s="176"/>
      <c r="N2940" s="176"/>
      <c r="O2940" s="176"/>
      <c r="P2940" s="114"/>
      <c r="Q2940" s="176"/>
      <c r="R2940" s="114"/>
      <c r="S2940" s="114"/>
      <c r="T2940" s="200"/>
      <c r="U2940" s="114"/>
      <c r="V2940" s="414"/>
      <c r="W2940" s="176"/>
      <c r="X2940" s="176"/>
      <c r="Y2940" s="176"/>
      <c r="Z2940" s="176"/>
    </row>
    <row r="2941" ht="15.75" customHeight="1">
      <c r="A2941" s="408"/>
      <c r="B2941" s="428"/>
      <c r="C2941" s="200"/>
      <c r="D2941" s="176"/>
      <c r="E2941" s="176"/>
      <c r="F2941" s="408"/>
      <c r="G2941" s="176"/>
      <c r="H2941" s="114"/>
      <c r="I2941" s="42"/>
      <c r="J2941" s="42"/>
      <c r="K2941" s="176"/>
      <c r="L2941" s="176"/>
      <c r="M2941" s="176"/>
      <c r="N2941" s="176"/>
      <c r="O2941" s="176"/>
      <c r="P2941" s="114"/>
      <c r="Q2941" s="176"/>
      <c r="R2941" s="114"/>
      <c r="S2941" s="114"/>
      <c r="T2941" s="200"/>
      <c r="U2941" s="114"/>
      <c r="V2941" s="414"/>
      <c r="W2941" s="176"/>
      <c r="X2941" s="176"/>
      <c r="Y2941" s="176"/>
      <c r="Z2941" s="176"/>
    </row>
    <row r="2942" ht="15.75" customHeight="1">
      <c r="A2942" s="408"/>
      <c r="B2942" s="428"/>
      <c r="C2942" s="200"/>
      <c r="D2942" s="176"/>
      <c r="E2942" s="176"/>
      <c r="F2942" s="408"/>
      <c r="G2942" s="176"/>
      <c r="H2942" s="114"/>
      <c r="I2942" s="42"/>
      <c r="J2942" s="42"/>
      <c r="K2942" s="176"/>
      <c r="L2942" s="176"/>
      <c r="M2942" s="176"/>
      <c r="N2942" s="176"/>
      <c r="O2942" s="176"/>
      <c r="P2942" s="114"/>
      <c r="Q2942" s="176"/>
      <c r="R2942" s="114"/>
      <c r="S2942" s="114"/>
      <c r="T2942" s="200"/>
      <c r="U2942" s="114"/>
      <c r="V2942" s="414"/>
      <c r="W2942" s="176"/>
      <c r="X2942" s="176"/>
      <c r="Y2942" s="176"/>
      <c r="Z2942" s="176"/>
    </row>
    <row r="2943" ht="15.75" customHeight="1">
      <c r="A2943" s="408"/>
      <c r="B2943" s="428"/>
      <c r="C2943" s="200"/>
      <c r="D2943" s="176"/>
      <c r="E2943" s="176"/>
      <c r="F2943" s="408"/>
      <c r="G2943" s="176"/>
      <c r="H2943" s="114"/>
      <c r="I2943" s="42"/>
      <c r="J2943" s="42"/>
      <c r="K2943" s="176"/>
      <c r="L2943" s="176"/>
      <c r="M2943" s="176"/>
      <c r="N2943" s="176"/>
      <c r="O2943" s="176"/>
      <c r="P2943" s="114"/>
      <c r="Q2943" s="176"/>
      <c r="R2943" s="114"/>
      <c r="S2943" s="114"/>
      <c r="T2943" s="200"/>
      <c r="U2943" s="114"/>
      <c r="V2943" s="414"/>
      <c r="W2943" s="176"/>
      <c r="X2943" s="176"/>
      <c r="Y2943" s="176"/>
      <c r="Z2943" s="176"/>
    </row>
    <row r="2944" ht="15.75" customHeight="1">
      <c r="A2944" s="408"/>
      <c r="B2944" s="428"/>
      <c r="C2944" s="200"/>
      <c r="D2944" s="176"/>
      <c r="E2944" s="176"/>
      <c r="F2944" s="408"/>
      <c r="G2944" s="176"/>
      <c r="H2944" s="114"/>
      <c r="I2944" s="42"/>
      <c r="J2944" s="42"/>
      <c r="K2944" s="176"/>
      <c r="L2944" s="176"/>
      <c r="M2944" s="176"/>
      <c r="N2944" s="176"/>
      <c r="O2944" s="176"/>
      <c r="P2944" s="114"/>
      <c r="Q2944" s="176"/>
      <c r="R2944" s="114"/>
      <c r="S2944" s="114"/>
      <c r="T2944" s="200"/>
      <c r="U2944" s="114"/>
      <c r="V2944" s="414"/>
      <c r="W2944" s="176"/>
      <c r="X2944" s="176"/>
      <c r="Y2944" s="176"/>
      <c r="Z2944" s="176"/>
    </row>
    <row r="2945" ht="15.75" customHeight="1">
      <c r="A2945" s="408"/>
      <c r="B2945" s="428"/>
      <c r="C2945" s="200"/>
      <c r="D2945" s="176"/>
      <c r="E2945" s="176"/>
      <c r="F2945" s="408"/>
      <c r="G2945" s="176"/>
      <c r="H2945" s="114"/>
      <c r="I2945" s="42"/>
      <c r="J2945" s="42"/>
      <c r="K2945" s="176"/>
      <c r="L2945" s="176"/>
      <c r="M2945" s="176"/>
      <c r="N2945" s="176"/>
      <c r="O2945" s="176"/>
      <c r="P2945" s="114"/>
      <c r="Q2945" s="176"/>
      <c r="R2945" s="114"/>
      <c r="S2945" s="114"/>
      <c r="T2945" s="200"/>
      <c r="U2945" s="114"/>
      <c r="V2945" s="414"/>
      <c r="W2945" s="176"/>
      <c r="X2945" s="176"/>
      <c r="Y2945" s="176"/>
      <c r="Z2945" s="176"/>
    </row>
    <row r="2946" ht="15.75" customHeight="1">
      <c r="A2946" s="408"/>
      <c r="B2946" s="428"/>
      <c r="C2946" s="200"/>
      <c r="D2946" s="176"/>
      <c r="E2946" s="176"/>
      <c r="F2946" s="408"/>
      <c r="G2946" s="176"/>
      <c r="H2946" s="114"/>
      <c r="I2946" s="42"/>
      <c r="J2946" s="42"/>
      <c r="K2946" s="176"/>
      <c r="L2946" s="176"/>
      <c r="M2946" s="176"/>
      <c r="N2946" s="176"/>
      <c r="O2946" s="176"/>
      <c r="P2946" s="114"/>
      <c r="Q2946" s="176"/>
      <c r="R2946" s="114"/>
      <c r="S2946" s="114"/>
      <c r="T2946" s="200"/>
      <c r="U2946" s="114"/>
      <c r="V2946" s="414"/>
      <c r="W2946" s="176"/>
      <c r="X2946" s="176"/>
      <c r="Y2946" s="176"/>
      <c r="Z2946" s="176"/>
    </row>
    <row r="2947" ht="15.75" customHeight="1">
      <c r="A2947" s="408"/>
      <c r="B2947" s="428"/>
      <c r="C2947" s="200"/>
      <c r="D2947" s="176"/>
      <c r="E2947" s="176"/>
      <c r="F2947" s="408"/>
      <c r="G2947" s="176"/>
      <c r="H2947" s="114"/>
      <c r="I2947" s="42"/>
      <c r="J2947" s="42"/>
      <c r="K2947" s="176"/>
      <c r="L2947" s="176"/>
      <c r="M2947" s="176"/>
      <c r="N2947" s="176"/>
      <c r="O2947" s="176"/>
      <c r="P2947" s="114"/>
      <c r="Q2947" s="176"/>
      <c r="R2947" s="114"/>
      <c r="S2947" s="114"/>
      <c r="T2947" s="200"/>
      <c r="U2947" s="114"/>
      <c r="V2947" s="414"/>
      <c r="W2947" s="176"/>
      <c r="X2947" s="176"/>
      <c r="Y2947" s="176"/>
      <c r="Z2947" s="176"/>
    </row>
    <row r="2948" ht="15.75" customHeight="1">
      <c r="A2948" s="408"/>
      <c r="B2948" s="428"/>
      <c r="C2948" s="200"/>
      <c r="D2948" s="176"/>
      <c r="E2948" s="176"/>
      <c r="F2948" s="408"/>
      <c r="G2948" s="176"/>
      <c r="H2948" s="114"/>
      <c r="I2948" s="42"/>
      <c r="J2948" s="42"/>
      <c r="K2948" s="176"/>
      <c r="L2948" s="176"/>
      <c r="M2948" s="176"/>
      <c r="N2948" s="176"/>
      <c r="O2948" s="176"/>
      <c r="P2948" s="114"/>
      <c r="Q2948" s="176"/>
      <c r="R2948" s="114"/>
      <c r="S2948" s="114"/>
      <c r="T2948" s="200"/>
      <c r="U2948" s="114"/>
      <c r="V2948" s="414"/>
      <c r="W2948" s="176"/>
      <c r="X2948" s="176"/>
      <c r="Y2948" s="176"/>
      <c r="Z2948" s="176"/>
    </row>
    <row r="2949" ht="15.75" customHeight="1">
      <c r="A2949" s="408"/>
      <c r="B2949" s="428"/>
      <c r="C2949" s="200"/>
      <c r="D2949" s="176"/>
      <c r="E2949" s="176"/>
      <c r="F2949" s="408"/>
      <c r="G2949" s="176"/>
      <c r="H2949" s="114"/>
      <c r="I2949" s="42"/>
      <c r="J2949" s="42"/>
      <c r="K2949" s="176"/>
      <c r="L2949" s="176"/>
      <c r="M2949" s="176"/>
      <c r="N2949" s="176"/>
      <c r="O2949" s="176"/>
      <c r="P2949" s="114"/>
      <c r="Q2949" s="176"/>
      <c r="R2949" s="114"/>
      <c r="S2949" s="114"/>
      <c r="T2949" s="200"/>
      <c r="U2949" s="114"/>
      <c r="V2949" s="414"/>
      <c r="W2949" s="176"/>
      <c r="X2949" s="176"/>
      <c r="Y2949" s="176"/>
      <c r="Z2949" s="176"/>
    </row>
    <row r="2950" ht="15.75" customHeight="1">
      <c r="A2950" s="408"/>
      <c r="B2950" s="428"/>
      <c r="C2950" s="200"/>
      <c r="D2950" s="176"/>
      <c r="E2950" s="176"/>
      <c r="F2950" s="408"/>
      <c r="G2950" s="176"/>
      <c r="H2950" s="114"/>
      <c r="I2950" s="42"/>
      <c r="J2950" s="42"/>
      <c r="K2950" s="176"/>
      <c r="L2950" s="176"/>
      <c r="M2950" s="176"/>
      <c r="N2950" s="176"/>
      <c r="O2950" s="176"/>
      <c r="P2950" s="114"/>
      <c r="Q2950" s="176"/>
      <c r="R2950" s="114"/>
      <c r="S2950" s="114"/>
      <c r="T2950" s="200"/>
      <c r="U2950" s="114"/>
      <c r="V2950" s="414"/>
      <c r="W2950" s="176"/>
      <c r="X2950" s="176"/>
      <c r="Y2950" s="176"/>
      <c r="Z2950" s="176"/>
    </row>
    <row r="2951" ht="15.75" customHeight="1">
      <c r="A2951" s="408"/>
      <c r="B2951" s="428"/>
      <c r="C2951" s="200"/>
      <c r="D2951" s="176"/>
      <c r="E2951" s="176"/>
      <c r="F2951" s="408"/>
      <c r="G2951" s="176"/>
      <c r="H2951" s="114"/>
      <c r="I2951" s="42"/>
      <c r="J2951" s="42"/>
      <c r="K2951" s="176"/>
      <c r="L2951" s="176"/>
      <c r="M2951" s="176"/>
      <c r="N2951" s="176"/>
      <c r="O2951" s="176"/>
      <c r="P2951" s="114"/>
      <c r="Q2951" s="176"/>
      <c r="R2951" s="114"/>
      <c r="S2951" s="114"/>
      <c r="T2951" s="200"/>
      <c r="U2951" s="114"/>
      <c r="V2951" s="414"/>
      <c r="W2951" s="176"/>
      <c r="X2951" s="176"/>
      <c r="Y2951" s="176"/>
      <c r="Z2951" s="176"/>
    </row>
    <row r="2952" ht="15.75" customHeight="1">
      <c r="A2952" s="408"/>
      <c r="B2952" s="428"/>
      <c r="C2952" s="200"/>
      <c r="D2952" s="176"/>
      <c r="E2952" s="176"/>
      <c r="F2952" s="408"/>
      <c r="G2952" s="176"/>
      <c r="H2952" s="114"/>
      <c r="I2952" s="42"/>
      <c r="J2952" s="42"/>
      <c r="K2952" s="176"/>
      <c r="L2952" s="176"/>
      <c r="M2952" s="176"/>
      <c r="N2952" s="176"/>
      <c r="O2952" s="176"/>
      <c r="P2952" s="114"/>
      <c r="Q2952" s="176"/>
      <c r="R2952" s="114"/>
      <c r="S2952" s="114"/>
      <c r="T2952" s="200"/>
      <c r="U2952" s="114"/>
      <c r="V2952" s="414"/>
      <c r="W2952" s="176"/>
      <c r="X2952" s="176"/>
      <c r="Y2952" s="176"/>
      <c r="Z2952" s="176"/>
    </row>
    <row r="2953" ht="15.75" customHeight="1">
      <c r="A2953" s="408"/>
      <c r="B2953" s="428"/>
      <c r="C2953" s="200"/>
      <c r="D2953" s="176"/>
      <c r="E2953" s="176"/>
      <c r="F2953" s="408"/>
      <c r="G2953" s="176"/>
      <c r="H2953" s="114"/>
      <c r="I2953" s="42"/>
      <c r="J2953" s="42"/>
      <c r="K2953" s="176"/>
      <c r="L2953" s="176"/>
      <c r="M2953" s="176"/>
      <c r="N2953" s="176"/>
      <c r="O2953" s="176"/>
      <c r="P2953" s="114"/>
      <c r="Q2953" s="176"/>
      <c r="R2953" s="114"/>
      <c r="S2953" s="114"/>
      <c r="T2953" s="200"/>
      <c r="U2953" s="114"/>
      <c r="V2953" s="414"/>
      <c r="W2953" s="176"/>
      <c r="X2953" s="176"/>
      <c r="Y2953" s="176"/>
      <c r="Z2953" s="176"/>
    </row>
    <row r="2954" ht="15.75" customHeight="1">
      <c r="A2954" s="408"/>
      <c r="B2954" s="428"/>
      <c r="C2954" s="200"/>
      <c r="D2954" s="176"/>
      <c r="E2954" s="176"/>
      <c r="F2954" s="408"/>
      <c r="G2954" s="176"/>
      <c r="H2954" s="114"/>
      <c r="I2954" s="42"/>
      <c r="J2954" s="42"/>
      <c r="K2954" s="176"/>
      <c r="L2954" s="176"/>
      <c r="M2954" s="176"/>
      <c r="N2954" s="176"/>
      <c r="O2954" s="176"/>
      <c r="P2954" s="114"/>
      <c r="Q2954" s="176"/>
      <c r="R2954" s="114"/>
      <c r="S2954" s="114"/>
      <c r="T2954" s="200"/>
      <c r="U2954" s="114"/>
      <c r="V2954" s="414"/>
      <c r="W2954" s="176"/>
      <c r="X2954" s="176"/>
      <c r="Y2954" s="176"/>
      <c r="Z2954" s="176"/>
    </row>
    <row r="2955" ht="15.75" customHeight="1">
      <c r="A2955" s="408"/>
      <c r="B2955" s="428"/>
      <c r="C2955" s="200"/>
      <c r="D2955" s="176"/>
      <c r="E2955" s="176"/>
      <c r="F2955" s="408"/>
      <c r="G2955" s="176"/>
      <c r="H2955" s="114"/>
      <c r="I2955" s="42"/>
      <c r="J2955" s="42"/>
      <c r="K2955" s="176"/>
      <c r="L2955" s="176"/>
      <c r="M2955" s="176"/>
      <c r="N2955" s="176"/>
      <c r="O2955" s="176"/>
      <c r="P2955" s="114"/>
      <c r="Q2955" s="176"/>
      <c r="R2955" s="114"/>
      <c r="S2955" s="114"/>
      <c r="T2955" s="200"/>
      <c r="U2955" s="114"/>
      <c r="V2955" s="414"/>
      <c r="W2955" s="176"/>
      <c r="X2955" s="176"/>
      <c r="Y2955" s="176"/>
      <c r="Z2955" s="176"/>
    </row>
    <row r="2956" ht="15.75" customHeight="1">
      <c r="A2956" s="408"/>
      <c r="B2956" s="428"/>
      <c r="C2956" s="200"/>
      <c r="D2956" s="176"/>
      <c r="E2956" s="176"/>
      <c r="F2956" s="408"/>
      <c r="G2956" s="176"/>
      <c r="H2956" s="114"/>
      <c r="I2956" s="42"/>
      <c r="J2956" s="42"/>
      <c r="K2956" s="176"/>
      <c r="L2956" s="176"/>
      <c r="M2956" s="176"/>
      <c r="N2956" s="176"/>
      <c r="O2956" s="176"/>
      <c r="P2956" s="114"/>
      <c r="Q2956" s="176"/>
      <c r="R2956" s="114"/>
      <c r="S2956" s="114"/>
      <c r="T2956" s="200"/>
      <c r="U2956" s="114"/>
      <c r="V2956" s="414"/>
      <c r="W2956" s="176"/>
      <c r="X2956" s="176"/>
      <c r="Y2956" s="176"/>
      <c r="Z2956" s="176"/>
    </row>
    <row r="2957" ht="15.75" customHeight="1">
      <c r="A2957" s="408"/>
      <c r="B2957" s="428"/>
      <c r="C2957" s="200"/>
      <c r="D2957" s="176"/>
      <c r="E2957" s="176"/>
      <c r="F2957" s="408"/>
      <c r="G2957" s="176"/>
      <c r="H2957" s="114"/>
      <c r="I2957" s="42"/>
      <c r="J2957" s="42"/>
      <c r="K2957" s="176"/>
      <c r="L2957" s="176"/>
      <c r="M2957" s="176"/>
      <c r="N2957" s="176"/>
      <c r="O2957" s="176"/>
      <c r="P2957" s="114"/>
      <c r="Q2957" s="176"/>
      <c r="R2957" s="114"/>
      <c r="S2957" s="114"/>
      <c r="T2957" s="200"/>
      <c r="U2957" s="114"/>
      <c r="V2957" s="414"/>
      <c r="W2957" s="176"/>
      <c r="X2957" s="176"/>
      <c r="Y2957" s="176"/>
      <c r="Z2957" s="176"/>
    </row>
    <row r="2958" ht="15.75" customHeight="1">
      <c r="A2958" s="408"/>
      <c r="B2958" s="428"/>
      <c r="C2958" s="200"/>
      <c r="D2958" s="176"/>
      <c r="E2958" s="176"/>
      <c r="F2958" s="408"/>
      <c r="G2958" s="176"/>
      <c r="H2958" s="114"/>
      <c r="I2958" s="42"/>
      <c r="J2958" s="42"/>
      <c r="K2958" s="176"/>
      <c r="L2958" s="176"/>
      <c r="M2958" s="176"/>
      <c r="N2958" s="176"/>
      <c r="O2958" s="176"/>
      <c r="P2958" s="114"/>
      <c r="Q2958" s="176"/>
      <c r="R2958" s="114"/>
      <c r="S2958" s="114"/>
      <c r="T2958" s="200"/>
      <c r="U2958" s="114"/>
      <c r="V2958" s="414"/>
      <c r="W2958" s="176"/>
      <c r="X2958" s="176"/>
      <c r="Y2958" s="176"/>
      <c r="Z2958" s="176"/>
    </row>
    <row r="2959" ht="15.75" customHeight="1">
      <c r="A2959" s="408"/>
      <c r="B2959" s="428"/>
      <c r="C2959" s="200"/>
      <c r="D2959" s="176"/>
      <c r="E2959" s="176"/>
      <c r="F2959" s="408"/>
      <c r="G2959" s="176"/>
      <c r="H2959" s="114"/>
      <c r="I2959" s="42"/>
      <c r="J2959" s="42"/>
      <c r="K2959" s="176"/>
      <c r="L2959" s="176"/>
      <c r="M2959" s="176"/>
      <c r="N2959" s="176"/>
      <c r="O2959" s="176"/>
      <c r="P2959" s="114"/>
      <c r="Q2959" s="176"/>
      <c r="R2959" s="114"/>
      <c r="S2959" s="114"/>
      <c r="T2959" s="200"/>
      <c r="U2959" s="114"/>
      <c r="V2959" s="414"/>
      <c r="W2959" s="176"/>
      <c r="X2959" s="176"/>
      <c r="Y2959" s="176"/>
      <c r="Z2959" s="176"/>
    </row>
    <row r="2960" ht="15.75" customHeight="1">
      <c r="A2960" s="408"/>
      <c r="B2960" s="428"/>
      <c r="C2960" s="200"/>
      <c r="D2960" s="176"/>
      <c r="E2960" s="176"/>
      <c r="F2960" s="408"/>
      <c r="G2960" s="176"/>
      <c r="H2960" s="114"/>
      <c r="I2960" s="42"/>
      <c r="J2960" s="42"/>
      <c r="K2960" s="176"/>
      <c r="L2960" s="176"/>
      <c r="M2960" s="176"/>
      <c r="N2960" s="176"/>
      <c r="O2960" s="176"/>
      <c r="P2960" s="114"/>
      <c r="Q2960" s="176"/>
      <c r="R2960" s="114"/>
      <c r="S2960" s="114"/>
      <c r="T2960" s="200"/>
      <c r="U2960" s="114"/>
      <c r="V2960" s="414"/>
      <c r="W2960" s="176"/>
      <c r="X2960" s="176"/>
      <c r="Y2960" s="176"/>
      <c r="Z2960" s="176"/>
    </row>
    <row r="2961" ht="15.75" customHeight="1">
      <c r="A2961" s="408"/>
      <c r="B2961" s="428"/>
      <c r="C2961" s="200"/>
      <c r="D2961" s="176"/>
      <c r="E2961" s="176"/>
      <c r="F2961" s="408"/>
      <c r="G2961" s="176"/>
      <c r="H2961" s="114"/>
      <c r="I2961" s="42"/>
      <c r="J2961" s="42"/>
      <c r="K2961" s="176"/>
      <c r="L2961" s="176"/>
      <c r="M2961" s="176"/>
      <c r="N2961" s="176"/>
      <c r="O2961" s="176"/>
      <c r="P2961" s="114"/>
      <c r="Q2961" s="176"/>
      <c r="R2961" s="114"/>
      <c r="S2961" s="114"/>
      <c r="T2961" s="200"/>
      <c r="U2961" s="114"/>
      <c r="V2961" s="414"/>
      <c r="W2961" s="176"/>
      <c r="X2961" s="176"/>
      <c r="Y2961" s="176"/>
      <c r="Z2961" s="176"/>
    </row>
    <row r="2962" ht="15.75" customHeight="1">
      <c r="A2962" s="408"/>
      <c r="B2962" s="428"/>
      <c r="C2962" s="200"/>
      <c r="D2962" s="176"/>
      <c r="E2962" s="176"/>
      <c r="F2962" s="408"/>
      <c r="G2962" s="176"/>
      <c r="H2962" s="114"/>
      <c r="I2962" s="42"/>
      <c r="J2962" s="42"/>
      <c r="K2962" s="176"/>
      <c r="L2962" s="176"/>
      <c r="M2962" s="176"/>
      <c r="N2962" s="176"/>
      <c r="O2962" s="176"/>
      <c r="P2962" s="114"/>
      <c r="Q2962" s="176"/>
      <c r="R2962" s="114"/>
      <c r="S2962" s="114"/>
      <c r="T2962" s="200"/>
      <c r="U2962" s="114"/>
      <c r="V2962" s="414"/>
      <c r="W2962" s="176"/>
      <c r="X2962" s="176"/>
      <c r="Y2962" s="176"/>
      <c r="Z2962" s="176"/>
    </row>
    <row r="2963" ht="15.75" customHeight="1">
      <c r="A2963" s="408"/>
      <c r="B2963" s="428"/>
      <c r="C2963" s="200"/>
      <c r="D2963" s="176"/>
      <c r="E2963" s="176"/>
      <c r="F2963" s="408"/>
      <c r="G2963" s="176"/>
      <c r="H2963" s="114"/>
      <c r="I2963" s="42"/>
      <c r="J2963" s="42"/>
      <c r="K2963" s="176"/>
      <c r="L2963" s="176"/>
      <c r="M2963" s="176"/>
      <c r="N2963" s="176"/>
      <c r="O2963" s="176"/>
      <c r="P2963" s="114"/>
      <c r="Q2963" s="176"/>
      <c r="R2963" s="114"/>
      <c r="S2963" s="114"/>
      <c r="T2963" s="200"/>
      <c r="U2963" s="114"/>
      <c r="V2963" s="414"/>
      <c r="W2963" s="176"/>
      <c r="X2963" s="176"/>
      <c r="Y2963" s="176"/>
      <c r="Z2963" s="176"/>
    </row>
    <row r="2964" ht="15.75" customHeight="1">
      <c r="A2964" s="408"/>
      <c r="B2964" s="428"/>
      <c r="C2964" s="200"/>
      <c r="D2964" s="176"/>
      <c r="E2964" s="176"/>
      <c r="F2964" s="408"/>
      <c r="G2964" s="176"/>
      <c r="H2964" s="114"/>
      <c r="I2964" s="42"/>
      <c r="J2964" s="42"/>
      <c r="K2964" s="176"/>
      <c r="L2964" s="176"/>
      <c r="M2964" s="176"/>
      <c r="N2964" s="176"/>
      <c r="O2964" s="176"/>
      <c r="P2964" s="114"/>
      <c r="Q2964" s="176"/>
      <c r="R2964" s="114"/>
      <c r="S2964" s="114"/>
      <c r="T2964" s="200"/>
      <c r="U2964" s="114"/>
      <c r="V2964" s="414"/>
      <c r="W2964" s="176"/>
      <c r="X2964" s="176"/>
      <c r="Y2964" s="176"/>
      <c r="Z2964" s="176"/>
    </row>
    <row r="2965" ht="15.75" customHeight="1">
      <c r="A2965" s="408"/>
      <c r="B2965" s="428"/>
      <c r="C2965" s="200"/>
      <c r="D2965" s="176"/>
      <c r="E2965" s="176"/>
      <c r="F2965" s="408"/>
      <c r="G2965" s="176"/>
      <c r="H2965" s="114"/>
      <c r="I2965" s="42"/>
      <c r="J2965" s="42"/>
      <c r="K2965" s="176"/>
      <c r="L2965" s="176"/>
      <c r="M2965" s="176"/>
      <c r="N2965" s="176"/>
      <c r="O2965" s="176"/>
      <c r="P2965" s="114"/>
      <c r="Q2965" s="176"/>
      <c r="R2965" s="114"/>
      <c r="S2965" s="114"/>
      <c r="T2965" s="200"/>
      <c r="U2965" s="114"/>
      <c r="V2965" s="414"/>
      <c r="W2965" s="176"/>
      <c r="X2965" s="176"/>
      <c r="Y2965" s="176"/>
      <c r="Z2965" s="176"/>
    </row>
    <row r="2966" ht="15.75" customHeight="1">
      <c r="A2966" s="408"/>
      <c r="B2966" s="428"/>
      <c r="C2966" s="200"/>
      <c r="D2966" s="176"/>
      <c r="E2966" s="176"/>
      <c r="F2966" s="408"/>
      <c r="G2966" s="176"/>
      <c r="H2966" s="114"/>
      <c r="I2966" s="42"/>
      <c r="J2966" s="42"/>
      <c r="K2966" s="176"/>
      <c r="L2966" s="176"/>
      <c r="M2966" s="176"/>
      <c r="N2966" s="176"/>
      <c r="O2966" s="176"/>
      <c r="P2966" s="114"/>
      <c r="Q2966" s="176"/>
      <c r="R2966" s="114"/>
      <c r="S2966" s="114"/>
      <c r="T2966" s="200"/>
      <c r="U2966" s="114"/>
      <c r="V2966" s="414"/>
      <c r="W2966" s="176"/>
      <c r="X2966" s="176"/>
      <c r="Y2966" s="176"/>
      <c r="Z2966" s="176"/>
    </row>
    <row r="2967" ht="15.75" customHeight="1">
      <c r="A2967" s="408"/>
      <c r="B2967" s="428"/>
      <c r="C2967" s="200"/>
      <c r="D2967" s="176"/>
      <c r="E2967" s="176"/>
      <c r="F2967" s="408"/>
      <c r="G2967" s="176"/>
      <c r="H2967" s="114"/>
      <c r="I2967" s="42"/>
      <c r="J2967" s="42"/>
      <c r="K2967" s="176"/>
      <c r="L2967" s="176"/>
      <c r="M2967" s="176"/>
      <c r="N2967" s="176"/>
      <c r="O2967" s="176"/>
      <c r="P2967" s="114"/>
      <c r="Q2967" s="176"/>
      <c r="R2967" s="114"/>
      <c r="S2967" s="114"/>
      <c r="T2967" s="200"/>
      <c r="U2967" s="114"/>
      <c r="V2967" s="414"/>
      <c r="W2967" s="176"/>
      <c r="X2967" s="176"/>
      <c r="Y2967" s="176"/>
      <c r="Z2967" s="176"/>
    </row>
    <row r="2968" ht="15.75" customHeight="1">
      <c r="A2968" s="408"/>
      <c r="B2968" s="428"/>
      <c r="C2968" s="200"/>
      <c r="D2968" s="176"/>
      <c r="E2968" s="176"/>
      <c r="F2968" s="408"/>
      <c r="G2968" s="176"/>
      <c r="H2968" s="114"/>
      <c r="I2968" s="42"/>
      <c r="J2968" s="42"/>
      <c r="K2968" s="176"/>
      <c r="L2968" s="176"/>
      <c r="M2968" s="176"/>
      <c r="N2968" s="176"/>
      <c r="O2968" s="176"/>
      <c r="P2968" s="114"/>
      <c r="Q2968" s="176"/>
      <c r="R2968" s="114"/>
      <c r="S2968" s="114"/>
      <c r="T2968" s="200"/>
      <c r="U2968" s="114"/>
      <c r="V2968" s="414"/>
      <c r="W2968" s="176"/>
      <c r="X2968" s="176"/>
      <c r="Y2968" s="176"/>
      <c r="Z2968" s="176"/>
    </row>
    <row r="2969" ht="15.75" customHeight="1">
      <c r="A2969" s="408"/>
      <c r="B2969" s="428"/>
      <c r="C2969" s="200"/>
      <c r="D2969" s="176"/>
      <c r="E2969" s="176"/>
      <c r="F2969" s="408"/>
      <c r="G2969" s="176"/>
      <c r="H2969" s="114"/>
      <c r="I2969" s="42"/>
      <c r="J2969" s="42"/>
      <c r="K2969" s="176"/>
      <c r="L2969" s="176"/>
      <c r="M2969" s="176"/>
      <c r="N2969" s="176"/>
      <c r="O2969" s="176"/>
      <c r="P2969" s="114"/>
      <c r="Q2969" s="176"/>
      <c r="R2969" s="114"/>
      <c r="S2969" s="114"/>
      <c r="T2969" s="200"/>
      <c r="U2969" s="114"/>
      <c r="V2969" s="414"/>
      <c r="W2969" s="176"/>
      <c r="X2969" s="176"/>
      <c r="Y2969" s="176"/>
      <c r="Z2969" s="176"/>
    </row>
    <row r="2970" ht="15.75" customHeight="1">
      <c r="A2970" s="408"/>
      <c r="B2970" s="428"/>
      <c r="C2970" s="200"/>
      <c r="D2970" s="176"/>
      <c r="E2970" s="176"/>
      <c r="F2970" s="408"/>
      <c r="G2970" s="176"/>
      <c r="H2970" s="114"/>
      <c r="I2970" s="42"/>
      <c r="J2970" s="42"/>
      <c r="K2970" s="176"/>
      <c r="L2970" s="176"/>
      <c r="M2970" s="176"/>
      <c r="N2970" s="176"/>
      <c r="O2970" s="176"/>
      <c r="P2970" s="114"/>
      <c r="Q2970" s="176"/>
      <c r="R2970" s="114"/>
      <c r="S2970" s="114"/>
      <c r="T2970" s="200"/>
      <c r="U2970" s="114"/>
      <c r="V2970" s="414"/>
      <c r="W2970" s="176"/>
      <c r="X2970" s="176"/>
      <c r="Y2970" s="176"/>
      <c r="Z2970" s="176"/>
    </row>
    <row r="2971" ht="15.75" customHeight="1">
      <c r="A2971" s="408"/>
      <c r="B2971" s="428"/>
      <c r="C2971" s="200"/>
      <c r="D2971" s="176"/>
      <c r="E2971" s="176"/>
      <c r="F2971" s="408"/>
      <c r="G2971" s="176"/>
      <c r="H2971" s="114"/>
      <c r="I2971" s="42"/>
      <c r="J2971" s="42"/>
      <c r="K2971" s="176"/>
      <c r="L2971" s="176"/>
      <c r="M2971" s="176"/>
      <c r="N2971" s="176"/>
      <c r="O2971" s="176"/>
      <c r="P2971" s="114"/>
      <c r="Q2971" s="176"/>
      <c r="R2971" s="114"/>
      <c r="S2971" s="114"/>
      <c r="T2971" s="200"/>
      <c r="U2971" s="114"/>
      <c r="V2971" s="414"/>
      <c r="W2971" s="176"/>
      <c r="X2971" s="176"/>
      <c r="Y2971" s="176"/>
      <c r="Z2971" s="176"/>
    </row>
    <row r="2972" ht="15.75" customHeight="1">
      <c r="A2972" s="408"/>
      <c r="B2972" s="428"/>
      <c r="C2972" s="200"/>
      <c r="D2972" s="176"/>
      <c r="E2972" s="176"/>
      <c r="F2972" s="408"/>
      <c r="G2972" s="176"/>
      <c r="H2972" s="114"/>
      <c r="I2972" s="42"/>
      <c r="J2972" s="42"/>
      <c r="K2972" s="176"/>
      <c r="L2972" s="176"/>
      <c r="M2972" s="176"/>
      <c r="N2972" s="176"/>
      <c r="O2972" s="176"/>
      <c r="P2972" s="114"/>
      <c r="Q2972" s="176"/>
      <c r="R2972" s="114"/>
      <c r="S2972" s="114"/>
      <c r="T2972" s="200"/>
      <c r="U2972" s="114"/>
      <c r="V2972" s="414"/>
      <c r="W2972" s="176"/>
      <c r="X2972" s="176"/>
      <c r="Y2972" s="176"/>
      <c r="Z2972" s="176"/>
    </row>
    <row r="2973" ht="15.75" customHeight="1">
      <c r="A2973" s="408"/>
      <c r="B2973" s="428"/>
      <c r="C2973" s="200"/>
      <c r="D2973" s="176"/>
      <c r="E2973" s="176"/>
      <c r="F2973" s="408"/>
      <c r="G2973" s="176"/>
      <c r="H2973" s="114"/>
      <c r="I2973" s="42"/>
      <c r="J2973" s="42"/>
      <c r="K2973" s="176"/>
      <c r="L2973" s="176"/>
      <c r="M2973" s="176"/>
      <c r="N2973" s="176"/>
      <c r="O2973" s="176"/>
      <c r="P2973" s="114"/>
      <c r="Q2973" s="176"/>
      <c r="R2973" s="114"/>
      <c r="S2973" s="114"/>
      <c r="T2973" s="200"/>
      <c r="U2973" s="114"/>
      <c r="V2973" s="414"/>
      <c r="W2973" s="176"/>
      <c r="X2973" s="176"/>
      <c r="Y2973" s="176"/>
      <c r="Z2973" s="176"/>
    </row>
    <row r="2974" ht="15.75" customHeight="1">
      <c r="A2974" s="408"/>
      <c r="B2974" s="428"/>
      <c r="C2974" s="200"/>
      <c r="D2974" s="176"/>
      <c r="E2974" s="176"/>
      <c r="F2974" s="408"/>
      <c r="G2974" s="176"/>
      <c r="H2974" s="114"/>
      <c r="I2974" s="42"/>
      <c r="J2974" s="42"/>
      <c r="K2974" s="176"/>
      <c r="L2974" s="176"/>
      <c r="M2974" s="176"/>
      <c r="N2974" s="176"/>
      <c r="O2974" s="176"/>
      <c r="P2974" s="114"/>
      <c r="Q2974" s="176"/>
      <c r="R2974" s="114"/>
      <c r="S2974" s="114"/>
      <c r="T2974" s="200"/>
      <c r="U2974" s="114"/>
      <c r="V2974" s="414"/>
      <c r="W2974" s="176"/>
      <c r="X2974" s="176"/>
      <c r="Y2974" s="176"/>
      <c r="Z2974" s="176"/>
    </row>
    <row r="2975" ht="15.75" customHeight="1">
      <c r="A2975" s="408"/>
      <c r="B2975" s="428"/>
      <c r="C2975" s="200"/>
      <c r="D2975" s="176"/>
      <c r="E2975" s="176"/>
      <c r="F2975" s="408"/>
      <c r="G2975" s="176"/>
      <c r="H2975" s="114"/>
      <c r="I2975" s="42"/>
      <c r="J2975" s="42"/>
      <c r="K2975" s="176"/>
      <c r="L2975" s="176"/>
      <c r="M2975" s="176"/>
      <c r="N2975" s="176"/>
      <c r="O2975" s="176"/>
      <c r="P2975" s="114"/>
      <c r="Q2975" s="176"/>
      <c r="R2975" s="114"/>
      <c r="S2975" s="114"/>
      <c r="T2975" s="200"/>
      <c r="U2975" s="114"/>
      <c r="V2975" s="414"/>
      <c r="W2975" s="176"/>
      <c r="X2975" s="176"/>
      <c r="Y2975" s="176"/>
      <c r="Z2975" s="176"/>
    </row>
    <row r="2976" ht="15.75" customHeight="1">
      <c r="A2976" s="408"/>
      <c r="B2976" s="428"/>
      <c r="C2976" s="200"/>
      <c r="D2976" s="176"/>
      <c r="E2976" s="176"/>
      <c r="F2976" s="408"/>
      <c r="G2976" s="176"/>
      <c r="H2976" s="114"/>
      <c r="I2976" s="42"/>
      <c r="J2976" s="42"/>
      <c r="K2976" s="176"/>
      <c r="L2976" s="176"/>
      <c r="M2976" s="176"/>
      <c r="N2976" s="176"/>
      <c r="O2976" s="176"/>
      <c r="P2976" s="114"/>
      <c r="Q2976" s="176"/>
      <c r="R2976" s="114"/>
      <c r="S2976" s="114"/>
      <c r="T2976" s="200"/>
      <c r="U2976" s="114"/>
      <c r="V2976" s="414"/>
      <c r="W2976" s="176"/>
      <c r="X2976" s="176"/>
      <c r="Y2976" s="176"/>
      <c r="Z2976" s="176"/>
    </row>
    <row r="2977" ht="15.75" customHeight="1">
      <c r="A2977" s="408"/>
      <c r="B2977" s="428"/>
      <c r="C2977" s="200"/>
      <c r="D2977" s="176"/>
      <c r="E2977" s="176"/>
      <c r="F2977" s="408"/>
      <c r="G2977" s="176"/>
      <c r="H2977" s="114"/>
      <c r="I2977" s="42"/>
      <c r="J2977" s="42"/>
      <c r="K2977" s="176"/>
      <c r="L2977" s="176"/>
      <c r="M2977" s="176"/>
      <c r="N2977" s="176"/>
      <c r="O2977" s="176"/>
      <c r="P2977" s="114"/>
      <c r="Q2977" s="176"/>
      <c r="R2977" s="114"/>
      <c r="S2977" s="114"/>
      <c r="T2977" s="200"/>
      <c r="U2977" s="114"/>
      <c r="V2977" s="414"/>
      <c r="W2977" s="176"/>
      <c r="X2977" s="176"/>
      <c r="Y2977" s="176"/>
      <c r="Z2977" s="176"/>
    </row>
    <row r="2978" ht="15.75" customHeight="1">
      <c r="A2978" s="408"/>
      <c r="B2978" s="428"/>
      <c r="C2978" s="200"/>
      <c r="D2978" s="176"/>
      <c r="E2978" s="176"/>
      <c r="F2978" s="408"/>
      <c r="G2978" s="176"/>
      <c r="H2978" s="114"/>
      <c r="I2978" s="42"/>
      <c r="J2978" s="42"/>
      <c r="K2978" s="176"/>
      <c r="L2978" s="176"/>
      <c r="M2978" s="176"/>
      <c r="N2978" s="176"/>
      <c r="O2978" s="176"/>
      <c r="P2978" s="114"/>
      <c r="Q2978" s="176"/>
      <c r="R2978" s="114"/>
      <c r="S2978" s="114"/>
      <c r="T2978" s="200"/>
      <c r="U2978" s="114"/>
      <c r="V2978" s="414"/>
      <c r="W2978" s="176"/>
      <c r="X2978" s="176"/>
      <c r="Y2978" s="176"/>
      <c r="Z2978" s="176"/>
    </row>
    <row r="2979" ht="15.75" customHeight="1">
      <c r="A2979" s="408"/>
      <c r="B2979" s="428"/>
      <c r="C2979" s="200"/>
      <c r="D2979" s="176"/>
      <c r="E2979" s="176"/>
      <c r="F2979" s="408"/>
      <c r="G2979" s="176"/>
      <c r="H2979" s="114"/>
      <c r="I2979" s="42"/>
      <c r="J2979" s="42"/>
      <c r="K2979" s="176"/>
      <c r="L2979" s="176"/>
      <c r="M2979" s="176"/>
      <c r="N2979" s="176"/>
      <c r="O2979" s="176"/>
      <c r="P2979" s="114"/>
      <c r="Q2979" s="176"/>
      <c r="R2979" s="114"/>
      <c r="S2979" s="114"/>
      <c r="T2979" s="200"/>
      <c r="U2979" s="114"/>
      <c r="V2979" s="414"/>
      <c r="W2979" s="176"/>
      <c r="X2979" s="176"/>
      <c r="Y2979" s="176"/>
      <c r="Z2979" s="176"/>
    </row>
    <row r="2980" ht="15.75" customHeight="1">
      <c r="A2980" s="408"/>
      <c r="B2980" s="428"/>
      <c r="C2980" s="200"/>
      <c r="D2980" s="176"/>
      <c r="E2980" s="176"/>
      <c r="F2980" s="408"/>
      <c r="G2980" s="176"/>
      <c r="H2980" s="114"/>
      <c r="I2980" s="42"/>
      <c r="J2980" s="42"/>
      <c r="K2980" s="176"/>
      <c r="L2980" s="176"/>
      <c r="M2980" s="176"/>
      <c r="N2980" s="176"/>
      <c r="O2980" s="176"/>
      <c r="P2980" s="114"/>
      <c r="Q2980" s="176"/>
      <c r="R2980" s="114"/>
      <c r="S2980" s="114"/>
      <c r="T2980" s="200"/>
      <c r="U2980" s="114"/>
      <c r="V2980" s="414"/>
      <c r="W2980" s="176"/>
      <c r="X2980" s="176"/>
      <c r="Y2980" s="176"/>
      <c r="Z2980" s="176"/>
    </row>
    <row r="2981" ht="15.75" customHeight="1">
      <c r="A2981" s="408"/>
      <c r="B2981" s="428"/>
      <c r="C2981" s="200"/>
      <c r="D2981" s="176"/>
      <c r="E2981" s="176"/>
      <c r="F2981" s="408"/>
      <c r="G2981" s="176"/>
      <c r="H2981" s="114"/>
      <c r="I2981" s="42"/>
      <c r="J2981" s="42"/>
      <c r="K2981" s="176"/>
      <c r="L2981" s="176"/>
      <c r="M2981" s="176"/>
      <c r="N2981" s="176"/>
      <c r="O2981" s="176"/>
      <c r="P2981" s="114"/>
      <c r="Q2981" s="176"/>
      <c r="R2981" s="114"/>
      <c r="S2981" s="114"/>
      <c r="T2981" s="200"/>
      <c r="U2981" s="114"/>
      <c r="V2981" s="414"/>
      <c r="W2981" s="176"/>
      <c r="X2981" s="176"/>
      <c r="Y2981" s="176"/>
      <c r="Z2981" s="176"/>
    </row>
    <row r="2982" ht="15.75" customHeight="1">
      <c r="A2982" s="408"/>
      <c r="B2982" s="428"/>
      <c r="C2982" s="200"/>
      <c r="D2982" s="176"/>
      <c r="E2982" s="176"/>
      <c r="F2982" s="408"/>
      <c r="G2982" s="176"/>
      <c r="H2982" s="114"/>
      <c r="I2982" s="42"/>
      <c r="J2982" s="42"/>
      <c r="K2982" s="176"/>
      <c r="L2982" s="176"/>
      <c r="M2982" s="176"/>
      <c r="N2982" s="176"/>
      <c r="O2982" s="176"/>
      <c r="P2982" s="114"/>
      <c r="Q2982" s="176"/>
      <c r="R2982" s="114"/>
      <c r="S2982" s="114"/>
      <c r="T2982" s="200"/>
      <c r="U2982" s="114"/>
      <c r="V2982" s="414"/>
      <c r="W2982" s="176"/>
      <c r="X2982" s="176"/>
      <c r="Y2982" s="176"/>
      <c r="Z2982" s="176"/>
    </row>
    <row r="2983" ht="15.75" customHeight="1">
      <c r="A2983" s="408"/>
      <c r="B2983" s="428"/>
      <c r="C2983" s="200"/>
      <c r="D2983" s="176"/>
      <c r="E2983" s="176"/>
      <c r="F2983" s="408"/>
      <c r="G2983" s="176"/>
      <c r="H2983" s="114"/>
      <c r="I2983" s="42"/>
      <c r="J2983" s="42"/>
      <c r="K2983" s="176"/>
      <c r="L2983" s="176"/>
      <c r="M2983" s="176"/>
      <c r="N2983" s="176"/>
      <c r="O2983" s="176"/>
      <c r="P2983" s="114"/>
      <c r="Q2983" s="176"/>
      <c r="R2983" s="114"/>
      <c r="S2983" s="114"/>
      <c r="T2983" s="200"/>
      <c r="U2983" s="114"/>
      <c r="V2983" s="414"/>
      <c r="W2983" s="176"/>
      <c r="X2983" s="176"/>
      <c r="Y2983" s="176"/>
      <c r="Z2983" s="176"/>
    </row>
    <row r="2984" ht="15.75" customHeight="1">
      <c r="A2984" s="408"/>
      <c r="B2984" s="428"/>
      <c r="C2984" s="200"/>
      <c r="D2984" s="176"/>
      <c r="E2984" s="176"/>
      <c r="F2984" s="408"/>
      <c r="G2984" s="176"/>
      <c r="H2984" s="114"/>
      <c r="I2984" s="42"/>
      <c r="J2984" s="42"/>
      <c r="K2984" s="176"/>
      <c r="L2984" s="176"/>
      <c r="M2984" s="176"/>
      <c r="N2984" s="176"/>
      <c r="O2984" s="176"/>
      <c r="P2984" s="114"/>
      <c r="Q2984" s="176"/>
      <c r="R2984" s="114"/>
      <c r="S2984" s="114"/>
      <c r="T2984" s="200"/>
      <c r="U2984" s="114"/>
      <c r="V2984" s="414"/>
      <c r="W2984" s="176"/>
      <c r="X2984" s="176"/>
      <c r="Y2984" s="176"/>
      <c r="Z2984" s="176"/>
    </row>
    <row r="2985" ht="15.75" customHeight="1">
      <c r="A2985" s="408"/>
      <c r="B2985" s="428"/>
      <c r="C2985" s="200"/>
      <c r="D2985" s="176"/>
      <c r="E2985" s="176"/>
      <c r="F2985" s="408"/>
      <c r="G2985" s="176"/>
      <c r="H2985" s="114"/>
      <c r="I2985" s="42"/>
      <c r="J2985" s="42"/>
      <c r="K2985" s="176"/>
      <c r="L2985" s="176"/>
      <c r="M2985" s="176"/>
      <c r="N2985" s="176"/>
      <c r="O2985" s="176"/>
      <c r="P2985" s="114"/>
      <c r="Q2985" s="176"/>
      <c r="R2985" s="114"/>
      <c r="S2985" s="114"/>
      <c r="T2985" s="200"/>
      <c r="U2985" s="114"/>
      <c r="V2985" s="414"/>
      <c r="W2985" s="176"/>
      <c r="X2985" s="176"/>
      <c r="Y2985" s="176"/>
      <c r="Z2985" s="176"/>
    </row>
    <row r="2986" ht="15.75" customHeight="1">
      <c r="A2986" s="408"/>
      <c r="B2986" s="428"/>
      <c r="C2986" s="200"/>
      <c r="D2986" s="176"/>
      <c r="E2986" s="176"/>
      <c r="F2986" s="408"/>
      <c r="G2986" s="176"/>
      <c r="H2986" s="114"/>
      <c r="I2986" s="42"/>
      <c r="J2986" s="42"/>
      <c r="K2986" s="176"/>
      <c r="L2986" s="176"/>
      <c r="M2986" s="176"/>
      <c r="N2986" s="176"/>
      <c r="O2986" s="176"/>
      <c r="P2986" s="114"/>
      <c r="Q2986" s="176"/>
      <c r="R2986" s="114"/>
      <c r="S2986" s="114"/>
      <c r="T2986" s="200"/>
      <c r="U2986" s="114"/>
      <c r="V2986" s="414"/>
      <c r="W2986" s="176"/>
      <c r="X2986" s="176"/>
      <c r="Y2986" s="176"/>
      <c r="Z2986" s="176"/>
    </row>
    <row r="2987" ht="15.75" customHeight="1">
      <c r="A2987" s="408"/>
      <c r="B2987" s="428"/>
      <c r="C2987" s="200"/>
      <c r="D2987" s="176"/>
      <c r="E2987" s="176"/>
      <c r="F2987" s="408"/>
      <c r="G2987" s="176"/>
      <c r="H2987" s="114"/>
      <c r="I2987" s="42"/>
      <c r="J2987" s="42"/>
      <c r="K2987" s="176"/>
      <c r="L2987" s="176"/>
      <c r="M2987" s="176"/>
      <c r="N2987" s="176"/>
      <c r="O2987" s="176"/>
      <c r="P2987" s="114"/>
      <c r="Q2987" s="176"/>
      <c r="R2987" s="114"/>
      <c r="S2987" s="114"/>
      <c r="T2987" s="200"/>
      <c r="U2987" s="114"/>
      <c r="V2987" s="414"/>
      <c r="W2987" s="176"/>
      <c r="X2987" s="176"/>
      <c r="Y2987" s="176"/>
      <c r="Z2987" s="176"/>
    </row>
    <row r="2988" ht="15.75" customHeight="1">
      <c r="A2988" s="408"/>
      <c r="B2988" s="428"/>
      <c r="C2988" s="200"/>
      <c r="D2988" s="176"/>
      <c r="E2988" s="176"/>
      <c r="F2988" s="408"/>
      <c r="G2988" s="176"/>
      <c r="H2988" s="114"/>
      <c r="I2988" s="42"/>
      <c r="J2988" s="42"/>
      <c r="K2988" s="176"/>
      <c r="L2988" s="176"/>
      <c r="M2988" s="176"/>
      <c r="N2988" s="176"/>
      <c r="O2988" s="176"/>
      <c r="P2988" s="114"/>
      <c r="Q2988" s="176"/>
      <c r="R2988" s="114"/>
      <c r="S2988" s="114"/>
      <c r="T2988" s="200"/>
      <c r="U2988" s="114"/>
      <c r="V2988" s="414"/>
      <c r="W2988" s="176"/>
      <c r="X2988" s="176"/>
      <c r="Y2988" s="176"/>
      <c r="Z2988" s="176"/>
    </row>
    <row r="2989" ht="15.75" customHeight="1">
      <c r="A2989" s="408"/>
      <c r="B2989" s="428"/>
      <c r="C2989" s="200"/>
      <c r="D2989" s="176"/>
      <c r="E2989" s="176"/>
      <c r="F2989" s="408"/>
      <c r="G2989" s="176"/>
      <c r="H2989" s="114"/>
      <c r="I2989" s="42"/>
      <c r="J2989" s="42"/>
      <c r="K2989" s="176"/>
      <c r="L2989" s="176"/>
      <c r="M2989" s="176"/>
      <c r="N2989" s="176"/>
      <c r="O2989" s="176"/>
      <c r="P2989" s="114"/>
      <c r="Q2989" s="176"/>
      <c r="R2989" s="114"/>
      <c r="S2989" s="114"/>
      <c r="T2989" s="200"/>
      <c r="U2989" s="114"/>
      <c r="V2989" s="414"/>
      <c r="W2989" s="176"/>
      <c r="X2989" s="176"/>
      <c r="Y2989" s="176"/>
      <c r="Z2989" s="176"/>
    </row>
    <row r="2990" ht="15.75" customHeight="1">
      <c r="A2990" s="408"/>
      <c r="B2990" s="428"/>
      <c r="C2990" s="200"/>
      <c r="D2990" s="176"/>
      <c r="E2990" s="176"/>
      <c r="F2990" s="408"/>
      <c r="G2990" s="176"/>
      <c r="H2990" s="114"/>
      <c r="I2990" s="42"/>
      <c r="J2990" s="42"/>
      <c r="K2990" s="176"/>
      <c r="L2990" s="176"/>
      <c r="M2990" s="176"/>
      <c r="N2990" s="176"/>
      <c r="O2990" s="176"/>
      <c r="P2990" s="114"/>
      <c r="Q2990" s="176"/>
      <c r="R2990" s="114"/>
      <c r="S2990" s="114"/>
      <c r="T2990" s="200"/>
      <c r="U2990" s="114"/>
      <c r="V2990" s="414"/>
      <c r="W2990" s="176"/>
      <c r="X2990" s="176"/>
      <c r="Y2990" s="176"/>
      <c r="Z2990" s="176"/>
    </row>
    <row r="2991" ht="15.75" customHeight="1">
      <c r="A2991" s="408"/>
      <c r="B2991" s="428"/>
      <c r="C2991" s="200"/>
      <c r="D2991" s="176"/>
      <c r="E2991" s="176"/>
      <c r="F2991" s="408"/>
      <c r="G2991" s="176"/>
      <c r="H2991" s="114"/>
      <c r="I2991" s="42"/>
      <c r="J2991" s="42"/>
      <c r="K2991" s="176"/>
      <c r="L2991" s="176"/>
      <c r="M2991" s="176"/>
      <c r="N2991" s="176"/>
      <c r="O2991" s="176"/>
      <c r="P2991" s="114"/>
      <c r="Q2991" s="176"/>
      <c r="R2991" s="114"/>
      <c r="S2991" s="114"/>
      <c r="T2991" s="200"/>
      <c r="U2991" s="114"/>
      <c r="V2991" s="414"/>
      <c r="W2991" s="176"/>
      <c r="X2991" s="176"/>
      <c r="Y2991" s="176"/>
      <c r="Z2991" s="176"/>
    </row>
    <row r="2992" ht="15.75" customHeight="1">
      <c r="A2992" s="408"/>
      <c r="B2992" s="428"/>
      <c r="C2992" s="200"/>
      <c r="D2992" s="176"/>
      <c r="E2992" s="176"/>
      <c r="F2992" s="408"/>
      <c r="G2992" s="176"/>
      <c r="H2992" s="114"/>
      <c r="I2992" s="42"/>
      <c r="J2992" s="42"/>
      <c r="K2992" s="176"/>
      <c r="L2992" s="176"/>
      <c r="M2992" s="176"/>
      <c r="N2992" s="176"/>
      <c r="O2992" s="176"/>
      <c r="P2992" s="114"/>
      <c r="Q2992" s="176"/>
      <c r="R2992" s="114"/>
      <c r="S2992" s="114"/>
      <c r="T2992" s="200"/>
      <c r="U2992" s="114"/>
      <c r="V2992" s="414"/>
      <c r="W2992" s="176"/>
      <c r="X2992" s="176"/>
      <c r="Y2992" s="176"/>
      <c r="Z2992" s="176"/>
    </row>
    <row r="2993" ht="15.75" customHeight="1">
      <c r="A2993" s="408"/>
      <c r="B2993" s="428"/>
      <c r="C2993" s="200"/>
      <c r="D2993" s="176"/>
      <c r="E2993" s="176"/>
      <c r="F2993" s="408"/>
      <c r="G2993" s="176"/>
      <c r="H2993" s="114"/>
      <c r="I2993" s="42"/>
      <c r="J2993" s="42"/>
      <c r="K2993" s="176"/>
      <c r="L2993" s="176"/>
      <c r="M2993" s="176"/>
      <c r="N2993" s="176"/>
      <c r="O2993" s="176"/>
      <c r="P2993" s="114"/>
      <c r="Q2993" s="176"/>
      <c r="R2993" s="114"/>
      <c r="S2993" s="114"/>
      <c r="T2993" s="200"/>
      <c r="U2993" s="114"/>
      <c r="V2993" s="414"/>
      <c r="W2993" s="176"/>
      <c r="X2993" s="176"/>
      <c r="Y2993" s="176"/>
      <c r="Z2993" s="176"/>
    </row>
    <row r="2994" ht="15.75" customHeight="1">
      <c r="A2994" s="408"/>
      <c r="B2994" s="428"/>
      <c r="C2994" s="200"/>
      <c r="D2994" s="176"/>
      <c r="E2994" s="176"/>
      <c r="F2994" s="408"/>
      <c r="G2994" s="176"/>
      <c r="H2994" s="114"/>
      <c r="I2994" s="42"/>
      <c r="J2994" s="42"/>
      <c r="K2994" s="176"/>
      <c r="L2994" s="176"/>
      <c r="M2994" s="176"/>
      <c r="N2994" s="176"/>
      <c r="O2994" s="176"/>
      <c r="P2994" s="114"/>
      <c r="Q2994" s="176"/>
      <c r="R2994" s="114"/>
      <c r="S2994" s="114"/>
      <c r="T2994" s="200"/>
      <c r="U2994" s="114"/>
      <c r="V2994" s="414"/>
      <c r="W2994" s="176"/>
      <c r="X2994" s="176"/>
      <c r="Y2994" s="176"/>
      <c r="Z2994" s="176"/>
    </row>
    <row r="2995" ht="15.75" customHeight="1">
      <c r="A2995" s="408"/>
      <c r="B2995" s="428"/>
      <c r="C2995" s="200"/>
      <c r="D2995" s="176"/>
      <c r="E2995" s="176"/>
      <c r="F2995" s="408"/>
      <c r="G2995" s="176"/>
      <c r="H2995" s="114"/>
      <c r="I2995" s="42"/>
      <c r="J2995" s="42"/>
      <c r="K2995" s="176"/>
      <c r="L2995" s="176"/>
      <c r="M2995" s="176"/>
      <c r="N2995" s="176"/>
      <c r="O2995" s="176"/>
      <c r="P2995" s="114"/>
      <c r="Q2995" s="176"/>
      <c r="R2995" s="114"/>
      <c r="S2995" s="114"/>
      <c r="T2995" s="200"/>
      <c r="U2995" s="114"/>
      <c r="V2995" s="414"/>
      <c r="W2995" s="176"/>
      <c r="X2995" s="176"/>
      <c r="Y2995" s="176"/>
      <c r="Z2995" s="176"/>
    </row>
    <row r="2996" ht="15.75" customHeight="1">
      <c r="A2996" s="408"/>
      <c r="B2996" s="428"/>
      <c r="C2996" s="200"/>
      <c r="D2996" s="176"/>
      <c r="E2996" s="176"/>
      <c r="F2996" s="408"/>
      <c r="G2996" s="176"/>
      <c r="H2996" s="114"/>
      <c r="I2996" s="42"/>
      <c r="J2996" s="42"/>
      <c r="K2996" s="176"/>
      <c r="L2996" s="176"/>
      <c r="M2996" s="176"/>
      <c r="N2996" s="176"/>
      <c r="O2996" s="176"/>
      <c r="P2996" s="114"/>
      <c r="Q2996" s="176"/>
      <c r="R2996" s="114"/>
      <c r="S2996" s="114"/>
      <c r="T2996" s="200"/>
      <c r="U2996" s="114"/>
      <c r="V2996" s="414"/>
      <c r="W2996" s="176"/>
      <c r="X2996" s="176"/>
      <c r="Y2996" s="176"/>
      <c r="Z2996" s="176"/>
    </row>
    <row r="2997" ht="15.75" customHeight="1">
      <c r="A2997" s="408"/>
      <c r="B2997" s="428"/>
      <c r="C2997" s="200"/>
      <c r="D2997" s="176"/>
      <c r="E2997" s="176"/>
      <c r="F2997" s="408"/>
      <c r="G2997" s="176"/>
      <c r="H2997" s="114"/>
      <c r="I2997" s="42"/>
      <c r="J2997" s="42"/>
      <c r="K2997" s="176"/>
      <c r="L2997" s="176"/>
      <c r="M2997" s="176"/>
      <c r="N2997" s="176"/>
      <c r="O2997" s="176"/>
      <c r="P2997" s="114"/>
      <c r="Q2997" s="176"/>
      <c r="R2997" s="114"/>
      <c r="S2997" s="114"/>
      <c r="T2997" s="200"/>
      <c r="U2997" s="114"/>
      <c r="V2997" s="414"/>
      <c r="W2997" s="176"/>
      <c r="X2997" s="176"/>
      <c r="Y2997" s="176"/>
      <c r="Z2997" s="176"/>
    </row>
    <row r="2998" ht="15.75" customHeight="1">
      <c r="A2998" s="408"/>
      <c r="B2998" s="428"/>
      <c r="C2998" s="200"/>
      <c r="D2998" s="176"/>
      <c r="E2998" s="176"/>
      <c r="F2998" s="408"/>
      <c r="G2998" s="176"/>
      <c r="H2998" s="114"/>
      <c r="I2998" s="42"/>
      <c r="J2998" s="42"/>
      <c r="K2998" s="176"/>
      <c r="L2998" s="176"/>
      <c r="M2998" s="176"/>
      <c r="N2998" s="176"/>
      <c r="O2998" s="176"/>
      <c r="P2998" s="114"/>
      <c r="Q2998" s="176"/>
      <c r="R2998" s="114"/>
      <c r="S2998" s="114"/>
      <c r="T2998" s="200"/>
      <c r="U2998" s="114"/>
      <c r="V2998" s="414"/>
      <c r="W2998" s="176"/>
      <c r="X2998" s="176"/>
      <c r="Y2998" s="176"/>
      <c r="Z2998" s="176"/>
    </row>
    <row r="2999" ht="15.75" customHeight="1">
      <c r="A2999" s="408"/>
      <c r="B2999" s="428"/>
      <c r="C2999" s="200"/>
      <c r="D2999" s="176"/>
      <c r="E2999" s="176"/>
      <c r="F2999" s="408"/>
      <c r="G2999" s="176"/>
      <c r="H2999" s="114"/>
      <c r="I2999" s="42"/>
      <c r="J2999" s="42"/>
      <c r="K2999" s="176"/>
      <c r="L2999" s="176"/>
      <c r="M2999" s="176"/>
      <c r="N2999" s="176"/>
      <c r="O2999" s="176"/>
      <c r="P2999" s="114"/>
      <c r="Q2999" s="176"/>
      <c r="R2999" s="114"/>
      <c r="S2999" s="114"/>
      <c r="T2999" s="200"/>
      <c r="U2999" s="114"/>
      <c r="V2999" s="414"/>
      <c r="W2999" s="176"/>
      <c r="X2999" s="176"/>
      <c r="Y2999" s="176"/>
      <c r="Z2999" s="176"/>
    </row>
    <row r="3000" ht="15.75" customHeight="1">
      <c r="A3000" s="408"/>
      <c r="B3000" s="428"/>
      <c r="C3000" s="200"/>
      <c r="D3000" s="176"/>
      <c r="E3000" s="176"/>
      <c r="F3000" s="408"/>
      <c r="G3000" s="176"/>
      <c r="H3000" s="114"/>
      <c r="I3000" s="42"/>
      <c r="J3000" s="42"/>
      <c r="K3000" s="176"/>
      <c r="L3000" s="176"/>
      <c r="M3000" s="176"/>
      <c r="N3000" s="176"/>
      <c r="O3000" s="176"/>
      <c r="P3000" s="114"/>
      <c r="Q3000" s="176"/>
      <c r="R3000" s="114"/>
      <c r="S3000" s="114"/>
      <c r="T3000" s="200"/>
      <c r="U3000" s="114"/>
      <c r="V3000" s="414"/>
      <c r="W3000" s="176"/>
      <c r="X3000" s="176"/>
      <c r="Y3000" s="176"/>
      <c r="Z3000" s="176"/>
    </row>
    <row r="3001" ht="15.75" customHeight="1">
      <c r="A3001" s="408"/>
      <c r="B3001" s="428"/>
      <c r="C3001" s="200"/>
      <c r="D3001" s="176"/>
      <c r="E3001" s="176"/>
      <c r="F3001" s="408"/>
      <c r="G3001" s="176"/>
      <c r="H3001" s="114"/>
      <c r="I3001" s="42"/>
      <c r="J3001" s="42"/>
      <c r="K3001" s="176"/>
      <c r="L3001" s="176"/>
      <c r="M3001" s="176"/>
      <c r="N3001" s="176"/>
      <c r="O3001" s="176"/>
      <c r="P3001" s="114"/>
      <c r="Q3001" s="176"/>
      <c r="R3001" s="114"/>
      <c r="S3001" s="114"/>
      <c r="T3001" s="200"/>
      <c r="U3001" s="114"/>
      <c r="V3001" s="414"/>
      <c r="W3001" s="176"/>
      <c r="X3001" s="176"/>
      <c r="Y3001" s="176"/>
      <c r="Z3001" s="176"/>
    </row>
    <row r="3002" ht="15.75" customHeight="1">
      <c r="A3002" s="408"/>
      <c r="B3002" s="428"/>
      <c r="C3002" s="200"/>
      <c r="D3002" s="176"/>
      <c r="E3002" s="176"/>
      <c r="F3002" s="408"/>
      <c r="G3002" s="176"/>
      <c r="H3002" s="114"/>
      <c r="I3002" s="42"/>
      <c r="J3002" s="42"/>
      <c r="K3002" s="176"/>
      <c r="L3002" s="176"/>
      <c r="M3002" s="176"/>
      <c r="N3002" s="176"/>
      <c r="O3002" s="176"/>
      <c r="P3002" s="114"/>
      <c r="Q3002" s="176"/>
      <c r="R3002" s="114"/>
      <c r="S3002" s="114"/>
      <c r="T3002" s="200"/>
      <c r="U3002" s="114"/>
      <c r="V3002" s="414"/>
      <c r="W3002" s="176"/>
      <c r="X3002" s="176"/>
      <c r="Y3002" s="176"/>
      <c r="Z3002" s="176"/>
    </row>
    <row r="3003" ht="15.75" customHeight="1">
      <c r="A3003" s="408"/>
      <c r="B3003" s="428"/>
      <c r="C3003" s="200"/>
      <c r="D3003" s="176"/>
      <c r="E3003" s="176"/>
      <c r="F3003" s="408"/>
      <c r="G3003" s="176"/>
      <c r="H3003" s="114"/>
      <c r="I3003" s="42"/>
      <c r="J3003" s="42"/>
      <c r="K3003" s="176"/>
      <c r="L3003" s="176"/>
      <c r="M3003" s="176"/>
      <c r="N3003" s="176"/>
      <c r="O3003" s="176"/>
      <c r="P3003" s="114"/>
      <c r="Q3003" s="176"/>
      <c r="R3003" s="114"/>
      <c r="S3003" s="114"/>
      <c r="T3003" s="200"/>
      <c r="U3003" s="114"/>
      <c r="V3003" s="414"/>
      <c r="W3003" s="176"/>
      <c r="X3003" s="176"/>
      <c r="Y3003" s="176"/>
      <c r="Z3003" s="176"/>
    </row>
    <row r="3004" ht="15.75" customHeight="1">
      <c r="A3004" s="408"/>
      <c r="B3004" s="428"/>
      <c r="C3004" s="200"/>
      <c r="D3004" s="176"/>
      <c r="E3004" s="176"/>
      <c r="F3004" s="408"/>
      <c r="G3004" s="176"/>
      <c r="H3004" s="114"/>
      <c r="I3004" s="42"/>
      <c r="J3004" s="42"/>
      <c r="K3004" s="176"/>
      <c r="L3004" s="176"/>
      <c r="M3004" s="176"/>
      <c r="N3004" s="176"/>
      <c r="O3004" s="176"/>
      <c r="P3004" s="114"/>
      <c r="Q3004" s="176"/>
      <c r="R3004" s="114"/>
      <c r="S3004" s="114"/>
      <c r="T3004" s="200"/>
      <c r="U3004" s="114"/>
      <c r="V3004" s="414"/>
      <c r="W3004" s="176"/>
      <c r="X3004" s="176"/>
      <c r="Y3004" s="176"/>
      <c r="Z3004" s="176"/>
    </row>
    <row r="3005" ht="15.75" customHeight="1">
      <c r="A3005" s="408"/>
      <c r="B3005" s="428"/>
      <c r="C3005" s="200"/>
      <c r="D3005" s="176"/>
      <c r="E3005" s="176"/>
      <c r="F3005" s="408"/>
      <c r="G3005" s="176"/>
      <c r="H3005" s="114"/>
      <c r="I3005" s="42"/>
      <c r="J3005" s="42"/>
      <c r="K3005" s="176"/>
      <c r="L3005" s="176"/>
      <c r="M3005" s="176"/>
      <c r="N3005" s="176"/>
      <c r="O3005" s="176"/>
      <c r="P3005" s="114"/>
      <c r="Q3005" s="176"/>
      <c r="R3005" s="114"/>
      <c r="S3005" s="114"/>
      <c r="T3005" s="200"/>
      <c r="U3005" s="114"/>
      <c r="V3005" s="414"/>
      <c r="W3005" s="176"/>
      <c r="X3005" s="176"/>
      <c r="Y3005" s="176"/>
      <c r="Z3005" s="176"/>
    </row>
    <row r="3006" ht="15.75" customHeight="1">
      <c r="A3006" s="408"/>
      <c r="B3006" s="428"/>
      <c r="C3006" s="200"/>
      <c r="D3006" s="176"/>
      <c r="E3006" s="176"/>
      <c r="F3006" s="408"/>
      <c r="G3006" s="176"/>
      <c r="H3006" s="114"/>
      <c r="I3006" s="42"/>
      <c r="J3006" s="42"/>
      <c r="K3006" s="176"/>
      <c r="L3006" s="176"/>
      <c r="M3006" s="176"/>
      <c r="N3006" s="176"/>
      <c r="O3006" s="176"/>
      <c r="P3006" s="114"/>
      <c r="Q3006" s="176"/>
      <c r="R3006" s="114"/>
      <c r="S3006" s="114"/>
      <c r="T3006" s="200"/>
      <c r="U3006" s="114"/>
      <c r="V3006" s="414"/>
      <c r="W3006" s="176"/>
      <c r="X3006" s="176"/>
      <c r="Y3006" s="176"/>
      <c r="Z3006" s="176"/>
    </row>
    <row r="3007" ht="15.75" customHeight="1">
      <c r="A3007" s="408"/>
      <c r="B3007" s="428"/>
      <c r="C3007" s="200"/>
      <c r="D3007" s="176"/>
      <c r="E3007" s="176"/>
      <c r="F3007" s="408"/>
      <c r="G3007" s="176"/>
      <c r="H3007" s="114"/>
      <c r="I3007" s="42"/>
      <c r="J3007" s="42"/>
      <c r="K3007" s="176"/>
      <c r="L3007" s="176"/>
      <c r="M3007" s="176"/>
      <c r="N3007" s="176"/>
      <c r="O3007" s="176"/>
      <c r="P3007" s="114"/>
      <c r="Q3007" s="176"/>
      <c r="R3007" s="114"/>
      <c r="S3007" s="114"/>
      <c r="T3007" s="200"/>
      <c r="U3007" s="114"/>
      <c r="V3007" s="414"/>
      <c r="W3007" s="176"/>
      <c r="X3007" s="176"/>
      <c r="Y3007" s="176"/>
      <c r="Z3007" s="176"/>
    </row>
    <row r="3008" ht="15.75" customHeight="1">
      <c r="A3008" s="408"/>
      <c r="B3008" s="428"/>
      <c r="C3008" s="200"/>
      <c r="D3008" s="176"/>
      <c r="E3008" s="176"/>
      <c r="F3008" s="408"/>
      <c r="G3008" s="176"/>
      <c r="H3008" s="114"/>
      <c r="I3008" s="42"/>
      <c r="J3008" s="42"/>
      <c r="K3008" s="176"/>
      <c r="L3008" s="176"/>
      <c r="M3008" s="176"/>
      <c r="N3008" s="176"/>
      <c r="O3008" s="176"/>
      <c r="P3008" s="114"/>
      <c r="Q3008" s="176"/>
      <c r="R3008" s="114"/>
      <c r="S3008" s="114"/>
      <c r="T3008" s="200"/>
      <c r="U3008" s="114"/>
      <c r="V3008" s="414"/>
      <c r="W3008" s="176"/>
      <c r="X3008" s="176"/>
      <c r="Y3008" s="176"/>
      <c r="Z3008" s="176"/>
    </row>
    <row r="3009" ht="15.75" customHeight="1">
      <c r="A3009" s="408"/>
      <c r="B3009" s="428"/>
      <c r="C3009" s="200"/>
      <c r="D3009" s="176"/>
      <c r="E3009" s="176"/>
      <c r="F3009" s="408"/>
      <c r="G3009" s="176"/>
      <c r="H3009" s="114"/>
      <c r="I3009" s="42"/>
      <c r="J3009" s="42"/>
      <c r="K3009" s="176"/>
      <c r="L3009" s="176"/>
      <c r="M3009" s="176"/>
      <c r="N3009" s="176"/>
      <c r="O3009" s="176"/>
      <c r="P3009" s="114"/>
      <c r="Q3009" s="176"/>
      <c r="R3009" s="114"/>
      <c r="S3009" s="114"/>
      <c r="T3009" s="200"/>
      <c r="U3009" s="114"/>
      <c r="V3009" s="414"/>
      <c r="W3009" s="176"/>
      <c r="X3009" s="176"/>
      <c r="Y3009" s="176"/>
      <c r="Z3009" s="176"/>
    </row>
    <row r="3010" ht="15.75" customHeight="1">
      <c r="A3010" s="408"/>
      <c r="B3010" s="428"/>
      <c r="C3010" s="200"/>
      <c r="D3010" s="176"/>
      <c r="E3010" s="176"/>
      <c r="F3010" s="408"/>
      <c r="G3010" s="176"/>
      <c r="H3010" s="114"/>
      <c r="I3010" s="42"/>
      <c r="J3010" s="42"/>
      <c r="K3010" s="176"/>
      <c r="L3010" s="176"/>
      <c r="M3010" s="176"/>
      <c r="N3010" s="176"/>
      <c r="O3010" s="176"/>
      <c r="P3010" s="114"/>
      <c r="Q3010" s="176"/>
      <c r="R3010" s="114"/>
      <c r="S3010" s="114"/>
      <c r="T3010" s="200"/>
      <c r="U3010" s="114"/>
      <c r="V3010" s="414"/>
      <c r="W3010" s="176"/>
      <c r="X3010" s="176"/>
      <c r="Y3010" s="176"/>
      <c r="Z3010" s="176"/>
    </row>
    <row r="3011" ht="15.75" customHeight="1">
      <c r="A3011" s="408"/>
      <c r="B3011" s="428"/>
      <c r="C3011" s="200"/>
      <c r="D3011" s="176"/>
      <c r="E3011" s="176"/>
      <c r="F3011" s="408"/>
      <c r="G3011" s="176"/>
      <c r="H3011" s="114"/>
      <c r="I3011" s="42"/>
      <c r="J3011" s="42"/>
      <c r="K3011" s="176"/>
      <c r="L3011" s="176"/>
      <c r="M3011" s="176"/>
      <c r="N3011" s="176"/>
      <c r="O3011" s="176"/>
      <c r="P3011" s="114"/>
      <c r="Q3011" s="176"/>
      <c r="R3011" s="114"/>
      <c r="S3011" s="114"/>
      <c r="T3011" s="200"/>
      <c r="U3011" s="114"/>
      <c r="V3011" s="414"/>
      <c r="W3011" s="176"/>
      <c r="X3011" s="176"/>
      <c r="Y3011" s="176"/>
      <c r="Z3011" s="176"/>
    </row>
    <row r="3012" ht="15.75" customHeight="1">
      <c r="A3012" s="408"/>
      <c r="B3012" s="428"/>
      <c r="C3012" s="200"/>
      <c r="D3012" s="176"/>
      <c r="E3012" s="176"/>
      <c r="F3012" s="408"/>
      <c r="G3012" s="176"/>
      <c r="H3012" s="114"/>
      <c r="I3012" s="42"/>
      <c r="J3012" s="42"/>
      <c r="K3012" s="176"/>
      <c r="L3012" s="176"/>
      <c r="M3012" s="176"/>
      <c r="N3012" s="176"/>
      <c r="O3012" s="176"/>
      <c r="P3012" s="114"/>
      <c r="Q3012" s="176"/>
      <c r="R3012" s="114"/>
      <c r="S3012" s="114"/>
      <c r="T3012" s="200"/>
      <c r="U3012" s="114"/>
      <c r="V3012" s="414"/>
      <c r="W3012" s="176"/>
      <c r="X3012" s="176"/>
      <c r="Y3012" s="176"/>
      <c r="Z3012" s="176"/>
    </row>
    <row r="3013" ht="15.75" customHeight="1">
      <c r="A3013" s="408"/>
      <c r="B3013" s="428"/>
      <c r="C3013" s="200"/>
      <c r="D3013" s="176"/>
      <c r="E3013" s="176"/>
      <c r="F3013" s="408"/>
      <c r="G3013" s="176"/>
      <c r="H3013" s="114"/>
      <c r="I3013" s="42"/>
      <c r="J3013" s="42"/>
      <c r="K3013" s="176"/>
      <c r="L3013" s="176"/>
      <c r="M3013" s="176"/>
      <c r="N3013" s="176"/>
      <c r="O3013" s="176"/>
      <c r="P3013" s="114"/>
      <c r="Q3013" s="176"/>
      <c r="R3013" s="114"/>
      <c r="S3013" s="114"/>
      <c r="T3013" s="200"/>
      <c r="U3013" s="114"/>
      <c r="V3013" s="414"/>
      <c r="W3013" s="176"/>
      <c r="X3013" s="176"/>
      <c r="Y3013" s="176"/>
      <c r="Z3013" s="176"/>
    </row>
    <row r="3014" ht="15.75" customHeight="1">
      <c r="A3014" s="408"/>
      <c r="B3014" s="428"/>
      <c r="C3014" s="200"/>
      <c r="D3014" s="176"/>
      <c r="E3014" s="176"/>
      <c r="F3014" s="408"/>
      <c r="G3014" s="176"/>
      <c r="H3014" s="114"/>
      <c r="I3014" s="42"/>
      <c r="J3014" s="42"/>
      <c r="K3014" s="176"/>
      <c r="L3014" s="176"/>
      <c r="M3014" s="176"/>
      <c r="N3014" s="176"/>
      <c r="O3014" s="176"/>
      <c r="P3014" s="114"/>
      <c r="Q3014" s="176"/>
      <c r="R3014" s="114"/>
      <c r="S3014" s="114"/>
      <c r="T3014" s="200"/>
      <c r="U3014" s="114"/>
      <c r="V3014" s="414"/>
      <c r="W3014" s="176"/>
      <c r="X3014" s="176"/>
      <c r="Y3014" s="176"/>
      <c r="Z3014" s="176"/>
    </row>
    <row r="3015" ht="15.75" customHeight="1">
      <c r="A3015" s="408"/>
      <c r="B3015" s="428"/>
      <c r="C3015" s="200"/>
      <c r="D3015" s="176"/>
      <c r="E3015" s="176"/>
      <c r="F3015" s="408"/>
      <c r="G3015" s="176"/>
      <c r="H3015" s="114"/>
      <c r="I3015" s="42"/>
      <c r="J3015" s="42"/>
      <c r="K3015" s="176"/>
      <c r="L3015" s="176"/>
      <c r="M3015" s="176"/>
      <c r="N3015" s="176"/>
      <c r="O3015" s="176"/>
      <c r="P3015" s="114"/>
      <c r="Q3015" s="176"/>
      <c r="R3015" s="114"/>
      <c r="S3015" s="114"/>
      <c r="T3015" s="200"/>
      <c r="U3015" s="114"/>
      <c r="V3015" s="414"/>
      <c r="W3015" s="176"/>
      <c r="X3015" s="176"/>
      <c r="Y3015" s="176"/>
      <c r="Z3015" s="176"/>
    </row>
    <row r="3016" ht="15.75" customHeight="1">
      <c r="A3016" s="408"/>
      <c r="B3016" s="428"/>
      <c r="C3016" s="200"/>
      <c r="D3016" s="176"/>
      <c r="E3016" s="176"/>
      <c r="F3016" s="408"/>
      <c r="G3016" s="176"/>
      <c r="H3016" s="114"/>
      <c r="I3016" s="42"/>
      <c r="J3016" s="42"/>
      <c r="K3016" s="176"/>
      <c r="L3016" s="176"/>
      <c r="M3016" s="176"/>
      <c r="N3016" s="176"/>
      <c r="O3016" s="176"/>
      <c r="P3016" s="114"/>
      <c r="Q3016" s="176"/>
      <c r="R3016" s="114"/>
      <c r="S3016" s="114"/>
      <c r="T3016" s="200"/>
      <c r="U3016" s="114"/>
      <c r="V3016" s="414"/>
      <c r="W3016" s="176"/>
      <c r="X3016" s="176"/>
      <c r="Y3016" s="176"/>
      <c r="Z3016" s="176"/>
    </row>
    <row r="3017" ht="15.75" customHeight="1">
      <c r="A3017" s="408"/>
      <c r="B3017" s="428"/>
      <c r="C3017" s="200"/>
      <c r="D3017" s="176"/>
      <c r="E3017" s="176"/>
      <c r="F3017" s="408"/>
      <c r="G3017" s="176"/>
      <c r="H3017" s="114"/>
      <c r="I3017" s="42"/>
      <c r="J3017" s="42"/>
      <c r="K3017" s="176"/>
      <c r="L3017" s="176"/>
      <c r="M3017" s="176"/>
      <c r="N3017" s="176"/>
      <c r="O3017" s="176"/>
      <c r="P3017" s="114"/>
      <c r="Q3017" s="176"/>
      <c r="R3017" s="114"/>
      <c r="S3017" s="114"/>
      <c r="T3017" s="200"/>
      <c r="U3017" s="114"/>
      <c r="V3017" s="414"/>
      <c r="W3017" s="176"/>
      <c r="X3017" s="176"/>
      <c r="Y3017" s="176"/>
      <c r="Z3017" s="176"/>
    </row>
    <row r="3018" ht="15.75" customHeight="1">
      <c r="A3018" s="408"/>
      <c r="B3018" s="428"/>
      <c r="C3018" s="200"/>
      <c r="D3018" s="176"/>
      <c r="E3018" s="176"/>
      <c r="F3018" s="408"/>
      <c r="G3018" s="176"/>
      <c r="H3018" s="114"/>
      <c r="I3018" s="42"/>
      <c r="J3018" s="42"/>
      <c r="K3018" s="176"/>
      <c r="L3018" s="176"/>
      <c r="M3018" s="176"/>
      <c r="N3018" s="176"/>
      <c r="O3018" s="176"/>
      <c r="P3018" s="114"/>
      <c r="Q3018" s="176"/>
      <c r="R3018" s="114"/>
      <c r="S3018" s="114"/>
      <c r="T3018" s="200"/>
      <c r="U3018" s="114"/>
      <c r="V3018" s="414"/>
      <c r="W3018" s="176"/>
      <c r="X3018" s="176"/>
      <c r="Y3018" s="176"/>
      <c r="Z3018" s="176"/>
    </row>
    <row r="3019" ht="15.75" customHeight="1">
      <c r="A3019" s="408"/>
      <c r="B3019" s="428"/>
      <c r="C3019" s="200"/>
      <c r="D3019" s="176"/>
      <c r="E3019" s="176"/>
      <c r="F3019" s="408"/>
      <c r="G3019" s="176"/>
      <c r="H3019" s="114"/>
      <c r="I3019" s="42"/>
      <c r="J3019" s="42"/>
      <c r="K3019" s="176"/>
      <c r="L3019" s="176"/>
      <c r="M3019" s="176"/>
      <c r="N3019" s="176"/>
      <c r="O3019" s="176"/>
      <c r="P3019" s="114"/>
      <c r="Q3019" s="176"/>
      <c r="R3019" s="114"/>
      <c r="S3019" s="114"/>
      <c r="T3019" s="200"/>
      <c r="U3019" s="114"/>
      <c r="V3019" s="414"/>
      <c r="W3019" s="176"/>
      <c r="X3019" s="176"/>
      <c r="Y3019" s="176"/>
      <c r="Z3019" s="176"/>
    </row>
    <row r="3020" ht="15.75" customHeight="1">
      <c r="A3020" s="408"/>
      <c r="B3020" s="428"/>
      <c r="C3020" s="200"/>
      <c r="D3020" s="176"/>
      <c r="E3020" s="176"/>
      <c r="F3020" s="408"/>
      <c r="G3020" s="176"/>
      <c r="H3020" s="114"/>
      <c r="I3020" s="42"/>
      <c r="J3020" s="42"/>
      <c r="K3020" s="176"/>
      <c r="L3020" s="176"/>
      <c r="M3020" s="176"/>
      <c r="N3020" s="176"/>
      <c r="O3020" s="176"/>
      <c r="P3020" s="114"/>
      <c r="Q3020" s="176"/>
      <c r="R3020" s="114"/>
      <c r="S3020" s="114"/>
      <c r="T3020" s="200"/>
      <c r="U3020" s="114"/>
      <c r="V3020" s="414"/>
      <c r="W3020" s="176"/>
      <c r="X3020" s="176"/>
      <c r="Y3020" s="176"/>
      <c r="Z3020" s="176"/>
    </row>
    <row r="3021" ht="15.75" customHeight="1">
      <c r="A3021" s="408"/>
      <c r="B3021" s="428"/>
      <c r="C3021" s="200"/>
      <c r="D3021" s="176"/>
      <c r="E3021" s="176"/>
      <c r="F3021" s="408"/>
      <c r="G3021" s="176"/>
      <c r="H3021" s="114"/>
      <c r="I3021" s="42"/>
      <c r="J3021" s="42"/>
      <c r="K3021" s="176"/>
      <c r="L3021" s="176"/>
      <c r="M3021" s="176"/>
      <c r="N3021" s="176"/>
      <c r="O3021" s="176"/>
      <c r="P3021" s="114"/>
      <c r="Q3021" s="176"/>
      <c r="R3021" s="114"/>
      <c r="S3021" s="114"/>
      <c r="T3021" s="200"/>
      <c r="U3021" s="114"/>
      <c r="V3021" s="414"/>
      <c r="W3021" s="176"/>
      <c r="X3021" s="176"/>
      <c r="Y3021" s="176"/>
      <c r="Z3021" s="176"/>
    </row>
    <row r="3022" ht="15.75" customHeight="1">
      <c r="A3022" s="408"/>
      <c r="B3022" s="428"/>
      <c r="C3022" s="200"/>
      <c r="D3022" s="176"/>
      <c r="E3022" s="176"/>
      <c r="F3022" s="408"/>
      <c r="G3022" s="176"/>
      <c r="H3022" s="114"/>
      <c r="I3022" s="42"/>
      <c r="J3022" s="42"/>
      <c r="K3022" s="176"/>
      <c r="L3022" s="176"/>
      <c r="M3022" s="176"/>
      <c r="N3022" s="176"/>
      <c r="O3022" s="176"/>
      <c r="P3022" s="114"/>
      <c r="Q3022" s="176"/>
      <c r="R3022" s="114"/>
      <c r="S3022" s="114"/>
      <c r="T3022" s="200"/>
      <c r="U3022" s="114"/>
      <c r="V3022" s="414"/>
      <c r="W3022" s="176"/>
      <c r="X3022" s="176"/>
      <c r="Y3022" s="176"/>
      <c r="Z3022" s="176"/>
    </row>
    <row r="3023" ht="15.75" customHeight="1">
      <c r="A3023" s="408"/>
      <c r="B3023" s="428"/>
      <c r="C3023" s="200"/>
      <c r="D3023" s="176"/>
      <c r="E3023" s="176"/>
      <c r="F3023" s="408"/>
      <c r="G3023" s="176"/>
      <c r="H3023" s="114"/>
      <c r="I3023" s="42"/>
      <c r="J3023" s="42"/>
      <c r="K3023" s="176"/>
      <c r="L3023" s="176"/>
      <c r="M3023" s="176"/>
      <c r="N3023" s="176"/>
      <c r="O3023" s="176"/>
      <c r="P3023" s="114"/>
      <c r="Q3023" s="176"/>
      <c r="R3023" s="114"/>
      <c r="S3023" s="114"/>
      <c r="T3023" s="200"/>
      <c r="U3023" s="114"/>
      <c r="V3023" s="414"/>
      <c r="W3023" s="176"/>
      <c r="X3023" s="176"/>
      <c r="Y3023" s="176"/>
      <c r="Z3023" s="176"/>
    </row>
    <row r="3024" ht="15.75" customHeight="1">
      <c r="A3024" s="408"/>
      <c r="B3024" s="428"/>
      <c r="C3024" s="200"/>
      <c r="D3024" s="176"/>
      <c r="E3024" s="176"/>
      <c r="F3024" s="408"/>
      <c r="G3024" s="176"/>
      <c r="H3024" s="114"/>
      <c r="I3024" s="42"/>
      <c r="J3024" s="42"/>
      <c r="K3024" s="176"/>
      <c r="L3024" s="176"/>
      <c r="M3024" s="176"/>
      <c r="N3024" s="176"/>
      <c r="O3024" s="176"/>
      <c r="P3024" s="114"/>
      <c r="Q3024" s="176"/>
      <c r="R3024" s="114"/>
      <c r="S3024" s="114"/>
      <c r="T3024" s="200"/>
      <c r="U3024" s="114"/>
      <c r="V3024" s="414"/>
      <c r="W3024" s="176"/>
      <c r="X3024" s="176"/>
      <c r="Y3024" s="176"/>
      <c r="Z3024" s="176"/>
    </row>
    <row r="3025" ht="15.75" customHeight="1">
      <c r="A3025" s="408"/>
      <c r="B3025" s="428"/>
      <c r="C3025" s="200"/>
      <c r="D3025" s="176"/>
      <c r="E3025" s="176"/>
      <c r="F3025" s="408"/>
      <c r="G3025" s="176"/>
      <c r="H3025" s="114"/>
      <c r="I3025" s="42"/>
      <c r="J3025" s="42"/>
      <c r="K3025" s="176"/>
      <c r="L3025" s="176"/>
      <c r="M3025" s="176"/>
      <c r="N3025" s="176"/>
      <c r="O3025" s="176"/>
      <c r="P3025" s="114"/>
      <c r="Q3025" s="176"/>
      <c r="R3025" s="114"/>
      <c r="S3025" s="114"/>
      <c r="T3025" s="200"/>
      <c r="U3025" s="114"/>
      <c r="V3025" s="414"/>
      <c r="W3025" s="176"/>
      <c r="X3025" s="176"/>
      <c r="Y3025" s="176"/>
      <c r="Z3025" s="176"/>
    </row>
    <row r="3026" ht="15.75" customHeight="1">
      <c r="A3026" s="408"/>
      <c r="B3026" s="428"/>
      <c r="C3026" s="200"/>
      <c r="D3026" s="176"/>
      <c r="E3026" s="176"/>
      <c r="F3026" s="408"/>
      <c r="G3026" s="176"/>
      <c r="H3026" s="114"/>
      <c r="I3026" s="42"/>
      <c r="J3026" s="42"/>
      <c r="K3026" s="176"/>
      <c r="L3026" s="176"/>
      <c r="M3026" s="176"/>
      <c r="N3026" s="176"/>
      <c r="O3026" s="176"/>
      <c r="P3026" s="114"/>
      <c r="Q3026" s="176"/>
      <c r="R3026" s="114"/>
      <c r="S3026" s="114"/>
      <c r="T3026" s="200"/>
      <c r="U3026" s="114"/>
      <c r="V3026" s="414"/>
      <c r="W3026" s="176"/>
      <c r="X3026" s="176"/>
      <c r="Y3026" s="176"/>
      <c r="Z3026" s="176"/>
    </row>
    <row r="3027" ht="15.75" customHeight="1">
      <c r="A3027" s="408"/>
      <c r="B3027" s="428"/>
      <c r="C3027" s="200"/>
      <c r="D3027" s="176"/>
      <c r="E3027" s="176"/>
      <c r="F3027" s="408"/>
      <c r="G3027" s="176"/>
      <c r="H3027" s="114"/>
      <c r="I3027" s="42"/>
      <c r="J3027" s="42"/>
      <c r="K3027" s="176"/>
      <c r="L3027" s="176"/>
      <c r="M3027" s="176"/>
      <c r="N3027" s="176"/>
      <c r="O3027" s="176"/>
      <c r="P3027" s="114"/>
      <c r="Q3027" s="176"/>
      <c r="R3027" s="114"/>
      <c r="S3027" s="114"/>
      <c r="T3027" s="200"/>
      <c r="U3027" s="114"/>
      <c r="V3027" s="414"/>
      <c r="W3027" s="176"/>
      <c r="X3027" s="176"/>
      <c r="Y3027" s="176"/>
      <c r="Z3027" s="176"/>
    </row>
    <row r="3028" ht="15.75" customHeight="1">
      <c r="A3028" s="408"/>
      <c r="B3028" s="428"/>
      <c r="C3028" s="200"/>
      <c r="D3028" s="176"/>
      <c r="E3028" s="176"/>
      <c r="F3028" s="408"/>
      <c r="G3028" s="176"/>
      <c r="H3028" s="114"/>
      <c r="I3028" s="42"/>
      <c r="J3028" s="42"/>
      <c r="K3028" s="176"/>
      <c r="L3028" s="176"/>
      <c r="M3028" s="176"/>
      <c r="N3028" s="176"/>
      <c r="O3028" s="176"/>
      <c r="P3028" s="114"/>
      <c r="Q3028" s="176"/>
      <c r="R3028" s="114"/>
      <c r="S3028" s="114"/>
      <c r="T3028" s="200"/>
      <c r="U3028" s="114"/>
      <c r="V3028" s="414"/>
      <c r="W3028" s="176"/>
      <c r="X3028" s="176"/>
      <c r="Y3028" s="176"/>
      <c r="Z3028" s="176"/>
    </row>
    <row r="3029" ht="15.75" customHeight="1">
      <c r="A3029" s="408"/>
      <c r="B3029" s="428"/>
      <c r="C3029" s="200"/>
      <c r="D3029" s="176"/>
      <c r="E3029" s="176"/>
      <c r="F3029" s="408"/>
      <c r="G3029" s="176"/>
      <c r="H3029" s="114"/>
      <c r="I3029" s="42"/>
      <c r="J3029" s="42"/>
      <c r="K3029" s="176"/>
      <c r="L3029" s="176"/>
      <c r="M3029" s="176"/>
      <c r="N3029" s="176"/>
      <c r="O3029" s="176"/>
      <c r="P3029" s="114"/>
      <c r="Q3029" s="176"/>
      <c r="R3029" s="114"/>
      <c r="S3029" s="114"/>
      <c r="T3029" s="200"/>
      <c r="U3029" s="114"/>
      <c r="V3029" s="414"/>
      <c r="W3029" s="176"/>
      <c r="X3029" s="176"/>
      <c r="Y3029" s="176"/>
      <c r="Z3029" s="176"/>
    </row>
    <row r="3030" ht="15.75" customHeight="1">
      <c r="A3030" s="408"/>
      <c r="B3030" s="428"/>
      <c r="C3030" s="200"/>
      <c r="D3030" s="176"/>
      <c r="E3030" s="176"/>
      <c r="F3030" s="408"/>
      <c r="G3030" s="176"/>
      <c r="H3030" s="114"/>
      <c r="I3030" s="42"/>
      <c r="J3030" s="42"/>
      <c r="K3030" s="176"/>
      <c r="L3030" s="176"/>
      <c r="M3030" s="176"/>
      <c r="N3030" s="176"/>
      <c r="O3030" s="176"/>
      <c r="P3030" s="114"/>
      <c r="Q3030" s="176"/>
      <c r="R3030" s="114"/>
      <c r="S3030" s="114"/>
      <c r="T3030" s="200"/>
      <c r="U3030" s="114"/>
      <c r="V3030" s="414"/>
      <c r="W3030" s="176"/>
      <c r="X3030" s="176"/>
      <c r="Y3030" s="176"/>
      <c r="Z3030" s="176"/>
    </row>
    <row r="3031" ht="15.75" customHeight="1">
      <c r="A3031" s="408"/>
      <c r="B3031" s="428"/>
      <c r="C3031" s="200"/>
      <c r="D3031" s="176"/>
      <c r="E3031" s="176"/>
      <c r="F3031" s="408"/>
      <c r="G3031" s="176"/>
      <c r="H3031" s="114"/>
      <c r="I3031" s="42"/>
      <c r="J3031" s="42"/>
      <c r="K3031" s="176"/>
      <c r="L3031" s="176"/>
      <c r="M3031" s="176"/>
      <c r="N3031" s="176"/>
      <c r="O3031" s="176"/>
      <c r="P3031" s="114"/>
      <c r="Q3031" s="176"/>
      <c r="R3031" s="114"/>
      <c r="S3031" s="114"/>
      <c r="T3031" s="200"/>
      <c r="U3031" s="114"/>
      <c r="V3031" s="414"/>
      <c r="W3031" s="176"/>
      <c r="X3031" s="176"/>
      <c r="Y3031" s="176"/>
      <c r="Z3031" s="176"/>
    </row>
    <row r="3032" ht="15.75" customHeight="1">
      <c r="A3032" s="408"/>
      <c r="B3032" s="428"/>
      <c r="C3032" s="200"/>
      <c r="D3032" s="176"/>
      <c r="E3032" s="176"/>
      <c r="F3032" s="408"/>
      <c r="G3032" s="176"/>
      <c r="H3032" s="114"/>
      <c r="I3032" s="42"/>
      <c r="J3032" s="42"/>
      <c r="K3032" s="176"/>
      <c r="L3032" s="176"/>
      <c r="M3032" s="176"/>
      <c r="N3032" s="176"/>
      <c r="O3032" s="176"/>
      <c r="P3032" s="114"/>
      <c r="Q3032" s="176"/>
      <c r="R3032" s="114"/>
      <c r="S3032" s="114"/>
      <c r="T3032" s="200"/>
      <c r="U3032" s="114"/>
      <c r="V3032" s="414"/>
      <c r="W3032" s="176"/>
      <c r="X3032" s="176"/>
      <c r="Y3032" s="176"/>
      <c r="Z3032" s="176"/>
    </row>
    <row r="3033" ht="15.75" customHeight="1">
      <c r="A3033" s="408"/>
      <c r="B3033" s="428"/>
      <c r="C3033" s="200"/>
      <c r="D3033" s="176"/>
      <c r="E3033" s="176"/>
      <c r="F3033" s="408"/>
      <c r="G3033" s="176"/>
      <c r="H3033" s="114"/>
      <c r="I3033" s="42"/>
      <c r="J3033" s="42"/>
      <c r="K3033" s="176"/>
      <c r="L3033" s="176"/>
      <c r="M3033" s="176"/>
      <c r="N3033" s="176"/>
      <c r="O3033" s="176"/>
      <c r="P3033" s="114"/>
      <c r="Q3033" s="176"/>
      <c r="R3033" s="114"/>
      <c r="S3033" s="114"/>
      <c r="T3033" s="200"/>
      <c r="U3033" s="114"/>
      <c r="V3033" s="414"/>
      <c r="W3033" s="176"/>
      <c r="X3033" s="176"/>
      <c r="Y3033" s="176"/>
      <c r="Z3033" s="176"/>
    </row>
    <row r="3034" ht="15.75" customHeight="1">
      <c r="A3034" s="408"/>
      <c r="B3034" s="428"/>
      <c r="C3034" s="200"/>
      <c r="D3034" s="176"/>
      <c r="E3034" s="176"/>
      <c r="F3034" s="408"/>
      <c r="G3034" s="176"/>
      <c r="H3034" s="114"/>
      <c r="I3034" s="42"/>
      <c r="J3034" s="42"/>
      <c r="K3034" s="176"/>
      <c r="L3034" s="176"/>
      <c r="M3034" s="176"/>
      <c r="N3034" s="176"/>
      <c r="O3034" s="176"/>
      <c r="P3034" s="114"/>
      <c r="Q3034" s="176"/>
      <c r="R3034" s="114"/>
      <c r="S3034" s="114"/>
      <c r="T3034" s="200"/>
      <c r="U3034" s="114"/>
      <c r="V3034" s="414"/>
      <c r="W3034" s="176"/>
      <c r="X3034" s="176"/>
      <c r="Y3034" s="176"/>
      <c r="Z3034" s="176"/>
    </row>
    <row r="3035" ht="15.75" customHeight="1">
      <c r="A3035" s="408"/>
      <c r="B3035" s="428"/>
      <c r="C3035" s="200"/>
      <c r="D3035" s="176"/>
      <c r="E3035" s="176"/>
      <c r="F3035" s="408"/>
      <c r="G3035" s="176"/>
      <c r="H3035" s="114"/>
      <c r="I3035" s="42"/>
      <c r="J3035" s="42"/>
      <c r="K3035" s="176"/>
      <c r="L3035" s="176"/>
      <c r="M3035" s="176"/>
      <c r="N3035" s="176"/>
      <c r="O3035" s="176"/>
      <c r="P3035" s="114"/>
      <c r="Q3035" s="176"/>
      <c r="R3035" s="114"/>
      <c r="S3035" s="114"/>
      <c r="T3035" s="200"/>
      <c r="U3035" s="114"/>
      <c r="V3035" s="414"/>
      <c r="W3035" s="176"/>
      <c r="X3035" s="176"/>
      <c r="Y3035" s="176"/>
      <c r="Z3035" s="176"/>
    </row>
    <row r="3036" ht="15.75" customHeight="1">
      <c r="A3036" s="408"/>
      <c r="B3036" s="428"/>
      <c r="C3036" s="200"/>
      <c r="D3036" s="176"/>
      <c r="E3036" s="176"/>
      <c r="F3036" s="408"/>
      <c r="G3036" s="176"/>
      <c r="H3036" s="114"/>
      <c r="I3036" s="42"/>
      <c r="J3036" s="42"/>
      <c r="K3036" s="176"/>
      <c r="L3036" s="176"/>
      <c r="M3036" s="176"/>
      <c r="N3036" s="176"/>
      <c r="O3036" s="176"/>
      <c r="P3036" s="114"/>
      <c r="Q3036" s="176"/>
      <c r="R3036" s="114"/>
      <c r="S3036" s="114"/>
      <c r="T3036" s="200"/>
      <c r="U3036" s="114"/>
      <c r="V3036" s="414"/>
      <c r="W3036" s="176"/>
      <c r="X3036" s="176"/>
      <c r="Y3036" s="176"/>
      <c r="Z3036" s="176"/>
    </row>
    <row r="3037" ht="15.75" customHeight="1">
      <c r="A3037" s="408"/>
      <c r="B3037" s="428"/>
      <c r="C3037" s="200"/>
      <c r="D3037" s="176"/>
      <c r="E3037" s="176"/>
      <c r="F3037" s="408"/>
      <c r="G3037" s="176"/>
      <c r="H3037" s="114"/>
      <c r="I3037" s="42"/>
      <c r="J3037" s="42"/>
      <c r="K3037" s="176"/>
      <c r="L3037" s="176"/>
      <c r="M3037" s="176"/>
      <c r="N3037" s="176"/>
      <c r="O3037" s="176"/>
      <c r="P3037" s="114"/>
      <c r="Q3037" s="176"/>
      <c r="R3037" s="114"/>
      <c r="S3037" s="114"/>
      <c r="T3037" s="200"/>
      <c r="U3037" s="114"/>
      <c r="V3037" s="414"/>
      <c r="W3037" s="176"/>
      <c r="X3037" s="176"/>
      <c r="Y3037" s="176"/>
      <c r="Z3037" s="176"/>
    </row>
    <row r="3038" ht="15.75" customHeight="1">
      <c r="A3038" s="408"/>
      <c r="B3038" s="428"/>
      <c r="C3038" s="200"/>
      <c r="D3038" s="176"/>
      <c r="E3038" s="176"/>
      <c r="F3038" s="408"/>
      <c r="G3038" s="176"/>
      <c r="H3038" s="114"/>
      <c r="I3038" s="42"/>
      <c r="J3038" s="42"/>
      <c r="K3038" s="176"/>
      <c r="L3038" s="176"/>
      <c r="M3038" s="176"/>
      <c r="N3038" s="176"/>
      <c r="O3038" s="176"/>
      <c r="P3038" s="114"/>
      <c r="Q3038" s="176"/>
      <c r="R3038" s="114"/>
      <c r="S3038" s="114"/>
      <c r="T3038" s="200"/>
      <c r="U3038" s="114"/>
      <c r="V3038" s="414"/>
      <c r="W3038" s="176"/>
      <c r="X3038" s="176"/>
      <c r="Y3038" s="176"/>
      <c r="Z3038" s="176"/>
    </row>
    <row r="3039" ht="15.75" customHeight="1">
      <c r="A3039" s="408"/>
      <c r="B3039" s="428"/>
      <c r="C3039" s="200"/>
      <c r="D3039" s="176"/>
      <c r="E3039" s="176"/>
      <c r="F3039" s="408"/>
      <c r="G3039" s="176"/>
      <c r="H3039" s="114"/>
      <c r="I3039" s="42"/>
      <c r="J3039" s="42"/>
      <c r="K3039" s="176"/>
      <c r="L3039" s="176"/>
      <c r="M3039" s="176"/>
      <c r="N3039" s="176"/>
      <c r="O3039" s="176"/>
      <c r="P3039" s="114"/>
      <c r="Q3039" s="176"/>
      <c r="R3039" s="114"/>
      <c r="S3039" s="114"/>
      <c r="T3039" s="200"/>
      <c r="U3039" s="114"/>
      <c r="V3039" s="414"/>
      <c r="W3039" s="176"/>
      <c r="X3039" s="176"/>
      <c r="Y3039" s="176"/>
      <c r="Z3039" s="176"/>
    </row>
    <row r="3040" ht="15.75" customHeight="1">
      <c r="A3040" s="408"/>
      <c r="B3040" s="428"/>
      <c r="C3040" s="200"/>
      <c r="D3040" s="176"/>
      <c r="E3040" s="176"/>
      <c r="F3040" s="408"/>
      <c r="G3040" s="176"/>
      <c r="H3040" s="114"/>
      <c r="I3040" s="42"/>
      <c r="J3040" s="42"/>
      <c r="K3040" s="176"/>
      <c r="L3040" s="176"/>
      <c r="M3040" s="176"/>
      <c r="N3040" s="176"/>
      <c r="O3040" s="176"/>
      <c r="P3040" s="114"/>
      <c r="Q3040" s="176"/>
      <c r="R3040" s="114"/>
      <c r="S3040" s="114"/>
      <c r="T3040" s="200"/>
      <c r="U3040" s="114"/>
      <c r="V3040" s="414"/>
      <c r="W3040" s="176"/>
      <c r="X3040" s="176"/>
      <c r="Y3040" s="176"/>
      <c r="Z3040" s="176"/>
    </row>
    <row r="3041" ht="15.75" customHeight="1">
      <c r="A3041" s="408"/>
      <c r="B3041" s="428"/>
      <c r="C3041" s="200"/>
      <c r="D3041" s="176"/>
      <c r="E3041" s="176"/>
      <c r="F3041" s="408"/>
      <c r="G3041" s="176"/>
      <c r="H3041" s="114"/>
      <c r="I3041" s="42"/>
      <c r="J3041" s="42"/>
      <c r="K3041" s="176"/>
      <c r="L3041" s="176"/>
      <c r="M3041" s="176"/>
      <c r="N3041" s="176"/>
      <c r="O3041" s="176"/>
      <c r="P3041" s="114"/>
      <c r="Q3041" s="176"/>
      <c r="R3041" s="114"/>
      <c r="S3041" s="114"/>
      <c r="T3041" s="200"/>
      <c r="U3041" s="114"/>
      <c r="V3041" s="414"/>
      <c r="W3041" s="176"/>
      <c r="X3041" s="176"/>
      <c r="Y3041" s="176"/>
      <c r="Z3041" s="176"/>
    </row>
    <row r="3042" ht="15.75" customHeight="1">
      <c r="A3042" s="408"/>
      <c r="B3042" s="428"/>
      <c r="C3042" s="200"/>
      <c r="D3042" s="176"/>
      <c r="E3042" s="176"/>
      <c r="F3042" s="408"/>
      <c r="G3042" s="176"/>
      <c r="H3042" s="114"/>
      <c r="I3042" s="42"/>
      <c r="J3042" s="42"/>
      <c r="K3042" s="176"/>
      <c r="L3042" s="176"/>
      <c r="M3042" s="176"/>
      <c r="N3042" s="176"/>
      <c r="O3042" s="176"/>
      <c r="P3042" s="114"/>
      <c r="Q3042" s="176"/>
      <c r="R3042" s="114"/>
      <c r="S3042" s="114"/>
      <c r="T3042" s="200"/>
      <c r="U3042" s="114"/>
      <c r="V3042" s="414"/>
      <c r="W3042" s="176"/>
      <c r="X3042" s="176"/>
      <c r="Y3042" s="176"/>
      <c r="Z3042" s="176"/>
    </row>
    <row r="3043" ht="15.75" customHeight="1">
      <c r="A3043" s="408"/>
      <c r="B3043" s="428"/>
      <c r="C3043" s="200"/>
      <c r="D3043" s="176"/>
      <c r="E3043" s="176"/>
      <c r="F3043" s="408"/>
      <c r="G3043" s="176"/>
      <c r="H3043" s="114"/>
      <c r="I3043" s="42"/>
      <c r="J3043" s="42"/>
      <c r="K3043" s="176"/>
      <c r="L3043" s="176"/>
      <c r="M3043" s="176"/>
      <c r="N3043" s="176"/>
      <c r="O3043" s="176"/>
      <c r="P3043" s="114"/>
      <c r="Q3043" s="176"/>
      <c r="R3043" s="114"/>
      <c r="S3043" s="114"/>
      <c r="T3043" s="200"/>
      <c r="U3043" s="114"/>
      <c r="V3043" s="414"/>
      <c r="W3043" s="176"/>
      <c r="X3043" s="176"/>
      <c r="Y3043" s="176"/>
      <c r="Z3043" s="176"/>
    </row>
    <row r="3044" ht="15.75" customHeight="1">
      <c r="A3044" s="408"/>
      <c r="B3044" s="428"/>
      <c r="C3044" s="200"/>
      <c r="D3044" s="176"/>
      <c r="E3044" s="176"/>
      <c r="F3044" s="408"/>
      <c r="G3044" s="176"/>
      <c r="H3044" s="114"/>
      <c r="I3044" s="42"/>
      <c r="J3044" s="42"/>
      <c r="K3044" s="176"/>
      <c r="L3044" s="176"/>
      <c r="M3044" s="176"/>
      <c r="N3044" s="176"/>
      <c r="O3044" s="176"/>
      <c r="P3044" s="114"/>
      <c r="Q3044" s="176"/>
      <c r="R3044" s="114"/>
      <c r="S3044" s="114"/>
      <c r="T3044" s="200"/>
      <c r="U3044" s="114"/>
      <c r="V3044" s="414"/>
      <c r="W3044" s="176"/>
      <c r="X3044" s="176"/>
      <c r="Y3044" s="176"/>
      <c r="Z3044" s="176"/>
    </row>
    <row r="3045" ht="15.75" customHeight="1">
      <c r="A3045" s="408"/>
      <c r="B3045" s="428"/>
      <c r="C3045" s="200"/>
      <c r="D3045" s="176"/>
      <c r="E3045" s="176"/>
      <c r="F3045" s="408"/>
      <c r="G3045" s="176"/>
      <c r="H3045" s="114"/>
      <c r="I3045" s="42"/>
      <c r="J3045" s="42"/>
      <c r="K3045" s="176"/>
      <c r="L3045" s="176"/>
      <c r="M3045" s="176"/>
      <c r="N3045" s="176"/>
      <c r="O3045" s="176"/>
      <c r="P3045" s="114"/>
      <c r="Q3045" s="176"/>
      <c r="R3045" s="114"/>
      <c r="S3045" s="114"/>
      <c r="T3045" s="200"/>
      <c r="U3045" s="114"/>
      <c r="V3045" s="414"/>
      <c r="W3045" s="176"/>
      <c r="X3045" s="176"/>
      <c r="Y3045" s="176"/>
      <c r="Z3045" s="176"/>
    </row>
    <row r="3046" ht="15.75" customHeight="1">
      <c r="A3046" s="408"/>
      <c r="B3046" s="428"/>
      <c r="C3046" s="200"/>
      <c r="D3046" s="176"/>
      <c r="E3046" s="176"/>
      <c r="F3046" s="408"/>
      <c r="G3046" s="176"/>
      <c r="H3046" s="114"/>
      <c r="I3046" s="42"/>
      <c r="J3046" s="42"/>
      <c r="K3046" s="176"/>
      <c r="L3046" s="176"/>
      <c r="M3046" s="176"/>
      <c r="N3046" s="176"/>
      <c r="O3046" s="176"/>
      <c r="P3046" s="114"/>
      <c r="Q3046" s="176"/>
      <c r="R3046" s="114"/>
      <c r="S3046" s="114"/>
      <c r="T3046" s="200"/>
      <c r="U3046" s="114"/>
      <c r="V3046" s="414"/>
      <c r="W3046" s="176"/>
      <c r="X3046" s="176"/>
      <c r="Y3046" s="176"/>
      <c r="Z3046" s="176"/>
    </row>
    <row r="3047" ht="15.75" customHeight="1">
      <c r="A3047" s="408"/>
      <c r="B3047" s="428"/>
      <c r="C3047" s="200"/>
      <c r="D3047" s="176"/>
      <c r="E3047" s="176"/>
      <c r="F3047" s="408"/>
      <c r="G3047" s="176"/>
      <c r="H3047" s="114"/>
      <c r="I3047" s="42"/>
      <c r="J3047" s="42"/>
      <c r="K3047" s="176"/>
      <c r="L3047" s="176"/>
      <c r="M3047" s="176"/>
      <c r="N3047" s="176"/>
      <c r="O3047" s="176"/>
      <c r="P3047" s="114"/>
      <c r="Q3047" s="176"/>
      <c r="R3047" s="114"/>
      <c r="S3047" s="114"/>
      <c r="T3047" s="200"/>
      <c r="U3047" s="114"/>
      <c r="V3047" s="414"/>
      <c r="W3047" s="176"/>
      <c r="X3047" s="176"/>
      <c r="Y3047" s="176"/>
      <c r="Z3047" s="176"/>
    </row>
    <row r="3048" ht="15.75" customHeight="1">
      <c r="A3048" s="408"/>
      <c r="B3048" s="428"/>
      <c r="C3048" s="200"/>
      <c r="D3048" s="176"/>
      <c r="E3048" s="176"/>
      <c r="F3048" s="408"/>
      <c r="G3048" s="176"/>
      <c r="H3048" s="114"/>
      <c r="I3048" s="42"/>
      <c r="J3048" s="42"/>
      <c r="K3048" s="176"/>
      <c r="L3048" s="176"/>
      <c r="M3048" s="176"/>
      <c r="N3048" s="176"/>
      <c r="O3048" s="176"/>
      <c r="P3048" s="114"/>
      <c r="Q3048" s="176"/>
      <c r="R3048" s="114"/>
      <c r="S3048" s="114"/>
      <c r="T3048" s="200"/>
      <c r="U3048" s="114"/>
      <c r="V3048" s="414"/>
      <c r="W3048" s="176"/>
      <c r="X3048" s="176"/>
      <c r="Y3048" s="176"/>
      <c r="Z3048" s="176"/>
    </row>
    <row r="3049" ht="15.75" customHeight="1">
      <c r="A3049" s="408"/>
      <c r="B3049" s="428"/>
      <c r="C3049" s="200"/>
      <c r="D3049" s="176"/>
      <c r="E3049" s="176"/>
      <c r="F3049" s="408"/>
      <c r="G3049" s="176"/>
      <c r="H3049" s="114"/>
      <c r="I3049" s="42"/>
      <c r="J3049" s="42"/>
      <c r="K3049" s="176"/>
      <c r="L3049" s="176"/>
      <c r="M3049" s="176"/>
      <c r="N3049" s="176"/>
      <c r="O3049" s="176"/>
      <c r="P3049" s="114"/>
      <c r="Q3049" s="176"/>
      <c r="R3049" s="114"/>
      <c r="S3049" s="114"/>
      <c r="T3049" s="200"/>
      <c r="U3049" s="114"/>
      <c r="V3049" s="414"/>
      <c r="W3049" s="176"/>
      <c r="X3049" s="176"/>
      <c r="Y3049" s="176"/>
      <c r="Z3049" s="176"/>
    </row>
    <row r="3050" ht="15.75" customHeight="1">
      <c r="A3050" s="408"/>
      <c r="B3050" s="428"/>
      <c r="C3050" s="200"/>
      <c r="D3050" s="176"/>
      <c r="E3050" s="176"/>
      <c r="F3050" s="408"/>
      <c r="G3050" s="176"/>
      <c r="H3050" s="114"/>
      <c r="I3050" s="42"/>
      <c r="J3050" s="42"/>
      <c r="K3050" s="176"/>
      <c r="L3050" s="176"/>
      <c r="M3050" s="176"/>
      <c r="N3050" s="176"/>
      <c r="O3050" s="176"/>
      <c r="P3050" s="114"/>
      <c r="Q3050" s="176"/>
      <c r="R3050" s="114"/>
      <c r="S3050" s="114"/>
      <c r="T3050" s="200"/>
      <c r="U3050" s="114"/>
      <c r="V3050" s="414"/>
      <c r="W3050" s="176"/>
      <c r="X3050" s="176"/>
      <c r="Y3050" s="176"/>
      <c r="Z3050" s="176"/>
    </row>
    <row r="3051" ht="15.75" customHeight="1">
      <c r="A3051" s="408"/>
      <c r="B3051" s="428"/>
      <c r="C3051" s="200"/>
      <c r="D3051" s="176"/>
      <c r="E3051" s="176"/>
      <c r="F3051" s="408"/>
      <c r="G3051" s="176"/>
      <c r="H3051" s="114"/>
      <c r="I3051" s="42"/>
      <c r="J3051" s="42"/>
      <c r="K3051" s="176"/>
      <c r="L3051" s="176"/>
      <c r="M3051" s="176"/>
      <c r="N3051" s="176"/>
      <c r="O3051" s="176"/>
      <c r="P3051" s="114"/>
      <c r="Q3051" s="176"/>
      <c r="R3051" s="114"/>
      <c r="S3051" s="114"/>
      <c r="T3051" s="200"/>
      <c r="U3051" s="114"/>
      <c r="V3051" s="414"/>
      <c r="W3051" s="176"/>
      <c r="X3051" s="176"/>
      <c r="Y3051" s="176"/>
      <c r="Z3051" s="176"/>
    </row>
    <row r="3052" ht="15.75" customHeight="1">
      <c r="A3052" s="408"/>
      <c r="B3052" s="428"/>
      <c r="C3052" s="200"/>
      <c r="D3052" s="176"/>
      <c r="E3052" s="176"/>
      <c r="F3052" s="408"/>
      <c r="G3052" s="176"/>
      <c r="H3052" s="114"/>
      <c r="I3052" s="42"/>
      <c r="J3052" s="42"/>
      <c r="K3052" s="176"/>
      <c r="L3052" s="176"/>
      <c r="M3052" s="176"/>
      <c r="N3052" s="176"/>
      <c r="O3052" s="176"/>
      <c r="P3052" s="114"/>
      <c r="Q3052" s="176"/>
      <c r="R3052" s="114"/>
      <c r="S3052" s="114"/>
      <c r="T3052" s="200"/>
      <c r="U3052" s="114"/>
      <c r="V3052" s="414"/>
      <c r="W3052" s="176"/>
      <c r="X3052" s="176"/>
      <c r="Y3052" s="176"/>
      <c r="Z3052" s="176"/>
    </row>
    <row r="3053" ht="15.75" customHeight="1">
      <c r="A3053" s="408"/>
      <c r="B3053" s="428"/>
      <c r="C3053" s="200"/>
      <c r="D3053" s="176"/>
      <c r="E3053" s="176"/>
      <c r="F3053" s="408"/>
      <c r="G3053" s="176"/>
      <c r="H3053" s="114"/>
      <c r="I3053" s="42"/>
      <c r="J3053" s="42"/>
      <c r="K3053" s="176"/>
      <c r="L3053" s="176"/>
      <c r="M3053" s="176"/>
      <c r="N3053" s="176"/>
      <c r="O3053" s="176"/>
      <c r="P3053" s="114"/>
      <c r="Q3053" s="176"/>
      <c r="R3053" s="114"/>
      <c r="S3053" s="114"/>
      <c r="T3053" s="200"/>
      <c r="U3053" s="114"/>
      <c r="V3053" s="414"/>
      <c r="W3053" s="176"/>
      <c r="X3053" s="176"/>
      <c r="Y3053" s="176"/>
      <c r="Z3053" s="176"/>
    </row>
    <row r="3054" ht="15.75" customHeight="1">
      <c r="A3054" s="408"/>
      <c r="B3054" s="428"/>
      <c r="C3054" s="200"/>
      <c r="D3054" s="176"/>
      <c r="E3054" s="176"/>
      <c r="F3054" s="408"/>
      <c r="G3054" s="176"/>
      <c r="H3054" s="114"/>
      <c r="I3054" s="42"/>
      <c r="J3054" s="42"/>
      <c r="K3054" s="176"/>
      <c r="L3054" s="176"/>
      <c r="M3054" s="176"/>
      <c r="N3054" s="176"/>
      <c r="O3054" s="176"/>
      <c r="P3054" s="114"/>
      <c r="Q3054" s="176"/>
      <c r="R3054" s="114"/>
      <c r="S3054" s="114"/>
      <c r="T3054" s="200"/>
      <c r="U3054" s="114"/>
      <c r="V3054" s="414"/>
      <c r="W3054" s="176"/>
      <c r="X3054" s="176"/>
      <c r="Y3054" s="176"/>
      <c r="Z3054" s="176"/>
    </row>
    <row r="3055" ht="15.75" customHeight="1">
      <c r="A3055" s="408"/>
      <c r="B3055" s="428"/>
      <c r="C3055" s="200"/>
      <c r="D3055" s="176"/>
      <c r="E3055" s="176"/>
      <c r="F3055" s="408"/>
      <c r="G3055" s="176"/>
      <c r="H3055" s="114"/>
      <c r="I3055" s="42"/>
      <c r="J3055" s="42"/>
      <c r="K3055" s="176"/>
      <c r="L3055" s="176"/>
      <c r="M3055" s="176"/>
      <c r="N3055" s="176"/>
      <c r="O3055" s="176"/>
      <c r="P3055" s="114"/>
      <c r="Q3055" s="176"/>
      <c r="R3055" s="114"/>
      <c r="S3055" s="114"/>
      <c r="T3055" s="200"/>
      <c r="U3055" s="114"/>
      <c r="V3055" s="414"/>
      <c r="W3055" s="176"/>
      <c r="X3055" s="176"/>
      <c r="Y3055" s="176"/>
      <c r="Z3055" s="176"/>
    </row>
    <row r="3056" ht="15.75" customHeight="1">
      <c r="A3056" s="408"/>
      <c r="B3056" s="428"/>
      <c r="C3056" s="200"/>
      <c r="D3056" s="176"/>
      <c r="E3056" s="176"/>
      <c r="F3056" s="408"/>
      <c r="G3056" s="176"/>
      <c r="H3056" s="114"/>
      <c r="I3056" s="42"/>
      <c r="J3056" s="42"/>
      <c r="K3056" s="176"/>
      <c r="L3056" s="176"/>
      <c r="M3056" s="176"/>
      <c r="N3056" s="176"/>
      <c r="O3056" s="176"/>
      <c r="P3056" s="114"/>
      <c r="Q3056" s="176"/>
      <c r="R3056" s="114"/>
      <c r="S3056" s="114"/>
      <c r="T3056" s="200"/>
      <c r="U3056" s="114"/>
      <c r="V3056" s="414"/>
      <c r="W3056" s="176"/>
      <c r="X3056" s="176"/>
      <c r="Y3056" s="176"/>
      <c r="Z3056" s="176"/>
    </row>
    <row r="3057" ht="15.75" customHeight="1">
      <c r="A3057" s="408"/>
      <c r="B3057" s="428"/>
      <c r="C3057" s="200"/>
      <c r="D3057" s="176"/>
      <c r="E3057" s="176"/>
      <c r="F3057" s="408"/>
      <c r="G3057" s="176"/>
      <c r="H3057" s="114"/>
      <c r="I3057" s="42"/>
      <c r="J3057" s="42"/>
      <c r="K3057" s="176"/>
      <c r="L3057" s="176"/>
      <c r="M3057" s="176"/>
      <c r="N3057" s="176"/>
      <c r="O3057" s="176"/>
      <c r="P3057" s="114"/>
      <c r="Q3057" s="176"/>
      <c r="R3057" s="114"/>
      <c r="S3057" s="114"/>
      <c r="T3057" s="200"/>
      <c r="U3057" s="114"/>
      <c r="V3057" s="414"/>
      <c r="W3057" s="176"/>
      <c r="X3057" s="176"/>
      <c r="Y3057" s="176"/>
      <c r="Z3057" s="176"/>
    </row>
    <row r="3058" ht="15.75" customHeight="1">
      <c r="A3058" s="408"/>
      <c r="B3058" s="428"/>
      <c r="C3058" s="200"/>
      <c r="D3058" s="176"/>
      <c r="E3058" s="176"/>
      <c r="F3058" s="408"/>
      <c r="G3058" s="176"/>
      <c r="H3058" s="114"/>
      <c r="I3058" s="42"/>
      <c r="J3058" s="42"/>
      <c r="K3058" s="176"/>
      <c r="L3058" s="176"/>
      <c r="M3058" s="176"/>
      <c r="N3058" s="176"/>
      <c r="O3058" s="176"/>
      <c r="P3058" s="114"/>
      <c r="Q3058" s="176"/>
      <c r="R3058" s="114"/>
      <c r="S3058" s="114"/>
      <c r="T3058" s="200"/>
      <c r="U3058" s="114"/>
      <c r="V3058" s="414"/>
      <c r="W3058" s="176"/>
      <c r="X3058" s="176"/>
      <c r="Y3058" s="176"/>
      <c r="Z3058" s="176"/>
    </row>
    <row r="3059" ht="15.75" customHeight="1">
      <c r="A3059" s="408"/>
      <c r="B3059" s="428"/>
      <c r="C3059" s="200"/>
      <c r="D3059" s="176"/>
      <c r="E3059" s="176"/>
      <c r="F3059" s="408"/>
      <c r="G3059" s="176"/>
      <c r="H3059" s="114"/>
      <c r="I3059" s="42"/>
      <c r="J3059" s="42"/>
      <c r="K3059" s="176"/>
      <c r="L3059" s="176"/>
      <c r="M3059" s="176"/>
      <c r="N3059" s="176"/>
      <c r="O3059" s="176"/>
      <c r="P3059" s="114"/>
      <c r="Q3059" s="176"/>
      <c r="R3059" s="114"/>
      <c r="S3059" s="114"/>
      <c r="T3059" s="200"/>
      <c r="U3059" s="114"/>
      <c r="V3059" s="414"/>
      <c r="W3059" s="176"/>
      <c r="X3059" s="176"/>
      <c r="Y3059" s="176"/>
      <c r="Z3059" s="176"/>
    </row>
    <row r="3060" ht="15.75" customHeight="1">
      <c r="A3060" s="408"/>
      <c r="B3060" s="428"/>
      <c r="C3060" s="200"/>
      <c r="D3060" s="176"/>
      <c r="E3060" s="176"/>
      <c r="F3060" s="408"/>
      <c r="G3060" s="176"/>
      <c r="H3060" s="114"/>
      <c r="I3060" s="42"/>
      <c r="J3060" s="42"/>
      <c r="K3060" s="176"/>
      <c r="L3060" s="176"/>
      <c r="M3060" s="176"/>
      <c r="N3060" s="176"/>
      <c r="O3060" s="176"/>
      <c r="P3060" s="114"/>
      <c r="Q3060" s="176"/>
      <c r="R3060" s="114"/>
      <c r="S3060" s="114"/>
      <c r="T3060" s="200"/>
      <c r="U3060" s="114"/>
      <c r="V3060" s="414"/>
      <c r="W3060" s="176"/>
      <c r="X3060" s="176"/>
      <c r="Y3060" s="176"/>
      <c r="Z3060" s="176"/>
    </row>
    <row r="3061" ht="15.75" customHeight="1">
      <c r="A3061" s="408"/>
      <c r="B3061" s="428"/>
      <c r="C3061" s="200"/>
      <c r="D3061" s="176"/>
      <c r="E3061" s="176"/>
      <c r="F3061" s="408"/>
      <c r="G3061" s="176"/>
      <c r="H3061" s="114"/>
      <c r="I3061" s="42"/>
      <c r="J3061" s="42"/>
      <c r="K3061" s="176"/>
      <c r="L3061" s="176"/>
      <c r="M3061" s="176"/>
      <c r="N3061" s="176"/>
      <c r="O3061" s="176"/>
      <c r="P3061" s="114"/>
      <c r="Q3061" s="176"/>
      <c r="R3061" s="114"/>
      <c r="S3061" s="114"/>
      <c r="T3061" s="200"/>
      <c r="U3061" s="114"/>
      <c r="V3061" s="414"/>
      <c r="W3061" s="176"/>
      <c r="X3061" s="176"/>
      <c r="Y3061" s="176"/>
      <c r="Z3061" s="176"/>
    </row>
    <row r="3062" ht="15.75" customHeight="1">
      <c r="A3062" s="408"/>
      <c r="B3062" s="428"/>
      <c r="C3062" s="200"/>
      <c r="D3062" s="176"/>
      <c r="E3062" s="176"/>
      <c r="F3062" s="408"/>
      <c r="G3062" s="176"/>
      <c r="H3062" s="114"/>
      <c r="I3062" s="42"/>
      <c r="J3062" s="42"/>
      <c r="K3062" s="176"/>
      <c r="L3062" s="176"/>
      <c r="M3062" s="176"/>
      <c r="N3062" s="176"/>
      <c r="O3062" s="176"/>
      <c r="P3062" s="114"/>
      <c r="Q3062" s="176"/>
      <c r="R3062" s="114"/>
      <c r="S3062" s="114"/>
      <c r="T3062" s="200"/>
      <c r="U3062" s="114"/>
      <c r="V3062" s="414"/>
      <c r="W3062" s="176"/>
      <c r="X3062" s="176"/>
      <c r="Y3062" s="176"/>
      <c r="Z3062" s="176"/>
    </row>
    <row r="3063" ht="15.75" customHeight="1">
      <c r="A3063" s="408"/>
      <c r="B3063" s="428"/>
      <c r="C3063" s="200"/>
      <c r="D3063" s="176"/>
      <c r="E3063" s="176"/>
      <c r="F3063" s="408"/>
      <c r="G3063" s="176"/>
      <c r="H3063" s="114"/>
      <c r="I3063" s="42"/>
      <c r="J3063" s="42"/>
      <c r="K3063" s="176"/>
      <c r="L3063" s="176"/>
      <c r="M3063" s="176"/>
      <c r="N3063" s="176"/>
      <c r="O3063" s="176"/>
      <c r="P3063" s="114"/>
      <c r="Q3063" s="176"/>
      <c r="R3063" s="114"/>
      <c r="S3063" s="114"/>
      <c r="T3063" s="200"/>
      <c r="U3063" s="114"/>
      <c r="V3063" s="414"/>
      <c r="W3063" s="176"/>
      <c r="X3063" s="176"/>
      <c r="Y3063" s="176"/>
      <c r="Z3063" s="176"/>
    </row>
    <row r="3064" ht="15.75" customHeight="1">
      <c r="A3064" s="408"/>
      <c r="B3064" s="428"/>
      <c r="C3064" s="200"/>
      <c r="D3064" s="176"/>
      <c r="E3064" s="176"/>
      <c r="F3064" s="408"/>
      <c r="G3064" s="176"/>
      <c r="H3064" s="114"/>
      <c r="I3064" s="42"/>
      <c r="J3064" s="42"/>
      <c r="K3064" s="176"/>
      <c r="L3064" s="176"/>
      <c r="M3064" s="176"/>
      <c r="N3064" s="176"/>
      <c r="O3064" s="176"/>
      <c r="P3064" s="114"/>
      <c r="Q3064" s="176"/>
      <c r="R3064" s="114"/>
      <c r="S3064" s="114"/>
      <c r="T3064" s="200"/>
      <c r="U3064" s="114"/>
      <c r="V3064" s="414"/>
      <c r="W3064" s="176"/>
      <c r="X3064" s="176"/>
      <c r="Y3064" s="176"/>
      <c r="Z3064" s="176"/>
    </row>
    <row r="3065" ht="15.75" customHeight="1">
      <c r="A3065" s="408"/>
      <c r="B3065" s="428"/>
      <c r="C3065" s="200"/>
      <c r="D3065" s="176"/>
      <c r="E3065" s="176"/>
      <c r="F3065" s="408"/>
      <c r="G3065" s="176"/>
      <c r="H3065" s="114"/>
      <c r="I3065" s="42"/>
      <c r="J3065" s="42"/>
      <c r="K3065" s="176"/>
      <c r="L3065" s="176"/>
      <c r="M3065" s="176"/>
      <c r="N3065" s="176"/>
      <c r="O3065" s="176"/>
      <c r="P3065" s="114"/>
      <c r="Q3065" s="176"/>
      <c r="R3065" s="114"/>
      <c r="S3065" s="114"/>
      <c r="T3065" s="200"/>
      <c r="U3065" s="114"/>
      <c r="V3065" s="414"/>
      <c r="W3065" s="176"/>
      <c r="X3065" s="176"/>
      <c r="Y3065" s="176"/>
      <c r="Z3065" s="176"/>
    </row>
    <row r="3066" ht="15.75" customHeight="1">
      <c r="A3066" s="408"/>
      <c r="B3066" s="428"/>
      <c r="C3066" s="200"/>
      <c r="D3066" s="176"/>
      <c r="E3066" s="176"/>
      <c r="F3066" s="408"/>
      <c r="G3066" s="176"/>
      <c r="H3066" s="114"/>
      <c r="I3066" s="42"/>
      <c r="J3066" s="42"/>
      <c r="K3066" s="176"/>
      <c r="L3066" s="176"/>
      <c r="M3066" s="176"/>
      <c r="N3066" s="176"/>
      <c r="O3066" s="176"/>
      <c r="P3066" s="114"/>
      <c r="Q3066" s="176"/>
      <c r="R3066" s="114"/>
      <c r="S3066" s="114"/>
      <c r="T3066" s="200"/>
      <c r="U3066" s="114"/>
      <c r="V3066" s="414"/>
      <c r="W3066" s="176"/>
      <c r="X3066" s="176"/>
      <c r="Y3066" s="176"/>
      <c r="Z3066" s="176"/>
    </row>
    <row r="3067" ht="15.75" customHeight="1">
      <c r="A3067" s="408"/>
      <c r="B3067" s="428"/>
      <c r="C3067" s="200"/>
      <c r="D3067" s="176"/>
      <c r="E3067" s="176"/>
      <c r="F3067" s="408"/>
      <c r="G3067" s="176"/>
      <c r="H3067" s="114"/>
      <c r="I3067" s="42"/>
      <c r="J3067" s="42"/>
      <c r="K3067" s="176"/>
      <c r="L3067" s="176"/>
      <c r="M3067" s="176"/>
      <c r="N3067" s="176"/>
      <c r="O3067" s="176"/>
      <c r="P3067" s="114"/>
      <c r="Q3067" s="176"/>
      <c r="R3067" s="114"/>
      <c r="S3067" s="114"/>
      <c r="T3067" s="200"/>
      <c r="U3067" s="114"/>
      <c r="V3067" s="414"/>
      <c r="W3067" s="176"/>
      <c r="X3067" s="176"/>
      <c r="Y3067" s="176"/>
      <c r="Z3067" s="176"/>
    </row>
    <row r="3068" ht="15.75" customHeight="1">
      <c r="A3068" s="408"/>
      <c r="B3068" s="428"/>
      <c r="C3068" s="200"/>
      <c r="D3068" s="176"/>
      <c r="E3068" s="176"/>
      <c r="F3068" s="408"/>
      <c r="G3068" s="176"/>
      <c r="H3068" s="114"/>
      <c r="I3068" s="42"/>
      <c r="J3068" s="42"/>
      <c r="K3068" s="176"/>
      <c r="L3068" s="176"/>
      <c r="M3068" s="176"/>
      <c r="N3068" s="176"/>
      <c r="O3068" s="176"/>
      <c r="P3068" s="114"/>
      <c r="Q3068" s="176"/>
      <c r="R3068" s="114"/>
      <c r="S3068" s="114"/>
      <c r="T3068" s="200"/>
      <c r="U3068" s="114"/>
      <c r="V3068" s="414"/>
      <c r="W3068" s="176"/>
      <c r="X3068" s="176"/>
      <c r="Y3068" s="176"/>
      <c r="Z3068" s="176"/>
    </row>
    <row r="3069" ht="15.75" customHeight="1">
      <c r="A3069" s="408"/>
      <c r="B3069" s="428"/>
      <c r="C3069" s="200"/>
      <c r="D3069" s="176"/>
      <c r="E3069" s="176"/>
      <c r="F3069" s="408"/>
      <c r="G3069" s="176"/>
      <c r="H3069" s="114"/>
      <c r="I3069" s="42"/>
      <c r="J3069" s="42"/>
      <c r="K3069" s="176"/>
      <c r="L3069" s="176"/>
      <c r="M3069" s="176"/>
      <c r="N3069" s="176"/>
      <c r="O3069" s="176"/>
      <c r="P3069" s="114"/>
      <c r="Q3069" s="176"/>
      <c r="R3069" s="114"/>
      <c r="S3069" s="114"/>
      <c r="T3069" s="200"/>
      <c r="U3069" s="114"/>
      <c r="V3069" s="414"/>
      <c r="W3069" s="176"/>
      <c r="X3069" s="176"/>
      <c r="Y3069" s="176"/>
      <c r="Z3069" s="176"/>
    </row>
    <row r="3070" ht="15.75" customHeight="1">
      <c r="A3070" s="408"/>
      <c r="B3070" s="428"/>
      <c r="C3070" s="200"/>
      <c r="D3070" s="176"/>
      <c r="E3070" s="176"/>
      <c r="F3070" s="408"/>
      <c r="G3070" s="176"/>
      <c r="H3070" s="114"/>
      <c r="I3070" s="42"/>
      <c r="J3070" s="42"/>
      <c r="K3070" s="176"/>
      <c r="L3070" s="176"/>
      <c r="M3070" s="176"/>
      <c r="N3070" s="176"/>
      <c r="O3070" s="176"/>
      <c r="P3070" s="114"/>
      <c r="Q3070" s="176"/>
      <c r="R3070" s="114"/>
      <c r="S3070" s="114"/>
      <c r="T3070" s="200"/>
      <c r="U3070" s="114"/>
      <c r="V3070" s="414"/>
      <c r="W3070" s="176"/>
      <c r="X3070" s="176"/>
      <c r="Y3070" s="176"/>
      <c r="Z3070" s="176"/>
    </row>
    <row r="3071" ht="15.75" customHeight="1">
      <c r="A3071" s="408"/>
      <c r="B3071" s="428"/>
      <c r="C3071" s="200"/>
      <c r="D3071" s="176"/>
      <c r="E3071" s="176"/>
      <c r="F3071" s="408"/>
      <c r="G3071" s="176"/>
      <c r="H3071" s="114"/>
      <c r="I3071" s="42"/>
      <c r="J3071" s="42"/>
      <c r="K3071" s="176"/>
      <c r="L3071" s="176"/>
      <c r="M3071" s="176"/>
      <c r="N3071" s="176"/>
      <c r="O3071" s="176"/>
      <c r="P3071" s="114"/>
      <c r="Q3071" s="176"/>
      <c r="R3071" s="114"/>
      <c r="S3071" s="114"/>
      <c r="T3071" s="200"/>
      <c r="U3071" s="114"/>
      <c r="V3071" s="414"/>
      <c r="W3071" s="176"/>
      <c r="X3071" s="176"/>
      <c r="Y3071" s="176"/>
      <c r="Z3071" s="176"/>
    </row>
    <row r="3072" ht="15.75" customHeight="1">
      <c r="A3072" s="408"/>
      <c r="B3072" s="428"/>
      <c r="C3072" s="200"/>
      <c r="D3072" s="176"/>
      <c r="E3072" s="176"/>
      <c r="F3072" s="408"/>
      <c r="G3072" s="176"/>
      <c r="H3072" s="114"/>
      <c r="I3072" s="42"/>
      <c r="J3072" s="42"/>
      <c r="K3072" s="176"/>
      <c r="L3072" s="176"/>
      <c r="M3072" s="176"/>
      <c r="N3072" s="176"/>
      <c r="O3072" s="176"/>
      <c r="P3072" s="114"/>
      <c r="Q3072" s="176"/>
      <c r="R3072" s="114"/>
      <c r="S3072" s="114"/>
      <c r="T3072" s="200"/>
      <c r="U3072" s="114"/>
      <c r="V3072" s="414"/>
      <c r="W3072" s="176"/>
      <c r="X3072" s="176"/>
      <c r="Y3072" s="176"/>
      <c r="Z3072" s="176"/>
    </row>
    <row r="3073" ht="15.75" customHeight="1">
      <c r="A3073" s="408"/>
      <c r="B3073" s="428"/>
      <c r="C3073" s="200"/>
      <c r="D3073" s="176"/>
      <c r="E3073" s="176"/>
      <c r="F3073" s="408"/>
      <c r="G3073" s="176"/>
      <c r="H3073" s="114"/>
      <c r="I3073" s="42"/>
      <c r="J3073" s="42"/>
      <c r="K3073" s="176"/>
      <c r="L3073" s="176"/>
      <c r="M3073" s="176"/>
      <c r="N3073" s="176"/>
      <c r="O3073" s="176"/>
      <c r="P3073" s="114"/>
      <c r="Q3073" s="176"/>
      <c r="R3073" s="114"/>
      <c r="S3073" s="114"/>
      <c r="T3073" s="200"/>
      <c r="U3073" s="114"/>
      <c r="V3073" s="414"/>
      <c r="W3073" s="176"/>
      <c r="X3073" s="176"/>
      <c r="Y3073" s="176"/>
      <c r="Z3073" s="176"/>
    </row>
    <row r="3074" ht="15.75" customHeight="1">
      <c r="A3074" s="408"/>
      <c r="B3074" s="428"/>
      <c r="C3074" s="200"/>
      <c r="D3074" s="176"/>
      <c r="E3074" s="176"/>
      <c r="F3074" s="408"/>
      <c r="G3074" s="176"/>
      <c r="H3074" s="114"/>
      <c r="I3074" s="42"/>
      <c r="J3074" s="42"/>
      <c r="K3074" s="176"/>
      <c r="L3074" s="176"/>
      <c r="M3074" s="176"/>
      <c r="N3074" s="176"/>
      <c r="O3074" s="176"/>
      <c r="P3074" s="114"/>
      <c r="Q3074" s="176"/>
      <c r="R3074" s="114"/>
      <c r="S3074" s="114"/>
      <c r="T3074" s="200"/>
      <c r="U3074" s="114"/>
      <c r="V3074" s="414"/>
      <c r="W3074" s="176"/>
      <c r="X3074" s="176"/>
      <c r="Y3074" s="176"/>
      <c r="Z3074" s="176"/>
    </row>
    <row r="3075" ht="15.75" customHeight="1">
      <c r="A3075" s="408"/>
      <c r="B3075" s="428"/>
      <c r="C3075" s="200"/>
      <c r="D3075" s="176"/>
      <c r="E3075" s="176"/>
      <c r="F3075" s="408"/>
      <c r="G3075" s="176"/>
      <c r="H3075" s="114"/>
      <c r="I3075" s="42"/>
      <c r="J3075" s="42"/>
      <c r="K3075" s="176"/>
      <c r="L3075" s="176"/>
      <c r="M3075" s="176"/>
      <c r="N3075" s="176"/>
      <c r="O3075" s="176"/>
      <c r="P3075" s="114"/>
      <c r="Q3075" s="176"/>
      <c r="R3075" s="114"/>
      <c r="S3075" s="114"/>
      <c r="T3075" s="200"/>
      <c r="U3075" s="114"/>
      <c r="V3075" s="414"/>
      <c r="W3075" s="176"/>
      <c r="X3075" s="176"/>
      <c r="Y3075" s="176"/>
      <c r="Z3075" s="176"/>
    </row>
    <row r="3076" ht="15.75" customHeight="1">
      <c r="A3076" s="408"/>
      <c r="B3076" s="428"/>
      <c r="C3076" s="200"/>
      <c r="D3076" s="176"/>
      <c r="E3076" s="176"/>
      <c r="F3076" s="408"/>
      <c r="G3076" s="176"/>
      <c r="H3076" s="114"/>
      <c r="I3076" s="42"/>
      <c r="J3076" s="42"/>
      <c r="K3076" s="176"/>
      <c r="L3076" s="176"/>
      <c r="M3076" s="176"/>
      <c r="N3076" s="176"/>
      <c r="O3076" s="176"/>
      <c r="P3076" s="114"/>
      <c r="Q3076" s="176"/>
      <c r="R3076" s="114"/>
      <c r="S3076" s="114"/>
      <c r="T3076" s="200"/>
      <c r="U3076" s="114"/>
      <c r="V3076" s="414"/>
      <c r="W3076" s="176"/>
      <c r="X3076" s="176"/>
      <c r="Y3076" s="176"/>
      <c r="Z3076" s="176"/>
    </row>
    <row r="3077" ht="15.75" customHeight="1">
      <c r="A3077" s="408"/>
      <c r="B3077" s="428"/>
      <c r="C3077" s="200"/>
      <c r="D3077" s="176"/>
      <c r="E3077" s="176"/>
      <c r="F3077" s="408"/>
      <c r="G3077" s="176"/>
      <c r="H3077" s="114"/>
      <c r="I3077" s="42"/>
      <c r="J3077" s="42"/>
      <c r="K3077" s="176"/>
      <c r="L3077" s="176"/>
      <c r="M3077" s="176"/>
      <c r="N3077" s="176"/>
      <c r="O3077" s="176"/>
      <c r="P3077" s="114"/>
      <c r="Q3077" s="176"/>
      <c r="R3077" s="114"/>
      <c r="S3077" s="114"/>
      <c r="T3077" s="200"/>
      <c r="U3077" s="114"/>
      <c r="V3077" s="414"/>
      <c r="W3077" s="176"/>
      <c r="X3077" s="176"/>
      <c r="Y3077" s="176"/>
      <c r="Z3077" s="176"/>
    </row>
    <row r="3078" ht="15.75" customHeight="1">
      <c r="A3078" s="408"/>
      <c r="B3078" s="428"/>
      <c r="C3078" s="200"/>
      <c r="D3078" s="176"/>
      <c r="E3078" s="176"/>
      <c r="F3078" s="408"/>
      <c r="G3078" s="176"/>
      <c r="H3078" s="114"/>
      <c r="I3078" s="42"/>
      <c r="J3078" s="42"/>
      <c r="K3078" s="176"/>
      <c r="L3078" s="176"/>
      <c r="M3078" s="176"/>
      <c r="N3078" s="176"/>
      <c r="O3078" s="176"/>
      <c r="P3078" s="114"/>
      <c r="Q3078" s="176"/>
      <c r="R3078" s="114"/>
      <c r="S3078" s="114"/>
      <c r="T3078" s="200"/>
      <c r="U3078" s="114"/>
      <c r="V3078" s="414"/>
      <c r="W3078" s="176"/>
      <c r="X3078" s="176"/>
      <c r="Y3078" s="176"/>
      <c r="Z3078" s="176"/>
    </row>
    <row r="3079" ht="15.75" customHeight="1">
      <c r="A3079" s="408"/>
      <c r="B3079" s="428"/>
      <c r="C3079" s="200"/>
      <c r="D3079" s="176"/>
      <c r="E3079" s="176"/>
      <c r="F3079" s="408"/>
      <c r="G3079" s="176"/>
      <c r="H3079" s="114"/>
      <c r="I3079" s="42"/>
      <c r="J3079" s="42"/>
      <c r="K3079" s="176"/>
      <c r="L3079" s="176"/>
      <c r="M3079" s="176"/>
      <c r="N3079" s="176"/>
      <c r="O3079" s="176"/>
      <c r="P3079" s="114"/>
      <c r="Q3079" s="176"/>
      <c r="R3079" s="114"/>
      <c r="S3079" s="114"/>
      <c r="T3079" s="200"/>
      <c r="U3079" s="114"/>
      <c r="V3079" s="414"/>
      <c r="W3079" s="176"/>
      <c r="X3079" s="176"/>
      <c r="Y3079" s="176"/>
      <c r="Z3079" s="176"/>
    </row>
    <row r="3080" ht="15.75" customHeight="1">
      <c r="A3080" s="408"/>
      <c r="B3080" s="428"/>
      <c r="C3080" s="200"/>
      <c r="D3080" s="176"/>
      <c r="E3080" s="176"/>
      <c r="F3080" s="408"/>
      <c r="G3080" s="176"/>
      <c r="H3080" s="114"/>
      <c r="I3080" s="42"/>
      <c r="J3080" s="42"/>
      <c r="K3080" s="176"/>
      <c r="L3080" s="176"/>
      <c r="M3080" s="176"/>
      <c r="N3080" s="176"/>
      <c r="O3080" s="176"/>
      <c r="P3080" s="114"/>
      <c r="Q3080" s="176"/>
      <c r="R3080" s="114"/>
      <c r="S3080" s="114"/>
      <c r="T3080" s="200"/>
      <c r="U3080" s="114"/>
      <c r="V3080" s="414"/>
      <c r="W3080" s="176"/>
      <c r="X3080" s="176"/>
      <c r="Y3080" s="176"/>
      <c r="Z3080" s="176"/>
    </row>
    <row r="3081" ht="15.75" customHeight="1">
      <c r="A3081" s="408"/>
      <c r="B3081" s="428"/>
      <c r="C3081" s="200"/>
      <c r="D3081" s="176"/>
      <c r="E3081" s="176"/>
      <c r="F3081" s="408"/>
      <c r="G3081" s="176"/>
      <c r="H3081" s="114"/>
      <c r="I3081" s="42"/>
      <c r="J3081" s="42"/>
      <c r="K3081" s="176"/>
      <c r="L3081" s="176"/>
      <c r="M3081" s="176"/>
      <c r="N3081" s="176"/>
      <c r="O3081" s="176"/>
      <c r="P3081" s="114"/>
      <c r="Q3081" s="176"/>
      <c r="R3081" s="114"/>
      <c r="S3081" s="114"/>
      <c r="T3081" s="200"/>
      <c r="U3081" s="114"/>
      <c r="V3081" s="414"/>
      <c r="W3081" s="176"/>
      <c r="X3081" s="176"/>
      <c r="Y3081" s="176"/>
      <c r="Z3081" s="176"/>
    </row>
    <row r="3082" ht="15.75" customHeight="1">
      <c r="A3082" s="408"/>
      <c r="B3082" s="428"/>
      <c r="C3082" s="200"/>
      <c r="D3082" s="176"/>
      <c r="E3082" s="176"/>
      <c r="F3082" s="408"/>
      <c r="G3082" s="176"/>
      <c r="H3082" s="114"/>
      <c r="I3082" s="42"/>
      <c r="J3082" s="42"/>
      <c r="K3082" s="176"/>
      <c r="L3082" s="176"/>
      <c r="M3082" s="176"/>
      <c r="N3082" s="176"/>
      <c r="O3082" s="176"/>
      <c r="P3082" s="114"/>
      <c r="Q3082" s="176"/>
      <c r="R3082" s="114"/>
      <c r="S3082" s="114"/>
      <c r="T3082" s="200"/>
      <c r="U3082" s="114"/>
      <c r="V3082" s="414"/>
      <c r="W3082" s="176"/>
      <c r="X3082" s="176"/>
      <c r="Y3082" s="176"/>
      <c r="Z3082" s="176"/>
    </row>
    <row r="3083" ht="15.75" customHeight="1">
      <c r="A3083" s="408"/>
      <c r="B3083" s="428"/>
      <c r="C3083" s="200"/>
      <c r="D3083" s="176"/>
      <c r="E3083" s="176"/>
      <c r="F3083" s="408"/>
      <c r="G3083" s="176"/>
      <c r="H3083" s="114"/>
      <c r="I3083" s="42"/>
      <c r="J3083" s="42"/>
      <c r="K3083" s="176"/>
      <c r="L3083" s="176"/>
      <c r="M3083" s="176"/>
      <c r="N3083" s="176"/>
      <c r="O3083" s="176"/>
      <c r="P3083" s="114"/>
      <c r="Q3083" s="176"/>
      <c r="R3083" s="114"/>
      <c r="S3083" s="114"/>
      <c r="T3083" s="200"/>
      <c r="U3083" s="114"/>
      <c r="V3083" s="414"/>
      <c r="W3083" s="176"/>
      <c r="X3083" s="176"/>
      <c r="Y3083" s="176"/>
      <c r="Z3083" s="176"/>
    </row>
    <row r="3084" ht="15.75" customHeight="1">
      <c r="A3084" s="408"/>
      <c r="B3084" s="428"/>
      <c r="C3084" s="200"/>
      <c r="D3084" s="176"/>
      <c r="E3084" s="176"/>
      <c r="F3084" s="408"/>
      <c r="G3084" s="176"/>
      <c r="H3084" s="114"/>
      <c r="I3084" s="42"/>
      <c r="J3084" s="42"/>
      <c r="K3084" s="176"/>
      <c r="L3084" s="176"/>
      <c r="M3084" s="176"/>
      <c r="N3084" s="176"/>
      <c r="O3084" s="176"/>
      <c r="P3084" s="114"/>
      <c r="Q3084" s="176"/>
      <c r="R3084" s="114"/>
      <c r="S3084" s="114"/>
      <c r="T3084" s="200"/>
      <c r="U3084" s="114"/>
      <c r="V3084" s="414"/>
      <c r="W3084" s="176"/>
      <c r="X3084" s="176"/>
      <c r="Y3084" s="176"/>
      <c r="Z3084" s="176"/>
    </row>
    <row r="3085" ht="15.75" customHeight="1">
      <c r="A3085" s="408"/>
      <c r="B3085" s="428"/>
      <c r="C3085" s="200"/>
      <c r="D3085" s="176"/>
      <c r="E3085" s="176"/>
      <c r="F3085" s="408"/>
      <c r="G3085" s="176"/>
      <c r="H3085" s="114"/>
      <c r="I3085" s="42"/>
      <c r="J3085" s="42"/>
      <c r="K3085" s="176"/>
      <c r="L3085" s="176"/>
      <c r="M3085" s="176"/>
      <c r="N3085" s="176"/>
      <c r="O3085" s="176"/>
      <c r="P3085" s="114"/>
      <c r="Q3085" s="176"/>
      <c r="R3085" s="114"/>
      <c r="S3085" s="114"/>
      <c r="T3085" s="200"/>
      <c r="U3085" s="114"/>
      <c r="V3085" s="414"/>
      <c r="W3085" s="176"/>
      <c r="X3085" s="176"/>
      <c r="Y3085" s="176"/>
      <c r="Z3085" s="176"/>
    </row>
    <row r="3086" ht="15.75" customHeight="1">
      <c r="A3086" s="408"/>
      <c r="B3086" s="428"/>
      <c r="C3086" s="200"/>
      <c r="D3086" s="176"/>
      <c r="E3086" s="176"/>
      <c r="F3086" s="408"/>
      <c r="G3086" s="176"/>
      <c r="H3086" s="114"/>
      <c r="I3086" s="42"/>
      <c r="J3086" s="42"/>
      <c r="K3086" s="176"/>
      <c r="L3086" s="176"/>
      <c r="M3086" s="176"/>
      <c r="N3086" s="176"/>
      <c r="O3086" s="176"/>
      <c r="P3086" s="114"/>
      <c r="Q3086" s="176"/>
      <c r="R3086" s="114"/>
      <c r="S3086" s="114"/>
      <c r="T3086" s="200"/>
      <c r="U3086" s="114"/>
      <c r="V3086" s="414"/>
      <c r="W3086" s="176"/>
      <c r="X3086" s="176"/>
      <c r="Y3086" s="176"/>
      <c r="Z3086" s="176"/>
    </row>
    <row r="3087" ht="15.75" customHeight="1">
      <c r="A3087" s="408"/>
      <c r="B3087" s="428"/>
      <c r="C3087" s="200"/>
      <c r="D3087" s="176"/>
      <c r="E3087" s="176"/>
      <c r="F3087" s="408"/>
      <c r="G3087" s="176"/>
      <c r="H3087" s="114"/>
      <c r="I3087" s="42"/>
      <c r="J3087" s="42"/>
      <c r="K3087" s="176"/>
      <c r="L3087" s="176"/>
      <c r="M3087" s="176"/>
      <c r="N3087" s="176"/>
      <c r="O3087" s="176"/>
      <c r="P3087" s="114"/>
      <c r="Q3087" s="176"/>
      <c r="R3087" s="114"/>
      <c r="S3087" s="114"/>
      <c r="T3087" s="200"/>
      <c r="U3087" s="114"/>
      <c r="V3087" s="414"/>
      <c r="W3087" s="176"/>
      <c r="X3087" s="176"/>
      <c r="Y3087" s="176"/>
      <c r="Z3087" s="176"/>
    </row>
    <row r="3088" ht="15.75" customHeight="1">
      <c r="A3088" s="408"/>
      <c r="B3088" s="428"/>
      <c r="C3088" s="200"/>
      <c r="D3088" s="176"/>
      <c r="E3088" s="176"/>
      <c r="F3088" s="408"/>
      <c r="G3088" s="176"/>
      <c r="H3088" s="114"/>
      <c r="I3088" s="42"/>
      <c r="J3088" s="42"/>
      <c r="K3088" s="176"/>
      <c r="L3088" s="176"/>
      <c r="M3088" s="176"/>
      <c r="N3088" s="176"/>
      <c r="O3088" s="176"/>
      <c r="P3088" s="114"/>
      <c r="Q3088" s="176"/>
      <c r="R3088" s="114"/>
      <c r="S3088" s="114"/>
      <c r="T3088" s="200"/>
      <c r="U3088" s="114"/>
      <c r="V3088" s="414"/>
      <c r="W3088" s="176"/>
      <c r="X3088" s="176"/>
      <c r="Y3088" s="176"/>
      <c r="Z3088" s="176"/>
    </row>
    <row r="3089" ht="15.75" customHeight="1">
      <c r="A3089" s="408"/>
      <c r="B3089" s="428"/>
      <c r="C3089" s="200"/>
      <c r="D3089" s="176"/>
      <c r="E3089" s="176"/>
      <c r="F3089" s="408"/>
      <c r="G3089" s="176"/>
      <c r="H3089" s="114"/>
      <c r="I3089" s="42"/>
      <c r="J3089" s="42"/>
      <c r="K3089" s="176"/>
      <c r="L3089" s="176"/>
      <c r="M3089" s="176"/>
      <c r="N3089" s="176"/>
      <c r="O3089" s="176"/>
      <c r="P3089" s="114"/>
      <c r="Q3089" s="176"/>
      <c r="R3089" s="114"/>
      <c r="S3089" s="114"/>
      <c r="T3089" s="200"/>
      <c r="U3089" s="114"/>
      <c r="V3089" s="414"/>
      <c r="W3089" s="176"/>
      <c r="X3089" s="176"/>
      <c r="Y3089" s="176"/>
      <c r="Z3089" s="176"/>
    </row>
    <row r="3090" ht="15.75" customHeight="1">
      <c r="A3090" s="408"/>
      <c r="B3090" s="428"/>
      <c r="C3090" s="200"/>
      <c r="D3090" s="176"/>
      <c r="E3090" s="176"/>
      <c r="F3090" s="408"/>
      <c r="G3090" s="176"/>
      <c r="H3090" s="114"/>
      <c r="I3090" s="42"/>
      <c r="J3090" s="42"/>
      <c r="K3090" s="176"/>
      <c r="L3090" s="176"/>
      <c r="M3090" s="176"/>
      <c r="N3090" s="176"/>
      <c r="O3090" s="176"/>
      <c r="P3090" s="114"/>
      <c r="Q3090" s="176"/>
      <c r="R3090" s="114"/>
      <c r="S3090" s="114"/>
      <c r="T3090" s="200"/>
      <c r="U3090" s="114"/>
      <c r="V3090" s="414"/>
      <c r="W3090" s="176"/>
      <c r="X3090" s="176"/>
      <c r="Y3090" s="176"/>
      <c r="Z3090" s="176"/>
    </row>
    <row r="3091" ht="15.75" customHeight="1">
      <c r="A3091" s="408"/>
      <c r="B3091" s="428"/>
      <c r="C3091" s="200"/>
      <c r="D3091" s="176"/>
      <c r="E3091" s="176"/>
      <c r="F3091" s="408"/>
      <c r="G3091" s="176"/>
      <c r="H3091" s="114"/>
      <c r="I3091" s="42"/>
      <c r="J3091" s="42"/>
      <c r="K3091" s="176"/>
      <c r="L3091" s="176"/>
      <c r="M3091" s="176"/>
      <c r="N3091" s="176"/>
      <c r="O3091" s="176"/>
      <c r="P3091" s="114"/>
      <c r="Q3091" s="176"/>
      <c r="R3091" s="114"/>
      <c r="S3091" s="114"/>
      <c r="T3091" s="200"/>
      <c r="U3091" s="114"/>
      <c r="V3091" s="414"/>
      <c r="W3091" s="176"/>
      <c r="X3091" s="176"/>
      <c r="Y3091" s="176"/>
      <c r="Z3091" s="176"/>
    </row>
    <row r="3092" ht="15.75" customHeight="1">
      <c r="A3092" s="408"/>
      <c r="B3092" s="428"/>
      <c r="C3092" s="200"/>
      <c r="D3092" s="176"/>
      <c r="E3092" s="176"/>
      <c r="F3092" s="408"/>
      <c r="G3092" s="176"/>
      <c r="H3092" s="114"/>
      <c r="I3092" s="42"/>
      <c r="J3092" s="42"/>
      <c r="K3092" s="176"/>
      <c r="L3092" s="176"/>
      <c r="M3092" s="176"/>
      <c r="N3092" s="176"/>
      <c r="O3092" s="176"/>
      <c r="P3092" s="114"/>
      <c r="Q3092" s="176"/>
      <c r="R3092" s="114"/>
      <c r="S3092" s="114"/>
      <c r="T3092" s="200"/>
      <c r="U3092" s="114"/>
      <c r="V3092" s="414"/>
      <c r="W3092" s="176"/>
      <c r="X3092" s="176"/>
      <c r="Y3092" s="176"/>
      <c r="Z3092" s="176"/>
    </row>
    <row r="3093" ht="15.75" customHeight="1">
      <c r="A3093" s="408"/>
      <c r="B3093" s="428"/>
      <c r="C3093" s="200"/>
      <c r="D3093" s="176"/>
      <c r="E3093" s="176"/>
      <c r="F3093" s="408"/>
      <c r="G3093" s="176"/>
      <c r="H3093" s="114"/>
      <c r="I3093" s="42"/>
      <c r="J3093" s="42"/>
      <c r="K3093" s="176"/>
      <c r="L3093" s="176"/>
      <c r="M3093" s="176"/>
      <c r="N3093" s="176"/>
      <c r="O3093" s="176"/>
      <c r="P3093" s="114"/>
      <c r="Q3093" s="176"/>
      <c r="R3093" s="114"/>
      <c r="S3093" s="114"/>
      <c r="T3093" s="200"/>
      <c r="U3093" s="114"/>
      <c r="V3093" s="414"/>
      <c r="W3093" s="176"/>
      <c r="X3093" s="176"/>
      <c r="Y3093" s="176"/>
      <c r="Z3093" s="176"/>
    </row>
    <row r="3094" ht="15.75" customHeight="1">
      <c r="A3094" s="408"/>
      <c r="B3094" s="428"/>
      <c r="C3094" s="200"/>
      <c r="D3094" s="176"/>
      <c r="E3094" s="176"/>
      <c r="F3094" s="408"/>
      <c r="G3094" s="176"/>
      <c r="H3094" s="114"/>
      <c r="I3094" s="42"/>
      <c r="J3094" s="42"/>
      <c r="K3094" s="176"/>
      <c r="L3094" s="176"/>
      <c r="M3094" s="176"/>
      <c r="N3094" s="176"/>
      <c r="O3094" s="176"/>
      <c r="P3094" s="114"/>
      <c r="Q3094" s="176"/>
      <c r="R3094" s="114"/>
      <c r="S3094" s="114"/>
      <c r="T3094" s="200"/>
      <c r="U3094" s="114"/>
      <c r="V3094" s="414"/>
      <c r="W3094" s="176"/>
      <c r="X3094" s="176"/>
      <c r="Y3094" s="176"/>
      <c r="Z3094" s="176"/>
    </row>
    <row r="3095" ht="15.75" customHeight="1">
      <c r="A3095" s="408"/>
      <c r="B3095" s="428"/>
      <c r="C3095" s="200"/>
      <c r="D3095" s="176"/>
      <c r="E3095" s="176"/>
      <c r="F3095" s="408"/>
      <c r="G3095" s="176"/>
      <c r="H3095" s="114"/>
      <c r="I3095" s="42"/>
      <c r="J3095" s="42"/>
      <c r="K3095" s="176"/>
      <c r="L3095" s="176"/>
      <c r="M3095" s="176"/>
      <c r="N3095" s="176"/>
      <c r="O3095" s="176"/>
      <c r="P3095" s="114"/>
      <c r="Q3095" s="176"/>
      <c r="R3095" s="114"/>
      <c r="S3095" s="114"/>
      <c r="T3095" s="200"/>
      <c r="U3095" s="114"/>
      <c r="V3095" s="414"/>
      <c r="W3095" s="176"/>
      <c r="X3095" s="176"/>
      <c r="Y3095" s="176"/>
      <c r="Z3095" s="176"/>
    </row>
    <row r="3096" ht="15.75" customHeight="1">
      <c r="A3096" s="408"/>
      <c r="B3096" s="428"/>
      <c r="C3096" s="200"/>
      <c r="D3096" s="176"/>
      <c r="E3096" s="176"/>
      <c r="F3096" s="408"/>
      <c r="G3096" s="176"/>
      <c r="H3096" s="114"/>
      <c r="I3096" s="42"/>
      <c r="J3096" s="42"/>
      <c r="K3096" s="176"/>
      <c r="L3096" s="176"/>
      <c r="M3096" s="176"/>
      <c r="N3096" s="176"/>
      <c r="O3096" s="176"/>
      <c r="P3096" s="114"/>
      <c r="Q3096" s="176"/>
      <c r="R3096" s="114"/>
      <c r="S3096" s="114"/>
      <c r="T3096" s="200"/>
      <c r="U3096" s="114"/>
      <c r="V3096" s="414"/>
      <c r="W3096" s="176"/>
      <c r="X3096" s="176"/>
      <c r="Y3096" s="176"/>
      <c r="Z3096" s="176"/>
    </row>
    <row r="3097" ht="15.75" customHeight="1">
      <c r="A3097" s="408"/>
      <c r="B3097" s="428"/>
      <c r="C3097" s="200"/>
      <c r="D3097" s="176"/>
      <c r="E3097" s="176"/>
      <c r="F3097" s="408"/>
      <c r="G3097" s="176"/>
      <c r="H3097" s="114"/>
      <c r="I3097" s="42"/>
      <c r="J3097" s="42"/>
      <c r="K3097" s="176"/>
      <c r="L3097" s="176"/>
      <c r="M3097" s="176"/>
      <c r="N3097" s="176"/>
      <c r="O3097" s="176"/>
      <c r="P3097" s="114"/>
      <c r="Q3097" s="176"/>
      <c r="R3097" s="114"/>
      <c r="S3097" s="114"/>
      <c r="T3097" s="200"/>
      <c r="U3097" s="114"/>
      <c r="V3097" s="414"/>
      <c r="W3097" s="176"/>
      <c r="X3097" s="176"/>
      <c r="Y3097" s="176"/>
      <c r="Z3097" s="176"/>
    </row>
    <row r="3098" ht="15.75" customHeight="1">
      <c r="A3098" s="408"/>
      <c r="B3098" s="428"/>
      <c r="C3098" s="200"/>
      <c r="D3098" s="176"/>
      <c r="E3098" s="176"/>
      <c r="F3098" s="408"/>
      <c r="G3098" s="176"/>
      <c r="H3098" s="114"/>
      <c r="I3098" s="42"/>
      <c r="J3098" s="42"/>
      <c r="K3098" s="176"/>
      <c r="L3098" s="176"/>
      <c r="M3098" s="176"/>
      <c r="N3098" s="176"/>
      <c r="O3098" s="176"/>
      <c r="P3098" s="114"/>
      <c r="Q3098" s="176"/>
      <c r="R3098" s="114"/>
      <c r="S3098" s="114"/>
      <c r="T3098" s="200"/>
      <c r="U3098" s="114"/>
      <c r="V3098" s="414"/>
      <c r="W3098" s="176"/>
      <c r="X3098" s="176"/>
      <c r="Y3098" s="176"/>
      <c r="Z3098" s="176"/>
    </row>
    <row r="3099" ht="15.75" customHeight="1">
      <c r="A3099" s="408"/>
      <c r="B3099" s="428"/>
      <c r="C3099" s="200"/>
      <c r="D3099" s="176"/>
      <c r="E3099" s="176"/>
      <c r="F3099" s="408"/>
      <c r="G3099" s="176"/>
      <c r="H3099" s="114"/>
      <c r="I3099" s="42"/>
      <c r="J3099" s="42"/>
      <c r="K3099" s="176"/>
      <c r="L3099" s="176"/>
      <c r="M3099" s="176"/>
      <c r="N3099" s="176"/>
      <c r="O3099" s="176"/>
      <c r="P3099" s="114"/>
      <c r="Q3099" s="176"/>
      <c r="R3099" s="114"/>
      <c r="S3099" s="114"/>
      <c r="T3099" s="200"/>
      <c r="U3099" s="114"/>
      <c r="V3099" s="414"/>
      <c r="W3099" s="176"/>
      <c r="X3099" s="176"/>
      <c r="Y3099" s="176"/>
      <c r="Z3099" s="176"/>
    </row>
    <row r="3100" ht="15.75" customHeight="1">
      <c r="A3100" s="408"/>
      <c r="B3100" s="428"/>
      <c r="C3100" s="200"/>
      <c r="D3100" s="176"/>
      <c r="E3100" s="176"/>
      <c r="F3100" s="408"/>
      <c r="G3100" s="176"/>
      <c r="H3100" s="114"/>
      <c r="I3100" s="42"/>
      <c r="J3100" s="42"/>
      <c r="K3100" s="176"/>
      <c r="L3100" s="176"/>
      <c r="M3100" s="176"/>
      <c r="N3100" s="176"/>
      <c r="O3100" s="176"/>
      <c r="P3100" s="114"/>
      <c r="Q3100" s="176"/>
      <c r="R3100" s="114"/>
      <c r="S3100" s="114"/>
      <c r="T3100" s="200"/>
      <c r="U3100" s="114"/>
      <c r="V3100" s="414"/>
      <c r="W3100" s="176"/>
      <c r="X3100" s="176"/>
      <c r="Y3100" s="176"/>
      <c r="Z3100" s="176"/>
    </row>
    <row r="3101" ht="15.75" customHeight="1">
      <c r="A3101" s="408"/>
      <c r="B3101" s="428"/>
      <c r="C3101" s="200"/>
      <c r="D3101" s="176"/>
      <c r="E3101" s="176"/>
      <c r="F3101" s="408"/>
      <c r="G3101" s="176"/>
      <c r="H3101" s="114"/>
      <c r="I3101" s="42"/>
      <c r="J3101" s="42"/>
      <c r="K3101" s="176"/>
      <c r="L3101" s="176"/>
      <c r="M3101" s="176"/>
      <c r="N3101" s="176"/>
      <c r="O3101" s="176"/>
      <c r="P3101" s="114"/>
      <c r="Q3101" s="176"/>
      <c r="R3101" s="114"/>
      <c r="S3101" s="114"/>
      <c r="T3101" s="200"/>
      <c r="U3101" s="114"/>
      <c r="V3101" s="414"/>
      <c r="W3101" s="176"/>
      <c r="X3101" s="176"/>
      <c r="Y3101" s="176"/>
      <c r="Z3101" s="176"/>
    </row>
    <row r="3102" ht="15.75" customHeight="1">
      <c r="A3102" s="408"/>
      <c r="B3102" s="428"/>
      <c r="C3102" s="200"/>
      <c r="D3102" s="176"/>
      <c r="E3102" s="176"/>
      <c r="F3102" s="408"/>
      <c r="G3102" s="176"/>
      <c r="H3102" s="114"/>
      <c r="I3102" s="42"/>
      <c r="J3102" s="42"/>
      <c r="K3102" s="176"/>
      <c r="L3102" s="176"/>
      <c r="M3102" s="176"/>
      <c r="N3102" s="176"/>
      <c r="O3102" s="176"/>
      <c r="P3102" s="114"/>
      <c r="Q3102" s="176"/>
      <c r="R3102" s="114"/>
      <c r="S3102" s="114"/>
      <c r="T3102" s="200"/>
      <c r="U3102" s="114"/>
      <c r="V3102" s="414"/>
      <c r="W3102" s="176"/>
      <c r="X3102" s="176"/>
      <c r="Y3102" s="176"/>
      <c r="Z3102" s="176"/>
    </row>
    <row r="3103" ht="15.75" customHeight="1">
      <c r="A3103" s="408"/>
      <c r="B3103" s="428"/>
      <c r="C3103" s="200"/>
      <c r="D3103" s="176"/>
      <c r="E3103" s="176"/>
      <c r="F3103" s="408"/>
      <c r="G3103" s="176"/>
      <c r="H3103" s="114"/>
      <c r="I3103" s="42"/>
      <c r="J3103" s="42"/>
      <c r="K3103" s="176"/>
      <c r="L3103" s="176"/>
      <c r="M3103" s="176"/>
      <c r="N3103" s="176"/>
      <c r="O3103" s="176"/>
      <c r="P3103" s="114"/>
      <c r="Q3103" s="176"/>
      <c r="R3103" s="114"/>
      <c r="S3103" s="114"/>
      <c r="T3103" s="200"/>
      <c r="U3103" s="114"/>
      <c r="V3103" s="414"/>
      <c r="W3103" s="176"/>
      <c r="X3103" s="176"/>
      <c r="Y3103" s="176"/>
      <c r="Z3103" s="176"/>
    </row>
    <row r="3104" ht="15.75" customHeight="1">
      <c r="A3104" s="408"/>
      <c r="B3104" s="428"/>
      <c r="C3104" s="200"/>
      <c r="D3104" s="176"/>
      <c r="E3104" s="176"/>
      <c r="F3104" s="408"/>
      <c r="G3104" s="176"/>
      <c r="H3104" s="114"/>
      <c r="I3104" s="42"/>
      <c r="J3104" s="42"/>
      <c r="K3104" s="176"/>
      <c r="L3104" s="176"/>
      <c r="M3104" s="176"/>
      <c r="N3104" s="176"/>
      <c r="O3104" s="176"/>
      <c r="P3104" s="114"/>
      <c r="Q3104" s="176"/>
      <c r="R3104" s="114"/>
      <c r="S3104" s="114"/>
      <c r="T3104" s="200"/>
      <c r="U3104" s="114"/>
      <c r="V3104" s="414"/>
      <c r="W3104" s="176"/>
      <c r="X3104" s="176"/>
      <c r="Y3104" s="176"/>
      <c r="Z3104" s="176"/>
    </row>
    <row r="3105" ht="15.75" customHeight="1">
      <c r="A3105" s="408"/>
      <c r="B3105" s="428"/>
      <c r="C3105" s="200"/>
      <c r="D3105" s="176"/>
      <c r="E3105" s="176"/>
      <c r="F3105" s="408"/>
      <c r="G3105" s="176"/>
      <c r="H3105" s="114"/>
      <c r="I3105" s="42"/>
      <c r="J3105" s="42"/>
      <c r="K3105" s="176"/>
      <c r="L3105" s="176"/>
      <c r="M3105" s="176"/>
      <c r="N3105" s="176"/>
      <c r="O3105" s="176"/>
      <c r="P3105" s="114"/>
      <c r="Q3105" s="176"/>
      <c r="R3105" s="114"/>
      <c r="S3105" s="114"/>
      <c r="T3105" s="200"/>
      <c r="U3105" s="114"/>
      <c r="V3105" s="414"/>
      <c r="W3105" s="176"/>
      <c r="X3105" s="176"/>
      <c r="Y3105" s="176"/>
      <c r="Z3105" s="176"/>
    </row>
    <row r="3106" ht="15.75" customHeight="1">
      <c r="A3106" s="408"/>
      <c r="B3106" s="428"/>
      <c r="C3106" s="200"/>
      <c r="D3106" s="176"/>
      <c r="E3106" s="176"/>
      <c r="F3106" s="408"/>
      <c r="G3106" s="176"/>
      <c r="H3106" s="114"/>
      <c r="I3106" s="42"/>
      <c r="J3106" s="42"/>
      <c r="K3106" s="176"/>
      <c r="L3106" s="176"/>
      <c r="M3106" s="176"/>
      <c r="N3106" s="176"/>
      <c r="O3106" s="176"/>
      <c r="P3106" s="114"/>
      <c r="Q3106" s="176"/>
      <c r="R3106" s="114"/>
      <c r="S3106" s="114"/>
      <c r="T3106" s="200"/>
      <c r="U3106" s="114"/>
      <c r="V3106" s="414"/>
      <c r="W3106" s="176"/>
      <c r="X3106" s="176"/>
      <c r="Y3106" s="176"/>
      <c r="Z3106" s="176"/>
    </row>
    <row r="3107" ht="15.75" customHeight="1">
      <c r="A3107" s="408"/>
      <c r="B3107" s="428"/>
      <c r="C3107" s="200"/>
      <c r="D3107" s="176"/>
      <c r="E3107" s="176"/>
      <c r="F3107" s="408"/>
      <c r="G3107" s="176"/>
      <c r="H3107" s="114"/>
      <c r="I3107" s="42"/>
      <c r="J3107" s="42"/>
      <c r="K3107" s="176"/>
      <c r="L3107" s="176"/>
      <c r="M3107" s="176"/>
      <c r="N3107" s="176"/>
      <c r="O3107" s="176"/>
      <c r="P3107" s="114"/>
      <c r="Q3107" s="176"/>
      <c r="R3107" s="114"/>
      <c r="S3107" s="114"/>
      <c r="T3107" s="200"/>
      <c r="U3107" s="114"/>
      <c r="V3107" s="414"/>
      <c r="W3107" s="176"/>
      <c r="X3107" s="176"/>
      <c r="Y3107" s="176"/>
      <c r="Z3107" s="176"/>
    </row>
    <row r="3108" ht="15.75" customHeight="1">
      <c r="A3108" s="408"/>
      <c r="B3108" s="428"/>
      <c r="C3108" s="200"/>
      <c r="D3108" s="176"/>
      <c r="E3108" s="176"/>
      <c r="F3108" s="408"/>
      <c r="G3108" s="176"/>
      <c r="H3108" s="114"/>
      <c r="I3108" s="42"/>
      <c r="J3108" s="42"/>
      <c r="K3108" s="176"/>
      <c r="L3108" s="176"/>
      <c r="M3108" s="176"/>
      <c r="N3108" s="176"/>
      <c r="O3108" s="176"/>
      <c r="P3108" s="114"/>
      <c r="Q3108" s="176"/>
      <c r="R3108" s="114"/>
      <c r="S3108" s="114"/>
      <c r="T3108" s="200"/>
      <c r="U3108" s="114"/>
      <c r="V3108" s="414"/>
      <c r="W3108" s="176"/>
      <c r="X3108" s="176"/>
      <c r="Y3108" s="176"/>
      <c r="Z3108" s="176"/>
    </row>
    <row r="3109" ht="15.75" customHeight="1">
      <c r="A3109" s="408"/>
      <c r="B3109" s="428"/>
      <c r="C3109" s="200"/>
      <c r="D3109" s="176"/>
      <c r="E3109" s="176"/>
      <c r="F3109" s="408"/>
      <c r="G3109" s="176"/>
      <c r="H3109" s="114"/>
      <c r="I3109" s="42"/>
      <c r="J3109" s="42"/>
      <c r="K3109" s="176"/>
      <c r="L3109" s="176"/>
      <c r="M3109" s="176"/>
      <c r="N3109" s="176"/>
      <c r="O3109" s="176"/>
      <c r="P3109" s="114"/>
      <c r="Q3109" s="176"/>
      <c r="R3109" s="114"/>
      <c r="S3109" s="114"/>
      <c r="T3109" s="200"/>
      <c r="U3109" s="114"/>
      <c r="V3109" s="414"/>
      <c r="W3109" s="176"/>
      <c r="X3109" s="176"/>
      <c r="Y3109" s="176"/>
      <c r="Z3109" s="176"/>
    </row>
    <row r="3110" ht="15.75" customHeight="1">
      <c r="A3110" s="408"/>
      <c r="B3110" s="428"/>
      <c r="C3110" s="200"/>
      <c r="D3110" s="176"/>
      <c r="E3110" s="176"/>
      <c r="F3110" s="408"/>
      <c r="G3110" s="176"/>
      <c r="H3110" s="114"/>
      <c r="I3110" s="42"/>
      <c r="J3110" s="42"/>
      <c r="K3110" s="176"/>
      <c r="L3110" s="176"/>
      <c r="M3110" s="176"/>
      <c r="N3110" s="176"/>
      <c r="O3110" s="176"/>
      <c r="P3110" s="114"/>
      <c r="Q3110" s="176"/>
      <c r="R3110" s="114"/>
      <c r="S3110" s="114"/>
      <c r="T3110" s="200"/>
      <c r="U3110" s="114"/>
      <c r="V3110" s="414"/>
      <c r="W3110" s="176"/>
      <c r="X3110" s="176"/>
      <c r="Y3110" s="176"/>
      <c r="Z3110" s="176"/>
    </row>
    <row r="3111" ht="15.75" customHeight="1">
      <c r="A3111" s="408"/>
      <c r="B3111" s="428"/>
      <c r="C3111" s="200"/>
      <c r="D3111" s="176"/>
      <c r="E3111" s="176"/>
      <c r="F3111" s="408"/>
      <c r="G3111" s="176"/>
      <c r="H3111" s="114"/>
      <c r="I3111" s="42"/>
      <c r="J3111" s="42"/>
      <c r="K3111" s="176"/>
      <c r="L3111" s="176"/>
      <c r="M3111" s="176"/>
      <c r="N3111" s="176"/>
      <c r="O3111" s="176"/>
      <c r="P3111" s="114"/>
      <c r="Q3111" s="176"/>
      <c r="R3111" s="114"/>
      <c r="S3111" s="114"/>
      <c r="T3111" s="200"/>
      <c r="U3111" s="114"/>
      <c r="V3111" s="414"/>
      <c r="W3111" s="176"/>
      <c r="X3111" s="176"/>
      <c r="Y3111" s="176"/>
      <c r="Z3111" s="176"/>
    </row>
    <row r="3112" ht="15.75" customHeight="1">
      <c r="A3112" s="408"/>
      <c r="B3112" s="428"/>
      <c r="C3112" s="200"/>
      <c r="D3112" s="176"/>
      <c r="E3112" s="176"/>
      <c r="F3112" s="408"/>
      <c r="G3112" s="176"/>
      <c r="H3112" s="114"/>
      <c r="I3112" s="42"/>
      <c r="J3112" s="42"/>
      <c r="K3112" s="176"/>
      <c r="L3112" s="176"/>
      <c r="M3112" s="176"/>
      <c r="N3112" s="176"/>
      <c r="O3112" s="176"/>
      <c r="P3112" s="114"/>
      <c r="Q3112" s="176"/>
      <c r="R3112" s="114"/>
      <c r="S3112" s="114"/>
      <c r="T3112" s="200"/>
      <c r="U3112" s="114"/>
      <c r="V3112" s="414"/>
      <c r="W3112" s="176"/>
      <c r="X3112" s="176"/>
      <c r="Y3112" s="176"/>
      <c r="Z3112" s="176"/>
    </row>
    <row r="3113" ht="15.75" customHeight="1">
      <c r="A3113" s="408"/>
      <c r="B3113" s="428"/>
      <c r="C3113" s="200"/>
      <c r="D3113" s="176"/>
      <c r="E3113" s="176"/>
      <c r="F3113" s="408"/>
      <c r="G3113" s="176"/>
      <c r="H3113" s="114"/>
      <c r="I3113" s="42"/>
      <c r="J3113" s="42"/>
      <c r="K3113" s="176"/>
      <c r="L3113" s="176"/>
      <c r="M3113" s="176"/>
      <c r="N3113" s="176"/>
      <c r="O3113" s="176"/>
      <c r="P3113" s="114"/>
      <c r="Q3113" s="176"/>
      <c r="R3113" s="114"/>
      <c r="S3113" s="114"/>
      <c r="T3113" s="200"/>
      <c r="U3113" s="114"/>
      <c r="V3113" s="414"/>
      <c r="W3113" s="176"/>
      <c r="X3113" s="176"/>
      <c r="Y3113" s="176"/>
      <c r="Z3113" s="176"/>
    </row>
    <row r="3114" ht="15.75" customHeight="1">
      <c r="A3114" s="408"/>
      <c r="B3114" s="428"/>
      <c r="C3114" s="200"/>
      <c r="D3114" s="176"/>
      <c r="E3114" s="176"/>
      <c r="F3114" s="408"/>
      <c r="G3114" s="176"/>
      <c r="H3114" s="114"/>
      <c r="I3114" s="42"/>
      <c r="J3114" s="42"/>
      <c r="K3114" s="176"/>
      <c r="L3114" s="176"/>
      <c r="M3114" s="176"/>
      <c r="N3114" s="176"/>
      <c r="O3114" s="176"/>
      <c r="P3114" s="114"/>
      <c r="Q3114" s="176"/>
      <c r="R3114" s="114"/>
      <c r="S3114" s="114"/>
      <c r="T3114" s="200"/>
      <c r="U3114" s="114"/>
      <c r="V3114" s="414"/>
      <c r="W3114" s="176"/>
      <c r="X3114" s="176"/>
      <c r="Y3114" s="176"/>
      <c r="Z3114" s="176"/>
    </row>
    <row r="3115" ht="15.75" customHeight="1">
      <c r="A3115" s="408"/>
      <c r="B3115" s="428"/>
      <c r="C3115" s="200"/>
      <c r="D3115" s="176"/>
      <c r="E3115" s="176"/>
      <c r="F3115" s="408"/>
      <c r="G3115" s="176"/>
      <c r="H3115" s="114"/>
      <c r="I3115" s="42"/>
      <c r="J3115" s="42"/>
      <c r="K3115" s="176"/>
      <c r="L3115" s="176"/>
      <c r="M3115" s="176"/>
      <c r="N3115" s="176"/>
      <c r="O3115" s="176"/>
      <c r="P3115" s="114"/>
      <c r="Q3115" s="176"/>
      <c r="R3115" s="114"/>
      <c r="S3115" s="114"/>
      <c r="T3115" s="200"/>
      <c r="U3115" s="114"/>
      <c r="V3115" s="414"/>
      <c r="W3115" s="176"/>
      <c r="X3115" s="176"/>
      <c r="Y3115" s="176"/>
      <c r="Z3115" s="176"/>
    </row>
    <row r="3116" ht="15.75" customHeight="1">
      <c r="A3116" s="408"/>
      <c r="B3116" s="428"/>
      <c r="C3116" s="200"/>
      <c r="D3116" s="176"/>
      <c r="E3116" s="176"/>
      <c r="F3116" s="408"/>
      <c r="G3116" s="176"/>
      <c r="H3116" s="114"/>
      <c r="I3116" s="42"/>
      <c r="J3116" s="42"/>
      <c r="K3116" s="176"/>
      <c r="L3116" s="176"/>
      <c r="M3116" s="176"/>
      <c r="N3116" s="176"/>
      <c r="O3116" s="176"/>
      <c r="P3116" s="114"/>
      <c r="Q3116" s="176"/>
      <c r="R3116" s="114"/>
      <c r="S3116" s="114"/>
      <c r="T3116" s="200"/>
      <c r="U3116" s="114"/>
      <c r="V3116" s="414"/>
      <c r="W3116" s="176"/>
      <c r="X3116" s="176"/>
      <c r="Y3116" s="176"/>
      <c r="Z3116" s="176"/>
    </row>
    <row r="3117" ht="15.75" customHeight="1">
      <c r="A3117" s="408"/>
      <c r="B3117" s="428"/>
      <c r="C3117" s="200"/>
      <c r="D3117" s="176"/>
      <c r="E3117" s="176"/>
      <c r="F3117" s="408"/>
      <c r="G3117" s="176"/>
      <c r="H3117" s="114"/>
      <c r="I3117" s="42"/>
      <c r="J3117" s="42"/>
      <c r="K3117" s="176"/>
      <c r="L3117" s="176"/>
      <c r="M3117" s="176"/>
      <c r="N3117" s="176"/>
      <c r="O3117" s="176"/>
      <c r="P3117" s="114"/>
      <c r="Q3117" s="176"/>
      <c r="R3117" s="114"/>
      <c r="S3117" s="114"/>
      <c r="T3117" s="200"/>
      <c r="U3117" s="114"/>
      <c r="V3117" s="414"/>
      <c r="W3117" s="176"/>
      <c r="X3117" s="176"/>
      <c r="Y3117" s="176"/>
      <c r="Z3117" s="176"/>
    </row>
    <row r="3118" ht="15.75" customHeight="1">
      <c r="A3118" s="408"/>
      <c r="B3118" s="428"/>
      <c r="C3118" s="200"/>
      <c r="D3118" s="176"/>
      <c r="E3118" s="176"/>
      <c r="F3118" s="408"/>
      <c r="G3118" s="176"/>
      <c r="H3118" s="114"/>
      <c r="I3118" s="42"/>
      <c r="J3118" s="42"/>
      <c r="K3118" s="176"/>
      <c r="L3118" s="176"/>
      <c r="M3118" s="176"/>
      <c r="N3118" s="176"/>
      <c r="O3118" s="176"/>
      <c r="P3118" s="114"/>
      <c r="Q3118" s="176"/>
      <c r="R3118" s="114"/>
      <c r="S3118" s="114"/>
      <c r="T3118" s="200"/>
      <c r="U3118" s="114"/>
      <c r="V3118" s="414"/>
      <c r="W3118" s="176"/>
      <c r="X3118" s="176"/>
      <c r="Y3118" s="176"/>
      <c r="Z3118" s="176"/>
    </row>
    <row r="3119" ht="15.75" customHeight="1">
      <c r="A3119" s="408"/>
      <c r="B3119" s="428"/>
      <c r="C3119" s="200"/>
      <c r="D3119" s="176"/>
      <c r="E3119" s="176"/>
      <c r="F3119" s="408"/>
      <c r="G3119" s="176"/>
      <c r="H3119" s="114"/>
      <c r="I3119" s="42"/>
      <c r="J3119" s="42"/>
      <c r="K3119" s="176"/>
      <c r="L3119" s="176"/>
      <c r="M3119" s="176"/>
      <c r="N3119" s="176"/>
      <c r="O3119" s="176"/>
      <c r="P3119" s="114"/>
      <c r="Q3119" s="176"/>
      <c r="R3119" s="114"/>
      <c r="S3119" s="114"/>
      <c r="T3119" s="200"/>
      <c r="U3119" s="114"/>
      <c r="V3119" s="414"/>
      <c r="W3119" s="176"/>
      <c r="X3119" s="176"/>
      <c r="Y3119" s="176"/>
      <c r="Z3119" s="176"/>
    </row>
    <row r="3120" ht="15.75" customHeight="1">
      <c r="A3120" s="408"/>
      <c r="B3120" s="428"/>
      <c r="C3120" s="200"/>
      <c r="D3120" s="176"/>
      <c r="E3120" s="176"/>
      <c r="F3120" s="408"/>
      <c r="G3120" s="176"/>
      <c r="H3120" s="114"/>
      <c r="I3120" s="42"/>
      <c r="J3120" s="42"/>
      <c r="K3120" s="176"/>
      <c r="L3120" s="176"/>
      <c r="M3120" s="176"/>
      <c r="N3120" s="176"/>
      <c r="O3120" s="176"/>
      <c r="P3120" s="114"/>
      <c r="Q3120" s="176"/>
      <c r="R3120" s="114"/>
      <c r="S3120" s="114"/>
      <c r="T3120" s="200"/>
      <c r="U3120" s="114"/>
      <c r="V3120" s="414"/>
      <c r="W3120" s="176"/>
      <c r="X3120" s="176"/>
      <c r="Y3120" s="176"/>
      <c r="Z3120" s="176"/>
    </row>
    <row r="3121" ht="15.75" customHeight="1">
      <c r="A3121" s="408"/>
      <c r="B3121" s="428"/>
      <c r="C3121" s="200"/>
      <c r="D3121" s="176"/>
      <c r="E3121" s="176"/>
      <c r="F3121" s="408"/>
      <c r="G3121" s="176"/>
      <c r="H3121" s="114"/>
      <c r="I3121" s="42"/>
      <c r="J3121" s="42"/>
      <c r="K3121" s="176"/>
      <c r="L3121" s="176"/>
      <c r="M3121" s="176"/>
      <c r="N3121" s="176"/>
      <c r="O3121" s="176"/>
      <c r="P3121" s="114"/>
      <c r="Q3121" s="176"/>
      <c r="R3121" s="114"/>
      <c r="S3121" s="114"/>
      <c r="T3121" s="200"/>
      <c r="U3121" s="114"/>
      <c r="V3121" s="414"/>
      <c r="W3121" s="176"/>
      <c r="X3121" s="176"/>
      <c r="Y3121" s="176"/>
      <c r="Z3121" s="176"/>
    </row>
    <row r="3122" ht="15.75" customHeight="1">
      <c r="A3122" s="408"/>
      <c r="B3122" s="428"/>
      <c r="C3122" s="200"/>
      <c r="D3122" s="176"/>
      <c r="E3122" s="176"/>
      <c r="F3122" s="408"/>
      <c r="G3122" s="176"/>
      <c r="H3122" s="114"/>
      <c r="I3122" s="42"/>
      <c r="J3122" s="42"/>
      <c r="K3122" s="176"/>
      <c r="L3122" s="176"/>
      <c r="M3122" s="176"/>
      <c r="N3122" s="176"/>
      <c r="O3122" s="176"/>
      <c r="P3122" s="114"/>
      <c r="Q3122" s="176"/>
      <c r="R3122" s="114"/>
      <c r="S3122" s="114"/>
      <c r="T3122" s="200"/>
      <c r="U3122" s="114"/>
      <c r="V3122" s="414"/>
      <c r="W3122" s="176"/>
      <c r="X3122" s="176"/>
      <c r="Y3122" s="176"/>
      <c r="Z3122" s="176"/>
    </row>
    <row r="3123" ht="15.75" customHeight="1">
      <c r="A3123" s="408"/>
      <c r="B3123" s="428"/>
      <c r="C3123" s="200"/>
      <c r="D3123" s="176"/>
      <c r="E3123" s="176"/>
      <c r="F3123" s="408"/>
      <c r="G3123" s="176"/>
      <c r="H3123" s="114"/>
      <c r="I3123" s="42"/>
      <c r="J3123" s="42"/>
      <c r="K3123" s="176"/>
      <c r="L3123" s="176"/>
      <c r="M3123" s="176"/>
      <c r="N3123" s="176"/>
      <c r="O3123" s="176"/>
      <c r="P3123" s="114"/>
      <c r="Q3123" s="176"/>
      <c r="R3123" s="114"/>
      <c r="S3123" s="114"/>
      <c r="T3123" s="200"/>
      <c r="U3123" s="114"/>
      <c r="V3123" s="414"/>
      <c r="W3123" s="176"/>
      <c r="X3123" s="176"/>
      <c r="Y3123" s="176"/>
      <c r="Z3123" s="176"/>
    </row>
    <row r="3124" ht="15.75" customHeight="1">
      <c r="A3124" s="408"/>
      <c r="B3124" s="428"/>
      <c r="C3124" s="200"/>
      <c r="D3124" s="176"/>
      <c r="E3124" s="176"/>
      <c r="F3124" s="408"/>
      <c r="G3124" s="176"/>
      <c r="H3124" s="114"/>
      <c r="I3124" s="42"/>
      <c r="J3124" s="42"/>
      <c r="K3124" s="176"/>
      <c r="L3124" s="176"/>
      <c r="M3124" s="176"/>
      <c r="N3124" s="176"/>
      <c r="O3124" s="176"/>
      <c r="P3124" s="114"/>
      <c r="Q3124" s="176"/>
      <c r="R3124" s="114"/>
      <c r="S3124" s="114"/>
      <c r="T3124" s="200"/>
      <c r="U3124" s="114"/>
      <c r="V3124" s="414"/>
      <c r="W3124" s="176"/>
      <c r="X3124" s="176"/>
      <c r="Y3124" s="176"/>
      <c r="Z3124" s="176"/>
    </row>
    <row r="3125" ht="15.75" customHeight="1">
      <c r="A3125" s="408"/>
      <c r="B3125" s="428"/>
      <c r="C3125" s="200"/>
      <c r="D3125" s="176"/>
      <c r="E3125" s="176"/>
      <c r="F3125" s="408"/>
      <c r="G3125" s="176"/>
      <c r="H3125" s="114"/>
      <c r="I3125" s="42"/>
      <c r="J3125" s="42"/>
      <c r="K3125" s="176"/>
      <c r="L3125" s="176"/>
      <c r="M3125" s="176"/>
      <c r="N3125" s="176"/>
      <c r="O3125" s="176"/>
      <c r="P3125" s="114"/>
      <c r="Q3125" s="176"/>
      <c r="R3125" s="114"/>
      <c r="S3125" s="114"/>
      <c r="T3125" s="200"/>
      <c r="U3125" s="114"/>
      <c r="V3125" s="414"/>
      <c r="W3125" s="176"/>
      <c r="X3125" s="176"/>
      <c r="Y3125" s="176"/>
      <c r="Z3125" s="176"/>
    </row>
    <row r="3126" ht="15.75" customHeight="1">
      <c r="A3126" s="408"/>
      <c r="B3126" s="428"/>
      <c r="C3126" s="200"/>
      <c r="D3126" s="176"/>
      <c r="E3126" s="176"/>
      <c r="F3126" s="408"/>
      <c r="G3126" s="176"/>
      <c r="H3126" s="114"/>
      <c r="I3126" s="42"/>
      <c r="J3126" s="42"/>
      <c r="K3126" s="176"/>
      <c r="L3126" s="176"/>
      <c r="M3126" s="176"/>
      <c r="N3126" s="176"/>
      <c r="O3126" s="176"/>
      <c r="P3126" s="114"/>
      <c r="Q3126" s="176"/>
      <c r="R3126" s="114"/>
      <c r="S3126" s="114"/>
      <c r="T3126" s="200"/>
      <c r="U3126" s="114"/>
      <c r="V3126" s="414"/>
      <c r="W3126" s="176"/>
      <c r="X3126" s="176"/>
      <c r="Y3126" s="176"/>
      <c r="Z3126" s="176"/>
    </row>
    <row r="3127" ht="15.75" customHeight="1">
      <c r="A3127" s="408"/>
      <c r="B3127" s="428"/>
      <c r="C3127" s="200"/>
      <c r="D3127" s="176"/>
      <c r="E3127" s="176"/>
      <c r="F3127" s="408"/>
      <c r="G3127" s="176"/>
      <c r="H3127" s="114"/>
      <c r="I3127" s="42"/>
      <c r="J3127" s="42"/>
      <c r="K3127" s="176"/>
      <c r="L3127" s="176"/>
      <c r="M3127" s="176"/>
      <c r="N3127" s="176"/>
      <c r="O3127" s="176"/>
      <c r="P3127" s="114"/>
      <c r="Q3127" s="176"/>
      <c r="R3127" s="114"/>
      <c r="S3127" s="114"/>
      <c r="T3127" s="200"/>
      <c r="U3127" s="114"/>
      <c r="V3127" s="414"/>
      <c r="W3127" s="176"/>
      <c r="X3127" s="176"/>
      <c r="Y3127" s="176"/>
      <c r="Z3127" s="176"/>
    </row>
    <row r="3128" ht="15.75" customHeight="1">
      <c r="A3128" s="408"/>
      <c r="B3128" s="428"/>
      <c r="C3128" s="200"/>
      <c r="D3128" s="176"/>
      <c r="E3128" s="176"/>
      <c r="F3128" s="408"/>
      <c r="G3128" s="176"/>
      <c r="H3128" s="114"/>
      <c r="I3128" s="42"/>
      <c r="J3128" s="42"/>
      <c r="K3128" s="176"/>
      <c r="L3128" s="176"/>
      <c r="M3128" s="176"/>
      <c r="N3128" s="176"/>
      <c r="O3128" s="176"/>
      <c r="P3128" s="114"/>
      <c r="Q3128" s="176"/>
      <c r="R3128" s="114"/>
      <c r="S3128" s="114"/>
      <c r="T3128" s="200"/>
      <c r="U3128" s="114"/>
      <c r="V3128" s="414"/>
      <c r="W3128" s="176"/>
      <c r="X3128" s="176"/>
      <c r="Y3128" s="176"/>
      <c r="Z3128" s="176"/>
    </row>
    <row r="3129" ht="15.75" customHeight="1">
      <c r="A3129" s="408"/>
      <c r="B3129" s="428"/>
      <c r="C3129" s="200"/>
      <c r="D3129" s="176"/>
      <c r="E3129" s="176"/>
      <c r="F3129" s="408"/>
      <c r="G3129" s="176"/>
      <c r="H3129" s="114"/>
      <c r="I3129" s="42"/>
      <c r="J3129" s="42"/>
      <c r="K3129" s="176"/>
      <c r="L3129" s="176"/>
      <c r="M3129" s="176"/>
      <c r="N3129" s="176"/>
      <c r="O3129" s="176"/>
      <c r="P3129" s="114"/>
      <c r="Q3129" s="176"/>
      <c r="R3129" s="114"/>
      <c r="S3129" s="114"/>
      <c r="T3129" s="200"/>
      <c r="U3129" s="114"/>
      <c r="V3129" s="414"/>
      <c r="W3129" s="176"/>
      <c r="X3129" s="176"/>
      <c r="Y3129" s="176"/>
      <c r="Z3129" s="176"/>
    </row>
    <row r="3130" ht="15.75" customHeight="1">
      <c r="A3130" s="408"/>
      <c r="B3130" s="428"/>
      <c r="C3130" s="200"/>
      <c r="D3130" s="176"/>
      <c r="E3130" s="176"/>
      <c r="F3130" s="408"/>
      <c r="G3130" s="176"/>
      <c r="H3130" s="114"/>
      <c r="I3130" s="42"/>
      <c r="J3130" s="42"/>
      <c r="K3130" s="176"/>
      <c r="L3130" s="176"/>
      <c r="M3130" s="176"/>
      <c r="N3130" s="176"/>
      <c r="O3130" s="176"/>
      <c r="P3130" s="114"/>
      <c r="Q3130" s="176"/>
      <c r="R3130" s="114"/>
      <c r="S3130" s="114"/>
      <c r="T3130" s="200"/>
      <c r="U3130" s="114"/>
      <c r="V3130" s="414"/>
      <c r="W3130" s="176"/>
      <c r="X3130" s="176"/>
      <c r="Y3130" s="176"/>
      <c r="Z3130" s="176"/>
    </row>
    <row r="3131" ht="15.75" customHeight="1">
      <c r="A3131" s="408"/>
      <c r="B3131" s="428"/>
      <c r="C3131" s="200"/>
      <c r="D3131" s="176"/>
      <c r="E3131" s="176"/>
      <c r="F3131" s="408"/>
      <c r="G3131" s="176"/>
      <c r="H3131" s="114"/>
      <c r="I3131" s="42"/>
      <c r="J3131" s="42"/>
      <c r="K3131" s="176"/>
      <c r="L3131" s="176"/>
      <c r="M3131" s="176"/>
      <c r="N3131" s="176"/>
      <c r="O3131" s="176"/>
      <c r="P3131" s="114"/>
      <c r="Q3131" s="176"/>
      <c r="R3131" s="114"/>
      <c r="S3131" s="114"/>
      <c r="T3131" s="200"/>
      <c r="U3131" s="114"/>
      <c r="V3131" s="414"/>
      <c r="W3131" s="176"/>
      <c r="X3131" s="176"/>
      <c r="Y3131" s="176"/>
      <c r="Z3131" s="176"/>
    </row>
    <row r="3132" ht="15.75" customHeight="1">
      <c r="A3132" s="408"/>
      <c r="B3132" s="428"/>
      <c r="C3132" s="200"/>
      <c r="D3132" s="176"/>
      <c r="E3132" s="176"/>
      <c r="F3132" s="408"/>
      <c r="G3132" s="176"/>
      <c r="H3132" s="114"/>
      <c r="I3132" s="42"/>
      <c r="J3132" s="42"/>
      <c r="K3132" s="176"/>
      <c r="L3132" s="176"/>
      <c r="M3132" s="176"/>
      <c r="N3132" s="176"/>
      <c r="O3132" s="176"/>
      <c r="P3132" s="114"/>
      <c r="Q3132" s="176"/>
      <c r="R3132" s="114"/>
      <c r="S3132" s="114"/>
      <c r="T3132" s="200"/>
      <c r="U3132" s="114"/>
      <c r="V3132" s="414"/>
      <c r="W3132" s="176"/>
      <c r="X3132" s="176"/>
      <c r="Y3132" s="176"/>
      <c r="Z3132" s="176"/>
    </row>
    <row r="3133" ht="15.75" customHeight="1">
      <c r="A3133" s="408"/>
      <c r="B3133" s="428"/>
      <c r="C3133" s="200"/>
      <c r="D3133" s="176"/>
      <c r="E3133" s="176"/>
      <c r="F3133" s="408"/>
      <c r="G3133" s="176"/>
      <c r="H3133" s="114"/>
      <c r="I3133" s="42"/>
      <c r="J3133" s="42"/>
      <c r="K3133" s="176"/>
      <c r="L3133" s="176"/>
      <c r="M3133" s="176"/>
      <c r="N3133" s="176"/>
      <c r="O3133" s="176"/>
      <c r="P3133" s="114"/>
      <c r="Q3133" s="176"/>
      <c r="R3133" s="114"/>
      <c r="S3133" s="114"/>
      <c r="T3133" s="200"/>
      <c r="U3133" s="114"/>
      <c r="V3133" s="414"/>
      <c r="W3133" s="176"/>
      <c r="X3133" s="176"/>
      <c r="Y3133" s="176"/>
      <c r="Z3133" s="176"/>
    </row>
    <row r="3134" ht="15.75" customHeight="1">
      <c r="A3134" s="408"/>
      <c r="B3134" s="428"/>
      <c r="C3134" s="200"/>
      <c r="D3134" s="176"/>
      <c r="E3134" s="176"/>
      <c r="F3134" s="408"/>
      <c r="G3134" s="176"/>
      <c r="H3134" s="114"/>
      <c r="I3134" s="42"/>
      <c r="J3134" s="42"/>
      <c r="K3134" s="176"/>
      <c r="L3134" s="176"/>
      <c r="M3134" s="176"/>
      <c r="N3134" s="176"/>
      <c r="O3134" s="176"/>
      <c r="P3134" s="114"/>
      <c r="Q3134" s="176"/>
      <c r="R3134" s="114"/>
      <c r="S3134" s="114"/>
      <c r="T3134" s="200"/>
      <c r="U3134" s="114"/>
      <c r="V3134" s="414"/>
      <c r="W3134" s="176"/>
      <c r="X3134" s="176"/>
      <c r="Y3134" s="176"/>
      <c r="Z3134" s="176"/>
    </row>
    <row r="3135" ht="15.75" customHeight="1">
      <c r="A3135" s="408"/>
      <c r="B3135" s="428"/>
      <c r="C3135" s="200"/>
      <c r="D3135" s="176"/>
      <c r="E3135" s="176"/>
      <c r="F3135" s="408"/>
      <c r="G3135" s="176"/>
      <c r="H3135" s="114"/>
      <c r="I3135" s="42"/>
      <c r="J3135" s="42"/>
      <c r="K3135" s="176"/>
      <c r="L3135" s="176"/>
      <c r="M3135" s="176"/>
      <c r="N3135" s="176"/>
      <c r="O3135" s="176"/>
      <c r="P3135" s="114"/>
      <c r="Q3135" s="176"/>
      <c r="R3135" s="114"/>
      <c r="S3135" s="114"/>
      <c r="T3135" s="200"/>
      <c r="U3135" s="114"/>
      <c r="V3135" s="414"/>
      <c r="W3135" s="176"/>
      <c r="X3135" s="176"/>
      <c r="Y3135" s="176"/>
      <c r="Z3135" s="176"/>
    </row>
    <row r="3136" ht="15.75" customHeight="1">
      <c r="A3136" s="408"/>
      <c r="B3136" s="428"/>
      <c r="C3136" s="200"/>
      <c r="D3136" s="176"/>
      <c r="E3136" s="176"/>
      <c r="F3136" s="408"/>
      <c r="G3136" s="176"/>
      <c r="H3136" s="114"/>
      <c r="I3136" s="42"/>
      <c r="J3136" s="42"/>
      <c r="K3136" s="176"/>
      <c r="L3136" s="176"/>
      <c r="M3136" s="176"/>
      <c r="N3136" s="176"/>
      <c r="O3136" s="176"/>
      <c r="P3136" s="114"/>
      <c r="Q3136" s="176"/>
      <c r="R3136" s="114"/>
      <c r="S3136" s="114"/>
      <c r="T3136" s="200"/>
      <c r="U3136" s="114"/>
      <c r="V3136" s="414"/>
      <c r="W3136" s="176"/>
      <c r="X3136" s="176"/>
      <c r="Y3136" s="176"/>
      <c r="Z3136" s="176"/>
    </row>
    <row r="3137" ht="15.75" customHeight="1">
      <c r="A3137" s="408"/>
      <c r="B3137" s="428"/>
      <c r="C3137" s="200"/>
      <c r="D3137" s="176"/>
      <c r="E3137" s="176"/>
      <c r="F3137" s="408"/>
      <c r="G3137" s="176"/>
      <c r="H3137" s="114"/>
      <c r="I3137" s="42"/>
      <c r="J3137" s="42"/>
      <c r="K3137" s="176"/>
      <c r="L3137" s="176"/>
      <c r="M3137" s="176"/>
      <c r="N3137" s="176"/>
      <c r="O3137" s="176"/>
      <c r="P3137" s="114"/>
      <c r="Q3137" s="176"/>
      <c r="R3137" s="114"/>
      <c r="S3137" s="114"/>
      <c r="T3137" s="200"/>
      <c r="U3137" s="114"/>
      <c r="V3137" s="414"/>
      <c r="W3137" s="176"/>
      <c r="X3137" s="176"/>
      <c r="Y3137" s="176"/>
      <c r="Z3137" s="176"/>
    </row>
    <row r="3138" ht="15.75" customHeight="1">
      <c r="A3138" s="408"/>
      <c r="B3138" s="428"/>
      <c r="C3138" s="200"/>
      <c r="D3138" s="176"/>
      <c r="E3138" s="176"/>
      <c r="F3138" s="408"/>
      <c r="G3138" s="176"/>
      <c r="H3138" s="114"/>
      <c r="I3138" s="42"/>
      <c r="J3138" s="42"/>
      <c r="K3138" s="176"/>
      <c r="L3138" s="176"/>
      <c r="M3138" s="176"/>
      <c r="N3138" s="176"/>
      <c r="O3138" s="176"/>
      <c r="P3138" s="114"/>
      <c r="Q3138" s="176"/>
      <c r="R3138" s="114"/>
      <c r="S3138" s="114"/>
      <c r="T3138" s="200"/>
      <c r="U3138" s="114"/>
      <c r="V3138" s="414"/>
      <c r="W3138" s="176"/>
      <c r="X3138" s="176"/>
      <c r="Y3138" s="176"/>
      <c r="Z3138" s="176"/>
    </row>
    <row r="3139" ht="15.75" customHeight="1">
      <c r="A3139" s="408"/>
      <c r="B3139" s="428"/>
      <c r="C3139" s="200"/>
      <c r="D3139" s="176"/>
      <c r="E3139" s="176"/>
      <c r="F3139" s="408"/>
      <c r="G3139" s="176"/>
      <c r="H3139" s="114"/>
      <c r="I3139" s="42"/>
      <c r="J3139" s="42"/>
      <c r="K3139" s="176"/>
      <c r="L3139" s="176"/>
      <c r="M3139" s="176"/>
      <c r="N3139" s="176"/>
      <c r="O3139" s="176"/>
      <c r="P3139" s="114"/>
      <c r="Q3139" s="176"/>
      <c r="R3139" s="114"/>
      <c r="S3139" s="114"/>
      <c r="T3139" s="200"/>
      <c r="U3139" s="114"/>
      <c r="V3139" s="414"/>
      <c r="W3139" s="176"/>
      <c r="X3139" s="176"/>
      <c r="Y3139" s="176"/>
      <c r="Z3139" s="176"/>
    </row>
    <row r="3140" ht="15.75" customHeight="1">
      <c r="A3140" s="408"/>
      <c r="B3140" s="428"/>
      <c r="C3140" s="200"/>
      <c r="D3140" s="176"/>
      <c r="E3140" s="176"/>
      <c r="F3140" s="408"/>
      <c r="G3140" s="176"/>
      <c r="H3140" s="114"/>
      <c r="I3140" s="42"/>
      <c r="J3140" s="42"/>
      <c r="K3140" s="176"/>
      <c r="L3140" s="176"/>
      <c r="M3140" s="176"/>
      <c r="N3140" s="176"/>
      <c r="O3140" s="176"/>
      <c r="P3140" s="114"/>
      <c r="Q3140" s="176"/>
      <c r="R3140" s="114"/>
      <c r="S3140" s="114"/>
      <c r="T3140" s="200"/>
      <c r="U3140" s="114"/>
      <c r="V3140" s="414"/>
      <c r="W3140" s="176"/>
      <c r="X3140" s="176"/>
      <c r="Y3140" s="176"/>
      <c r="Z3140" s="176"/>
    </row>
    <row r="3141" ht="15.75" customHeight="1">
      <c r="A3141" s="408"/>
      <c r="B3141" s="428"/>
      <c r="C3141" s="200"/>
      <c r="D3141" s="176"/>
      <c r="E3141" s="176"/>
      <c r="F3141" s="408"/>
      <c r="G3141" s="176"/>
      <c r="H3141" s="114"/>
      <c r="I3141" s="42"/>
      <c r="J3141" s="42"/>
      <c r="K3141" s="176"/>
      <c r="L3141" s="176"/>
      <c r="M3141" s="176"/>
      <c r="N3141" s="176"/>
      <c r="O3141" s="176"/>
      <c r="P3141" s="114"/>
      <c r="Q3141" s="176"/>
      <c r="R3141" s="114"/>
      <c r="S3141" s="114"/>
      <c r="T3141" s="200"/>
      <c r="U3141" s="114"/>
      <c r="V3141" s="414"/>
      <c r="W3141" s="176"/>
      <c r="X3141" s="176"/>
      <c r="Y3141" s="176"/>
      <c r="Z3141" s="176"/>
    </row>
    <row r="3142" ht="15.75" customHeight="1">
      <c r="A3142" s="408"/>
      <c r="B3142" s="428"/>
      <c r="C3142" s="200"/>
      <c r="D3142" s="176"/>
      <c r="E3142" s="176"/>
      <c r="F3142" s="408"/>
      <c r="G3142" s="176"/>
      <c r="H3142" s="114"/>
      <c r="I3142" s="42"/>
      <c r="J3142" s="42"/>
      <c r="K3142" s="176"/>
      <c r="L3142" s="176"/>
      <c r="M3142" s="176"/>
      <c r="N3142" s="176"/>
      <c r="O3142" s="176"/>
      <c r="P3142" s="114"/>
      <c r="Q3142" s="176"/>
      <c r="R3142" s="114"/>
      <c r="S3142" s="114"/>
      <c r="T3142" s="200"/>
      <c r="U3142" s="114"/>
      <c r="V3142" s="414"/>
      <c r="W3142" s="176"/>
      <c r="X3142" s="176"/>
      <c r="Y3142" s="176"/>
      <c r="Z3142" s="176"/>
    </row>
    <row r="3143" ht="15.75" customHeight="1">
      <c r="A3143" s="408"/>
      <c r="B3143" s="428"/>
      <c r="C3143" s="200"/>
      <c r="D3143" s="176"/>
      <c r="E3143" s="176"/>
      <c r="F3143" s="408"/>
      <c r="G3143" s="176"/>
      <c r="H3143" s="114"/>
      <c r="I3143" s="42"/>
      <c r="J3143" s="42"/>
      <c r="K3143" s="176"/>
      <c r="L3143" s="176"/>
      <c r="M3143" s="176"/>
      <c r="N3143" s="176"/>
      <c r="O3143" s="176"/>
      <c r="P3143" s="114"/>
      <c r="Q3143" s="176"/>
      <c r="R3143" s="114"/>
      <c r="S3143" s="114"/>
      <c r="T3143" s="200"/>
      <c r="U3143" s="114"/>
      <c r="V3143" s="414"/>
      <c r="W3143" s="176"/>
      <c r="X3143" s="176"/>
      <c r="Y3143" s="176"/>
      <c r="Z3143" s="176"/>
    </row>
    <row r="3144" ht="15.75" customHeight="1">
      <c r="A3144" s="408"/>
      <c r="B3144" s="428"/>
      <c r="C3144" s="200"/>
      <c r="D3144" s="176"/>
      <c r="E3144" s="176"/>
      <c r="F3144" s="408"/>
      <c r="G3144" s="176"/>
      <c r="H3144" s="114"/>
      <c r="I3144" s="42"/>
      <c r="J3144" s="42"/>
      <c r="K3144" s="176"/>
      <c r="L3144" s="176"/>
      <c r="M3144" s="176"/>
      <c r="N3144" s="176"/>
      <c r="O3144" s="176"/>
      <c r="P3144" s="114"/>
      <c r="Q3144" s="176"/>
      <c r="R3144" s="114"/>
      <c r="S3144" s="114"/>
      <c r="T3144" s="200"/>
      <c r="U3144" s="114"/>
      <c r="V3144" s="414"/>
      <c r="W3144" s="176"/>
      <c r="X3144" s="176"/>
      <c r="Y3144" s="176"/>
      <c r="Z3144" s="176"/>
    </row>
    <row r="3145" ht="15.75" customHeight="1">
      <c r="A3145" s="408"/>
      <c r="B3145" s="428"/>
      <c r="C3145" s="200"/>
      <c r="D3145" s="176"/>
      <c r="E3145" s="176"/>
      <c r="F3145" s="408"/>
      <c r="G3145" s="176"/>
      <c r="H3145" s="114"/>
      <c r="I3145" s="42"/>
      <c r="J3145" s="42"/>
      <c r="K3145" s="176"/>
      <c r="L3145" s="176"/>
      <c r="M3145" s="176"/>
      <c r="N3145" s="176"/>
      <c r="O3145" s="176"/>
      <c r="P3145" s="114"/>
      <c r="Q3145" s="176"/>
      <c r="R3145" s="114"/>
      <c r="S3145" s="114"/>
      <c r="T3145" s="200"/>
      <c r="U3145" s="114"/>
      <c r="V3145" s="414"/>
      <c r="W3145" s="176"/>
      <c r="X3145" s="176"/>
      <c r="Y3145" s="176"/>
      <c r="Z3145" s="176"/>
    </row>
    <row r="3146" ht="15.75" customHeight="1">
      <c r="A3146" s="408"/>
      <c r="B3146" s="428"/>
      <c r="C3146" s="200"/>
      <c r="D3146" s="176"/>
      <c r="E3146" s="176"/>
      <c r="F3146" s="408"/>
      <c r="G3146" s="176"/>
      <c r="H3146" s="114"/>
      <c r="I3146" s="42"/>
      <c r="J3146" s="42"/>
      <c r="K3146" s="176"/>
      <c r="L3146" s="176"/>
      <c r="M3146" s="176"/>
      <c r="N3146" s="176"/>
      <c r="O3146" s="176"/>
      <c r="P3146" s="114"/>
      <c r="Q3146" s="176"/>
      <c r="R3146" s="114"/>
      <c r="S3146" s="114"/>
      <c r="T3146" s="200"/>
      <c r="U3146" s="114"/>
      <c r="V3146" s="414"/>
      <c r="W3146" s="176"/>
      <c r="X3146" s="176"/>
      <c r="Y3146" s="176"/>
      <c r="Z3146" s="176"/>
    </row>
    <row r="3147" ht="15.75" customHeight="1">
      <c r="A3147" s="408"/>
      <c r="B3147" s="428"/>
      <c r="C3147" s="200"/>
      <c r="D3147" s="176"/>
      <c r="E3147" s="176"/>
      <c r="F3147" s="408"/>
      <c r="G3147" s="176"/>
      <c r="H3147" s="114"/>
      <c r="I3147" s="42"/>
      <c r="J3147" s="42"/>
      <c r="K3147" s="176"/>
      <c r="L3147" s="176"/>
      <c r="M3147" s="176"/>
      <c r="N3147" s="176"/>
      <c r="O3147" s="176"/>
      <c r="P3147" s="114"/>
      <c r="Q3147" s="176"/>
      <c r="R3147" s="114"/>
      <c r="S3147" s="114"/>
      <c r="T3147" s="200"/>
      <c r="U3147" s="114"/>
      <c r="V3147" s="414"/>
      <c r="W3147" s="176"/>
      <c r="X3147" s="176"/>
      <c r="Y3147" s="176"/>
      <c r="Z3147" s="176"/>
    </row>
    <row r="3148" ht="15.75" customHeight="1">
      <c r="A3148" s="408"/>
      <c r="B3148" s="428"/>
      <c r="C3148" s="200"/>
      <c r="D3148" s="176"/>
      <c r="E3148" s="176"/>
      <c r="F3148" s="408"/>
      <c r="G3148" s="176"/>
      <c r="H3148" s="114"/>
      <c r="I3148" s="42"/>
      <c r="J3148" s="42"/>
      <c r="K3148" s="176"/>
      <c r="L3148" s="176"/>
      <c r="M3148" s="176"/>
      <c r="N3148" s="176"/>
      <c r="O3148" s="176"/>
      <c r="P3148" s="114"/>
      <c r="Q3148" s="176"/>
      <c r="R3148" s="114"/>
      <c r="S3148" s="114"/>
      <c r="T3148" s="200"/>
      <c r="U3148" s="114"/>
      <c r="V3148" s="414"/>
      <c r="W3148" s="176"/>
      <c r="X3148" s="176"/>
      <c r="Y3148" s="176"/>
      <c r="Z3148" s="176"/>
    </row>
    <row r="3149" ht="15.75" customHeight="1">
      <c r="A3149" s="408"/>
      <c r="B3149" s="428"/>
      <c r="C3149" s="200"/>
      <c r="D3149" s="176"/>
      <c r="E3149" s="176"/>
      <c r="F3149" s="408"/>
      <c r="G3149" s="176"/>
      <c r="H3149" s="114"/>
      <c r="I3149" s="42"/>
      <c r="J3149" s="42"/>
      <c r="K3149" s="176"/>
      <c r="L3149" s="176"/>
      <c r="M3149" s="176"/>
      <c r="N3149" s="176"/>
      <c r="O3149" s="176"/>
      <c r="P3149" s="114"/>
      <c r="Q3149" s="176"/>
      <c r="R3149" s="114"/>
      <c r="S3149" s="114"/>
      <c r="T3149" s="200"/>
      <c r="U3149" s="114"/>
      <c r="V3149" s="414"/>
      <c r="W3149" s="176"/>
      <c r="X3149" s="176"/>
      <c r="Y3149" s="176"/>
      <c r="Z3149" s="176"/>
    </row>
    <row r="3150" ht="15.75" customHeight="1">
      <c r="A3150" s="408"/>
      <c r="B3150" s="428"/>
      <c r="C3150" s="200"/>
      <c r="D3150" s="176"/>
      <c r="E3150" s="176"/>
      <c r="F3150" s="408"/>
      <c r="G3150" s="176"/>
      <c r="H3150" s="114"/>
      <c r="I3150" s="42"/>
      <c r="J3150" s="42"/>
      <c r="K3150" s="176"/>
      <c r="L3150" s="176"/>
      <c r="M3150" s="176"/>
      <c r="N3150" s="176"/>
      <c r="O3150" s="176"/>
      <c r="P3150" s="114"/>
      <c r="Q3150" s="176"/>
      <c r="R3150" s="114"/>
      <c r="S3150" s="114"/>
      <c r="T3150" s="200"/>
      <c r="U3150" s="114"/>
      <c r="V3150" s="414"/>
      <c r="W3150" s="176"/>
      <c r="X3150" s="176"/>
      <c r="Y3150" s="176"/>
      <c r="Z3150" s="176"/>
    </row>
    <row r="3151" ht="15.75" customHeight="1">
      <c r="A3151" s="408"/>
      <c r="B3151" s="428"/>
      <c r="C3151" s="200"/>
      <c r="D3151" s="176"/>
      <c r="E3151" s="176"/>
      <c r="F3151" s="408"/>
      <c r="G3151" s="176"/>
      <c r="H3151" s="114"/>
      <c r="I3151" s="42"/>
      <c r="J3151" s="42"/>
      <c r="K3151" s="176"/>
      <c r="L3151" s="176"/>
      <c r="M3151" s="176"/>
      <c r="N3151" s="176"/>
      <c r="O3151" s="176"/>
      <c r="P3151" s="114"/>
      <c r="Q3151" s="176"/>
      <c r="R3151" s="114"/>
      <c r="S3151" s="114"/>
      <c r="T3151" s="200"/>
      <c r="U3151" s="114"/>
      <c r="V3151" s="414"/>
      <c r="W3151" s="176"/>
      <c r="X3151" s="176"/>
      <c r="Y3151" s="176"/>
      <c r="Z3151" s="176"/>
    </row>
    <row r="3152" ht="15.75" customHeight="1">
      <c r="A3152" s="408"/>
      <c r="B3152" s="428"/>
      <c r="C3152" s="200"/>
      <c r="D3152" s="176"/>
      <c r="E3152" s="176"/>
      <c r="F3152" s="408"/>
      <c r="G3152" s="176"/>
      <c r="H3152" s="114"/>
      <c r="I3152" s="42"/>
      <c r="J3152" s="42"/>
      <c r="K3152" s="176"/>
      <c r="L3152" s="176"/>
      <c r="M3152" s="176"/>
      <c r="N3152" s="176"/>
      <c r="O3152" s="176"/>
      <c r="P3152" s="114"/>
      <c r="Q3152" s="176"/>
      <c r="R3152" s="114"/>
      <c r="S3152" s="114"/>
      <c r="T3152" s="200"/>
      <c r="U3152" s="114"/>
      <c r="V3152" s="414"/>
      <c r="W3152" s="176"/>
      <c r="X3152" s="176"/>
      <c r="Y3152" s="176"/>
      <c r="Z3152" s="176"/>
    </row>
    <row r="3153" ht="15.75" customHeight="1">
      <c r="A3153" s="408"/>
      <c r="B3153" s="428"/>
      <c r="C3153" s="200"/>
      <c r="D3153" s="176"/>
      <c r="E3153" s="176"/>
      <c r="F3153" s="408"/>
      <c r="G3153" s="176"/>
      <c r="H3153" s="114"/>
      <c r="I3153" s="42"/>
      <c r="J3153" s="42"/>
      <c r="K3153" s="176"/>
      <c r="L3153" s="176"/>
      <c r="M3153" s="176"/>
      <c r="N3153" s="176"/>
      <c r="O3153" s="176"/>
      <c r="P3153" s="114"/>
      <c r="Q3153" s="176"/>
      <c r="R3153" s="114"/>
      <c r="S3153" s="114"/>
      <c r="T3153" s="200"/>
      <c r="U3153" s="114"/>
      <c r="V3153" s="414"/>
      <c r="W3153" s="176"/>
      <c r="X3153" s="176"/>
      <c r="Y3153" s="176"/>
      <c r="Z3153" s="176"/>
    </row>
    <row r="3154" ht="15.75" customHeight="1">
      <c r="A3154" s="408"/>
      <c r="B3154" s="428"/>
      <c r="C3154" s="200"/>
      <c r="D3154" s="176"/>
      <c r="E3154" s="176"/>
      <c r="F3154" s="408"/>
      <c r="G3154" s="176"/>
      <c r="H3154" s="114"/>
      <c r="I3154" s="42"/>
      <c r="J3154" s="42"/>
      <c r="K3154" s="176"/>
      <c r="L3154" s="176"/>
      <c r="M3154" s="176"/>
      <c r="N3154" s="176"/>
      <c r="O3154" s="176"/>
      <c r="P3154" s="114"/>
      <c r="Q3154" s="176"/>
      <c r="R3154" s="114"/>
      <c r="S3154" s="114"/>
      <c r="T3154" s="200"/>
      <c r="U3154" s="114"/>
      <c r="V3154" s="414"/>
      <c r="W3154" s="176"/>
      <c r="X3154" s="176"/>
      <c r="Y3154" s="176"/>
      <c r="Z3154" s="176"/>
    </row>
    <row r="3155" ht="15.75" customHeight="1">
      <c r="A3155" s="408"/>
      <c r="B3155" s="428"/>
      <c r="C3155" s="200"/>
      <c r="D3155" s="176"/>
      <c r="E3155" s="176"/>
      <c r="F3155" s="408"/>
      <c r="G3155" s="176"/>
      <c r="H3155" s="114"/>
      <c r="I3155" s="42"/>
      <c r="J3155" s="42"/>
      <c r="K3155" s="176"/>
      <c r="L3155" s="176"/>
      <c r="M3155" s="176"/>
      <c r="N3155" s="176"/>
      <c r="O3155" s="176"/>
      <c r="P3155" s="114"/>
      <c r="Q3155" s="176"/>
      <c r="R3155" s="114"/>
      <c r="S3155" s="114"/>
      <c r="T3155" s="200"/>
      <c r="U3155" s="114"/>
      <c r="V3155" s="414"/>
      <c r="W3155" s="176"/>
      <c r="X3155" s="176"/>
      <c r="Y3155" s="176"/>
      <c r="Z3155" s="176"/>
    </row>
    <row r="3156" ht="15.75" customHeight="1">
      <c r="A3156" s="408"/>
      <c r="B3156" s="428"/>
      <c r="C3156" s="200"/>
      <c r="D3156" s="176"/>
      <c r="E3156" s="176"/>
      <c r="F3156" s="408"/>
      <c r="G3156" s="176"/>
      <c r="H3156" s="114"/>
      <c r="I3156" s="42"/>
      <c r="J3156" s="42"/>
      <c r="K3156" s="176"/>
      <c r="L3156" s="176"/>
      <c r="M3156" s="176"/>
      <c r="N3156" s="176"/>
      <c r="O3156" s="176"/>
      <c r="P3156" s="114"/>
      <c r="Q3156" s="176"/>
      <c r="R3156" s="114"/>
      <c r="S3156" s="114"/>
      <c r="T3156" s="200"/>
      <c r="U3156" s="114"/>
      <c r="V3156" s="414"/>
      <c r="W3156" s="176"/>
      <c r="X3156" s="176"/>
      <c r="Y3156" s="176"/>
      <c r="Z3156" s="176"/>
    </row>
    <row r="3157" ht="15.75" customHeight="1">
      <c r="A3157" s="408"/>
      <c r="B3157" s="428"/>
      <c r="C3157" s="200"/>
      <c r="D3157" s="176"/>
      <c r="E3157" s="176"/>
      <c r="F3157" s="408"/>
      <c r="G3157" s="176"/>
      <c r="H3157" s="114"/>
      <c r="I3157" s="42"/>
      <c r="J3157" s="42"/>
      <c r="K3157" s="176"/>
      <c r="L3157" s="176"/>
      <c r="M3157" s="176"/>
      <c r="N3157" s="176"/>
      <c r="O3157" s="176"/>
      <c r="P3157" s="114"/>
      <c r="Q3157" s="176"/>
      <c r="R3157" s="114"/>
      <c r="S3157" s="114"/>
      <c r="T3157" s="200"/>
      <c r="U3157" s="114"/>
      <c r="V3157" s="414"/>
      <c r="W3157" s="176"/>
      <c r="X3157" s="176"/>
      <c r="Y3157" s="176"/>
      <c r="Z3157" s="176"/>
    </row>
    <row r="3158" ht="15.75" customHeight="1">
      <c r="A3158" s="408"/>
      <c r="B3158" s="428"/>
      <c r="C3158" s="200"/>
      <c r="D3158" s="176"/>
      <c r="E3158" s="176"/>
      <c r="F3158" s="408"/>
      <c r="G3158" s="176"/>
      <c r="H3158" s="114"/>
      <c r="I3158" s="42"/>
      <c r="J3158" s="42"/>
      <c r="K3158" s="176"/>
      <c r="L3158" s="176"/>
      <c r="M3158" s="176"/>
      <c r="N3158" s="176"/>
      <c r="O3158" s="176"/>
      <c r="P3158" s="114"/>
      <c r="Q3158" s="176"/>
      <c r="R3158" s="114"/>
      <c r="S3158" s="114"/>
      <c r="T3158" s="200"/>
      <c r="U3158" s="114"/>
      <c r="V3158" s="414"/>
      <c r="W3158" s="176"/>
      <c r="X3158" s="176"/>
      <c r="Y3158" s="176"/>
      <c r="Z3158" s="176"/>
    </row>
    <row r="3159" ht="15.75" customHeight="1">
      <c r="A3159" s="408"/>
      <c r="B3159" s="428"/>
      <c r="C3159" s="200"/>
      <c r="D3159" s="176"/>
      <c r="E3159" s="176"/>
      <c r="F3159" s="408"/>
      <c r="G3159" s="176"/>
      <c r="H3159" s="114"/>
      <c r="I3159" s="42"/>
      <c r="J3159" s="42"/>
      <c r="K3159" s="176"/>
      <c r="L3159" s="176"/>
      <c r="M3159" s="176"/>
      <c r="N3159" s="176"/>
      <c r="O3159" s="176"/>
      <c r="P3159" s="114"/>
      <c r="Q3159" s="176"/>
      <c r="R3159" s="114"/>
      <c r="S3159" s="114"/>
      <c r="T3159" s="200"/>
      <c r="U3159" s="114"/>
      <c r="V3159" s="414"/>
      <c r="W3159" s="176"/>
      <c r="X3159" s="176"/>
      <c r="Y3159" s="176"/>
      <c r="Z3159" s="176"/>
    </row>
    <row r="3160" ht="15.75" customHeight="1">
      <c r="A3160" s="408"/>
      <c r="B3160" s="428"/>
      <c r="C3160" s="200"/>
      <c r="D3160" s="176"/>
      <c r="E3160" s="176"/>
      <c r="F3160" s="408"/>
      <c r="G3160" s="176"/>
      <c r="H3160" s="114"/>
      <c r="I3160" s="42"/>
      <c r="J3160" s="42"/>
      <c r="K3160" s="176"/>
      <c r="L3160" s="176"/>
      <c r="M3160" s="176"/>
      <c r="N3160" s="176"/>
      <c r="O3160" s="176"/>
      <c r="P3160" s="114"/>
      <c r="Q3160" s="176"/>
      <c r="R3160" s="114"/>
      <c r="S3160" s="114"/>
      <c r="T3160" s="200"/>
      <c r="U3160" s="114"/>
      <c r="V3160" s="414"/>
      <c r="W3160" s="176"/>
      <c r="X3160" s="176"/>
      <c r="Y3160" s="176"/>
      <c r="Z3160" s="176"/>
    </row>
    <row r="3161" ht="15.75" customHeight="1">
      <c r="A3161" s="408"/>
      <c r="B3161" s="428"/>
      <c r="C3161" s="200"/>
      <c r="D3161" s="176"/>
      <c r="E3161" s="176"/>
      <c r="F3161" s="408"/>
      <c r="G3161" s="176"/>
      <c r="H3161" s="114"/>
      <c r="I3161" s="42"/>
      <c r="J3161" s="42"/>
      <c r="K3161" s="176"/>
      <c r="L3161" s="176"/>
      <c r="M3161" s="176"/>
      <c r="N3161" s="176"/>
      <c r="O3161" s="176"/>
      <c r="P3161" s="114"/>
      <c r="Q3161" s="176"/>
      <c r="R3161" s="114"/>
      <c r="S3161" s="114"/>
      <c r="T3161" s="200"/>
      <c r="U3161" s="114"/>
      <c r="V3161" s="414"/>
      <c r="W3161" s="176"/>
      <c r="X3161" s="176"/>
      <c r="Y3161" s="176"/>
      <c r="Z3161" s="176"/>
    </row>
    <row r="3162" ht="15.75" customHeight="1">
      <c r="A3162" s="408"/>
      <c r="B3162" s="428"/>
      <c r="C3162" s="200"/>
      <c r="D3162" s="176"/>
      <c r="E3162" s="176"/>
      <c r="F3162" s="408"/>
      <c r="G3162" s="176"/>
      <c r="H3162" s="114"/>
      <c r="I3162" s="42"/>
      <c r="J3162" s="42"/>
      <c r="K3162" s="176"/>
      <c r="L3162" s="176"/>
      <c r="M3162" s="176"/>
      <c r="N3162" s="176"/>
      <c r="O3162" s="176"/>
      <c r="P3162" s="114"/>
      <c r="Q3162" s="176"/>
      <c r="R3162" s="114"/>
      <c r="S3162" s="114"/>
      <c r="T3162" s="200"/>
      <c r="U3162" s="114"/>
      <c r="V3162" s="414"/>
      <c r="W3162" s="176"/>
      <c r="X3162" s="176"/>
      <c r="Y3162" s="176"/>
      <c r="Z3162" s="176"/>
    </row>
    <row r="3163" ht="15.75" customHeight="1">
      <c r="A3163" s="408"/>
      <c r="B3163" s="428"/>
      <c r="C3163" s="200"/>
      <c r="D3163" s="176"/>
      <c r="E3163" s="176"/>
      <c r="F3163" s="408"/>
      <c r="G3163" s="176"/>
      <c r="H3163" s="114"/>
      <c r="I3163" s="42"/>
      <c r="J3163" s="42"/>
      <c r="K3163" s="176"/>
      <c r="L3163" s="176"/>
      <c r="M3163" s="176"/>
      <c r="N3163" s="176"/>
      <c r="O3163" s="176"/>
      <c r="P3163" s="114"/>
      <c r="Q3163" s="176"/>
      <c r="R3163" s="114"/>
      <c r="S3163" s="114"/>
      <c r="T3163" s="200"/>
      <c r="U3163" s="114"/>
      <c r="V3163" s="414"/>
      <c r="W3163" s="176"/>
      <c r="X3163" s="176"/>
      <c r="Y3163" s="176"/>
      <c r="Z3163" s="176"/>
    </row>
    <row r="3164" ht="15.75" customHeight="1">
      <c r="A3164" s="408"/>
      <c r="B3164" s="428"/>
      <c r="C3164" s="200"/>
      <c r="D3164" s="176"/>
      <c r="E3164" s="176"/>
      <c r="F3164" s="408"/>
      <c r="G3164" s="176"/>
      <c r="H3164" s="114"/>
      <c r="I3164" s="42"/>
      <c r="J3164" s="42"/>
      <c r="K3164" s="176"/>
      <c r="L3164" s="176"/>
      <c r="M3164" s="176"/>
      <c r="N3164" s="176"/>
      <c r="O3164" s="176"/>
      <c r="P3164" s="114"/>
      <c r="Q3164" s="176"/>
      <c r="R3164" s="114"/>
      <c r="S3164" s="114"/>
      <c r="T3164" s="200"/>
      <c r="U3164" s="114"/>
      <c r="V3164" s="414"/>
      <c r="W3164" s="176"/>
      <c r="X3164" s="176"/>
      <c r="Y3164" s="176"/>
      <c r="Z3164" s="176"/>
    </row>
  </sheetData>
  <customSheetViews>
    <customSheetView guid="{B4B63EB2-831B-4B08-AE48-4EB4B30A06AD}" filter="1" showAutoFilter="1">
      <autoFilter ref="$A$4:$Z$1872">
        <filterColumn colId="9">
          <filters>
            <filter val="Informática"/>
            <filter val="Manufactura"/>
            <filter val="Petróleo"/>
            <filter val="Cotillon"/>
            <filter val="Inmobiliarios"/>
            <filter val="Bebidas"/>
            <filter val="-"/>
            <filter val="Automotor"/>
          </filters>
        </filterColumn>
      </autoFilter>
    </customSheetView>
  </customSheetViews>
  <mergeCells count="9">
    <mergeCell ref="Q3:R3"/>
    <mergeCell ref="S3:Y3"/>
    <mergeCell ref="B2:C2"/>
    <mergeCell ref="D2:N2"/>
    <mergeCell ref="O2:Y2"/>
    <mergeCell ref="B3:C3"/>
    <mergeCell ref="E3:H3"/>
    <mergeCell ref="I3:N3"/>
    <mergeCell ref="O3:P3"/>
  </mergeCells>
  <conditionalFormatting sqref="C4:C1874 C1876:C1897 B1898 C1899:C1936 A1937 C1938:C3164">
    <cfRule type="expression" dxfId="3" priority="1">
      <formula>"duplicado"</formula>
    </cfRule>
  </conditionalFormatting>
  <dataValidations>
    <dataValidation type="list" allowBlank="1" showErrorMessage="1" sqref="G5:G2179">
      <formula1>"Caseros,Ciudad Jardín Lomas del Palomar,Ciudadela,Ciudadela se estan mudando a San Martin,José Ingenieros,La Matanza,Loma Hermosa,Martín Coronado,Pablo Podestá,Sáenz Peña,San Martin,Santos Lugares,Villa Bosch,Villa Raffo,Churruca,-"</formula1>
    </dataValidation>
    <dataValidation type="list" allowBlank="1" showErrorMessage="1" sqref="J1 J5:J3164">
      <formula1>"Agropecuaria,Alimenticia,Automotor,Autopartes,Bebidas,Calzado,Caucho,Comercio,Construcción,Cosmética,Cotillon,Cuero,Electricidad,Electrónica,Fundicion,Gráfica,Imprenta,Industria,Informática,Inmobiliarios,Insumos medicos,Logística,Madera,Manufactura,Marmol"&amp;"eria,Metalmecánica,Metalúrgica,Minería,Olivicola,Orfebrería,Papel,Papelera,Petróleo,Piedra,Plástica,Publicidad,Química,Rubro,Servicios,Textil,Transporte,Vidrio,-"</formula1>
    </dataValidation>
    <dataValidation type="list" allowBlank="1" showErrorMessage="1" sqref="D5:D3164">
      <formula1>"Cooperativa,Distribuidora,Empresa,Monotributo,Persona Física,Persona Juridica ,-,rr,jcjj"</formula1>
    </dataValidation>
  </dataValidations>
  <hyperlinks>
    <hyperlink r:id="rId4" ref="V6"/>
    <hyperlink r:id="rId5" ref="V7"/>
    <hyperlink r:id="rId6" ref="V11"/>
    <hyperlink r:id="rId7" ref="V12"/>
    <hyperlink r:id="rId8" ref="V13"/>
    <hyperlink r:id="rId9" ref="V16"/>
    <hyperlink r:id="rId10" ref="V19"/>
    <hyperlink r:id="rId11" ref="V22"/>
    <hyperlink r:id="rId12" ref="V23"/>
    <hyperlink r:id="rId13" ref="V24"/>
    <hyperlink r:id="rId14" ref="V27"/>
    <hyperlink r:id="rId15" ref="V29"/>
    <hyperlink r:id="rId16" ref="V34"/>
    <hyperlink r:id="rId17" ref="V37"/>
    <hyperlink r:id="rId18" ref="V39"/>
    <hyperlink r:id="rId19" ref="V40"/>
    <hyperlink r:id="rId20" ref="V45"/>
    <hyperlink r:id="rId21" ref="V47"/>
    <hyperlink r:id="rId22" ref="V53"/>
    <hyperlink r:id="rId23" ref="V54"/>
    <hyperlink r:id="rId24" ref="V55"/>
    <hyperlink r:id="rId25" ref="V58"/>
    <hyperlink r:id="rId26" ref="V59"/>
    <hyperlink r:id="rId27" ref="V64"/>
    <hyperlink r:id="rId28" ref="V65"/>
    <hyperlink r:id="rId29" ref="V68"/>
    <hyperlink r:id="rId30" ref="V70"/>
    <hyperlink r:id="rId31" ref="V71"/>
    <hyperlink r:id="rId32" ref="V72"/>
    <hyperlink r:id="rId33" ref="V75"/>
    <hyperlink r:id="rId34" ref="V80"/>
    <hyperlink r:id="rId35" ref="V84"/>
    <hyperlink r:id="rId36" ref="V85"/>
    <hyperlink r:id="rId37" ref="V86"/>
    <hyperlink r:id="rId38" ref="V89"/>
    <hyperlink r:id="rId39" ref="V92"/>
    <hyperlink r:id="rId40" ref="V95"/>
    <hyperlink r:id="rId41" ref="V96"/>
    <hyperlink r:id="rId42" ref="V97"/>
    <hyperlink r:id="rId43" ref="V99"/>
    <hyperlink r:id="rId44" ref="V106"/>
    <hyperlink r:id="rId45" ref="V109"/>
    <hyperlink r:id="rId46" ref="V117"/>
    <hyperlink r:id="rId47" ref="V120"/>
    <hyperlink r:id="rId48" ref="V121"/>
    <hyperlink r:id="rId49" ref="V126"/>
    <hyperlink r:id="rId50" ref="V129"/>
    <hyperlink r:id="rId51" ref="V132"/>
    <hyperlink r:id="rId52" ref="V133"/>
    <hyperlink r:id="rId53" ref="V138"/>
    <hyperlink r:id="rId54" ref="V139"/>
    <hyperlink r:id="rId55" ref="V142"/>
    <hyperlink r:id="rId56" ref="V150"/>
    <hyperlink r:id="rId57" ref="V152"/>
    <hyperlink r:id="rId58" ref="V153"/>
    <hyperlink r:id="rId59" ref="V154"/>
    <hyperlink r:id="rId60" ref="V155"/>
    <hyperlink r:id="rId61" ref="V157"/>
    <hyperlink r:id="rId62" ref="V160"/>
    <hyperlink r:id="rId63" ref="V161"/>
    <hyperlink r:id="rId64" ref="V164"/>
    <hyperlink r:id="rId65" ref="V165"/>
    <hyperlink r:id="rId66" ref="V167"/>
    <hyperlink r:id="rId67" ref="V170"/>
    <hyperlink r:id="rId68" ref="V171"/>
    <hyperlink r:id="rId69" ref="V172"/>
    <hyperlink r:id="rId70" ref="V184"/>
    <hyperlink r:id="rId71" ref="V187"/>
    <hyperlink r:id="rId72" ref="V188"/>
    <hyperlink r:id="rId73" ref="V190"/>
    <hyperlink r:id="rId74" ref="V191"/>
    <hyperlink r:id="rId75" ref="V193"/>
    <hyperlink r:id="rId76" ref="V195"/>
    <hyperlink r:id="rId77" ref="V196"/>
    <hyperlink r:id="rId78" ref="V199"/>
    <hyperlink r:id="rId79" ref="V200"/>
    <hyperlink r:id="rId80" ref="V201"/>
    <hyperlink r:id="rId81" ref="V203"/>
    <hyperlink r:id="rId82" ref="V204"/>
    <hyperlink r:id="rId83" ref="V210"/>
    <hyperlink r:id="rId84" ref="V221"/>
    <hyperlink r:id="rId85" ref="V222"/>
    <hyperlink r:id="rId86" ref="V223"/>
    <hyperlink r:id="rId87" ref="C226"/>
    <hyperlink r:id="rId88" ref="T226"/>
    <hyperlink r:id="rId89" ref="V229"/>
    <hyperlink r:id="rId90" ref="V233"/>
    <hyperlink r:id="rId91" ref="V234"/>
    <hyperlink r:id="rId92" ref="V235"/>
    <hyperlink r:id="rId93" ref="V236"/>
    <hyperlink r:id="rId94" ref="V237"/>
    <hyperlink r:id="rId95" ref="V238"/>
    <hyperlink r:id="rId96" ref="V242"/>
    <hyperlink r:id="rId97" ref="V243"/>
    <hyperlink r:id="rId98" ref="V248"/>
    <hyperlink r:id="rId99" ref="U251"/>
    <hyperlink r:id="rId100" ref="V251"/>
    <hyperlink r:id="rId101" ref="V256"/>
    <hyperlink r:id="rId102" ref="V259"/>
    <hyperlink r:id="rId103" ref="V262"/>
    <hyperlink r:id="rId104" ref="V265"/>
    <hyperlink r:id="rId105" ref="V270"/>
    <hyperlink r:id="rId106" ref="V283"/>
    <hyperlink r:id="rId107" ref="V284"/>
    <hyperlink r:id="rId108" ref="V285"/>
    <hyperlink r:id="rId109" ref="V286"/>
    <hyperlink r:id="rId110" ref="V292"/>
    <hyperlink r:id="rId111" ref="V295"/>
    <hyperlink r:id="rId112" ref="V297"/>
    <hyperlink r:id="rId113" ref="V315"/>
    <hyperlink r:id="rId114" ref="V318"/>
    <hyperlink r:id="rId115" ref="V319"/>
    <hyperlink r:id="rId116" ref="V321"/>
    <hyperlink r:id="rId117" ref="V322"/>
    <hyperlink r:id="rId118" ref="V325"/>
    <hyperlink r:id="rId119" ref="V329"/>
    <hyperlink r:id="rId120" ref="V332"/>
    <hyperlink r:id="rId121" ref="V333"/>
    <hyperlink r:id="rId122" ref="V336"/>
    <hyperlink r:id="rId123" location="!/-bienvenido/" ref="V342"/>
    <hyperlink r:id="rId124" ref="V344"/>
    <hyperlink r:id="rId125" ref="V350"/>
    <hyperlink r:id="rId126" ref="V352"/>
    <hyperlink r:id="rId127" ref="V354"/>
    <hyperlink r:id="rId128" ref="V355"/>
    <hyperlink r:id="rId129" ref="V357"/>
    <hyperlink r:id="rId130" ref="V359"/>
    <hyperlink r:id="rId131" ref="V361"/>
    <hyperlink r:id="rId132" ref="V366"/>
    <hyperlink r:id="rId133" ref="V367"/>
    <hyperlink r:id="rId134" ref="V368"/>
    <hyperlink r:id="rId135" ref="V369"/>
    <hyperlink r:id="rId136" ref="V370"/>
    <hyperlink r:id="rId137" ref="V373"/>
    <hyperlink r:id="rId138" ref="V374"/>
    <hyperlink r:id="rId139" ref="V376"/>
    <hyperlink r:id="rId140" ref="V377"/>
    <hyperlink r:id="rId141" ref="V378"/>
    <hyperlink r:id="rId142" ref="V380"/>
    <hyperlink r:id="rId143" ref="V381"/>
    <hyperlink r:id="rId144" ref="V382"/>
    <hyperlink r:id="rId145" ref="V385"/>
    <hyperlink r:id="rId146" ref="V387"/>
    <hyperlink r:id="rId147" ref="V389"/>
    <hyperlink r:id="rId148" ref="V392"/>
    <hyperlink r:id="rId149" ref="V393"/>
    <hyperlink r:id="rId150" ref="V395"/>
    <hyperlink r:id="rId151" ref="V396"/>
    <hyperlink r:id="rId152" ref="V408"/>
    <hyperlink r:id="rId153" ref="V410"/>
    <hyperlink r:id="rId154" ref="V411"/>
    <hyperlink r:id="rId155" ref="V412"/>
    <hyperlink r:id="rId156" ref="V413"/>
    <hyperlink r:id="rId157" ref="V415"/>
    <hyperlink r:id="rId158" ref="V416"/>
    <hyperlink r:id="rId159" ref="V417"/>
    <hyperlink r:id="rId160" ref="V418"/>
    <hyperlink r:id="rId161" ref="V420"/>
    <hyperlink r:id="rId162" ref="V424"/>
    <hyperlink r:id="rId163" ref="V425"/>
    <hyperlink r:id="rId164" ref="V427"/>
    <hyperlink r:id="rId165" ref="V428"/>
    <hyperlink r:id="rId166" ref="V430"/>
    <hyperlink r:id="rId167" ref="V432"/>
    <hyperlink r:id="rId168" ref="V434"/>
    <hyperlink r:id="rId169" ref="V436"/>
    <hyperlink r:id="rId170" ref="V437"/>
    <hyperlink r:id="rId171" ref="V438"/>
    <hyperlink r:id="rId172" ref="V439"/>
    <hyperlink r:id="rId173" ref="V441"/>
    <hyperlink r:id="rId174" ref="V443"/>
    <hyperlink r:id="rId175" ref="V446"/>
    <hyperlink r:id="rId176" ref="V447"/>
    <hyperlink r:id="rId177" ref="V449"/>
    <hyperlink r:id="rId178" ref="V451"/>
    <hyperlink r:id="rId179" ref="V452"/>
    <hyperlink r:id="rId180" ref="V453"/>
    <hyperlink r:id="rId181" ref="V454"/>
    <hyperlink r:id="rId182" ref="V477"/>
    <hyperlink r:id="rId183" location="contacto" ref="V483"/>
    <hyperlink r:id="rId184" ref="V484"/>
    <hyperlink r:id="rId185" ref="V488"/>
    <hyperlink r:id="rId186" ref="V490"/>
    <hyperlink r:id="rId187" ref="V495"/>
    <hyperlink r:id="rId188" ref="V496"/>
    <hyperlink r:id="rId189" ref="V497"/>
    <hyperlink r:id="rId190" ref="V498"/>
    <hyperlink r:id="rId191" ref="V499"/>
    <hyperlink r:id="rId192" ref="V502"/>
    <hyperlink r:id="rId193" ref="V503"/>
    <hyperlink r:id="rId194" ref="V511"/>
    <hyperlink r:id="rId195" ref="V515"/>
    <hyperlink r:id="rId196" ref="V517"/>
    <hyperlink r:id="rId197" ref="V520"/>
    <hyperlink r:id="rId198" ref="V522"/>
    <hyperlink r:id="rId199" ref="V535"/>
    <hyperlink r:id="rId200" ref="V537"/>
    <hyperlink r:id="rId201" ref="V539"/>
    <hyperlink r:id="rId202" ref="V549"/>
    <hyperlink r:id="rId203" ref="V554"/>
    <hyperlink r:id="rId204" ref="V557"/>
    <hyperlink r:id="rId205" ref="V558"/>
    <hyperlink r:id="rId206" ref="V561"/>
    <hyperlink r:id="rId207" ref="V568"/>
    <hyperlink r:id="rId208" ref="V574"/>
    <hyperlink r:id="rId209" ref="V575"/>
    <hyperlink r:id="rId210" ref="V577"/>
    <hyperlink r:id="rId211" ref="V581"/>
    <hyperlink r:id="rId212" ref="V583"/>
    <hyperlink r:id="rId213" ref="V588"/>
    <hyperlink r:id="rId214" ref="V593"/>
    <hyperlink r:id="rId215" ref="V596"/>
    <hyperlink r:id="rId216" ref="V598"/>
    <hyperlink r:id="rId217" ref="V602"/>
    <hyperlink r:id="rId218" ref="V604"/>
    <hyperlink r:id="rId219" ref="V607"/>
    <hyperlink r:id="rId220" ref="V611"/>
    <hyperlink r:id="rId221" ref="V615"/>
    <hyperlink r:id="rId222" ref="V617"/>
    <hyperlink r:id="rId223" ref="V619"/>
    <hyperlink r:id="rId224" ref="V622"/>
    <hyperlink r:id="rId225" ref="V625"/>
    <hyperlink r:id="rId226" ref="V626"/>
    <hyperlink r:id="rId227" ref="V627"/>
    <hyperlink r:id="rId228" ref="V631"/>
    <hyperlink r:id="rId229" ref="V634"/>
    <hyperlink r:id="rId230" ref="V637"/>
    <hyperlink r:id="rId231" ref="V639"/>
    <hyperlink r:id="rId232" ref="V649"/>
    <hyperlink r:id="rId233" ref="V655"/>
    <hyperlink r:id="rId234" ref="V658"/>
    <hyperlink r:id="rId235" ref="V667"/>
    <hyperlink r:id="rId236" ref="V669"/>
    <hyperlink r:id="rId237" ref="V675"/>
    <hyperlink r:id="rId238" ref="V678"/>
    <hyperlink r:id="rId239" ref="V682"/>
    <hyperlink r:id="rId240" ref="V683"/>
    <hyperlink r:id="rId241" ref="V684"/>
    <hyperlink r:id="rId242" ref="V699"/>
    <hyperlink r:id="rId243" ref="V701"/>
    <hyperlink r:id="rId244" ref="V702"/>
    <hyperlink r:id="rId245" ref="V706"/>
    <hyperlink r:id="rId246" ref="V707"/>
    <hyperlink r:id="rId247" ref="V709"/>
    <hyperlink r:id="rId248" ref="V710"/>
    <hyperlink r:id="rId249" ref="V713"/>
    <hyperlink r:id="rId250" ref="V715"/>
    <hyperlink r:id="rId251" ref="V716"/>
    <hyperlink r:id="rId252" ref="V717"/>
    <hyperlink r:id="rId253" ref="V718"/>
    <hyperlink r:id="rId254" ref="V722"/>
    <hyperlink r:id="rId255" ref="V724"/>
    <hyperlink r:id="rId256" ref="V725"/>
    <hyperlink r:id="rId257" ref="V727"/>
    <hyperlink r:id="rId258" ref="V728"/>
    <hyperlink r:id="rId259" ref="V729"/>
    <hyperlink r:id="rId260" ref="V741"/>
    <hyperlink r:id="rId261" ref="V742"/>
    <hyperlink r:id="rId262" ref="V743"/>
    <hyperlink r:id="rId263" ref="V744"/>
    <hyperlink r:id="rId264" ref="V755"/>
    <hyperlink r:id="rId265" ref="V756"/>
    <hyperlink r:id="rId266" ref="V758"/>
    <hyperlink r:id="rId267" ref="V759"/>
    <hyperlink r:id="rId268" ref="V767"/>
    <hyperlink r:id="rId269" ref="V768"/>
    <hyperlink r:id="rId270" ref="V773"/>
    <hyperlink r:id="rId271" ref="V774"/>
    <hyperlink r:id="rId272" ref="V784"/>
    <hyperlink r:id="rId273" ref="V785"/>
    <hyperlink r:id="rId274" ref="V788"/>
    <hyperlink r:id="rId275" ref="V793"/>
    <hyperlink r:id="rId276" ref="V802"/>
    <hyperlink r:id="rId277" ref="V805"/>
    <hyperlink r:id="rId278" ref="V807"/>
    <hyperlink r:id="rId279" ref="V808"/>
    <hyperlink r:id="rId280" ref="V812"/>
    <hyperlink r:id="rId281" ref="V829"/>
    <hyperlink r:id="rId282" ref="V835"/>
    <hyperlink r:id="rId283" ref="V847"/>
    <hyperlink r:id="rId284" ref="V849"/>
    <hyperlink r:id="rId285" ref="V854"/>
    <hyperlink r:id="rId286" location="details" ref="V855"/>
    <hyperlink r:id="rId287" ref="V857"/>
    <hyperlink r:id="rId288" ref="V871"/>
    <hyperlink r:id="rId289" ref="V872"/>
    <hyperlink r:id="rId290" ref="V877"/>
    <hyperlink r:id="rId291" ref="V879"/>
    <hyperlink r:id="rId292" ref="V880"/>
    <hyperlink r:id="rId293" ref="V881"/>
    <hyperlink r:id="rId294" ref="V883"/>
    <hyperlink r:id="rId295" ref="V884"/>
    <hyperlink r:id="rId296" ref="V890"/>
    <hyperlink r:id="rId297" ref="V893"/>
    <hyperlink r:id="rId298" ref="V895"/>
    <hyperlink r:id="rId299" ref="V897"/>
    <hyperlink r:id="rId300" ref="V900"/>
    <hyperlink r:id="rId301" ref="V905"/>
    <hyperlink r:id="rId302" ref="V908"/>
    <hyperlink r:id="rId303" ref="V919"/>
    <hyperlink r:id="rId304" ref="V921"/>
    <hyperlink r:id="rId305" ref="V922"/>
    <hyperlink r:id="rId306" ref="V924"/>
    <hyperlink r:id="rId307" ref="V925"/>
    <hyperlink r:id="rId308" ref="V926"/>
    <hyperlink r:id="rId309" ref="V927"/>
    <hyperlink r:id="rId310" ref="V930"/>
    <hyperlink r:id="rId311" ref="U932"/>
    <hyperlink r:id="rId312" ref="V932"/>
    <hyperlink r:id="rId313" ref="V933"/>
    <hyperlink r:id="rId314" ref="V934"/>
    <hyperlink r:id="rId315" ref="V935"/>
    <hyperlink r:id="rId316" ref="V937"/>
    <hyperlink r:id="rId317" ref="V939"/>
    <hyperlink r:id="rId318" ref="V940"/>
    <hyperlink r:id="rId319" ref="V943"/>
    <hyperlink r:id="rId320" ref="V944"/>
    <hyperlink r:id="rId321" ref="V945"/>
    <hyperlink r:id="rId322" ref="V946"/>
    <hyperlink r:id="rId323" ref="V947"/>
    <hyperlink r:id="rId324" ref="V953"/>
    <hyperlink r:id="rId325" ref="V954"/>
    <hyperlink r:id="rId326" ref="V955"/>
    <hyperlink r:id="rId327" ref="V956"/>
    <hyperlink r:id="rId328" ref="V957"/>
    <hyperlink r:id="rId329" ref="V961"/>
    <hyperlink r:id="rId330" ref="V962"/>
    <hyperlink r:id="rId331" ref="V963"/>
    <hyperlink r:id="rId332" ref="V965"/>
    <hyperlink r:id="rId333" ref="V966"/>
    <hyperlink r:id="rId334" ref="V968"/>
    <hyperlink r:id="rId335" ref="V969"/>
    <hyperlink r:id="rId336" ref="V970"/>
    <hyperlink r:id="rId337" ref="V974"/>
    <hyperlink r:id="rId338" ref="V978"/>
    <hyperlink r:id="rId339" ref="V983"/>
    <hyperlink r:id="rId340" ref="V987"/>
    <hyperlink r:id="rId341" ref="V992"/>
    <hyperlink r:id="rId342" location="gsc.tab=0" ref="V993"/>
    <hyperlink r:id="rId343" ref="V997"/>
    <hyperlink r:id="rId344" ref="V1002"/>
    <hyperlink r:id="rId345" ref="V1003"/>
    <hyperlink r:id="rId346" ref="V1004"/>
    <hyperlink r:id="rId347" ref="V1007"/>
    <hyperlink r:id="rId348" ref="V1010"/>
    <hyperlink r:id="rId349" ref="V1012"/>
    <hyperlink r:id="rId350" ref="V1013"/>
    <hyperlink r:id="rId351" ref="V1014"/>
    <hyperlink r:id="rId352" ref="V1015"/>
    <hyperlink r:id="rId353" ref="V1016"/>
    <hyperlink r:id="rId354" ref="V1017"/>
    <hyperlink r:id="rId355" ref="V1018"/>
    <hyperlink r:id="rId356" ref="V1019"/>
    <hyperlink r:id="rId357" ref="V1020"/>
    <hyperlink r:id="rId358" ref="V1022"/>
    <hyperlink r:id="rId359" ref="V1023"/>
    <hyperlink r:id="rId360" ref="V1024"/>
    <hyperlink r:id="rId361" ref="V1028"/>
    <hyperlink r:id="rId362" ref="V1035"/>
    <hyperlink r:id="rId363" ref="V1036"/>
    <hyperlink r:id="rId364" ref="V1045"/>
    <hyperlink r:id="rId365" ref="V1050"/>
    <hyperlink r:id="rId366" location="!/-inicio-2/" ref="V1067"/>
    <hyperlink r:id="rId367" ref="V1068"/>
    <hyperlink r:id="rId368" ref="V1070"/>
    <hyperlink r:id="rId369" ref="V1074"/>
    <hyperlink r:id="rId370" ref="V1078"/>
    <hyperlink r:id="rId371" ref="V1079"/>
    <hyperlink r:id="rId372" ref="V1081"/>
    <hyperlink r:id="rId373" ref="V1084"/>
    <hyperlink r:id="rId374" ref="V1086"/>
    <hyperlink r:id="rId375" ref="V1091"/>
    <hyperlink r:id="rId376" ref="V1093"/>
    <hyperlink r:id="rId377" ref="V1095"/>
    <hyperlink r:id="rId378" ref="V1096"/>
    <hyperlink r:id="rId379" ref="V1103"/>
    <hyperlink r:id="rId380" ref="V1104"/>
    <hyperlink r:id="rId381" ref="V1106"/>
    <hyperlink r:id="rId382" location="somos" ref="V1112"/>
    <hyperlink r:id="rId383" ref="V1121"/>
    <hyperlink r:id="rId384" ref="B1133"/>
    <hyperlink r:id="rId385" ref="V1134"/>
    <hyperlink r:id="rId386" ref="V1138"/>
    <hyperlink r:id="rId387" ref="V1140"/>
    <hyperlink r:id="rId388" ref="V1141"/>
    <hyperlink r:id="rId389" ref="V1148"/>
    <hyperlink r:id="rId390" ref="V1155"/>
    <hyperlink r:id="rId391" ref="V1159"/>
    <hyperlink r:id="rId392" ref="V1160"/>
    <hyperlink r:id="rId393" ref="V1163"/>
    <hyperlink r:id="rId394" ref="V1170"/>
    <hyperlink r:id="rId395" ref="T1173"/>
    <hyperlink r:id="rId396" ref="V1175"/>
    <hyperlink r:id="rId397" ref="V1178"/>
    <hyperlink r:id="rId398" ref="V1180"/>
    <hyperlink r:id="rId399" ref="T1185"/>
    <hyperlink r:id="rId400" ref="V1186"/>
    <hyperlink r:id="rId401" location="!/-bienvenido/?ancla=Dimension%C3%A1+tu+sistema" ref="V1188"/>
    <hyperlink r:id="rId402" ref="V1196"/>
    <hyperlink r:id="rId403" ref="V1202"/>
    <hyperlink r:id="rId404" ref="S1203"/>
    <hyperlink r:id="rId405" ref="V1204"/>
    <hyperlink r:id="rId406" ref="V1210"/>
    <hyperlink r:id="rId407" ref="V1219"/>
    <hyperlink r:id="rId408" ref="V1221"/>
    <hyperlink r:id="rId409" ref="V1222"/>
    <hyperlink r:id="rId410" ref="V1225"/>
    <hyperlink r:id="rId411" ref="V1226"/>
    <hyperlink r:id="rId412" ref="V1228"/>
    <hyperlink r:id="rId413" ref="V1237"/>
    <hyperlink r:id="rId414" ref="V1238"/>
    <hyperlink r:id="rId415" ref="V1240"/>
    <hyperlink r:id="rId416" ref="V1255"/>
    <hyperlink r:id="rId417" ref="V1256"/>
    <hyperlink r:id="rId418" ref="V1263"/>
    <hyperlink r:id="rId419" ref="V1267"/>
    <hyperlink r:id="rId420" ref="V1270"/>
    <hyperlink r:id="rId421" ref="S1271"/>
    <hyperlink r:id="rId422" ref="V1276"/>
    <hyperlink r:id="rId423" ref="V1278"/>
    <hyperlink r:id="rId424" ref="V1294"/>
    <hyperlink r:id="rId425" ref="V1319"/>
    <hyperlink r:id="rId426" ref="V1324"/>
    <hyperlink r:id="rId427" ref="V1327"/>
    <hyperlink r:id="rId428" ref="V1342"/>
    <hyperlink r:id="rId429" ref="V1353"/>
    <hyperlink r:id="rId430" ref="V1358"/>
    <hyperlink r:id="rId431" ref="V1360"/>
    <hyperlink r:id="rId432" ref="V1366"/>
    <hyperlink r:id="rId433" ref="V1367"/>
    <hyperlink r:id="rId434" ref="V1370"/>
    <hyperlink r:id="rId435" ref="V1381"/>
    <hyperlink r:id="rId436" ref="V1382"/>
    <hyperlink r:id="rId437" ref="V1383"/>
    <hyperlink r:id="rId438" ref="V1389"/>
    <hyperlink r:id="rId439" ref="V1393"/>
    <hyperlink r:id="rId440" ref="V1394"/>
    <hyperlink r:id="rId441" ref="V1402"/>
    <hyperlink r:id="rId442" location="firstPage" ref="V1403"/>
    <hyperlink r:id="rId443" ref="V1407"/>
    <hyperlink r:id="rId444" ref="V1411"/>
    <hyperlink r:id="rId445" ref="U1413"/>
    <hyperlink r:id="rId446" ref="V1415"/>
    <hyperlink r:id="rId447" ref="V1417"/>
    <hyperlink r:id="rId448" ref="V1423"/>
    <hyperlink r:id="rId449" ref="P1427"/>
    <hyperlink r:id="rId450" ref="V1428"/>
    <hyperlink r:id="rId451" ref="V1439"/>
    <hyperlink r:id="rId452" ref="V1451"/>
    <hyperlink r:id="rId453" ref="V1452"/>
    <hyperlink r:id="rId454" ref="V1454"/>
    <hyperlink r:id="rId455" ref="V1457"/>
    <hyperlink r:id="rId456" ref="V1461"/>
    <hyperlink r:id="rId457" ref="V1463"/>
    <hyperlink r:id="rId458" ref="V1465"/>
    <hyperlink r:id="rId459" ref="V1468"/>
    <hyperlink r:id="rId460" ref="V1470"/>
    <hyperlink r:id="rId461" ref="S1471"/>
    <hyperlink r:id="rId462" ref="V1473"/>
    <hyperlink r:id="rId463" ref="V1484"/>
    <hyperlink r:id="rId464" ref="V1500"/>
    <hyperlink r:id="rId465" ref="V1507"/>
    <hyperlink r:id="rId466" ref="S1509"/>
    <hyperlink r:id="rId467" ref="V1513"/>
    <hyperlink r:id="rId468" ref="V1521"/>
    <hyperlink r:id="rId469" ref="V1523"/>
    <hyperlink r:id="rId470" ref="V1524"/>
    <hyperlink r:id="rId471" ref="V1527"/>
    <hyperlink r:id="rId472" ref="V1531"/>
    <hyperlink r:id="rId473" ref="V1539"/>
    <hyperlink r:id="rId474" ref="V1540"/>
    <hyperlink r:id="rId475" ref="V1549"/>
    <hyperlink r:id="rId476" ref="V1556"/>
    <hyperlink r:id="rId477" ref="V1557"/>
    <hyperlink r:id="rId478" ref="V1563"/>
    <hyperlink r:id="rId479" ref="V1569"/>
    <hyperlink r:id="rId480" ref="V1570"/>
    <hyperlink r:id="rId481" ref="V1572"/>
    <hyperlink r:id="rId482" ref="V1577"/>
    <hyperlink r:id="rId483" ref="V1579"/>
    <hyperlink r:id="rId484" ref="V1582"/>
    <hyperlink r:id="rId485" ref="V1583"/>
    <hyperlink r:id="rId486" ref="V1584"/>
    <hyperlink r:id="rId487" ref="V1587"/>
    <hyperlink r:id="rId488" ref="V1593"/>
    <hyperlink r:id="rId489" ref="V1599"/>
    <hyperlink r:id="rId490" ref="V1603"/>
    <hyperlink r:id="rId491" ref="V1604"/>
    <hyperlink r:id="rId492" ref="V1606"/>
    <hyperlink r:id="rId493" ref="V1609"/>
    <hyperlink r:id="rId494" ref="V1611"/>
    <hyperlink r:id="rId495" ref="V1614"/>
    <hyperlink r:id="rId496" ref="V1616"/>
    <hyperlink r:id="rId497" ref="V1619"/>
    <hyperlink r:id="rId498" ref="V1629"/>
    <hyperlink r:id="rId499" ref="V1641"/>
    <hyperlink r:id="rId500" ref="V1648"/>
    <hyperlink r:id="rId501" ref="V1650"/>
    <hyperlink r:id="rId502" ref="V1658"/>
    <hyperlink r:id="rId503" ref="V1660"/>
    <hyperlink r:id="rId504" ref="V1671"/>
    <hyperlink r:id="rId505" ref="V1675"/>
    <hyperlink r:id="rId506" ref="V1682"/>
    <hyperlink r:id="rId507" ref="V1690"/>
    <hyperlink r:id="rId508" ref="V1695"/>
    <hyperlink r:id="rId509" ref="V1699"/>
    <hyperlink r:id="rId510" ref="V1700"/>
    <hyperlink r:id="rId511" ref="V1701"/>
    <hyperlink r:id="rId512" ref="V1703"/>
    <hyperlink r:id="rId513" ref="V1705"/>
    <hyperlink r:id="rId514" ref="V1711"/>
    <hyperlink r:id="rId515" ref="V1713"/>
    <hyperlink r:id="rId516" ref="V1720"/>
    <hyperlink r:id="rId517" ref="V1729"/>
    <hyperlink r:id="rId518" ref="V1730"/>
    <hyperlink r:id="rId519" ref="V1731"/>
    <hyperlink r:id="rId520" ref="V1737"/>
    <hyperlink r:id="rId521" ref="V1747"/>
    <hyperlink r:id="rId522" ref="V1750"/>
    <hyperlink r:id="rId523" location="!/-home/" ref="V1752"/>
    <hyperlink r:id="rId524" ref="V1764"/>
    <hyperlink r:id="rId525" ref="V1766"/>
    <hyperlink r:id="rId526" ref="V1770"/>
    <hyperlink r:id="rId527" ref="V1775"/>
    <hyperlink r:id="rId528" ref="V1776"/>
    <hyperlink r:id="rId529" ref="V1778"/>
    <hyperlink r:id="rId530" ref="V1780"/>
    <hyperlink r:id="rId531" ref="V1781"/>
    <hyperlink r:id="rId532" ref="V1782"/>
    <hyperlink r:id="rId533" ref="V1784"/>
    <hyperlink r:id="rId534" ref="V1785"/>
    <hyperlink r:id="rId535" location="!/-inicio/" ref="V1786"/>
    <hyperlink r:id="rId536" location="!/-inicio/" ref="V1787"/>
    <hyperlink r:id="rId537" ref="V1788"/>
    <hyperlink r:id="rId538" ref="V1797"/>
    <hyperlink r:id="rId539" ref="V1800"/>
    <hyperlink r:id="rId540" ref="V1804"/>
    <hyperlink r:id="rId541" ref="V1817"/>
    <hyperlink r:id="rId542" ref="V1818"/>
    <hyperlink r:id="rId543" ref="V1822"/>
    <hyperlink r:id="rId544" ref="V1829"/>
    <hyperlink r:id="rId545" ref="V1835"/>
    <hyperlink r:id="rId546" ref="V1836"/>
    <hyperlink r:id="rId547" ref="V1837"/>
    <hyperlink r:id="rId548" ref="V1838"/>
    <hyperlink r:id="rId549" ref="V1847"/>
    <hyperlink r:id="rId550" ref="V1848"/>
    <hyperlink r:id="rId551" ref="V1849"/>
    <hyperlink r:id="rId552" ref="V1855"/>
    <hyperlink r:id="rId553" ref="V1857"/>
    <hyperlink r:id="rId554" ref="V1864"/>
    <hyperlink r:id="rId555" ref="V1865"/>
    <hyperlink r:id="rId556" ref="T1866"/>
    <hyperlink r:id="rId557" ref="V1867"/>
    <hyperlink r:id="rId558" ref="V1872"/>
    <hyperlink r:id="rId559" ref="V1879"/>
    <hyperlink r:id="rId560" ref="V1881"/>
    <hyperlink r:id="rId561" ref="V1886"/>
    <hyperlink r:id="rId562" ref="V1890"/>
    <hyperlink r:id="rId563" ref="V1897"/>
    <hyperlink r:id="rId564" ref="V1900"/>
    <hyperlink r:id="rId565" ref="V1902"/>
    <hyperlink r:id="rId566" ref="V1903"/>
    <hyperlink r:id="rId567" ref="V1905"/>
    <hyperlink r:id="rId568" ref="V1910"/>
    <hyperlink r:id="rId569" ref="V1912"/>
    <hyperlink r:id="rId570" ref="V1913"/>
    <hyperlink r:id="rId571" ref="V1918"/>
    <hyperlink r:id="rId572" ref="V1919"/>
    <hyperlink r:id="rId573" ref="V1921"/>
    <hyperlink r:id="rId574" ref="V1923"/>
    <hyperlink r:id="rId575" ref="V1929"/>
    <hyperlink r:id="rId576" ref="V1936"/>
    <hyperlink r:id="rId577" ref="V1939"/>
    <hyperlink r:id="rId578" ref="V1940"/>
    <hyperlink r:id="rId579" ref="V1941"/>
    <hyperlink r:id="rId580" ref="V1943"/>
    <hyperlink r:id="rId581" ref="V1946"/>
    <hyperlink r:id="rId582" ref="V1947"/>
    <hyperlink r:id="rId583" ref="V1952"/>
    <hyperlink r:id="rId584" ref="V1958"/>
    <hyperlink r:id="rId585" ref="V1962"/>
    <hyperlink r:id="rId586" ref="C2124"/>
    <hyperlink r:id="rId587" ref="P2166"/>
  </hyperlinks>
  <printOptions/>
  <pageMargins bottom="0.75" footer="0.0" header="0.0" left="0.25" right="0.25" top="0.75"/>
  <pageSetup paperSize="5" orientation="portrait"/>
  <drawing r:id="rId588"/>
  <legacyDrawing r:id="rId589"/>
  <tableParts count="13">
    <tablePart r:id="rId603"/>
    <tablePart r:id="rId604"/>
    <tablePart r:id="rId605"/>
    <tablePart r:id="rId606"/>
    <tablePart r:id="rId607"/>
    <tablePart r:id="rId608"/>
    <tablePart r:id="rId609"/>
    <tablePart r:id="rId610"/>
    <tablePart r:id="rId611"/>
    <tablePart r:id="rId612"/>
    <tablePart r:id="rId613"/>
    <tablePart r:id="rId614"/>
    <tablePart r:id="rId61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3.0"/>
    <col customWidth="1" min="2" max="2" width="26.29"/>
    <col customWidth="1" min="3" max="3" width="25.43"/>
    <col customWidth="1" min="4" max="4" width="43.43"/>
    <col customWidth="1" min="5" max="6" width="18.29"/>
  </cols>
  <sheetData>
    <row r="1">
      <c r="A1" s="33" t="s">
        <v>59</v>
      </c>
      <c r="B1" s="35" t="s">
        <v>65</v>
      </c>
      <c r="C1" s="35" t="s">
        <v>67</v>
      </c>
      <c r="D1" s="35" t="s">
        <v>69</v>
      </c>
      <c r="E1" s="35" t="s">
        <v>70</v>
      </c>
      <c r="F1" s="36" t="s">
        <v>71</v>
      </c>
      <c r="G1" s="38"/>
    </row>
    <row r="2">
      <c r="A2" s="40" t="s">
        <v>80</v>
      </c>
      <c r="C2" s="42"/>
      <c r="D2" s="43" t="s">
        <v>104</v>
      </c>
      <c r="E2" s="10" t="s">
        <v>109</v>
      </c>
      <c r="F2" s="46" t="s">
        <v>115</v>
      </c>
    </row>
    <row r="3">
      <c r="A3" s="40" t="s">
        <v>80</v>
      </c>
      <c r="C3" s="42"/>
      <c r="D3" s="43" t="s">
        <v>122</v>
      </c>
      <c r="E3" s="10" t="s">
        <v>109</v>
      </c>
      <c r="F3" s="46" t="s">
        <v>115</v>
      </c>
    </row>
    <row r="4">
      <c r="A4" s="50" t="s">
        <v>123</v>
      </c>
      <c r="B4" s="54" t="str">
        <f>IF(A4="", "", IF(IFERROR(VLOOKUP(A4, 'Base 3F'!$B:$C, 2, FALSE),"")="", "SIN CUIT", VLOOKUP(A4, 'Base 3F'!$B:$C, 2, FALSE)))</f>
        <v>30709328995 | 30710682816</v>
      </c>
      <c r="C4" s="42" t="str">
        <f>IF(A4="", "", IF(IFERROR(VLOOKUP(A4, 'Base 3F'!$B:$J, 9, FALSE),"")="", "SIN RUBRO", VLOOKUP(A4, 'Base 3F'!$B:$J, 9, FALSE)))</f>
        <v>Papel</v>
      </c>
      <c r="D4" s="58" t="s">
        <v>7</v>
      </c>
      <c r="E4" s="10" t="s">
        <v>109</v>
      </c>
      <c r="F4" s="46" t="s">
        <v>115</v>
      </c>
    </row>
    <row r="5">
      <c r="A5" s="59" t="s">
        <v>173</v>
      </c>
      <c r="B5" s="54">
        <f>IF(A5="", "", IF(IFERROR(VLOOKUP(A5, 'Base 3F'!$B:$C, 2, FALSE),"")="", "SIN CUIT", VLOOKUP(A5, 'Base 3F'!$B:$C, 2, FALSE)))</f>
        <v>30710393725</v>
      </c>
      <c r="C5" s="42" t="str">
        <f>IF(A5="", "", IF(IFERROR(VLOOKUP(A5, 'Base 3F'!$B:$J, 9, FALSE),"")="", "SIN RUBRO", VLOOKUP(A5, 'Base 3F'!$B:$J, 9, FALSE)))</f>
        <v>Metalúrgica</v>
      </c>
      <c r="D5" s="58" t="s">
        <v>8</v>
      </c>
      <c r="E5" s="10" t="s">
        <v>109</v>
      </c>
      <c r="F5" s="46" t="s">
        <v>115</v>
      </c>
    </row>
    <row r="6">
      <c r="A6" s="68" t="s">
        <v>216</v>
      </c>
      <c r="B6" s="54">
        <f>IF(A6="", "", IF(IFERROR(VLOOKUP(A6, 'Base 3F'!$B:$C, 2, FALSE),"")="", "SIN CUIT", VLOOKUP(A6, 'Base 3F'!$B:$C, 2, FALSE)))</f>
        <v>20105339330</v>
      </c>
      <c r="C6" s="42" t="str">
        <f>IF(A6="", "", IF(IFERROR(VLOOKUP(A6, 'Base 3F'!$B:$J, 9, FALSE),"")="", "SIN RUBRO", VLOOKUP(A6, 'Base 3F'!$B:$J, 9, FALSE)))</f>
        <v>Metalúrgica</v>
      </c>
      <c r="D6" s="58" t="s">
        <v>9</v>
      </c>
      <c r="E6" s="10" t="s">
        <v>109</v>
      </c>
      <c r="F6" s="46" t="s">
        <v>115</v>
      </c>
    </row>
    <row r="7">
      <c r="A7" s="50" t="s">
        <v>257</v>
      </c>
      <c r="B7" s="54">
        <f>IF(A7="", "", IF(IFERROR(VLOOKUP(A7, 'Base 3F'!$B:$C, 2, FALSE),"")="", "SIN CUIT", VLOOKUP(A7, 'Base 3F'!$B:$C, 2, FALSE)))</f>
        <v>30707576444</v>
      </c>
      <c r="C7" s="42" t="str">
        <f>IF(A7="", "", IF(IFERROR(VLOOKUP(A7, 'Base 3F'!$B:$J, 9, FALSE),"")="", "SIN RUBRO", VLOOKUP(A7, 'Base 3F'!$B:$J, 9, FALSE)))</f>
        <v>Metalúrgica</v>
      </c>
      <c r="D7" s="58" t="s">
        <v>10</v>
      </c>
      <c r="E7" s="10" t="s">
        <v>109</v>
      </c>
      <c r="F7" s="46" t="s">
        <v>115</v>
      </c>
    </row>
    <row r="8">
      <c r="A8" s="82" t="s">
        <v>287</v>
      </c>
      <c r="B8" s="10">
        <v>3.3715692649E10</v>
      </c>
      <c r="C8" s="42" t="str">
        <f>IF(A8="", "", IF(IFERROR(VLOOKUP(A8, 'Base 3F'!$B:$J, 9, FALSE),"")="", "SIN RUBRO", VLOOKUP(A8, 'Base 3F'!$B:$J, 9, FALSE)))</f>
        <v>Metalúrgica</v>
      </c>
      <c r="D8" s="88" t="s">
        <v>11</v>
      </c>
      <c r="E8" s="10" t="s">
        <v>109</v>
      </c>
      <c r="F8" s="46" t="s">
        <v>310</v>
      </c>
    </row>
    <row r="9">
      <c r="A9" s="50" t="s">
        <v>311</v>
      </c>
      <c r="B9" s="54">
        <f>IF(A9="", "", IF(IFERROR(VLOOKUP(A9, 'Base 3F'!$B:$C, 2, FALSE),"")="", "SIN CUIT", VLOOKUP(A9, 'Base 3F'!$B:$C, 2, FALSE)))</f>
        <v>30708161272</v>
      </c>
      <c r="C9" s="42" t="str">
        <f>IF(A9="", "", IF(IFERROR(VLOOKUP(A9, 'Base 3F'!$B:$J, 9, FALSE),"")="", "SIN RUBRO", VLOOKUP(A9, 'Base 3F'!$B:$J, 9, FALSE)))</f>
        <v>Metalúrgica</v>
      </c>
      <c r="D9" s="96" t="s">
        <v>12</v>
      </c>
      <c r="E9" s="10" t="s">
        <v>109</v>
      </c>
      <c r="F9" s="46" t="s">
        <v>115</v>
      </c>
    </row>
    <row r="10">
      <c r="A10" s="50" t="s">
        <v>339</v>
      </c>
      <c r="B10" s="54">
        <f>IF(A10="", "", IF(IFERROR(VLOOKUP(A10, 'Base 3F'!$B:$C, 2, FALSE),"")="", "SIN CUIT", VLOOKUP(A10, 'Base 3F'!$B:$C, 2, FALSE)))</f>
        <v>30584398694</v>
      </c>
      <c r="C10" s="42" t="str">
        <f>IF(A10="", "", IF(IFERROR(VLOOKUP(A10, 'Base 3F'!$B:$J, 9, FALSE),"")="", "SIN RUBRO", VLOOKUP(A10, 'Base 3F'!$B:$J, 9, FALSE)))</f>
        <v>Metalúrgica</v>
      </c>
      <c r="D10" s="58" t="s">
        <v>361</v>
      </c>
      <c r="E10" s="10" t="s">
        <v>109</v>
      </c>
      <c r="F10" s="46" t="s">
        <v>115</v>
      </c>
    </row>
    <row r="11">
      <c r="A11" s="50" t="s">
        <v>365</v>
      </c>
      <c r="B11" s="54">
        <f>IF(A11="", "", IF(IFERROR(VLOOKUP(A11, 'Base 3F'!$B:$C, 2, FALSE),"")="", "SIN CUIT", VLOOKUP(A11, 'Base 3F'!$B:$C, 2, FALSE)))</f>
        <v>33708320159</v>
      </c>
      <c r="C11" s="42" t="str">
        <f>IF(A11="", "", IF(IFERROR(VLOOKUP(A11, 'Base 3F'!$B:$J, 9, FALSE),"")="", "SIN RUBRO", VLOOKUP(A11, 'Base 3F'!$B:$J, 9, FALSE)))</f>
        <v>Alimenticia</v>
      </c>
      <c r="D11" s="58" t="s">
        <v>16</v>
      </c>
      <c r="E11" s="10" t="s">
        <v>109</v>
      </c>
      <c r="F11" s="46" t="s">
        <v>115</v>
      </c>
    </row>
    <row r="12">
      <c r="A12" s="50" t="s">
        <v>390</v>
      </c>
      <c r="B12" s="54">
        <f>IF(A12="", "", IF(IFERROR(VLOOKUP(A12, 'Base 3F'!$B:$C, 2, FALSE),"")="", "SIN CUIT", VLOOKUP(A12, 'Base 3F'!$B:$C, 2, FALSE)))</f>
        <v>30708354011</v>
      </c>
      <c r="C12" s="42" t="str">
        <f>IF(A12="", "", IF(IFERROR(VLOOKUP(A12, 'Base 3F'!$B:$J, 9, FALSE),"")="", "SIN RUBRO", VLOOKUP(A12, 'Base 3F'!$B:$J, 9, FALSE)))</f>
        <v>Química</v>
      </c>
      <c r="D12" s="58" t="s">
        <v>17</v>
      </c>
      <c r="E12" s="10" t="s">
        <v>109</v>
      </c>
      <c r="F12" s="46" t="s">
        <v>115</v>
      </c>
    </row>
    <row r="13">
      <c r="A13" s="50" t="s">
        <v>417</v>
      </c>
      <c r="B13" s="54">
        <f>IF(A13="", "", IF(IFERROR(VLOOKUP(A13, 'Base 3F'!$B:$C, 2, FALSE),"")="", "SIN CUIT", VLOOKUP(A13, 'Base 3F'!$B:$C, 2, FALSE)))</f>
        <v>20262813720</v>
      </c>
      <c r="C13" s="42" t="str">
        <f>IF(A13="", "", IF(IFERROR(VLOOKUP(A13, 'Base 3F'!$B:$J, 9, FALSE),"")="", "SIN RUBRO", VLOOKUP(A13, 'Base 3F'!$B:$J, 9, FALSE)))</f>
        <v>Plástica</v>
      </c>
      <c r="D13" s="58" t="s">
        <v>18</v>
      </c>
      <c r="E13" s="10" t="s">
        <v>109</v>
      </c>
      <c r="F13" s="46" t="s">
        <v>115</v>
      </c>
    </row>
    <row r="14">
      <c r="A14" s="50" t="s">
        <v>444</v>
      </c>
      <c r="B14" s="54">
        <f>IF(A14="", "", IF(IFERROR(VLOOKUP(A14, 'Base 3F'!$B:$C, 2, FALSE),"")="", "SIN CUIT", VLOOKUP(A14, 'Base 3F'!$B:$C, 2, FALSE)))</f>
        <v>30712300023</v>
      </c>
      <c r="C14" s="42" t="str">
        <f>IF(A14="", "", IF(IFERROR(VLOOKUP(A14, 'Base 3F'!$B:$J, 9, FALSE),"")="", "SIN RUBRO", VLOOKUP(A14, 'Base 3F'!$B:$J, 9, FALSE)))</f>
        <v>Metalmecánica</v>
      </c>
      <c r="D14" s="58" t="s">
        <v>19</v>
      </c>
      <c r="E14" s="10" t="s">
        <v>109</v>
      </c>
      <c r="F14" s="46" t="s">
        <v>115</v>
      </c>
    </row>
    <row r="15">
      <c r="A15" s="50" t="s">
        <v>470</v>
      </c>
      <c r="B15" s="54">
        <f>IF(A15="", "", IF(IFERROR(VLOOKUP(A15, 'Base 3F'!$B:$C, 2, FALSE),"")="", "SIN CUIT", VLOOKUP(A15, 'Base 3F'!$B:$C, 2, FALSE)))</f>
        <v>33646972979</v>
      </c>
      <c r="C15" s="42" t="str">
        <f>IF(A15="", "", IF(IFERROR(VLOOKUP(A15, 'Base 3F'!$B:$J, 9, FALSE),"")="", "SIN RUBRO", VLOOKUP(A15, 'Base 3F'!$B:$J, 9, FALSE)))</f>
        <v>Textil</v>
      </c>
      <c r="D15" s="58" t="s">
        <v>20</v>
      </c>
      <c r="E15" s="10" t="s">
        <v>109</v>
      </c>
      <c r="F15" s="46" t="s">
        <v>115</v>
      </c>
    </row>
    <row r="16">
      <c r="A16" s="59" t="s">
        <v>494</v>
      </c>
      <c r="B16" s="54">
        <f>IF(A16="", "", IF(IFERROR(VLOOKUP(A16, 'Base 3F'!$B:$C, 2, FALSE),"")="", "SIN CUIT", VLOOKUP(A16, 'Base 3F'!$B:$C, 2, FALSE)))</f>
        <v>30647279909</v>
      </c>
      <c r="C16" s="42" t="str">
        <f>IF(A16="", "", IF(IFERROR(VLOOKUP(A16, 'Base 3F'!$B:$J, 9, FALSE),"")="", "SIN RUBRO", VLOOKUP(A16, 'Base 3F'!$B:$J, 9, FALSE)))</f>
        <v>Metalúrgica</v>
      </c>
      <c r="D16" s="58" t="s">
        <v>21</v>
      </c>
      <c r="E16" s="10" t="s">
        <v>109</v>
      </c>
      <c r="F16" s="46" t="s">
        <v>115</v>
      </c>
    </row>
    <row r="17">
      <c r="A17" s="50" t="s">
        <v>511</v>
      </c>
      <c r="B17" s="54">
        <f>IF(A17="", "", IF(IFERROR(VLOOKUP(A17, 'Base 3F'!$B:$C, 2, FALSE),"")="", "SIN CUIT", VLOOKUP(A17, 'Base 3F'!$B:$C, 2, FALSE)))</f>
        <v>30595286189</v>
      </c>
      <c r="C17" s="42" t="str">
        <f>IF(A17="", "", IF(IFERROR(VLOOKUP(A17, 'Base 3F'!$B:$J, 9, FALSE),"")="", "SIN RUBRO", VLOOKUP(A17, 'Base 3F'!$B:$J, 9, FALSE)))</f>
        <v>Textil</v>
      </c>
      <c r="D17" s="58" t="s">
        <v>23</v>
      </c>
      <c r="E17" s="10" t="s">
        <v>109</v>
      </c>
      <c r="F17" s="46" t="s">
        <v>115</v>
      </c>
    </row>
    <row r="18">
      <c r="A18" s="50" t="s">
        <v>529</v>
      </c>
      <c r="B18" s="54">
        <f>IF(A18="", "", IF(IFERROR(VLOOKUP(A18, 'Base 3F'!$B:$C, 2, FALSE),"")="", "SIN CUIT", VLOOKUP(A18, 'Base 3F'!$B:$C, 2, FALSE)))</f>
        <v>30709636991</v>
      </c>
      <c r="C18" s="42" t="str">
        <f>IF(A18="", "", IF(IFERROR(VLOOKUP(A18, 'Base 3F'!$B:$J, 9, FALSE),"")="", "SIN RUBRO", VLOOKUP(A18, 'Base 3F'!$B:$J, 9, FALSE)))</f>
        <v>Metalúrgica</v>
      </c>
      <c r="D18" s="58" t="s">
        <v>454</v>
      </c>
      <c r="E18" s="10" t="s">
        <v>109</v>
      </c>
      <c r="F18" s="46" t="s">
        <v>115</v>
      </c>
    </row>
    <row r="19">
      <c r="A19" s="120" t="s">
        <v>529</v>
      </c>
      <c r="B19" s="54">
        <f>IF(A19="", "", IF(IFERROR(VLOOKUP(A19, 'Base 3F'!$B:$C, 2, FALSE),"")="", "SIN CUIT", VLOOKUP(A19, 'Base 3F'!$B:$C, 2, FALSE)))</f>
        <v>30709636991</v>
      </c>
      <c r="C19" s="42" t="str">
        <f>IF(A19="", "", IF(IFERROR(VLOOKUP(A19, 'Base 3F'!$B:$J, 9, FALSE),"")="", "SIN RUBRO", VLOOKUP(A19, 'Base 3F'!$B:$J, 9, FALSE)))</f>
        <v>Metalúrgica</v>
      </c>
      <c r="D19" s="122" t="s">
        <v>25</v>
      </c>
      <c r="E19" s="10" t="s">
        <v>109</v>
      </c>
      <c r="F19" s="46" t="s">
        <v>115</v>
      </c>
    </row>
    <row r="20">
      <c r="A20" s="50" t="s">
        <v>585</v>
      </c>
      <c r="B20" s="54">
        <f>IF(A20="", "", IF(IFERROR(VLOOKUP(A20, 'Base 3F'!$B:$C, 2, FALSE),"")="", "SIN CUIT", VLOOKUP(A20, 'Base 3F'!$B:$C, 2, FALSE)))</f>
        <v>30714502367</v>
      </c>
      <c r="C20" s="42" t="str">
        <f>IF(A20="", "", IF(IFERROR(VLOOKUP(A20, 'Base 3F'!$B:$J, 9, FALSE),"")="", "SIN RUBRO", VLOOKUP(A20, 'Base 3F'!$B:$J, 9, FALSE)))</f>
        <v>Alimenticia</v>
      </c>
      <c r="D20" s="58" t="s">
        <v>611</v>
      </c>
      <c r="E20" s="10" t="s">
        <v>109</v>
      </c>
      <c r="F20" s="46" t="s">
        <v>115</v>
      </c>
    </row>
    <row r="21">
      <c r="A21" s="50" t="s">
        <v>616</v>
      </c>
      <c r="B21" s="54">
        <f>IF(A21="", "", IF(IFERROR(VLOOKUP(A21, 'Base 3F'!$B:$C, 2, FALSE),"")="", "SIN CUIT", VLOOKUP(A21, 'Base 3F'!$B:$C, 2, FALSE)))</f>
        <v>30661450602</v>
      </c>
      <c r="C21" s="42" t="str">
        <f>IF(A21="", "", IF(IFERROR(VLOOKUP(A21, 'Base 3F'!$B:$J, 9, FALSE),"")="", "SIN RUBRO", VLOOKUP(A21, 'Base 3F'!$B:$J, 9, FALSE)))</f>
        <v>Alimenticia</v>
      </c>
      <c r="D21" s="58" t="s">
        <v>28</v>
      </c>
      <c r="E21" s="10" t="s">
        <v>109</v>
      </c>
      <c r="F21" s="46" t="s">
        <v>115</v>
      </c>
    </row>
    <row r="22">
      <c r="A22" s="59" t="s">
        <v>643</v>
      </c>
      <c r="B22" s="54">
        <f>IF(A22="", "", IF(IFERROR(VLOOKUP(A22, 'Base 3F'!$B:$C, 2, FALSE),"")="", "SIN CUIT", VLOOKUP(A22, 'Base 3F'!$B:$C, 2, FALSE)))</f>
        <v>30583370028</v>
      </c>
      <c r="C22" s="42" t="str">
        <f>IF(A22="", "", IF(IFERROR(VLOOKUP(A22, 'Base 3F'!$B:$J, 9, FALSE),"")="", "SIN RUBRO", VLOOKUP(A22, 'Base 3F'!$B:$J, 9, FALSE)))</f>
        <v>Alimenticia</v>
      </c>
      <c r="D22" s="133" t="s">
        <v>29</v>
      </c>
      <c r="E22" s="10" t="s">
        <v>109</v>
      </c>
      <c r="F22" s="46" t="s">
        <v>115</v>
      </c>
    </row>
    <row r="23">
      <c r="A23" s="50" t="s">
        <v>672</v>
      </c>
      <c r="B23" s="54">
        <f>IF(A23="", "", IF(IFERROR(VLOOKUP(A23, 'Base 3F'!$B:$C, 2, FALSE),"")="", "SIN CUIT", VLOOKUP(A23, 'Base 3F'!$B:$C, 2, FALSE)))</f>
        <v>30711181551</v>
      </c>
      <c r="C23" s="42" t="str">
        <f>IF(A23="", "", IF(IFERROR(VLOOKUP(A23, 'Base 3F'!$B:$J, 9, FALSE),"")="", "SIN RUBRO", VLOOKUP(A23, 'Base 3F'!$B:$J, 9, FALSE)))</f>
        <v>Metalúrgica</v>
      </c>
      <c r="D23" s="58" t="s">
        <v>694</v>
      </c>
      <c r="E23" s="10" t="s">
        <v>109</v>
      </c>
      <c r="F23" s="46" t="s">
        <v>115</v>
      </c>
    </row>
    <row r="24">
      <c r="A24" s="50" t="s">
        <v>701</v>
      </c>
      <c r="B24" s="54">
        <f>IF(A24="", "", IF(IFERROR(VLOOKUP(A24, 'Base 3F'!$B:$C, 2, FALSE),"")="", "SIN CUIT", VLOOKUP(A24, 'Base 3F'!$B:$C, 2, FALSE)))</f>
        <v>30708138246</v>
      </c>
      <c r="C24" s="42" t="str">
        <f>IF(A24="", "", IF(IFERROR(VLOOKUP(A24, 'Base 3F'!$B:$J, 9, FALSE),"")="", "SIN RUBRO", VLOOKUP(A24, 'Base 3F'!$B:$J, 9, FALSE)))</f>
        <v>Papel</v>
      </c>
      <c r="D24" s="136" t="s">
        <v>34</v>
      </c>
      <c r="E24" s="10" t="s">
        <v>109</v>
      </c>
      <c r="F24" s="46" t="s">
        <v>115</v>
      </c>
    </row>
    <row r="25">
      <c r="A25" s="50" t="s">
        <v>739</v>
      </c>
      <c r="B25" s="54">
        <f>IF(A25="", "", IF(IFERROR(VLOOKUP(A25, 'Base 3F'!$B:$C, 2, FALSE),"")="", "SIN CUIT", VLOOKUP(A25, 'Base 3F'!$B:$C, 2, FALSE)))</f>
        <v>30701152715</v>
      </c>
      <c r="C25" s="42" t="str">
        <f>IF(A25="", "", IF(IFERROR(VLOOKUP(A25, 'Base 3F'!$B:$J, 9, FALSE),"")="", "SIN RUBRO", VLOOKUP(A25, 'Base 3F'!$B:$J, 9, FALSE)))</f>
        <v>Metalúrgica</v>
      </c>
      <c r="D25" s="58" t="s">
        <v>35</v>
      </c>
      <c r="E25" s="10" t="s">
        <v>109</v>
      </c>
      <c r="F25" s="46" t="s">
        <v>115</v>
      </c>
    </row>
    <row r="26">
      <c r="A26" s="50" t="s">
        <v>773</v>
      </c>
      <c r="B26" s="54">
        <f>IF(A26="", "", IF(IFERROR(VLOOKUP(A26, 'Base 3F'!$B:$C, 2, FALSE),"")="", "SIN CUIT", VLOOKUP(A26, 'Base 3F'!$B:$C, 2, FALSE)))</f>
        <v>30710800231</v>
      </c>
      <c r="C26" s="42" t="str">
        <f>IF(A26="", "", IF(IFERROR(VLOOKUP(A26, 'Base 3F'!$B:$J, 9, FALSE),"")="", "SIN RUBRO", VLOOKUP(A26, 'Base 3F'!$B:$J, 9, FALSE)))</f>
        <v>Metalúrgica</v>
      </c>
      <c r="D26" s="58" t="s">
        <v>36</v>
      </c>
      <c r="E26" s="10" t="s">
        <v>109</v>
      </c>
      <c r="F26" s="46" t="s">
        <v>115</v>
      </c>
    </row>
    <row r="27">
      <c r="A27" s="50" t="s">
        <v>802</v>
      </c>
      <c r="B27" s="54">
        <f>IF(A27="", "", IF(IFERROR(VLOOKUP(A27, 'Base 3F'!$B:$C, 2, FALSE),"")="", "SIN CUIT", VLOOKUP(A27, 'Base 3F'!$B:$C, 2, FALSE)))</f>
        <v>30654784082</v>
      </c>
      <c r="C27" s="42" t="str">
        <f>IF(A27="", "", IF(IFERROR(VLOOKUP(A27, 'Base 3F'!$B:$J, 9, FALSE),"")="", "SIN RUBRO", VLOOKUP(A27, 'Base 3F'!$B:$J, 9, FALSE)))</f>
        <v>Gráfica</v>
      </c>
      <c r="D27" s="142" t="s">
        <v>38</v>
      </c>
      <c r="E27" s="10" t="s">
        <v>109</v>
      </c>
      <c r="F27" s="46" t="s">
        <v>115</v>
      </c>
    </row>
    <row r="28">
      <c r="A28" s="50" t="s">
        <v>844</v>
      </c>
      <c r="B28" s="54">
        <f>IF(A28="", "", IF(IFERROR(VLOOKUP(A28, 'Base 3F'!$B:$C, 2, FALSE),"")="", "SIN CUIT", VLOOKUP(A28, 'Base 3F'!$B:$C, 2, FALSE)))</f>
        <v>30707831002</v>
      </c>
      <c r="C28" s="42" t="str">
        <f>IF(A28="", "", IF(IFERROR(VLOOKUP(A28, 'Base 3F'!$B:$J, 9, FALSE),"")="", "SIN RUBRO", VLOOKUP(A28, 'Base 3F'!$B:$J, 9, FALSE)))</f>
        <v>Metalúrgica</v>
      </c>
      <c r="D28" s="58" t="s">
        <v>39</v>
      </c>
      <c r="E28" s="10" t="s">
        <v>109</v>
      </c>
      <c r="F28" s="46" t="s">
        <v>115</v>
      </c>
    </row>
    <row r="29">
      <c r="A29" s="59" t="s">
        <v>880</v>
      </c>
      <c r="B29" s="54">
        <f>IF(A29="", "", IF(IFERROR(VLOOKUP(A29, 'Base 3F'!$B:$C, 2, FALSE),"")="", "SIN CUIT", VLOOKUP(A29, 'Base 3F'!$B:$C, 2, FALSE)))</f>
        <v>30505166414</v>
      </c>
      <c r="C29" s="42" t="str">
        <f>IF(A29="", "", IF(IFERROR(VLOOKUP(A29, 'Base 3F'!$B:$J, 9, FALSE),"")="", "SIN RUBRO", VLOOKUP(A29, 'Base 3F'!$B:$J, 9, FALSE)))</f>
        <v>Metalúrgica</v>
      </c>
      <c r="D29" s="58" t="s">
        <v>42</v>
      </c>
      <c r="E29" s="10" t="s">
        <v>109</v>
      </c>
      <c r="F29" s="46" t="s">
        <v>115</v>
      </c>
    </row>
    <row r="30">
      <c r="A30" s="68" t="s">
        <v>905</v>
      </c>
      <c r="B30" s="54">
        <f>IF(A30="", "", IF(IFERROR(VLOOKUP(A30, 'Base 3F'!$B:$C, 2, FALSE),"")="", "SIN CUIT", VLOOKUP(A30, 'Base 3F'!$B:$C, 2, FALSE)))</f>
        <v>30711603340</v>
      </c>
      <c r="C30" s="42" t="str">
        <f>IF(A30="", "", IF(IFERROR(VLOOKUP(A30, 'Base 3F'!$B:$J, 9, FALSE),"")="", "SIN RUBRO", VLOOKUP(A30, 'Base 3F'!$B:$J, 9, FALSE)))</f>
        <v>Textil</v>
      </c>
      <c r="D30" s="58" t="s">
        <v>43</v>
      </c>
      <c r="E30" s="10" t="s">
        <v>109</v>
      </c>
      <c r="F30" s="46" t="s">
        <v>115</v>
      </c>
    </row>
    <row r="31">
      <c r="A31" s="50" t="s">
        <v>942</v>
      </c>
      <c r="B31" s="54">
        <f>IF(A31="", "", IF(IFERROR(VLOOKUP(A31, 'Base 3F'!$B:$C, 2, FALSE),"")="", "SIN CUIT", VLOOKUP(A31, 'Base 3F'!$B:$C, 2, FALSE)))</f>
        <v>30663821993</v>
      </c>
      <c r="C31" s="42" t="str">
        <f>IF(A31="", "", IF(IFERROR(VLOOKUP(A31, 'Base 3F'!$B:$J, 9, FALSE),"")="", "SIN RUBRO", VLOOKUP(A31, 'Base 3F'!$B:$J, 9, FALSE)))</f>
        <v>Construcción</v>
      </c>
      <c r="D31" s="58" t="s">
        <v>972</v>
      </c>
      <c r="E31" s="10" t="s">
        <v>109</v>
      </c>
      <c r="F31" s="46" t="s">
        <v>115</v>
      </c>
    </row>
    <row r="32">
      <c r="A32" s="50" t="s">
        <v>976</v>
      </c>
      <c r="B32" s="54">
        <f>IF(A32="", "", IF(IFERROR(VLOOKUP(A32, 'Base 3F'!$B:$C, 2, FALSE),"")="", "SIN CUIT", VLOOKUP(A32, 'Base 3F'!$B:$C, 2, FALSE)))</f>
        <v>30703245184</v>
      </c>
      <c r="C32" s="42" t="str">
        <f>IF(A32="", "", IF(IFERROR(VLOOKUP(A32, 'Base 3F'!$B:$J, 9, FALSE),"")="", "SIN RUBRO", VLOOKUP(A32, 'Base 3F'!$B:$J, 9, FALSE)))</f>
        <v>Alimenticia</v>
      </c>
      <c r="D32" s="58" t="s">
        <v>44</v>
      </c>
      <c r="E32" s="10" t="s">
        <v>109</v>
      </c>
      <c r="F32" s="46" t="s">
        <v>115</v>
      </c>
    </row>
    <row r="33">
      <c r="A33" s="59" t="s">
        <v>1006</v>
      </c>
      <c r="B33" s="54">
        <f>IF(A33="", "", IF(IFERROR(VLOOKUP(A33, 'Base 3F'!$B:$C, 2, FALSE),"")="", "SIN CUIT", VLOOKUP(A33, 'Base 3F'!$B:$C, 2, FALSE)))</f>
        <v>30690604562</v>
      </c>
      <c r="C33" s="42" t="str">
        <f>IF(A33="", "", IF(IFERROR(VLOOKUP(A33, 'Base 3F'!$B:$J, 9, FALSE),"")="", "SIN RUBRO", VLOOKUP(A33, 'Base 3F'!$B:$J, 9, FALSE)))</f>
        <v>Química</v>
      </c>
      <c r="D33" s="58" t="s">
        <v>45</v>
      </c>
      <c r="E33" s="10" t="s">
        <v>109</v>
      </c>
      <c r="F33" s="46" t="s">
        <v>115</v>
      </c>
    </row>
    <row r="34">
      <c r="A34" s="50" t="s">
        <v>1021</v>
      </c>
      <c r="B34" s="54">
        <f>IF(A34="", "", IF(IFERROR(VLOOKUP(A34, 'Base 3F'!$B:$C, 2, FALSE),"")="", "SIN CUIT", VLOOKUP(A34, 'Base 3F'!$B:$C, 2, FALSE)))</f>
        <v>30685317040</v>
      </c>
      <c r="C34" s="42" t="str">
        <f>IF(A34="", "", IF(IFERROR(VLOOKUP(A34, 'Base 3F'!$B:$J, 9, FALSE),"")="", "SIN RUBRO", VLOOKUP(A34, 'Base 3F'!$B:$J, 9, FALSE)))</f>
        <v>Calzado</v>
      </c>
      <c r="D34" s="58" t="s">
        <v>46</v>
      </c>
      <c r="E34" s="10" t="s">
        <v>109</v>
      </c>
      <c r="F34" s="46" t="s">
        <v>115</v>
      </c>
    </row>
    <row r="35">
      <c r="A35" s="59" t="s">
        <v>1040</v>
      </c>
      <c r="B35" s="54">
        <f>IF(A35="", "", IF(IFERROR(VLOOKUP(A35, 'Base 3F'!$B:$C, 2, FALSE),"")="", "SIN CUIT", VLOOKUP(A35, 'Base 3F'!$B:$C, 2, FALSE)))</f>
        <v>33707830889</v>
      </c>
      <c r="C35" s="42" t="str">
        <f>IF(A35="", "", IF(IFERROR(VLOOKUP(A35, 'Base 3F'!$B:$J, 9, FALSE),"")="", "SIN RUBRO", VLOOKUP(A35, 'Base 3F'!$B:$J, 9, FALSE)))</f>
        <v>Servicios</v>
      </c>
      <c r="D35" s="58" t="s">
        <v>49</v>
      </c>
      <c r="E35" s="10" t="s">
        <v>109</v>
      </c>
      <c r="F35" s="46" t="s">
        <v>115</v>
      </c>
    </row>
    <row r="36">
      <c r="A36" s="50" t="s">
        <v>1048</v>
      </c>
      <c r="B36" s="54">
        <f>IF(A36="", "", IF(IFERROR(VLOOKUP(A36, 'Base 3F'!$B:$C, 2, FALSE),"")="", "SIN CUIT", VLOOKUP(A36, 'Base 3F'!$B:$C, 2, FALSE)))</f>
        <v>30715206583</v>
      </c>
      <c r="C36" s="42" t="str">
        <f>IF(A36="", "", IF(IFERROR(VLOOKUP(A36, 'Base 3F'!$B:$J, 9, FALSE),"")="", "SIN RUBRO", VLOOKUP(A36, 'Base 3F'!$B:$J, 9, FALSE)))</f>
        <v>Metalúrgica</v>
      </c>
      <c r="D36" s="58" t="s">
        <v>1055</v>
      </c>
      <c r="E36" s="10" t="s">
        <v>109</v>
      </c>
      <c r="F36" s="46" t="s">
        <v>115</v>
      </c>
    </row>
    <row r="37">
      <c r="A37" s="50" t="s">
        <v>1057</v>
      </c>
      <c r="B37" s="54">
        <f>IF(A37="", "", IF(IFERROR(VLOOKUP(A37, 'Base 3F'!$B:$C, 2, FALSE),"")="", "SIN CUIT", VLOOKUP(A37, 'Base 3F'!$B:$C, 2, FALSE)))</f>
        <v>30652774942</v>
      </c>
      <c r="C37" s="42" t="str">
        <f>IF(A37="", "", IF(IFERROR(VLOOKUP(A37, 'Base 3F'!$B:$J, 9, FALSE),"")="", "SIN RUBRO", VLOOKUP(A37, 'Base 3F'!$B:$J, 9, FALSE)))</f>
        <v>Química</v>
      </c>
      <c r="D37" s="58" t="s">
        <v>50</v>
      </c>
      <c r="E37" s="10" t="s">
        <v>109</v>
      </c>
      <c r="F37" s="46" t="s">
        <v>115</v>
      </c>
    </row>
    <row r="38">
      <c r="A38" s="50" t="s">
        <v>1063</v>
      </c>
      <c r="B38" s="54">
        <f>IF(A38="", "", IF(IFERROR(VLOOKUP(A38, 'Base 3F'!$B:$C, 2, FALSE),"")="", "SIN CUIT", VLOOKUP(A38, 'Base 3F'!$B:$C, 2, FALSE)))</f>
        <v>30687219127</v>
      </c>
      <c r="C38" s="42" t="str">
        <f>IF(A38="", "", IF(IFERROR(VLOOKUP(A38, 'Base 3F'!$B:$J, 9, FALSE),"")="", "SIN RUBRO", VLOOKUP(A38, 'Base 3F'!$B:$J, 9, FALSE)))</f>
        <v>Alimenticia</v>
      </c>
      <c r="D38" s="58" t="s">
        <v>51</v>
      </c>
      <c r="E38" s="10" t="s">
        <v>109</v>
      </c>
      <c r="F38" s="46" t="s">
        <v>115</v>
      </c>
    </row>
    <row r="39">
      <c r="A39" s="50" t="s">
        <v>1067</v>
      </c>
      <c r="B39" s="54">
        <f>IF(A39="", "", IF(IFERROR(VLOOKUP(A39, 'Base 3F'!$B:$C, 2, FALSE),"")="", "SIN CUIT", VLOOKUP(A39, 'Base 3F'!$B:$C, 2, FALSE)))</f>
        <v>30626740142</v>
      </c>
      <c r="C39" s="42" t="str">
        <f>IF(A39="", "", IF(IFERROR(VLOOKUP(A39, 'Base 3F'!$B:$J, 9, FALSE),"")="", "SIN RUBRO", VLOOKUP(A39, 'Base 3F'!$B:$J, 9, FALSE)))</f>
        <v>Orfebrería</v>
      </c>
      <c r="D39" s="58" t="s">
        <v>52</v>
      </c>
      <c r="E39" s="10" t="s">
        <v>109</v>
      </c>
      <c r="F39" s="46" t="s">
        <v>115</v>
      </c>
    </row>
    <row r="40">
      <c r="A40" s="50" t="s">
        <v>1076</v>
      </c>
      <c r="B40" s="54">
        <f>IF(A40="", "", IF(IFERROR(VLOOKUP(A40, 'Base 3F'!$B:$C, 2, FALSE),"")="", "SIN CUIT", VLOOKUP(A40, 'Base 3F'!$B:$C, 2, FALSE)))</f>
        <v>30710238061</v>
      </c>
      <c r="C40" s="42" t="str">
        <f>IF(A40="", "", IF(IFERROR(VLOOKUP(A40, 'Base 3F'!$B:$J, 9, FALSE),"")="", "SIN RUBRO", VLOOKUP(A40, 'Base 3F'!$B:$J, 9, FALSE)))</f>
        <v>Electricidad</v>
      </c>
      <c r="D40" s="58" t="s">
        <v>53</v>
      </c>
      <c r="E40" s="10" t="s">
        <v>109</v>
      </c>
      <c r="F40" s="46" t="s">
        <v>115</v>
      </c>
    </row>
    <row r="41">
      <c r="A41" s="59" t="s">
        <v>1083</v>
      </c>
      <c r="B41" s="54">
        <f>IF(A41="", "", IF(IFERROR(VLOOKUP(A41, 'Base 3F'!$B:$C, 2, FALSE),"")="", "SIN CUIT", VLOOKUP(A41, 'Base 3F'!$B:$C, 2, FALSE)))</f>
        <v>30710081111</v>
      </c>
      <c r="C41" s="42" t="str">
        <f>IF(A41="", "", IF(IFERROR(VLOOKUP(A41, 'Base 3F'!$B:$J, 9, FALSE),"")="", "SIN RUBRO", VLOOKUP(A41, 'Base 3F'!$B:$J, 9, FALSE)))</f>
        <v>Metalúrgica</v>
      </c>
      <c r="D41" s="58" t="s">
        <v>54</v>
      </c>
      <c r="E41" s="10" t="s">
        <v>109</v>
      </c>
      <c r="F41" s="46" t="s">
        <v>115</v>
      </c>
    </row>
    <row r="42">
      <c r="A42" s="50" t="s">
        <v>1090</v>
      </c>
      <c r="B42" s="54">
        <f>IF(A42="", "", IF(IFERROR(VLOOKUP(A42, 'Base 3F'!$B:$C, 2, FALSE),"")="", "SIN CUIT", VLOOKUP(A42, 'Base 3F'!$B:$C, 2, FALSE)))</f>
        <v>30574349334</v>
      </c>
      <c r="C42" s="42" t="str">
        <f>IF(A42="", "", IF(IFERROR(VLOOKUP(A42, 'Base 3F'!$B:$J, 9, FALSE),"")="", "SIN RUBRO", VLOOKUP(A42, 'Base 3F'!$B:$J, 9, FALSE)))</f>
        <v>Servicios</v>
      </c>
      <c r="D42" s="58" t="s">
        <v>55</v>
      </c>
      <c r="E42" s="10" t="s">
        <v>109</v>
      </c>
      <c r="F42" s="46" t="s">
        <v>115</v>
      </c>
    </row>
    <row r="43">
      <c r="A43" s="50" t="s">
        <v>1100</v>
      </c>
      <c r="B43" s="54">
        <f>IF(A43="", "", IF(IFERROR(VLOOKUP(A43, 'Base 3F'!$B:$C, 2, FALSE),"")="", "SIN CUIT", VLOOKUP(A43, 'Base 3F'!$B:$C, 2, FALSE)))</f>
        <v>30701165191</v>
      </c>
      <c r="C43" s="42" t="str">
        <f>IF(A43="", "", IF(IFERROR(VLOOKUP(A43, 'Base 3F'!$B:$J, 9, FALSE),"")="", "SIN RUBRO", VLOOKUP(A43, 'Base 3F'!$B:$J, 9, FALSE)))</f>
        <v>Metalúrgica</v>
      </c>
      <c r="D43" s="58" t="s">
        <v>56</v>
      </c>
      <c r="E43" s="10" t="s">
        <v>109</v>
      </c>
      <c r="F43" s="46" t="s">
        <v>115</v>
      </c>
    </row>
    <row r="44">
      <c r="A44" s="59" t="s">
        <v>1110</v>
      </c>
      <c r="B44" s="54">
        <f>IF(A44="", "", IF(IFERROR(VLOOKUP(A44, 'Base 3F'!$B:$C, 2, FALSE),"")="", "SIN CUIT", VLOOKUP(A44, 'Base 3F'!$B:$C, 2, FALSE)))</f>
        <v>30708135425</v>
      </c>
      <c r="C44" s="42" t="str">
        <f>IF(A44="", "", IF(IFERROR(VLOOKUP(A44, 'Base 3F'!$B:$J, 9, FALSE),"")="", "SIN RUBRO", VLOOKUP(A44, 'Base 3F'!$B:$J, 9, FALSE)))</f>
        <v>Metalúrgica</v>
      </c>
      <c r="D44" s="58" t="s">
        <v>58</v>
      </c>
      <c r="E44" s="10" t="s">
        <v>109</v>
      </c>
      <c r="F44" s="46" t="s">
        <v>115</v>
      </c>
    </row>
    <row r="45">
      <c r="A45" s="50" t="s">
        <v>1113</v>
      </c>
      <c r="B45" s="54">
        <f>IF(A45="", "", IF(IFERROR(VLOOKUP(A45, 'Base 3F'!$B:$C, 2, FALSE),"")="", "SIN CUIT", VLOOKUP(A45, 'Base 3F'!$B:$C, 2, FALSE)))</f>
        <v>27264275836</v>
      </c>
      <c r="C45" s="42" t="str">
        <f>IF(A45="", "", IF(IFERROR(VLOOKUP(A45, 'Base 3F'!$B:$J, 9, FALSE),"")="", "SIN RUBRO", VLOOKUP(A45, 'Base 3F'!$B:$J, 9, FALSE)))</f>
        <v>Textil</v>
      </c>
      <c r="D45" s="142" t="s">
        <v>60</v>
      </c>
      <c r="E45" s="10" t="s">
        <v>109</v>
      </c>
      <c r="F45" s="46" t="s">
        <v>115</v>
      </c>
    </row>
    <row r="46">
      <c r="A46" s="68" t="s">
        <v>1119</v>
      </c>
      <c r="B46" s="54">
        <f>IF(A46="", "", IF(IFERROR(VLOOKUP(A46, 'Base 3F'!$B:$C, 2, FALSE),"")="", "SIN CUIT", VLOOKUP(A46, 'Base 3F'!$B:$C, 2, FALSE)))</f>
        <v>33717273929</v>
      </c>
      <c r="C46" s="42" t="str">
        <f>IF(A46="", "", IF(IFERROR(VLOOKUP(A46, 'Base 3F'!$B:$J, 9, FALSE),"")="", "SIN RUBRO", VLOOKUP(A46, 'Base 3F'!$B:$J, 9, FALSE)))</f>
        <v>Metalmecánica</v>
      </c>
      <c r="D46" s="142" t="s">
        <v>61</v>
      </c>
      <c r="E46" s="10" t="s">
        <v>109</v>
      </c>
      <c r="F46" s="46" t="s">
        <v>115</v>
      </c>
    </row>
    <row r="47">
      <c r="A47" s="50" t="s">
        <v>1135</v>
      </c>
      <c r="B47" s="54">
        <f>IF(A47="", "", IF(IFERROR(VLOOKUP(A47, 'Base 3F'!$B:$C, 2, FALSE),"")="", "SIN CUIT", VLOOKUP(A47, 'Base 3F'!$B:$C, 2, FALSE)))</f>
        <v>30663746827</v>
      </c>
      <c r="C47" s="42" t="str">
        <f>IF(A47="", "", IF(IFERROR(VLOOKUP(A47, 'Base 3F'!$B:$J, 9, FALSE),"")="", "SIN RUBRO", VLOOKUP(A47, 'Base 3F'!$B:$J, 9, FALSE)))</f>
        <v>Plástica</v>
      </c>
      <c r="D47" s="58" t="s">
        <v>62</v>
      </c>
      <c r="E47" s="10" t="s">
        <v>109</v>
      </c>
      <c r="F47" s="46" t="s">
        <v>115</v>
      </c>
    </row>
    <row r="48">
      <c r="A48" s="50" t="s">
        <v>1144</v>
      </c>
      <c r="B48" s="54">
        <f>IF(A48="", "", IF(IFERROR(VLOOKUP(A48, 'Base 3F'!$B:$C, 2, FALSE),"")="", "SIN CUIT", VLOOKUP(A48, 'Base 3F'!$B:$C, 2, FALSE)))</f>
        <v>30646362675</v>
      </c>
      <c r="C48" s="42" t="str">
        <f>IF(A48="", "", IF(IFERROR(VLOOKUP(A48, 'Base 3F'!$B:$J, 9, FALSE),"")="", "SIN RUBRO", VLOOKUP(A48, 'Base 3F'!$B:$J, 9, FALSE)))</f>
        <v>Gráfica</v>
      </c>
      <c r="D48" s="58" t="s">
        <v>63</v>
      </c>
      <c r="E48" s="10" t="s">
        <v>109</v>
      </c>
      <c r="F48" s="46" t="s">
        <v>115</v>
      </c>
    </row>
    <row r="49">
      <c r="A49" s="50" t="s">
        <v>1150</v>
      </c>
      <c r="B49" s="54">
        <f>IF(A49="", "", IF(IFERROR(VLOOKUP(A49, 'Base 3F'!$B:$C, 2, FALSE),"")="", "SIN CUIT", VLOOKUP(A49, 'Base 3F'!$B:$C, 2, FALSE)))</f>
        <v>30709003018</v>
      </c>
      <c r="C49" s="42" t="str">
        <f>IF(A49="", "", IF(IFERROR(VLOOKUP(A49, 'Base 3F'!$B:$J, 9, FALSE),"")="", "SIN RUBRO", VLOOKUP(A49, 'Base 3F'!$B:$J, 9, FALSE)))</f>
        <v>Metalmecánica</v>
      </c>
      <c r="D49" s="58" t="s">
        <v>64</v>
      </c>
      <c r="E49" s="10" t="s">
        <v>109</v>
      </c>
      <c r="F49" s="46" t="s">
        <v>115</v>
      </c>
    </row>
    <row r="50">
      <c r="A50" s="50" t="s">
        <v>1160</v>
      </c>
      <c r="B50" s="54">
        <f>IF(A50="", "", IF(IFERROR(VLOOKUP(A50, 'Base 3F'!$B:$C, 2, FALSE),"")="", "SIN CUIT", VLOOKUP(A50, 'Base 3F'!$B:$C, 2, FALSE)))</f>
        <v>27221476676</v>
      </c>
      <c r="C50" s="42" t="str">
        <f>IF(A50="", "", IF(IFERROR(VLOOKUP(A50, 'Base 3F'!$B:$J, 9, FALSE),"")="", "SIN RUBRO", VLOOKUP(A50, 'Base 3F'!$B:$J, 9, FALSE)))</f>
        <v>Metalúrgica</v>
      </c>
      <c r="D50" s="136" t="s">
        <v>66</v>
      </c>
      <c r="E50" s="10" t="s">
        <v>109</v>
      </c>
      <c r="F50" s="46" t="s">
        <v>115</v>
      </c>
    </row>
    <row r="51">
      <c r="A51" s="50" t="s">
        <v>1167</v>
      </c>
      <c r="B51" s="54">
        <f>IF(A51="", "", IF(IFERROR(VLOOKUP(A51, 'Base 3F'!$B:$C, 2, FALSE),"")="", "SIN CUIT", VLOOKUP(A51, 'Base 3F'!$B:$C, 2, FALSE)))</f>
        <v>30701135039</v>
      </c>
      <c r="C51" s="42" t="str">
        <f>IF(A51="", "", IF(IFERROR(VLOOKUP(A51, 'Base 3F'!$B:$J, 9, FALSE),"")="", "SIN RUBRO", VLOOKUP(A51, 'Base 3F'!$B:$J, 9, FALSE)))</f>
        <v>Servicios</v>
      </c>
      <c r="D51" s="58" t="s">
        <v>72</v>
      </c>
      <c r="E51" s="10" t="s">
        <v>109</v>
      </c>
      <c r="F51" s="46" t="s">
        <v>115</v>
      </c>
    </row>
    <row r="52">
      <c r="A52" s="50" t="s">
        <v>1175</v>
      </c>
      <c r="B52" s="54">
        <f>IF(A52="", "", IF(IFERROR(VLOOKUP(A52, 'Base 3F'!$B:$C, 2, FALSE),"")="", "SIN CUIT", VLOOKUP(A52, 'Base 3F'!$B:$C, 2, FALSE)))</f>
        <v>30709969575</v>
      </c>
      <c r="C52" s="42" t="str">
        <f>IF(A52="", "", IF(IFERROR(VLOOKUP(A52, 'Base 3F'!$B:$J, 9, FALSE),"")="", "SIN RUBRO", VLOOKUP(A52, 'Base 3F'!$B:$J, 9, FALSE)))</f>
        <v>Textil</v>
      </c>
      <c r="D52" s="58" t="s">
        <v>74</v>
      </c>
      <c r="E52" s="10" t="s">
        <v>109</v>
      </c>
      <c r="F52" s="46" t="s">
        <v>115</v>
      </c>
    </row>
    <row r="53">
      <c r="A53" s="50" t="s">
        <v>1185</v>
      </c>
      <c r="B53" s="54">
        <f>IF(A53="", "", IF(IFERROR(VLOOKUP(A53, 'Base 3F'!$B:$C, 2, FALSE),"")="", "SIN CUIT", VLOOKUP(A53, 'Base 3F'!$B:$C, 2, FALSE)))</f>
        <v>20149336959</v>
      </c>
      <c r="C53" s="42" t="str">
        <f>IF(A53="", "", IF(IFERROR(VLOOKUP(A53, 'Base 3F'!$B:$J, 9, FALSE),"")="", "SIN RUBRO", VLOOKUP(A53, 'Base 3F'!$B:$J, 9, FALSE)))</f>
        <v>Industria</v>
      </c>
      <c r="D53" s="58" t="s">
        <v>75</v>
      </c>
      <c r="E53" s="10" t="s">
        <v>109</v>
      </c>
      <c r="F53" s="46" t="s">
        <v>115</v>
      </c>
    </row>
    <row r="54">
      <c r="A54" s="50" t="s">
        <v>1197</v>
      </c>
      <c r="B54" s="54">
        <f>IF(A54="", "", IF(IFERROR(VLOOKUP(A54, 'Base 3F'!$B:$C, 2, FALSE),"")="", "SIN CUIT", VLOOKUP(A54, 'Base 3F'!$B:$C, 2, FALSE)))</f>
        <v>30679115274</v>
      </c>
      <c r="C54" s="42" t="str">
        <f>IF(A54="", "", IF(IFERROR(VLOOKUP(A54, 'Base 3F'!$B:$J, 9, FALSE),"")="", "SIN RUBRO", VLOOKUP(A54, 'Base 3F'!$B:$J, 9, FALSE)))</f>
        <v>Textil</v>
      </c>
      <c r="D54" s="58" t="s">
        <v>76</v>
      </c>
      <c r="E54" s="10" t="s">
        <v>109</v>
      </c>
      <c r="F54" s="46" t="s">
        <v>115</v>
      </c>
    </row>
    <row r="55">
      <c r="A55" s="59" t="s">
        <v>1208</v>
      </c>
      <c r="B55" s="54">
        <f>IF(A55="", "", IF(IFERROR(VLOOKUP(A55, 'Base 3F'!$B:$C, 2, FALSE),"")="", "SIN CUIT", VLOOKUP(A55, 'Base 3F'!$B:$C, 2, FALSE)))</f>
        <v>30708317809</v>
      </c>
      <c r="C55" s="42" t="str">
        <f>IF(A55="", "", IF(IFERROR(VLOOKUP(A55, 'Base 3F'!$B:$J, 9, FALSE),"")="", "SIN RUBRO", VLOOKUP(A55, 'Base 3F'!$B:$J, 9, FALSE)))</f>
        <v>Metalúrgica</v>
      </c>
      <c r="D55" s="58" t="s">
        <v>77</v>
      </c>
      <c r="E55" s="10" t="s">
        <v>109</v>
      </c>
      <c r="F55" s="46" t="s">
        <v>115</v>
      </c>
    </row>
    <row r="56">
      <c r="A56" s="50" t="s">
        <v>1213</v>
      </c>
      <c r="B56" s="54">
        <f>IF(A56="", "", IF(IFERROR(VLOOKUP(A56, 'Base 3F'!$B:$C, 2, FALSE),"")="", "SIN CUIT", VLOOKUP(A56, 'Base 3F'!$B:$C, 2, FALSE)))</f>
        <v>27035616891</v>
      </c>
      <c r="C56" s="42" t="str">
        <f>IF(A56="", "", IF(IFERROR(VLOOKUP(A56, 'Base 3F'!$B:$J, 9, FALSE),"")="", "SIN RUBRO", VLOOKUP(A56, 'Base 3F'!$B:$J, 9, FALSE)))</f>
        <v>Metalmecánica</v>
      </c>
      <c r="D56" s="58" t="s">
        <v>78</v>
      </c>
      <c r="E56" s="10" t="s">
        <v>109</v>
      </c>
      <c r="F56" s="46" t="s">
        <v>115</v>
      </c>
    </row>
    <row r="57">
      <c r="A57" s="50" t="s">
        <v>1220</v>
      </c>
      <c r="B57" s="54">
        <f>IF(A57="", "", IF(IFERROR(VLOOKUP(A57, 'Base 3F'!$B:$C, 2, FALSE),"")="", "SIN CUIT", VLOOKUP(A57, 'Base 3F'!$B:$C, 2, FALSE)))</f>
        <v>30715607863</v>
      </c>
      <c r="C57" s="42" t="str">
        <f>IF(A57="", "", IF(IFERROR(VLOOKUP(A57, 'Base 3F'!$B:$J, 9, FALSE),"")="", "SIN RUBRO", VLOOKUP(A57, 'Base 3F'!$B:$J, 9, FALSE)))</f>
        <v>Textil</v>
      </c>
      <c r="D57" s="142" t="s">
        <v>79</v>
      </c>
      <c r="E57" s="10" t="s">
        <v>109</v>
      </c>
      <c r="F57" s="46" t="s">
        <v>115</v>
      </c>
    </row>
    <row r="58">
      <c r="A58" s="50" t="s">
        <v>1227</v>
      </c>
      <c r="B58" s="54">
        <f>IF(A58="", "", IF(IFERROR(VLOOKUP(A58, 'Base 3F'!$B:$C, 2, FALSE),"")="", "SIN CUIT", VLOOKUP(A58, 'Base 3F'!$B:$C, 2, FALSE)))</f>
        <v>30715721305</v>
      </c>
      <c r="C58" s="42" t="str">
        <f>IF(A58="", "", IF(IFERROR(VLOOKUP(A58, 'Base 3F'!$B:$J, 9, FALSE),"")="", "SIN RUBRO", VLOOKUP(A58, 'Base 3F'!$B:$J, 9, FALSE)))</f>
        <v>Servicios</v>
      </c>
      <c r="D58" s="58" t="s">
        <v>81</v>
      </c>
      <c r="E58" s="10" t="s">
        <v>109</v>
      </c>
      <c r="F58" s="46" t="s">
        <v>115</v>
      </c>
    </row>
    <row r="59">
      <c r="A59" s="50" t="s">
        <v>1234</v>
      </c>
      <c r="B59" s="54">
        <f>IF(A59="", "", IF(IFERROR(VLOOKUP(A59, 'Base 3F'!$B:$C, 2, FALSE),"")="", "SIN CUIT", VLOOKUP(A59, 'Base 3F'!$B:$C, 2, FALSE)))</f>
        <v>30685810995</v>
      </c>
      <c r="C59" s="42" t="str">
        <f>IF(A59="", "", IF(IFERROR(VLOOKUP(A59, 'Base 3F'!$B:$J, 9, FALSE),"")="", "SIN RUBRO", VLOOKUP(A59, 'Base 3F'!$B:$J, 9, FALSE)))</f>
        <v>Metalmecánica</v>
      </c>
      <c r="D59" s="142" t="s">
        <v>83</v>
      </c>
      <c r="E59" s="10" t="s">
        <v>109</v>
      </c>
      <c r="F59" s="46" t="s">
        <v>115</v>
      </c>
    </row>
    <row r="60">
      <c r="A60" s="59" t="s">
        <v>1238</v>
      </c>
      <c r="B60" s="54">
        <f>IF(A60="", "", IF(IFERROR(VLOOKUP(A60, 'Base 3F'!$B:$C, 2, FALSE),"")="", "SIN CUIT", VLOOKUP(A60, 'Base 3F'!$B:$C, 2, FALSE)))</f>
        <v>33716331259</v>
      </c>
      <c r="C60" s="42" t="str">
        <f>IF(A60="", "", IF(IFERROR(VLOOKUP(A60, 'Base 3F'!$B:$J, 9, FALSE),"")="", "SIN RUBRO", VLOOKUP(A60, 'Base 3F'!$B:$J, 9, FALSE)))</f>
        <v>Textil</v>
      </c>
      <c r="D60" s="142" t="s">
        <v>85</v>
      </c>
      <c r="E60" s="10" t="s">
        <v>109</v>
      </c>
      <c r="F60" s="46" t="s">
        <v>115</v>
      </c>
    </row>
    <row r="61">
      <c r="A61" s="50" t="s">
        <v>1245</v>
      </c>
      <c r="B61" s="54">
        <f>IF(A61="", "", IF(IFERROR(VLOOKUP(A61, 'Base 3F'!$B:$C, 2, FALSE),"")="", "SIN CUIT", VLOOKUP(A61, 'Base 3F'!$B:$C, 2, FALSE)))</f>
        <v>30709420514</v>
      </c>
      <c r="C61" s="42" t="str">
        <f>IF(A61="", "", IF(IFERROR(VLOOKUP(A61, 'Base 3F'!$B:$J, 9, FALSE),"")="", "SIN RUBRO", VLOOKUP(A61, 'Base 3F'!$B:$J, 9, FALSE)))</f>
        <v>Textil</v>
      </c>
      <c r="D61" s="58" t="s">
        <v>86</v>
      </c>
      <c r="E61" s="10" t="s">
        <v>109</v>
      </c>
      <c r="F61" s="46" t="s">
        <v>115</v>
      </c>
    </row>
    <row r="62">
      <c r="A62" s="50" t="s">
        <v>1256</v>
      </c>
      <c r="B62" s="54">
        <f>IF(A62="", "", IF(IFERROR(VLOOKUP(A62, 'Base 3F'!$B:$C, 2, FALSE),"")="", "SIN CUIT", VLOOKUP(A62, 'Base 3F'!$B:$C, 2, FALSE)))</f>
        <v>30604118197</v>
      </c>
      <c r="C62" s="42" t="str">
        <f>IF(A62="", "", IF(IFERROR(VLOOKUP(A62, 'Base 3F'!$B:$J, 9, FALSE),"")="", "SIN RUBRO", VLOOKUP(A62, 'Base 3F'!$B:$J, 9, FALSE)))</f>
        <v>Metalúrgica</v>
      </c>
      <c r="D62" s="58" t="s">
        <v>87</v>
      </c>
      <c r="E62" s="10" t="s">
        <v>109</v>
      </c>
      <c r="F62" s="46" t="s">
        <v>115</v>
      </c>
    </row>
    <row r="63">
      <c r="A63" s="50" t="s">
        <v>1262</v>
      </c>
      <c r="B63" s="54">
        <f>IF(A63="", "", IF(IFERROR(VLOOKUP(A63, 'Base 3F'!$B:$C, 2, FALSE),"")="", "SIN CUIT", VLOOKUP(A63, 'Base 3F'!$B:$C, 2, FALSE)))</f>
        <v>33708481209</v>
      </c>
      <c r="C63" s="42" t="str">
        <f>IF(A63="", "", IF(IFERROR(VLOOKUP(A63, 'Base 3F'!$B:$J, 9, FALSE),"")="", "SIN RUBRO", VLOOKUP(A63, 'Base 3F'!$B:$J, 9, FALSE)))</f>
        <v>Calzado</v>
      </c>
      <c r="D63" s="58" t="s">
        <v>89</v>
      </c>
      <c r="E63" s="10" t="s">
        <v>109</v>
      </c>
      <c r="F63" s="46" t="s">
        <v>115</v>
      </c>
    </row>
    <row r="64">
      <c r="A64" s="50" t="s">
        <v>1265</v>
      </c>
      <c r="B64" s="54">
        <f>IF(A64="", "", IF(IFERROR(VLOOKUP(A64, 'Base 3F'!$B:$C, 2, FALSE),"")="", "SIN CUIT", VLOOKUP(A64, 'Base 3F'!$B:$C, 2, FALSE)))</f>
        <v>30570352047</v>
      </c>
      <c r="C64" s="42" t="str">
        <f>IF(A64="", "", IF(IFERROR(VLOOKUP(A64, 'Base 3F'!$B:$J, 9, FALSE),"")="", "SIN RUBRO", VLOOKUP(A64, 'Base 3F'!$B:$J, 9, FALSE)))</f>
        <v>Plástica</v>
      </c>
      <c r="D64" s="58" t="s">
        <v>90</v>
      </c>
      <c r="E64" s="10" t="s">
        <v>109</v>
      </c>
      <c r="F64" s="46" t="s">
        <v>115</v>
      </c>
    </row>
    <row r="65">
      <c r="A65" s="50" t="s">
        <v>1270</v>
      </c>
      <c r="B65" s="54">
        <f>IF(A65="", "", IF(IFERROR(VLOOKUP(A65, 'Base 3F'!$B:$C, 2, FALSE),"")="", "SIN CUIT", VLOOKUP(A65, 'Base 3F'!$B:$C, 2, FALSE)))</f>
        <v>20145550417</v>
      </c>
      <c r="C65" s="42" t="str">
        <f>IF(A65="", "", IF(IFERROR(VLOOKUP(A65, 'Base 3F'!$B:$J, 9, FALSE),"")="", "SIN RUBRO", VLOOKUP(A65, 'Base 3F'!$B:$J, 9, FALSE)))</f>
        <v>Metalúrgica</v>
      </c>
      <c r="D65" s="58" t="s">
        <v>91</v>
      </c>
      <c r="E65" s="10" t="s">
        <v>109</v>
      </c>
      <c r="F65" s="46" t="s">
        <v>115</v>
      </c>
    </row>
    <row r="66">
      <c r="A66" s="50" t="s">
        <v>1275</v>
      </c>
      <c r="B66" s="54">
        <f>IF(A66="", "", IF(IFERROR(VLOOKUP(A66, 'Base 3F'!$B:$C, 2, FALSE),"")="", "SIN CUIT", VLOOKUP(A66, 'Base 3F'!$B:$C, 2, FALSE)))</f>
        <v>30502893188</v>
      </c>
      <c r="C66" s="42" t="str">
        <f>IF(A66="", "", IF(IFERROR(VLOOKUP(A66, 'Base 3F'!$B:$J, 9, FALSE),"")="", "SIN RUBRO", VLOOKUP(A66, 'Base 3F'!$B:$J, 9, FALSE)))</f>
        <v>Metalúrgica</v>
      </c>
      <c r="D66" s="58" t="s">
        <v>1281</v>
      </c>
      <c r="E66" s="10" t="s">
        <v>109</v>
      </c>
      <c r="F66" s="46" t="s">
        <v>115</v>
      </c>
    </row>
    <row r="67">
      <c r="A67" s="50" t="s">
        <v>1282</v>
      </c>
      <c r="B67" s="54">
        <f>IF(A67="", "", IF(IFERROR(VLOOKUP(A67, 'Base 3F'!$B:$C, 2, FALSE),"")="", "SIN CUIT", VLOOKUP(A67, 'Base 3F'!$B:$C, 2, FALSE)))</f>
        <v>30638285335</v>
      </c>
      <c r="C67" s="42" t="str">
        <f>IF(A67="", "", IF(IFERROR(VLOOKUP(A67, 'Base 3F'!$B:$J, 9, FALSE),"")="", "SIN RUBRO", VLOOKUP(A67, 'Base 3F'!$B:$J, 9, FALSE)))</f>
        <v>Alimenticia</v>
      </c>
      <c r="D67" s="142" t="s">
        <v>95</v>
      </c>
      <c r="E67" s="10" t="s">
        <v>109</v>
      </c>
      <c r="F67" s="46" t="s">
        <v>115</v>
      </c>
    </row>
    <row r="68">
      <c r="A68" s="68" t="s">
        <v>1289</v>
      </c>
      <c r="B68" s="54">
        <f>IF(A68="", "", IF(IFERROR(VLOOKUP(A68, 'Base 3F'!$B:$C, 2, FALSE),"")="", "SIN CUIT", VLOOKUP(A68, 'Base 3F'!$B:$C, 2, FALSE)))</f>
        <v>20217307563</v>
      </c>
      <c r="C68" s="42" t="str">
        <f>IF(A68="", "", IF(IFERROR(VLOOKUP(A68, 'Base 3F'!$B:$J, 9, FALSE),"")="", "SIN RUBRO", VLOOKUP(A68, 'Base 3F'!$B:$J, 9, FALSE)))</f>
        <v>Metalúrgica</v>
      </c>
      <c r="D68" s="142" t="s">
        <v>96</v>
      </c>
      <c r="E68" s="10" t="s">
        <v>109</v>
      </c>
      <c r="F68" s="46" t="s">
        <v>115</v>
      </c>
    </row>
    <row r="69">
      <c r="A69" s="50" t="s">
        <v>1295</v>
      </c>
      <c r="B69" s="54">
        <f>IF(A69="", "", IF(IFERROR(VLOOKUP(A69, 'Base 3F'!$B:$C, 2, FALSE),"")="", "SIN CUIT", VLOOKUP(A69, 'Base 3F'!$B:$C, 2, FALSE)))</f>
        <v>30649592698</v>
      </c>
      <c r="C69" s="42" t="str">
        <f>IF(A69="", "", IF(IFERROR(VLOOKUP(A69, 'Base 3F'!$B:$J, 9, FALSE),"")="", "SIN RUBRO", VLOOKUP(A69, 'Base 3F'!$B:$J, 9, FALSE)))</f>
        <v>Papel</v>
      </c>
      <c r="D69" s="58" t="s">
        <v>98</v>
      </c>
      <c r="E69" s="10" t="s">
        <v>109</v>
      </c>
      <c r="F69" s="46" t="s">
        <v>115</v>
      </c>
    </row>
    <row r="70">
      <c r="A70" s="50" t="s">
        <v>1305</v>
      </c>
      <c r="B70" s="54" t="str">
        <f>IF(A70="", "", IF(IFERROR(VLOOKUP(A70, 'Base 3F'!$B:$C, 2, FALSE),"")="", "SIN CUIT", VLOOKUP(A70, 'Base 3F'!$B:$C, 2, FALSE)))</f>
        <v>Averiguar</v>
      </c>
      <c r="C70" s="42" t="str">
        <f>IF(A70="", "", IF(IFERROR(VLOOKUP(A70, 'Base 3F'!$B:$J, 9, FALSE),"")="", "SIN RUBRO", VLOOKUP(A70, 'Base 3F'!$B:$J, 9, FALSE)))</f>
        <v>Bebidas</v>
      </c>
      <c r="D70" s="58" t="s">
        <v>99</v>
      </c>
      <c r="E70" s="10" t="s">
        <v>109</v>
      </c>
      <c r="F70" s="46" t="s">
        <v>115</v>
      </c>
    </row>
    <row r="71">
      <c r="A71" s="190" t="s">
        <v>1308</v>
      </c>
      <c r="B71" s="54">
        <f>IF(A71="", "", IF(IFERROR(VLOOKUP(A71, 'Base 3F'!$B:$C, 2, FALSE),"")="", "SIN CUIT", VLOOKUP(A71, 'Base 3F'!$B:$C, 2, FALSE)))</f>
        <v>30711691479</v>
      </c>
      <c r="C71" s="42" t="str">
        <f>IF(A71="", "", IF(IFERROR(VLOOKUP(A71, 'Base 3F'!$B:$J, 9, FALSE),"")="", "SIN RUBRO", VLOOKUP(A71, 'Base 3F'!$B:$J, 9, FALSE)))</f>
        <v>Textil</v>
      </c>
      <c r="D71" s="142" t="s">
        <v>100</v>
      </c>
      <c r="E71" s="10" t="s">
        <v>109</v>
      </c>
      <c r="F71" s="46" t="s">
        <v>115</v>
      </c>
    </row>
    <row r="72">
      <c r="A72" s="50" t="s">
        <v>1315</v>
      </c>
      <c r="B72" s="54">
        <f>IF(A72="", "", IF(IFERROR(VLOOKUP(A72, 'Base 3F'!$B:$C, 2, FALSE),"")="", "SIN CUIT", VLOOKUP(A72, 'Base 3F'!$B:$C, 2, FALSE)))</f>
        <v>30708268204</v>
      </c>
      <c r="C72" s="42" t="str">
        <f>IF(A72="", "", IF(IFERROR(VLOOKUP(A72, 'Base 3F'!$B:$J, 9, FALSE),"")="", "SIN RUBRO", VLOOKUP(A72, 'Base 3F'!$B:$J, 9, FALSE)))</f>
        <v>Textil</v>
      </c>
      <c r="D72" s="58" t="s">
        <v>1320</v>
      </c>
      <c r="E72" s="10" t="s">
        <v>109</v>
      </c>
      <c r="F72" s="46" t="s">
        <v>115</v>
      </c>
    </row>
    <row r="73">
      <c r="A73" s="50" t="s">
        <v>1321</v>
      </c>
      <c r="B73" s="54" t="str">
        <f>IF(A73="", "", IF(IFERROR(VLOOKUP(A73, 'Base 3F'!$B:$C, 2, FALSE),"")="", "SIN CUIT", VLOOKUP(A73, 'Base 3F'!$B:$C, 2, FALSE)))</f>
        <v>SIN CUIT</v>
      </c>
      <c r="C73" s="42" t="str">
        <f>IF(A73="", "", IF(IFERROR(VLOOKUP(A73, 'Base 3F'!$B:$J, 9, FALSE),"")="", "SIN RUBRO", VLOOKUP(A73, 'Base 3F'!$B:$J, 9, FALSE)))</f>
        <v>SIN RUBRO</v>
      </c>
      <c r="D73" s="142" t="s">
        <v>105</v>
      </c>
      <c r="E73" s="10" t="s">
        <v>109</v>
      </c>
      <c r="F73" s="46" t="s">
        <v>115</v>
      </c>
    </row>
    <row r="74">
      <c r="A74" s="50" t="s">
        <v>1327</v>
      </c>
      <c r="B74" s="54">
        <f>IF(A74="", "", IF(IFERROR(VLOOKUP(A74, 'Base 3F'!$B:$C, 2, FALSE),"")="", "SIN CUIT", VLOOKUP(A74, 'Base 3F'!$B:$C, 2, FALSE)))</f>
        <v>30576877710</v>
      </c>
      <c r="C74" s="42" t="str">
        <f>IF(A74="", "", IF(IFERROR(VLOOKUP(A74, 'Base 3F'!$B:$J, 9, FALSE),"")="", "SIN RUBRO", VLOOKUP(A74, 'Base 3F'!$B:$J, 9, FALSE)))</f>
        <v>Metalmecánica</v>
      </c>
      <c r="D74" s="96" t="s">
        <v>106</v>
      </c>
      <c r="E74" s="10" t="s">
        <v>109</v>
      </c>
      <c r="F74" s="46" t="s">
        <v>115</v>
      </c>
    </row>
    <row r="75">
      <c r="A75" s="50" t="s">
        <v>1330</v>
      </c>
      <c r="B75" s="54">
        <f>IF(A75="", "", IF(IFERROR(VLOOKUP(A75, 'Base 3F'!$B:$C, 2, FALSE),"")="", "SIN CUIT", VLOOKUP(A75, 'Base 3F'!$B:$C, 2, FALSE)))</f>
        <v>30712093494</v>
      </c>
      <c r="C75" s="42" t="str">
        <f>IF(A75="", "", IF(IFERROR(VLOOKUP(A75, 'Base 3F'!$B:$J, 9, FALSE),"")="", "SIN RUBRO", VLOOKUP(A75, 'Base 3F'!$B:$J, 9, FALSE)))</f>
        <v>Construcción</v>
      </c>
      <c r="D75" s="142" t="s">
        <v>108</v>
      </c>
      <c r="E75" s="10" t="s">
        <v>109</v>
      </c>
      <c r="F75" s="46" t="s">
        <v>115</v>
      </c>
    </row>
    <row r="76">
      <c r="A76" s="50" t="s">
        <v>1337</v>
      </c>
      <c r="B76" s="54">
        <f>IF(A76="", "", IF(IFERROR(VLOOKUP(A76, 'Base 3F'!$B:$C, 2, FALSE),"")="", "SIN CUIT", VLOOKUP(A76, 'Base 3F'!$B:$C, 2, FALSE)))</f>
        <v>30714028991</v>
      </c>
      <c r="C76" s="42" t="str">
        <f>IF(A76="", "", IF(IFERROR(VLOOKUP(A76, 'Base 3F'!$B:$J, 9, FALSE),"")="", "SIN RUBRO", VLOOKUP(A76, 'Base 3F'!$B:$J, 9, FALSE)))</f>
        <v>Papel</v>
      </c>
      <c r="D76" s="58" t="s">
        <v>110</v>
      </c>
      <c r="E76" s="10" t="s">
        <v>109</v>
      </c>
      <c r="F76" s="46" t="s">
        <v>115</v>
      </c>
    </row>
    <row r="77">
      <c r="A77" s="50" t="s">
        <v>1345</v>
      </c>
      <c r="B77" s="54">
        <f>IF(A77="", "", IF(IFERROR(VLOOKUP(A77, 'Base 3F'!$B:$C, 2, FALSE),"")="", "SIN CUIT", VLOOKUP(A77, 'Base 3F'!$B:$C, 2, FALSE)))</f>
        <v>30591408093</v>
      </c>
      <c r="C77" s="42" t="str">
        <f>IF(A77="", "", IF(IFERROR(VLOOKUP(A77, 'Base 3F'!$B:$J, 9, FALSE),"")="", "SIN RUBRO", VLOOKUP(A77, 'Base 3F'!$B:$J, 9, FALSE)))</f>
        <v>Textil</v>
      </c>
      <c r="D77" s="58" t="s">
        <v>113</v>
      </c>
      <c r="E77" s="10" t="s">
        <v>109</v>
      </c>
      <c r="F77" s="46" t="s">
        <v>115</v>
      </c>
    </row>
    <row r="78">
      <c r="A78" s="50" t="s">
        <v>1346</v>
      </c>
      <c r="B78" s="54">
        <f>IF(A78="", "", IF(IFERROR(VLOOKUP(A78, 'Base 3F'!$B:$C, 2, FALSE),"")="", "SIN CUIT", VLOOKUP(A78, 'Base 3F'!$B:$C, 2, FALSE)))</f>
        <v>30655286469</v>
      </c>
      <c r="C78" s="42" t="str">
        <f>IF(A78="", "", IF(IFERROR(VLOOKUP(A78, 'Base 3F'!$B:$J, 9, FALSE),"")="", "SIN RUBRO", VLOOKUP(A78, 'Base 3F'!$B:$J, 9, FALSE)))</f>
        <v>Vidrio</v>
      </c>
      <c r="D78" s="142" t="s">
        <v>114</v>
      </c>
      <c r="E78" s="10" t="s">
        <v>109</v>
      </c>
      <c r="F78" s="46" t="s">
        <v>115</v>
      </c>
    </row>
    <row r="79">
      <c r="A79" s="50" t="s">
        <v>1354</v>
      </c>
      <c r="B79" s="54">
        <f>IF(A79="", "", IF(IFERROR(VLOOKUP(A79, 'Base 3F'!$B:$C, 2, FALSE),"")="", "SIN CUIT", VLOOKUP(A79, 'Base 3F'!$B:$C, 2, FALSE)))</f>
        <v>30708214236</v>
      </c>
      <c r="C79" s="42" t="str">
        <f>IF(A79="", "", IF(IFERROR(VLOOKUP(A79, 'Base 3F'!$B:$J, 9, FALSE),"")="", "SIN RUBRO", VLOOKUP(A79, 'Base 3F'!$B:$J, 9, FALSE)))</f>
        <v>Construcción</v>
      </c>
      <c r="D79" s="58" t="s">
        <v>1358</v>
      </c>
      <c r="E79" s="10" t="s">
        <v>109</v>
      </c>
      <c r="F79" s="46" t="s">
        <v>115</v>
      </c>
    </row>
    <row r="80">
      <c r="A80" s="50" t="s">
        <v>1360</v>
      </c>
      <c r="B80" s="54">
        <f>IF(A80="", "", IF(IFERROR(VLOOKUP(A80, 'Base 3F'!$B:$C, 2, FALSE),"")="", "SIN CUIT", VLOOKUP(A80, 'Base 3F'!$B:$C, 2, FALSE)))</f>
        <v>30708255838</v>
      </c>
      <c r="C80" s="42" t="str">
        <f>IF(A80="", "", IF(IFERROR(VLOOKUP(A80, 'Base 3F'!$B:$J, 9, FALSE),"")="", "SIN RUBRO", VLOOKUP(A80, 'Base 3F'!$B:$J, 9, FALSE)))</f>
        <v>Textil</v>
      </c>
      <c r="D80" s="58" t="s">
        <v>118</v>
      </c>
      <c r="E80" s="10" t="s">
        <v>109</v>
      </c>
      <c r="F80" s="46" t="s">
        <v>115</v>
      </c>
    </row>
    <row r="81">
      <c r="A81" s="50" t="s">
        <v>1366</v>
      </c>
      <c r="B81" s="54">
        <f>IF(A81="", "", IF(IFERROR(VLOOKUP(A81, 'Base 3F'!$B:$C, 2, FALSE),"")="", "SIN CUIT", VLOOKUP(A81, 'Base 3F'!$B:$C, 2, FALSE)))</f>
        <v>33710516249</v>
      </c>
      <c r="C81" s="42" t="str">
        <f>IF(A81="", "", IF(IFERROR(VLOOKUP(A81, 'Base 3F'!$B:$J, 9, FALSE),"")="", "SIN RUBRO", VLOOKUP(A81, 'Base 3F'!$B:$J, 9, FALSE)))</f>
        <v>Construcción</v>
      </c>
      <c r="D81" s="199" t="s">
        <v>120</v>
      </c>
      <c r="E81" s="10" t="s">
        <v>109</v>
      </c>
      <c r="F81" s="46" t="s">
        <v>115</v>
      </c>
    </row>
    <row r="82">
      <c r="A82" s="50" t="s">
        <v>1374</v>
      </c>
      <c r="B82" s="54">
        <f>IF(A82="", "", IF(IFERROR(VLOOKUP(A82, 'Base 3F'!$B:$C, 2, FALSE),"")="", "SIN CUIT", VLOOKUP(A82, 'Base 3F'!$B:$C, 2, FALSE)))</f>
        <v>30626907241</v>
      </c>
      <c r="C82" s="42" t="str">
        <f>IF(A82="", "", IF(IFERROR(VLOOKUP(A82, 'Base 3F'!$B:$J, 9, FALSE),"")="", "SIN RUBRO", VLOOKUP(A82, 'Base 3F'!$B:$J, 9, FALSE)))</f>
        <v>Electrónica</v>
      </c>
      <c r="D82" s="58" t="s">
        <v>124</v>
      </c>
      <c r="E82" s="10" t="s">
        <v>109</v>
      </c>
      <c r="F82" s="46" t="s">
        <v>115</v>
      </c>
    </row>
    <row r="83">
      <c r="A83" s="50" t="s">
        <v>1382</v>
      </c>
      <c r="B83" s="54">
        <f>IF(A83="", "", IF(IFERROR(VLOOKUP(A83, 'Base 3F'!$B:$C, 2, FALSE),"")="", "SIN CUIT", VLOOKUP(A83, 'Base 3F'!$B:$C, 2, FALSE)))</f>
        <v>33646693999</v>
      </c>
      <c r="C83" s="42" t="str">
        <f>IF(A83="", "", IF(IFERROR(VLOOKUP(A83, 'Base 3F'!$B:$J, 9, FALSE),"")="", "SIN RUBRO", VLOOKUP(A83, 'Base 3F'!$B:$J, 9, FALSE)))</f>
        <v>Electrónica</v>
      </c>
      <c r="D83" s="58" t="s">
        <v>1077</v>
      </c>
      <c r="E83" s="10" t="s">
        <v>109</v>
      </c>
      <c r="F83" s="46" t="s">
        <v>115</v>
      </c>
    </row>
    <row r="84">
      <c r="A84" s="50" t="s">
        <v>1391</v>
      </c>
      <c r="B84" s="54">
        <f>IF(A84="", "", IF(IFERROR(VLOOKUP(A84, 'Base 3F'!$B:$C, 2, FALSE),"")="", "SIN CUIT", VLOOKUP(A84, 'Base 3F'!$B:$C, 2, FALSE)))</f>
        <v>30710769652</v>
      </c>
      <c r="C84" s="42" t="str">
        <f>IF(A84="", "", IF(IFERROR(VLOOKUP(A84, 'Base 3F'!$B:$J, 9, FALSE),"")="", "SIN RUBRO", VLOOKUP(A84, 'Base 3F'!$B:$J, 9, FALSE)))</f>
        <v>Metalúrgica</v>
      </c>
      <c r="D84" s="58" t="s">
        <v>126</v>
      </c>
      <c r="E84" s="10" t="s">
        <v>109</v>
      </c>
      <c r="F84" s="46" t="s">
        <v>115</v>
      </c>
    </row>
    <row r="85">
      <c r="A85" s="50" t="s">
        <v>1398</v>
      </c>
      <c r="B85" s="54" t="str">
        <f>IF(A85="", "", IF(IFERROR(VLOOKUP(A85, 'Base 3F'!$B:$C, 2, FALSE),"")="", "SIN CUIT", VLOOKUP(A85, 'Base 3F'!$B:$C, 2, FALSE)))</f>
        <v>Averiguar</v>
      </c>
      <c r="C85" s="42" t="str">
        <f>IF(A85="", "", IF(IFERROR(VLOOKUP(A85, 'Base 3F'!$B:$J, 9, FALSE),"")="", "SIN RUBRO", VLOOKUP(A85, 'Base 3F'!$B:$J, 9, FALSE)))</f>
        <v>Servicios</v>
      </c>
      <c r="D85" s="142" t="s">
        <v>127</v>
      </c>
      <c r="E85" s="10" t="s">
        <v>109</v>
      </c>
      <c r="F85" s="46" t="s">
        <v>115</v>
      </c>
    </row>
    <row r="86">
      <c r="A86" s="50" t="s">
        <v>1405</v>
      </c>
      <c r="B86" s="54">
        <f>IF(A86="", "", IF(IFERROR(VLOOKUP(A86, 'Base 3F'!$B:$C, 2, FALSE),"")="", "SIN CUIT", VLOOKUP(A86, 'Base 3F'!$B:$C, 2, FALSE)))</f>
        <v>30707967958</v>
      </c>
      <c r="C86" s="42" t="str">
        <f>IF(A86="", "", IF(IFERROR(VLOOKUP(A86, 'Base 3F'!$B:$J, 9, FALSE),"")="", "SIN RUBRO", VLOOKUP(A86, 'Base 3F'!$B:$J, 9, FALSE)))</f>
        <v>Gráfica</v>
      </c>
      <c r="D86" s="58" t="s">
        <v>129</v>
      </c>
      <c r="E86" s="10" t="s">
        <v>109</v>
      </c>
      <c r="F86" s="46" t="s">
        <v>115</v>
      </c>
    </row>
    <row r="87">
      <c r="A87" s="50" t="s">
        <v>1415</v>
      </c>
      <c r="B87" s="54">
        <f>IF(A87="", "", IF(IFERROR(VLOOKUP(A87, 'Base 3F'!$B:$C, 2, FALSE),"")="", "SIN CUIT", VLOOKUP(A87, 'Base 3F'!$B:$C, 2, FALSE)))</f>
        <v>30711724490</v>
      </c>
      <c r="C87" s="42" t="str">
        <f>IF(A87="", "", IF(IFERROR(VLOOKUP(A87, 'Base 3F'!$B:$J, 9, FALSE),"")="", "SIN RUBRO", VLOOKUP(A87, 'Base 3F'!$B:$J, 9, FALSE)))</f>
        <v>Alimenticia</v>
      </c>
      <c r="D87" s="58" t="s">
        <v>130</v>
      </c>
      <c r="E87" s="10" t="s">
        <v>109</v>
      </c>
      <c r="F87" s="46" t="s">
        <v>115</v>
      </c>
    </row>
    <row r="88">
      <c r="A88" s="50" t="s">
        <v>1426</v>
      </c>
      <c r="B88" s="54">
        <f>IF(A88="", "", IF(IFERROR(VLOOKUP(A88, 'Base 3F'!$B:$C, 2, FALSE),"")="", "SIN CUIT", VLOOKUP(A88, 'Base 3F'!$B:$C, 2, FALSE)))</f>
        <v>30569776046</v>
      </c>
      <c r="C88" s="42" t="str">
        <f>IF(A88="", "", IF(IFERROR(VLOOKUP(A88, 'Base 3F'!$B:$J, 9, FALSE),"")="", "SIN RUBRO", VLOOKUP(A88, 'Base 3F'!$B:$J, 9, FALSE)))</f>
        <v>Metalúrgica</v>
      </c>
      <c r="D88" s="58" t="s">
        <v>131</v>
      </c>
      <c r="E88" s="10" t="s">
        <v>109</v>
      </c>
      <c r="F88" s="46" t="s">
        <v>115</v>
      </c>
    </row>
    <row r="89">
      <c r="A89" s="50" t="s">
        <v>1435</v>
      </c>
      <c r="B89" s="54">
        <f>IF(A89="", "", IF(IFERROR(VLOOKUP(A89, 'Base 3F'!$B:$C, 2, FALSE),"")="", "SIN CUIT", VLOOKUP(A89, 'Base 3F'!$B:$C, 2, FALSE)))</f>
        <v>23298474069</v>
      </c>
      <c r="C89" s="42" t="str">
        <f>IF(A89="", "", IF(IFERROR(VLOOKUP(A89, 'Base 3F'!$B:$J, 9, FALSE),"")="", "SIN RUBRO", VLOOKUP(A89, 'Base 3F'!$B:$J, 9, FALSE)))</f>
        <v>Gráfica</v>
      </c>
      <c r="D89" s="58" t="s">
        <v>132</v>
      </c>
      <c r="E89" s="10" t="s">
        <v>109</v>
      </c>
      <c r="F89" s="46" t="s">
        <v>115</v>
      </c>
    </row>
    <row r="90">
      <c r="A90" s="50" t="s">
        <v>1440</v>
      </c>
      <c r="B90" s="54">
        <f>IF(A90="", "", IF(IFERROR(VLOOKUP(A90, 'Base 3F'!$B:$C, 2, FALSE),"")="", "SIN CUIT", VLOOKUP(A90, 'Base 3F'!$B:$C, 2, FALSE)))</f>
        <v>30709244961</v>
      </c>
      <c r="C90" s="42" t="str">
        <f>IF(A90="", "", IF(IFERROR(VLOOKUP(A90, 'Base 3F'!$B:$J, 9, FALSE),"")="", "SIN RUBRO", VLOOKUP(A90, 'Base 3F'!$B:$J, 9, FALSE)))</f>
        <v>Metalúrgica</v>
      </c>
      <c r="D90" s="58" t="s">
        <v>1042</v>
      </c>
      <c r="E90" s="10" t="s">
        <v>109</v>
      </c>
      <c r="F90" s="46" t="s">
        <v>115</v>
      </c>
    </row>
    <row r="91">
      <c r="A91" s="50" t="s">
        <v>1447</v>
      </c>
      <c r="B91" s="54">
        <f>IF(A91="", "", IF(IFERROR(VLOOKUP(A91, 'Base 3F'!$B:$C, 2, FALSE),"")="", "SIN CUIT", VLOOKUP(A91, 'Base 3F'!$B:$C, 2, FALSE)))</f>
        <v>30716071851</v>
      </c>
      <c r="C91" s="42" t="str">
        <f>IF(A91="", "", IF(IFERROR(VLOOKUP(A91, 'Base 3F'!$B:$J, 9, FALSE),"")="", "SIN RUBRO", VLOOKUP(A91, 'Base 3F'!$B:$J, 9, FALSE)))</f>
        <v>Servicios</v>
      </c>
      <c r="D91" s="142" t="s">
        <v>133</v>
      </c>
      <c r="E91" s="10" t="s">
        <v>109</v>
      </c>
      <c r="F91" s="46" t="s">
        <v>115</v>
      </c>
    </row>
    <row r="92">
      <c r="A92" s="50" t="s">
        <v>1452</v>
      </c>
      <c r="B92" s="54">
        <f>IF(A92="", "", IF(IFERROR(VLOOKUP(A92, 'Base 3F'!$B:$C, 2, FALSE),"")="", "SIN CUIT", VLOOKUP(A92, 'Base 3F'!$B:$C, 2, FALSE)))</f>
        <v>30658781851</v>
      </c>
      <c r="C92" s="42" t="str">
        <f>IF(A92="", "", IF(IFERROR(VLOOKUP(A92, 'Base 3F'!$B:$J, 9, FALSE),"")="", "SIN RUBRO", VLOOKUP(A92, 'Base 3F'!$B:$J, 9, FALSE)))</f>
        <v>Textil</v>
      </c>
      <c r="D92" s="58" t="s">
        <v>135</v>
      </c>
      <c r="E92" s="10" t="s">
        <v>109</v>
      </c>
      <c r="F92" s="46" t="s">
        <v>115</v>
      </c>
    </row>
    <row r="93">
      <c r="A93" s="50" t="s">
        <v>1457</v>
      </c>
      <c r="B93" s="54">
        <f>IF(A93="", "", IF(IFERROR(VLOOKUP(A93, 'Base 3F'!$B:$C, 2, FALSE),"")="", "SIN CUIT", VLOOKUP(A93, 'Base 3F'!$B:$C, 2, FALSE)))</f>
        <v>30710386729</v>
      </c>
      <c r="C93" s="42" t="str">
        <f>IF(A93="", "", IF(IFERROR(VLOOKUP(A93, 'Base 3F'!$B:$J, 9, FALSE),"")="", "SIN RUBRO", VLOOKUP(A93, 'Base 3F'!$B:$J, 9, FALSE)))</f>
        <v>Metalúrgica</v>
      </c>
      <c r="D93" s="58" t="s">
        <v>136</v>
      </c>
      <c r="E93" s="10" t="s">
        <v>109</v>
      </c>
      <c r="F93" s="46" t="s">
        <v>115</v>
      </c>
    </row>
    <row r="94">
      <c r="A94" s="50" t="s">
        <v>1466</v>
      </c>
      <c r="B94" s="54">
        <f>IF(A94="", "", IF(IFERROR(VLOOKUP(A94, 'Base 3F'!$B:$C, 2, FALSE),"")="", "SIN CUIT", VLOOKUP(A94, 'Base 3F'!$B:$C, 2, FALSE)))</f>
        <v>30715079875</v>
      </c>
      <c r="C94" s="42" t="str">
        <f>IF(A94="", "", IF(IFERROR(VLOOKUP(A94, 'Base 3F'!$B:$J, 9, FALSE),"")="", "SIN RUBRO", VLOOKUP(A94, 'Base 3F'!$B:$J, 9, FALSE)))</f>
        <v>Metalúrgica</v>
      </c>
      <c r="D94" s="58" t="s">
        <v>137</v>
      </c>
      <c r="E94" s="10" t="s">
        <v>109</v>
      </c>
      <c r="F94" s="46" t="s">
        <v>115</v>
      </c>
    </row>
    <row r="95">
      <c r="A95" s="50" t="s">
        <v>1470</v>
      </c>
      <c r="B95" s="54">
        <f>IF(A95="", "", IF(IFERROR(VLOOKUP(A95, 'Base 3F'!$B:$C, 2, FALSE),"")="", "SIN CUIT", VLOOKUP(A95, 'Base 3F'!$B:$C, 2, FALSE)))</f>
        <v>30629358788</v>
      </c>
      <c r="C95" s="42" t="str">
        <f>IF(A95="", "", IF(IFERROR(VLOOKUP(A95, 'Base 3F'!$B:$J, 9, FALSE),"")="", "SIN RUBRO", VLOOKUP(A95, 'Base 3F'!$B:$J, 9, FALSE)))</f>
        <v>Metalúrgica</v>
      </c>
      <c r="D95" s="58" t="s">
        <v>138</v>
      </c>
      <c r="E95" s="10" t="s">
        <v>109</v>
      </c>
      <c r="F95" s="46" t="s">
        <v>115</v>
      </c>
    </row>
    <row r="96">
      <c r="A96" s="50" t="s">
        <v>1473</v>
      </c>
      <c r="B96" s="54">
        <f>IF(A96="", "", IF(IFERROR(VLOOKUP(A96, 'Base 3F'!$B:$C, 2, FALSE),"")="", "SIN CUIT", VLOOKUP(A96, 'Base 3F'!$B:$C, 2, FALSE)))</f>
        <v>30714825263</v>
      </c>
      <c r="C96" s="42" t="str">
        <f>IF(A96="", "", IF(IFERROR(VLOOKUP(A96, 'Base 3F'!$B:$J, 9, FALSE),"")="", "SIN RUBRO", VLOOKUP(A96, 'Base 3F'!$B:$J, 9, FALSE)))</f>
        <v>Alimenticia</v>
      </c>
      <c r="D96" s="58" t="s">
        <v>139</v>
      </c>
      <c r="E96" s="10" t="s">
        <v>109</v>
      </c>
      <c r="F96" s="46" t="s">
        <v>115</v>
      </c>
    </row>
    <row r="97">
      <c r="A97" s="50" t="s">
        <v>1478</v>
      </c>
      <c r="B97" s="54">
        <f>IF(A97="", "", IF(IFERROR(VLOOKUP(A97, 'Base 3F'!$B:$C, 2, FALSE),"")="", "SIN CUIT", VLOOKUP(A97, 'Base 3F'!$B:$C, 2, FALSE)))</f>
        <v>30709011940</v>
      </c>
      <c r="C97" s="42" t="str">
        <f>IF(A97="", "", IF(IFERROR(VLOOKUP(A97, 'Base 3F'!$B:$J, 9, FALSE),"")="", "SIN RUBRO", VLOOKUP(A97, 'Base 3F'!$B:$J, 9, FALSE)))</f>
        <v>Química</v>
      </c>
      <c r="D97" s="58" t="s">
        <v>1483</v>
      </c>
      <c r="E97" s="10" t="s">
        <v>109</v>
      </c>
      <c r="F97" s="46" t="s">
        <v>115</v>
      </c>
    </row>
    <row r="98">
      <c r="A98" s="50" t="s">
        <v>1484</v>
      </c>
      <c r="B98" s="54">
        <f>IF(A98="", "", IF(IFERROR(VLOOKUP(A98, 'Base 3F'!$B:$C, 2, FALSE),"")="", "SIN CUIT", VLOOKUP(A98, 'Base 3F'!$B:$C, 2, FALSE)))</f>
        <v>30711288674</v>
      </c>
      <c r="C98" s="42" t="str">
        <f>IF(A98="", "", IF(IFERROR(VLOOKUP(A98, 'Base 3F'!$B:$J, 9, FALSE),"")="", "SIN RUBRO", VLOOKUP(A98, 'Base 3F'!$B:$J, 9, FALSE)))</f>
        <v>Metalúrgica</v>
      </c>
      <c r="D98" s="58" t="s">
        <v>1492</v>
      </c>
      <c r="E98" s="10" t="s">
        <v>109</v>
      </c>
      <c r="F98" s="46" t="s">
        <v>115</v>
      </c>
    </row>
    <row r="99">
      <c r="A99" s="50" t="s">
        <v>1493</v>
      </c>
      <c r="B99" s="54">
        <f>IF(A99="", "", IF(IFERROR(VLOOKUP(A99, 'Base 3F'!$B:$C, 2, FALSE),"")="", "SIN CUIT", VLOOKUP(A99, 'Base 3F'!$B:$C, 2, FALSE)))</f>
        <v>30716969491</v>
      </c>
      <c r="C99" s="42" t="str">
        <f>IF(A99="", "", IF(IFERROR(VLOOKUP(A99, 'Base 3F'!$B:$J, 9, FALSE),"")="", "SIN RUBRO", VLOOKUP(A99, 'Base 3F'!$B:$J, 9, FALSE)))</f>
        <v>Alimenticia</v>
      </c>
      <c r="D99" s="142" t="s">
        <v>145</v>
      </c>
      <c r="E99" s="10" t="s">
        <v>109</v>
      </c>
      <c r="F99" s="46" t="s">
        <v>115</v>
      </c>
    </row>
    <row r="100">
      <c r="A100" s="50" t="s">
        <v>1502</v>
      </c>
      <c r="B100" s="54">
        <f>IF(A100="", "", IF(IFERROR(VLOOKUP(A100, 'Base 3F'!$B:$C, 2, FALSE),"")="", "SIN CUIT", VLOOKUP(A100, 'Base 3F'!$B:$C, 2, FALSE)))</f>
        <v>20164981925</v>
      </c>
      <c r="C100" s="42" t="str">
        <f>IF(A100="", "", IF(IFERROR(VLOOKUP(A100, 'Base 3F'!$B:$J, 9, FALSE),"")="", "SIN RUBRO", VLOOKUP(A100, 'Base 3F'!$B:$J, 9, FALSE)))</f>
        <v>Alimenticia</v>
      </c>
      <c r="D100" s="58" t="s">
        <v>146</v>
      </c>
      <c r="E100" s="10" t="s">
        <v>109</v>
      </c>
      <c r="F100" s="46" t="s">
        <v>115</v>
      </c>
    </row>
    <row r="101">
      <c r="A101" s="50" t="s">
        <v>1513</v>
      </c>
      <c r="B101" s="54">
        <f>IF(A101="", "", IF(IFERROR(VLOOKUP(A101, 'Base 3F'!$B:$C, 2, FALSE),"")="", "SIN CUIT", VLOOKUP(A101, 'Base 3F'!$B:$C, 2, FALSE)))</f>
        <v>30711093490</v>
      </c>
      <c r="C101" s="42" t="str">
        <f>IF(A101="", "", IF(IFERROR(VLOOKUP(A101, 'Base 3F'!$B:$J, 9, FALSE),"")="", "SIN RUBRO", VLOOKUP(A101, 'Base 3F'!$B:$J, 9, FALSE)))</f>
        <v>Textil</v>
      </c>
      <c r="D101" s="58" t="s">
        <v>147</v>
      </c>
      <c r="E101" s="10" t="s">
        <v>109</v>
      </c>
      <c r="F101" s="46" t="s">
        <v>115</v>
      </c>
    </row>
    <row r="102">
      <c r="A102" s="50" t="s">
        <v>1517</v>
      </c>
      <c r="B102" s="54">
        <f>IF(A102="", "", IF(IFERROR(VLOOKUP(A102, 'Base 3F'!$B:$C, 2, FALSE),"")="", "SIN CUIT", VLOOKUP(A102, 'Base 3F'!$B:$C, 2, FALSE)))</f>
        <v>33708989369</v>
      </c>
      <c r="C102" s="42" t="str">
        <f>IF(A102="", "", IF(IFERROR(VLOOKUP(A102, 'Base 3F'!$B:$J, 9, FALSE),"")="", "SIN RUBRO", VLOOKUP(A102, 'Base 3F'!$B:$J, 9, FALSE)))</f>
        <v>Electrónica</v>
      </c>
      <c r="D102" s="142" t="s">
        <v>148</v>
      </c>
      <c r="E102" s="10" t="s">
        <v>109</v>
      </c>
      <c r="F102" s="46" t="s">
        <v>115</v>
      </c>
    </row>
    <row r="103">
      <c r="A103" s="50" t="s">
        <v>1522</v>
      </c>
      <c r="B103" s="54">
        <f>IF(A103="", "", IF(IFERROR(VLOOKUP(A103, 'Base 3F'!$B:$C, 2, FALSE),"")="", "SIN CUIT", VLOOKUP(A103, 'Base 3F'!$B:$C, 2, FALSE)))</f>
        <v>33711005779</v>
      </c>
      <c r="C103" s="42" t="str">
        <f>IF(A103="", "", IF(IFERROR(VLOOKUP(A103, 'Base 3F'!$B:$J, 9, FALSE),"")="", "SIN RUBRO", VLOOKUP(A103, 'Base 3F'!$B:$J, 9, FALSE)))</f>
        <v>Metalmecánica</v>
      </c>
      <c r="D103" s="58" t="s">
        <v>149</v>
      </c>
      <c r="E103" s="10" t="s">
        <v>109</v>
      </c>
      <c r="F103" s="46" t="s">
        <v>115</v>
      </c>
    </row>
    <row r="104">
      <c r="A104" s="59" t="s">
        <v>1526</v>
      </c>
      <c r="B104" s="54">
        <f>IF(A104="", "", IF(IFERROR(VLOOKUP(A104, 'Base 3F'!$B:$C, 2, FALSE),"")="", "SIN CUIT", VLOOKUP(A104, 'Base 3F'!$B:$C, 2, FALSE)))</f>
        <v>30711187975</v>
      </c>
      <c r="C104" s="42" t="str">
        <f>IF(A104="", "", IF(IFERROR(VLOOKUP(A104, 'Base 3F'!$B:$J, 9, FALSE),"")="", "SIN RUBRO", VLOOKUP(A104, 'Base 3F'!$B:$J, 9, FALSE)))</f>
        <v>Metalúrgica</v>
      </c>
      <c r="D104" s="142" t="s">
        <v>151</v>
      </c>
      <c r="E104" s="10" t="s">
        <v>109</v>
      </c>
      <c r="F104" s="46" t="s">
        <v>115</v>
      </c>
    </row>
    <row r="105">
      <c r="A105" s="59" t="s">
        <v>1532</v>
      </c>
      <c r="B105" s="54">
        <f>IF(A105="", "", IF(IFERROR(VLOOKUP(A105, 'Base 3F'!$B:$C, 2, FALSE),"")="", "SIN CUIT", VLOOKUP(A105, 'Base 3F'!$B:$C, 2, FALSE)))</f>
        <v>30697276676</v>
      </c>
      <c r="C105" s="42" t="str">
        <f>IF(A105="", "", IF(IFERROR(VLOOKUP(A105, 'Base 3F'!$B:$J, 9, FALSE),"")="", "SIN RUBRO", VLOOKUP(A105, 'Base 3F'!$B:$J, 9, FALSE)))</f>
        <v>Química</v>
      </c>
      <c r="D105" s="58" t="s">
        <v>152</v>
      </c>
      <c r="E105" s="10" t="s">
        <v>109</v>
      </c>
      <c r="F105" s="46" t="s">
        <v>115</v>
      </c>
    </row>
    <row r="106">
      <c r="A106" s="50" t="s">
        <v>1538</v>
      </c>
      <c r="B106" s="54">
        <f>IF(A106="", "", IF(IFERROR(VLOOKUP(A106, 'Base 3F'!$B:$C, 2, FALSE),"")="", "SIN CUIT", VLOOKUP(A106, 'Base 3F'!$B:$C, 2, FALSE)))</f>
        <v>30666522032</v>
      </c>
      <c r="C106" s="42" t="str">
        <f>IF(A106="", "", IF(IFERROR(VLOOKUP(A106, 'Base 3F'!$B:$J, 9, FALSE),"")="", "SIN RUBRO", VLOOKUP(A106, 'Base 3F'!$B:$J, 9, FALSE)))</f>
        <v>Metalúrgica</v>
      </c>
      <c r="D106" s="58" t="s">
        <v>153</v>
      </c>
      <c r="E106" s="10" t="s">
        <v>109</v>
      </c>
      <c r="F106" s="46" t="s">
        <v>115</v>
      </c>
    </row>
    <row r="107">
      <c r="A107" s="50" t="s">
        <v>1544</v>
      </c>
      <c r="B107" s="54">
        <f>IF(A107="", "", IF(IFERROR(VLOOKUP(A107, 'Base 3F'!$B:$C, 2, FALSE),"")="", "SIN CUIT", VLOOKUP(A107, 'Base 3F'!$B:$C, 2, FALSE)))</f>
        <v>30716163462</v>
      </c>
      <c r="C107" s="42" t="str">
        <f>IF(A107="", "", IF(IFERROR(VLOOKUP(A107, 'Base 3F'!$B:$J, 9, FALSE),"")="", "SIN RUBRO", VLOOKUP(A107, 'Base 3F'!$B:$J, 9, FALSE)))</f>
        <v>Petróleo</v>
      </c>
      <c r="D107" s="58" t="s">
        <v>155</v>
      </c>
      <c r="E107" s="10" t="s">
        <v>109</v>
      </c>
      <c r="F107" s="46" t="s">
        <v>115</v>
      </c>
    </row>
    <row r="108">
      <c r="A108" s="50" t="s">
        <v>1553</v>
      </c>
      <c r="B108" s="54">
        <f>IF(A108="", "", IF(IFERROR(VLOOKUP(A108, 'Base 3F'!$B:$C, 2, FALSE),"")="", "SIN CUIT", VLOOKUP(A108, 'Base 3F'!$B:$C, 2, FALSE)))</f>
        <v>30642219355</v>
      </c>
      <c r="C108" s="42" t="str">
        <f>IF(A108="", "", IF(IFERROR(VLOOKUP(A108, 'Base 3F'!$B:$J, 9, FALSE),"")="", "SIN RUBRO", VLOOKUP(A108, 'Base 3F'!$B:$J, 9, FALSE)))</f>
        <v>Alimenticia</v>
      </c>
      <c r="D108" s="58" t="s">
        <v>156</v>
      </c>
      <c r="E108" s="10" t="s">
        <v>109</v>
      </c>
      <c r="F108" s="46" t="s">
        <v>115</v>
      </c>
    </row>
    <row r="109">
      <c r="A109" s="50" t="s">
        <v>1558</v>
      </c>
      <c r="B109" s="54">
        <f>IF(A109="", "", IF(IFERROR(VLOOKUP(A109, 'Base 3F'!$B:$C, 2, FALSE),"")="", "SIN CUIT", VLOOKUP(A109, 'Base 3F'!$B:$C, 2, FALSE)))</f>
        <v>30694748534</v>
      </c>
      <c r="C109" s="42" t="str">
        <f>IF(A109="", "", IF(IFERROR(VLOOKUP(A109, 'Base 3F'!$B:$J, 9, FALSE),"")="", "SIN RUBRO", VLOOKUP(A109, 'Base 3F'!$B:$J, 9, FALSE)))</f>
        <v>Electrónica</v>
      </c>
      <c r="D109" s="58" t="s">
        <v>157</v>
      </c>
      <c r="E109" s="10" t="s">
        <v>109</v>
      </c>
      <c r="F109" s="46" t="s">
        <v>115</v>
      </c>
    </row>
    <row r="110">
      <c r="A110" s="50" t="s">
        <v>1562</v>
      </c>
      <c r="B110" s="54">
        <f>IF(A110="", "", IF(IFERROR(VLOOKUP(A110, 'Base 3F'!$B:$C, 2, FALSE),"")="", "SIN CUIT", VLOOKUP(A110, 'Base 3F'!$B:$C, 2, FALSE)))</f>
        <v>30707109714</v>
      </c>
      <c r="C110" s="42" t="str">
        <f>IF(A110="", "", IF(IFERROR(VLOOKUP(A110, 'Base 3F'!$B:$J, 9, FALSE),"")="", "SIN RUBRO", VLOOKUP(A110, 'Base 3F'!$B:$J, 9, FALSE)))</f>
        <v>Servicios</v>
      </c>
      <c r="D110" s="142" t="s">
        <v>158</v>
      </c>
      <c r="E110" s="10" t="s">
        <v>109</v>
      </c>
      <c r="F110" s="46" t="s">
        <v>115</v>
      </c>
    </row>
    <row r="111">
      <c r="A111" s="50" t="s">
        <v>1567</v>
      </c>
      <c r="B111" s="54">
        <f>IF(A111="", "", IF(IFERROR(VLOOKUP(A111, 'Base 3F'!$B:$C, 2, FALSE),"")="", "SIN CUIT", VLOOKUP(A111, 'Base 3F'!$B:$C, 2, FALSE)))</f>
        <v>30708933593</v>
      </c>
      <c r="C111" s="42" t="str">
        <f>IF(A111="", "", IF(IFERROR(VLOOKUP(A111, 'Base 3F'!$B:$J, 9, FALSE),"")="", "SIN RUBRO", VLOOKUP(A111, 'Base 3F'!$B:$J, 9, FALSE)))</f>
        <v>Química</v>
      </c>
      <c r="D111" s="58" t="s">
        <v>159</v>
      </c>
      <c r="E111" s="10" t="s">
        <v>109</v>
      </c>
      <c r="F111" s="46" t="s">
        <v>115</v>
      </c>
    </row>
    <row r="112">
      <c r="A112" s="50" t="s">
        <v>1573</v>
      </c>
      <c r="B112" s="54">
        <f>IF(A112="", "", IF(IFERROR(VLOOKUP(A112, 'Base 3F'!$B:$C, 2, FALSE),"")="", "SIN CUIT", VLOOKUP(A112, 'Base 3F'!$B:$C, 2, FALSE)))</f>
        <v>30551720795</v>
      </c>
      <c r="C112" s="42" t="str">
        <f>IF(A112="", "", IF(IFERROR(VLOOKUP(A112, 'Base 3F'!$B:$J, 9, FALSE),"")="", "SIN RUBRO", VLOOKUP(A112, 'Base 3F'!$B:$J, 9, FALSE)))</f>
        <v>Metalúrgica</v>
      </c>
      <c r="D112" s="142" t="s">
        <v>160</v>
      </c>
      <c r="E112" s="10" t="s">
        <v>109</v>
      </c>
      <c r="F112" s="46" t="s">
        <v>115</v>
      </c>
    </row>
    <row r="113">
      <c r="A113" s="59" t="s">
        <v>1579</v>
      </c>
      <c r="B113" s="54">
        <f>IF(A113="", "", IF(IFERROR(VLOOKUP(A113, 'Base 3F'!$B:$C, 2, FALSE),"")="", "SIN CUIT", VLOOKUP(A113, 'Base 3F'!$B:$C, 2, FALSE)))</f>
        <v>30709761478</v>
      </c>
      <c r="C113" s="42" t="str">
        <f>IF(A113="", "", IF(IFERROR(VLOOKUP(A113, 'Base 3F'!$B:$J, 9, FALSE),"")="", "SIN RUBRO", VLOOKUP(A113, 'Base 3F'!$B:$J, 9, FALSE)))</f>
        <v>Metalúrgica</v>
      </c>
      <c r="D113" s="58" t="s">
        <v>162</v>
      </c>
      <c r="E113" s="10" t="s">
        <v>109</v>
      </c>
      <c r="F113" s="46" t="s">
        <v>115</v>
      </c>
    </row>
    <row r="114">
      <c r="A114" s="50" t="s">
        <v>1585</v>
      </c>
      <c r="B114" s="54">
        <f>IF(A114="", "", IF(IFERROR(VLOOKUP(A114, 'Base 3F'!$B:$C, 2, FALSE),"")="", "SIN CUIT", VLOOKUP(A114, 'Base 3F'!$B:$C, 2, FALSE)))</f>
        <v>30537882871</v>
      </c>
      <c r="C114" s="42" t="str">
        <f>IF(A114="", "", IF(IFERROR(VLOOKUP(A114, 'Base 3F'!$B:$J, 9, FALSE),"")="", "SIN RUBRO", VLOOKUP(A114, 'Base 3F'!$B:$J, 9, FALSE)))</f>
        <v>Bebidas</v>
      </c>
      <c r="D114" s="58" t="s">
        <v>164</v>
      </c>
      <c r="E114" s="10" t="s">
        <v>109</v>
      </c>
      <c r="F114" s="46" t="s">
        <v>115</v>
      </c>
    </row>
    <row r="115">
      <c r="A115" s="50" t="s">
        <v>1590</v>
      </c>
      <c r="B115" s="54">
        <f>IF(A115="", "", IF(IFERROR(VLOOKUP(A115, 'Base 3F'!$B:$C, 2, FALSE),"")="", "SIN CUIT", VLOOKUP(A115, 'Base 3F'!$B:$C, 2, FALSE)))</f>
        <v>30538836547</v>
      </c>
      <c r="C115" s="42" t="str">
        <f>IF(A115="", "", IF(IFERROR(VLOOKUP(A115, 'Base 3F'!$B:$J, 9, FALSE),"")="", "SIN RUBRO", VLOOKUP(A115, 'Base 3F'!$B:$J, 9, FALSE)))</f>
        <v>Textil</v>
      </c>
      <c r="D115" s="58" t="s">
        <v>167</v>
      </c>
      <c r="E115" s="10" t="s">
        <v>109</v>
      </c>
      <c r="F115" s="46" t="s">
        <v>115</v>
      </c>
    </row>
    <row r="116">
      <c r="A116" s="50" t="s">
        <v>1594</v>
      </c>
      <c r="B116" s="54">
        <f>IF(A116="", "", IF(IFERROR(VLOOKUP(A116, 'Base 3F'!$B:$C, 2, FALSE),"")="", "SIN CUIT", VLOOKUP(A116, 'Base 3F'!$B:$C, 2, FALSE)))</f>
        <v>30715279556</v>
      </c>
      <c r="C116" s="42" t="str">
        <f>IF(A116="", "", IF(IFERROR(VLOOKUP(A116, 'Base 3F'!$B:$J, 9, FALSE),"")="", "SIN RUBRO", VLOOKUP(A116, 'Base 3F'!$B:$J, 9, FALSE)))</f>
        <v>Industria</v>
      </c>
      <c r="D116" s="58" t="s">
        <v>168</v>
      </c>
      <c r="E116" s="10" t="s">
        <v>109</v>
      </c>
      <c r="F116" s="46" t="s">
        <v>115</v>
      </c>
    </row>
    <row r="117">
      <c r="A117" s="50" t="s">
        <v>1597</v>
      </c>
      <c r="B117" s="54">
        <f>IF(A117="", "", IF(IFERROR(VLOOKUP(A117, 'Base 3F'!$B:$C, 2, FALSE),"")="", "SIN CUIT", VLOOKUP(A117, 'Base 3F'!$B:$C, 2, FALSE)))</f>
        <v>30662022175</v>
      </c>
      <c r="C117" s="42" t="str">
        <f>IF(A117="", "", IF(IFERROR(VLOOKUP(A117, 'Base 3F'!$B:$J, 9, FALSE),"")="", "SIN RUBRO", VLOOKUP(A117, 'Base 3F'!$B:$J, 9, FALSE)))</f>
        <v>Metalúrgica</v>
      </c>
      <c r="D117" s="58" t="s">
        <v>169</v>
      </c>
      <c r="E117" s="10" t="s">
        <v>109</v>
      </c>
      <c r="F117" s="46" t="s">
        <v>115</v>
      </c>
    </row>
    <row r="118">
      <c r="A118" s="50" t="s">
        <v>1599</v>
      </c>
      <c r="B118" s="54">
        <f>IF(A118="", "", IF(IFERROR(VLOOKUP(A118, 'Base 3F'!$B:$C, 2, FALSE),"")="", "SIN CUIT", VLOOKUP(A118, 'Base 3F'!$B:$C, 2, FALSE)))</f>
        <v>30599768064</v>
      </c>
      <c r="C118" s="42" t="str">
        <f>IF(A118="", "", IF(IFERROR(VLOOKUP(A118, 'Base 3F'!$B:$J, 9, FALSE),"")="", "SIN RUBRO", VLOOKUP(A118, 'Base 3F'!$B:$J, 9, FALSE)))</f>
        <v>Plástica</v>
      </c>
      <c r="D118" s="58" t="s">
        <v>1087</v>
      </c>
      <c r="E118" s="10" t="s">
        <v>109</v>
      </c>
      <c r="F118" s="46" t="s">
        <v>115</v>
      </c>
    </row>
    <row r="119">
      <c r="A119" s="50" t="s">
        <v>1605</v>
      </c>
      <c r="B119" s="54">
        <f>IF(A119="", "", IF(IFERROR(VLOOKUP(A119, 'Base 3F'!$B:$C, 2, FALSE),"")="", "SIN CUIT", VLOOKUP(A119, 'Base 3F'!$B:$C, 2, FALSE)))</f>
        <v>30715882481</v>
      </c>
      <c r="C119" s="42" t="str">
        <f>IF(A119="", "", IF(IFERROR(VLOOKUP(A119, 'Base 3F'!$B:$J, 9, FALSE),"")="", "SIN RUBRO", VLOOKUP(A119, 'Base 3F'!$B:$J, 9, FALSE)))</f>
        <v>Plástica</v>
      </c>
      <c r="D119" s="142" t="s">
        <v>172</v>
      </c>
      <c r="E119" s="10" t="s">
        <v>109</v>
      </c>
      <c r="F119" s="46" t="s">
        <v>115</v>
      </c>
    </row>
    <row r="120">
      <c r="A120" s="50" t="s">
        <v>1609</v>
      </c>
      <c r="B120" s="54">
        <f>IF(A120="", "", IF(IFERROR(VLOOKUP(A120, 'Base 3F'!$B:$C, 2, FALSE),"")="", "SIN CUIT", VLOOKUP(A120, 'Base 3F'!$B:$C, 2, FALSE)))</f>
        <v>30504015498</v>
      </c>
      <c r="C120" s="42" t="str">
        <f>IF(A120="", "", IF(IFERROR(VLOOKUP(A120, 'Base 3F'!$B:$J, 9, FALSE),"")="", "SIN RUBRO", VLOOKUP(A120, 'Base 3F'!$B:$J, 9, FALSE)))</f>
        <v>Metalúrgica</v>
      </c>
      <c r="D120" s="142" t="s">
        <v>174</v>
      </c>
      <c r="E120" s="10" t="s">
        <v>109</v>
      </c>
      <c r="F120" s="46" t="s">
        <v>115</v>
      </c>
    </row>
    <row r="121">
      <c r="A121" s="50" t="s">
        <v>1614</v>
      </c>
      <c r="B121" s="54">
        <f>IF(A121="", "", IF(IFERROR(VLOOKUP(A121, 'Base 3F'!$B:$C, 2, FALSE),"")="", "SIN CUIT", VLOOKUP(A121, 'Base 3F'!$B:$C, 2, FALSE)))</f>
        <v>30709748579</v>
      </c>
      <c r="C121" s="42" t="str">
        <f>IF(A121="", "", IF(IFERROR(VLOOKUP(A121, 'Base 3F'!$B:$J, 9, FALSE),"")="", "SIN RUBRO", VLOOKUP(A121, 'Base 3F'!$B:$J, 9, FALSE)))</f>
        <v>Alimenticia</v>
      </c>
      <c r="D121" s="88" t="s">
        <v>1624</v>
      </c>
      <c r="E121" s="10" t="s">
        <v>109</v>
      </c>
      <c r="F121" s="46" t="s">
        <v>1625</v>
      </c>
    </row>
    <row r="122">
      <c r="A122" s="59" t="s">
        <v>1627</v>
      </c>
      <c r="B122" s="54">
        <f>IF(A122="", "", IF(IFERROR(VLOOKUP(A122, 'Base 3F'!$B:$C, 2, FALSE),"")="", "SIN CUIT", VLOOKUP(A122, 'Base 3F'!$B:$C, 2, FALSE)))</f>
        <v>33597021319</v>
      </c>
      <c r="C122" s="42" t="str">
        <f>IF(A122="", "", IF(IFERROR(VLOOKUP(A122, 'Base 3F'!$B:$J, 9, FALSE),"")="", "SIN RUBRO", VLOOKUP(A122, 'Base 3F'!$B:$J, 9, FALSE)))</f>
        <v>Plástica</v>
      </c>
      <c r="D122" s="142" t="s">
        <v>180</v>
      </c>
      <c r="E122" s="10" t="s">
        <v>109</v>
      </c>
      <c r="F122" s="46" t="s">
        <v>115</v>
      </c>
    </row>
    <row r="123">
      <c r="A123" s="59" t="s">
        <v>1637</v>
      </c>
      <c r="B123" s="54">
        <f>IF(A123="", "", IF(IFERROR(VLOOKUP(A123, 'Base 3F'!$B:$C, 2, FALSE),"")="", "SIN CUIT", VLOOKUP(A123, 'Base 3F'!$B:$C, 2, FALSE)))</f>
        <v>30715926683</v>
      </c>
      <c r="C123" s="42" t="str">
        <f>IF(A123="", "", IF(IFERROR(VLOOKUP(A123, 'Base 3F'!$B:$J, 9, FALSE),"")="", "SIN RUBRO", VLOOKUP(A123, 'Base 3F'!$B:$J, 9, FALSE)))</f>
        <v>Metalmecánica</v>
      </c>
      <c r="D123" s="58" t="s">
        <v>181</v>
      </c>
      <c r="E123" s="10" t="s">
        <v>109</v>
      </c>
      <c r="F123" s="46" t="s">
        <v>115</v>
      </c>
    </row>
    <row r="124">
      <c r="A124" s="50" t="s">
        <v>1642</v>
      </c>
      <c r="B124" s="54">
        <f>IF(A124="", "", IF(IFERROR(VLOOKUP(A124, 'Base 3F'!$B:$C, 2, FALSE),"")="", "SIN CUIT", VLOOKUP(A124, 'Base 3F'!$B:$C, 2, FALSE)))</f>
        <v>30708246790</v>
      </c>
      <c r="C124" s="42" t="str">
        <f>IF(A124="", "", IF(IFERROR(VLOOKUP(A124, 'Base 3F'!$B:$J, 9, FALSE),"")="", "SIN RUBRO", VLOOKUP(A124, 'Base 3F'!$B:$J, 9, FALSE)))</f>
        <v>Metalúrgica</v>
      </c>
      <c r="D124" s="58" t="s">
        <v>182</v>
      </c>
      <c r="E124" s="10" t="s">
        <v>109</v>
      </c>
      <c r="F124" s="46" t="s">
        <v>115</v>
      </c>
    </row>
    <row r="125">
      <c r="A125" s="50" t="s">
        <v>1646</v>
      </c>
      <c r="B125" s="54">
        <f>IF(A125="", "", IF(IFERROR(VLOOKUP(A125, 'Base 3F'!$B:$C, 2, FALSE),"")="", "SIN CUIT", VLOOKUP(A125, 'Base 3F'!$B:$C, 2, FALSE)))</f>
        <v>30684958115</v>
      </c>
      <c r="C125" s="42" t="str">
        <f>IF(A125="", "", IF(IFERROR(VLOOKUP(A125, 'Base 3F'!$B:$J, 9, FALSE),"")="", "SIN RUBRO", VLOOKUP(A125, 'Base 3F'!$B:$J, 9, FALSE)))</f>
        <v>Alimenticia</v>
      </c>
      <c r="D125" s="88" t="s">
        <v>183</v>
      </c>
      <c r="E125" s="10" t="s">
        <v>109</v>
      </c>
      <c r="F125" s="46" t="s">
        <v>1625</v>
      </c>
    </row>
    <row r="126">
      <c r="A126" s="50" t="s">
        <v>1653</v>
      </c>
      <c r="B126" s="54">
        <f>IF(A126="", "", IF(IFERROR(VLOOKUP(A126, 'Base 3F'!$B:$C, 2, FALSE),"")="", "SIN CUIT", VLOOKUP(A126, 'Base 3F'!$B:$C, 2, FALSE)))</f>
        <v>30521478140</v>
      </c>
      <c r="C126" s="42" t="str">
        <f>IF(A126="", "", IF(IFERROR(VLOOKUP(A126, 'Base 3F'!$B:$J, 9, FALSE),"")="", "SIN RUBRO", VLOOKUP(A126, 'Base 3F'!$B:$J, 9, FALSE)))</f>
        <v>Metalúrgica</v>
      </c>
      <c r="D126" s="58" t="s">
        <v>184</v>
      </c>
      <c r="E126" s="10" t="s">
        <v>109</v>
      </c>
      <c r="F126" s="46" t="s">
        <v>115</v>
      </c>
    </row>
    <row r="127">
      <c r="A127" s="50" t="s">
        <v>1658</v>
      </c>
      <c r="B127" s="54">
        <f>IF(A127="", "", IF(IFERROR(VLOOKUP(A127, 'Base 3F'!$B:$C, 2, FALSE),"")="", "SIN CUIT", VLOOKUP(A127, 'Base 3F'!$B:$C, 2, FALSE)))</f>
        <v>33644120479</v>
      </c>
      <c r="C127" s="42" t="str">
        <f>IF(A127="", "", IF(IFERROR(VLOOKUP(A127, 'Base 3F'!$B:$J, 9, FALSE),"")="", "SIN RUBRO", VLOOKUP(A127, 'Base 3F'!$B:$J, 9, FALSE)))</f>
        <v>Metalúrgica</v>
      </c>
      <c r="D127" s="58" t="s">
        <v>186</v>
      </c>
      <c r="E127" s="10" t="s">
        <v>109</v>
      </c>
      <c r="F127" s="46" t="s">
        <v>115</v>
      </c>
    </row>
    <row r="128">
      <c r="A128" s="50" t="s">
        <v>1664</v>
      </c>
      <c r="B128" s="54">
        <f>IF(A128="", "", IF(IFERROR(VLOOKUP(A128, 'Base 3F'!$B:$C, 2, FALSE),"")="", "SIN CUIT", VLOOKUP(A128, 'Base 3F'!$B:$C, 2, FALSE)))</f>
        <v>33707578209</v>
      </c>
      <c r="C128" s="42" t="str">
        <f>IF(A128="", "", IF(IFERROR(VLOOKUP(A128, 'Base 3F'!$B:$J, 9, FALSE),"")="", "SIN RUBRO", VLOOKUP(A128, 'Base 3F'!$B:$J, 9, FALSE)))</f>
        <v>Madera</v>
      </c>
      <c r="D128" s="58" t="s">
        <v>187</v>
      </c>
      <c r="E128" s="10" t="s">
        <v>109</v>
      </c>
      <c r="F128" s="46" t="s">
        <v>115</v>
      </c>
    </row>
    <row r="129">
      <c r="A129" s="50" t="s">
        <v>1669</v>
      </c>
      <c r="B129" s="54">
        <f>IF(A129="", "", IF(IFERROR(VLOOKUP(A129, 'Base 3F'!$B:$C, 2, FALSE),"")="", "SIN CUIT", VLOOKUP(A129, 'Base 3F'!$B:$C, 2, FALSE)))</f>
        <v>30595153111</v>
      </c>
      <c r="C129" s="42" t="str">
        <f>IF(A129="", "", IF(IFERROR(VLOOKUP(A129, 'Base 3F'!$B:$J, 9, FALSE),"")="", "SIN RUBRO", VLOOKUP(A129, 'Base 3F'!$B:$J, 9, FALSE)))</f>
        <v>Automotor</v>
      </c>
      <c r="D129" s="142" t="s">
        <v>189</v>
      </c>
      <c r="E129" s="10" t="s">
        <v>109</v>
      </c>
      <c r="F129" s="46" t="s">
        <v>115</v>
      </c>
    </row>
    <row r="130">
      <c r="A130" s="50" t="s">
        <v>1672</v>
      </c>
      <c r="B130" s="54">
        <f>IF(A130="", "", IF(IFERROR(VLOOKUP(A130, 'Base 3F'!$B:$C, 2, FALSE),"")="", "SIN CUIT", VLOOKUP(A130, 'Base 3F'!$B:$C, 2, FALSE)))</f>
        <v>30708102179</v>
      </c>
      <c r="C130" s="42" t="str">
        <f>IF(A130="", "", IF(IFERROR(VLOOKUP(A130, 'Base 3F'!$B:$J, 9, FALSE),"")="", "SIN RUBRO", VLOOKUP(A130, 'Base 3F'!$B:$J, 9, FALSE)))</f>
        <v>Metalúrgica</v>
      </c>
      <c r="D130" s="58" t="s">
        <v>190</v>
      </c>
      <c r="E130" s="10" t="s">
        <v>109</v>
      </c>
      <c r="F130" s="46" t="s">
        <v>115</v>
      </c>
    </row>
    <row r="131">
      <c r="A131" s="50" t="s">
        <v>1677</v>
      </c>
      <c r="B131" s="54">
        <f>IF(A131="", "", IF(IFERROR(VLOOKUP(A131, 'Base 3F'!$B:$C, 2, FALSE),"")="", "SIN CUIT", VLOOKUP(A131, 'Base 3F'!$B:$C, 2, FALSE)))</f>
        <v>30517314818</v>
      </c>
      <c r="C131" s="42" t="str">
        <f>IF(A131="", "", IF(IFERROR(VLOOKUP(A131, 'Base 3F'!$B:$J, 9, FALSE),"")="", "SIN RUBRO", VLOOKUP(A131, 'Base 3F'!$B:$J, 9, FALSE)))</f>
        <v>Calzado</v>
      </c>
      <c r="D131" s="58" t="s">
        <v>191</v>
      </c>
      <c r="E131" s="10" t="s">
        <v>109</v>
      </c>
      <c r="F131" s="46" t="s">
        <v>115</v>
      </c>
    </row>
    <row r="132">
      <c r="A132" s="50" t="s">
        <v>1681</v>
      </c>
      <c r="B132" s="54">
        <f>IF(A132="", "", IF(IFERROR(VLOOKUP(A132, 'Base 3F'!$B:$C, 2, FALSE),"")="", "SIN CUIT", VLOOKUP(A132, 'Base 3F'!$B:$C, 2, FALSE)))</f>
        <v>30717808041</v>
      </c>
      <c r="C132" s="42" t="str">
        <f>IF(A132="", "", IF(IFERROR(VLOOKUP(A132, 'Base 3F'!$B:$J, 9, FALSE),"")="", "SIN RUBRO", VLOOKUP(A132, 'Base 3F'!$B:$J, 9, FALSE)))</f>
        <v>Construcción</v>
      </c>
      <c r="D132" s="201" t="s">
        <v>1686</v>
      </c>
      <c r="E132" s="10" t="s">
        <v>109</v>
      </c>
      <c r="F132" s="46" t="s">
        <v>115</v>
      </c>
    </row>
    <row r="133">
      <c r="A133" s="59" t="s">
        <v>1688</v>
      </c>
      <c r="B133" s="54">
        <f>IF(A133="", "", IF(IFERROR(VLOOKUP(A133, 'Base 3F'!$B:$C, 2, FALSE),"")="", "SIN CUIT", VLOOKUP(A133, 'Base 3F'!$B:$C, 2, FALSE)))</f>
        <v>30677077596</v>
      </c>
      <c r="C133" s="42" t="str">
        <f>IF(A133="", "", IF(IFERROR(VLOOKUP(A133, 'Base 3F'!$B:$J, 9, FALSE),"")="", "SIN RUBRO", VLOOKUP(A133, 'Base 3F'!$B:$J, 9, FALSE)))</f>
        <v>Metalúrgica</v>
      </c>
      <c r="D133" s="58" t="s">
        <v>192</v>
      </c>
      <c r="E133" s="10" t="s">
        <v>109</v>
      </c>
      <c r="F133" s="46" t="s">
        <v>115</v>
      </c>
    </row>
    <row r="134">
      <c r="A134" s="50" t="s">
        <v>1692</v>
      </c>
      <c r="B134" s="54">
        <f>IF(A134="", "", IF(IFERROR(VLOOKUP(A134, 'Base 3F'!$B:$C, 2, FALSE),"")="", "SIN CUIT", VLOOKUP(A134, 'Base 3F'!$B:$C, 2, FALSE)))</f>
        <v>30710218486</v>
      </c>
      <c r="C134" s="42" t="str">
        <f>IF(A134="", "", IF(IFERROR(VLOOKUP(A134, 'Base 3F'!$B:$J, 9, FALSE),"")="", "SIN RUBRO", VLOOKUP(A134, 'Base 3F'!$B:$J, 9, FALSE)))</f>
        <v>Gráfica</v>
      </c>
      <c r="D134" s="58" t="s">
        <v>197</v>
      </c>
      <c r="E134" s="10" t="s">
        <v>109</v>
      </c>
      <c r="F134" s="46" t="s">
        <v>115</v>
      </c>
    </row>
    <row r="135">
      <c r="A135" s="59" t="s">
        <v>1698</v>
      </c>
      <c r="B135" s="54">
        <f>IF(A135="", "", IF(IFERROR(VLOOKUP(A135, 'Base 3F'!$B:$C, 2, FALSE),"")="", "SIN CUIT", VLOOKUP(A135, 'Base 3F'!$B:$C, 2, FALSE)))</f>
        <v>30709190713</v>
      </c>
      <c r="C135" s="42" t="str">
        <f>IF(A135="", "", IF(IFERROR(VLOOKUP(A135, 'Base 3F'!$B:$J, 9, FALSE),"")="", "SIN RUBRO", VLOOKUP(A135, 'Base 3F'!$B:$J, 9, FALSE)))</f>
        <v>Metalúrgica</v>
      </c>
      <c r="D135" s="58" t="s">
        <v>200</v>
      </c>
      <c r="E135" s="10" t="s">
        <v>109</v>
      </c>
      <c r="F135" s="46" t="s">
        <v>115</v>
      </c>
    </row>
    <row r="136">
      <c r="A136" s="50" t="s">
        <v>1702</v>
      </c>
      <c r="B136" s="54">
        <f>IF(A136="", "", IF(IFERROR(VLOOKUP(A136, 'Base 3F'!$B:$C, 2, FALSE),"")="", "SIN CUIT", VLOOKUP(A136, 'Base 3F'!$B:$C, 2, FALSE)))</f>
        <v>30712544550</v>
      </c>
      <c r="C136" s="42" t="str">
        <f>IF(A136="", "", IF(IFERROR(VLOOKUP(A136, 'Base 3F'!$B:$J, 9, FALSE),"")="", "SIN RUBRO", VLOOKUP(A136, 'Base 3F'!$B:$J, 9, FALSE)))</f>
        <v>Textil</v>
      </c>
      <c r="D136" s="58" t="s">
        <v>1706</v>
      </c>
      <c r="E136" s="10" t="s">
        <v>109</v>
      </c>
      <c r="F136" s="46" t="s">
        <v>115</v>
      </c>
    </row>
    <row r="137">
      <c r="A137" s="50" t="s">
        <v>1708</v>
      </c>
      <c r="B137" s="54">
        <f>IF(A137="", "", IF(IFERROR(VLOOKUP(A137, 'Base 3F'!$B:$C, 2, FALSE),"")="", "SIN CUIT", VLOOKUP(A137, 'Base 3F'!$B:$C, 2, FALSE)))</f>
        <v>30710219962</v>
      </c>
      <c r="C137" s="42" t="str">
        <f>IF(A137="", "", IF(IFERROR(VLOOKUP(A137, 'Base 3F'!$B:$J, 9, FALSE),"")="", "SIN RUBRO", VLOOKUP(A137, 'Base 3F'!$B:$J, 9, FALSE)))</f>
        <v>Textil</v>
      </c>
      <c r="D137" s="58" t="s">
        <v>202</v>
      </c>
      <c r="E137" s="10" t="s">
        <v>109</v>
      </c>
      <c r="F137" s="46" t="s">
        <v>115</v>
      </c>
    </row>
    <row r="138">
      <c r="A138" s="59" t="s">
        <v>1719</v>
      </c>
      <c r="B138" s="54">
        <f>IF(A138="", "", IF(IFERROR(VLOOKUP(A138, 'Base 3F'!$B:$C, 2, FALSE),"")="", "SIN CUIT", VLOOKUP(A138, 'Base 3F'!$B:$C, 2, FALSE)))</f>
        <v>30714875015</v>
      </c>
      <c r="C138" s="42" t="str">
        <f>IF(A138="", "", IF(IFERROR(VLOOKUP(A138, 'Base 3F'!$B:$J, 9, FALSE),"")="", "SIN RUBRO", VLOOKUP(A138, 'Base 3F'!$B:$J, 9, FALSE)))</f>
        <v>Caucho</v>
      </c>
      <c r="D138" s="58" t="s">
        <v>1722</v>
      </c>
      <c r="E138" s="10" t="s">
        <v>109</v>
      </c>
      <c r="F138" s="46" t="s">
        <v>115</v>
      </c>
    </row>
    <row r="139">
      <c r="A139" s="50" t="s">
        <v>1723</v>
      </c>
      <c r="B139" s="54">
        <f>IF(A139="", "", IF(IFERROR(VLOOKUP(A139, 'Base 3F'!$B:$C, 2, FALSE),"")="", "SIN CUIT", VLOOKUP(A139, 'Base 3F'!$B:$C, 2, FALSE)))</f>
        <v>30709096962</v>
      </c>
      <c r="C139" s="42" t="str">
        <f>IF(A139="", "", IF(IFERROR(VLOOKUP(A139, 'Base 3F'!$B:$J, 9, FALSE),"")="", "SIN RUBRO", VLOOKUP(A139, 'Base 3F'!$B:$J, 9, FALSE)))</f>
        <v>Plástica</v>
      </c>
      <c r="D139" s="58" t="s">
        <v>203</v>
      </c>
      <c r="E139" s="10" t="s">
        <v>109</v>
      </c>
      <c r="F139" s="46" t="s">
        <v>115</v>
      </c>
    </row>
    <row r="140">
      <c r="A140" s="50" t="s">
        <v>1728</v>
      </c>
      <c r="B140" s="54">
        <f>IF(A140="", "", IF(IFERROR(VLOOKUP(A140, 'Base 3F'!$B:$C, 2, FALSE),"")="", "SIN CUIT", VLOOKUP(A140, 'Base 3F'!$B:$C, 2, FALSE)))</f>
        <v>20130828230</v>
      </c>
      <c r="C140" s="42" t="str">
        <f>IF(A140="", "", IF(IFERROR(VLOOKUP(A140, 'Base 3F'!$B:$J, 9, FALSE),"")="", "SIN RUBRO", VLOOKUP(A140, 'Base 3F'!$B:$J, 9, FALSE)))</f>
        <v>Metalúrgica</v>
      </c>
      <c r="D140" s="142" t="s">
        <v>204</v>
      </c>
      <c r="E140" s="10" t="s">
        <v>109</v>
      </c>
      <c r="F140" s="46" t="s">
        <v>115</v>
      </c>
    </row>
    <row r="141">
      <c r="A141" s="50" t="s">
        <v>1736</v>
      </c>
      <c r="B141" s="54">
        <f>IF(A141="", "", IF(IFERROR(VLOOKUP(A141, 'Base 3F'!$B:$C, 2, FALSE),"")="", "SIN CUIT", VLOOKUP(A141, 'Base 3F'!$B:$C, 2, FALSE)))</f>
        <v>20135017192</v>
      </c>
      <c r="C141" s="42" t="str">
        <f>IF(A141="", "", IF(IFERROR(VLOOKUP(A141, 'Base 3F'!$B:$J, 9, FALSE),"")="", "SIN RUBRO", VLOOKUP(A141, 'Base 3F'!$B:$J, 9, FALSE)))</f>
        <v>Industria</v>
      </c>
      <c r="D141" s="58" t="s">
        <v>205</v>
      </c>
      <c r="E141" s="10" t="s">
        <v>109</v>
      </c>
      <c r="F141" s="46" t="s">
        <v>115</v>
      </c>
    </row>
    <row r="142">
      <c r="A142" s="59" t="s">
        <v>1739</v>
      </c>
      <c r="B142" s="54">
        <f>IF(A142="", "", IF(IFERROR(VLOOKUP(A142, 'Base 3F'!$B:$C, 2, FALSE),"")="", "SIN CUIT", VLOOKUP(A142, 'Base 3F'!$B:$C, 2, FALSE)))</f>
        <v>30607180578</v>
      </c>
      <c r="C142" s="42" t="str">
        <f>IF(A142="", "", IF(IFERROR(VLOOKUP(A142, 'Base 3F'!$B:$J, 9, FALSE),"")="", "SIN RUBRO", VLOOKUP(A142, 'Base 3F'!$B:$J, 9, FALSE)))</f>
        <v>Metalmecánica</v>
      </c>
      <c r="D142" s="58" t="s">
        <v>208</v>
      </c>
      <c r="E142" s="10" t="s">
        <v>109</v>
      </c>
      <c r="F142" s="46" t="s">
        <v>115</v>
      </c>
    </row>
    <row r="143">
      <c r="A143" s="59" t="s">
        <v>1743</v>
      </c>
      <c r="B143" s="54">
        <f>IF(A143="", "", IF(IFERROR(VLOOKUP(A143, 'Base 3F'!$B:$C, 2, FALSE),"")="", "SIN CUIT", VLOOKUP(A143, 'Base 3F'!$B:$C, 2, FALSE)))</f>
        <v>30709239305</v>
      </c>
      <c r="C143" s="42" t="str">
        <f>IF(A143="", "", IF(IFERROR(VLOOKUP(A143, 'Base 3F'!$B:$J, 9, FALSE),"")="", "SIN RUBRO", VLOOKUP(A143, 'Base 3F'!$B:$J, 9, FALSE)))</f>
        <v>Plástica</v>
      </c>
      <c r="D143" s="58" t="s">
        <v>210</v>
      </c>
      <c r="E143" s="10" t="s">
        <v>109</v>
      </c>
      <c r="F143" s="46" t="s">
        <v>115</v>
      </c>
    </row>
    <row r="144">
      <c r="A144" s="50" t="s">
        <v>1745</v>
      </c>
      <c r="B144" s="54">
        <f>IF(A144="", "", IF(IFERROR(VLOOKUP(A144, 'Base 3F'!$B:$C, 2, FALSE),"")="", "SIN CUIT", VLOOKUP(A144, 'Base 3F'!$B:$C, 2, FALSE)))</f>
        <v>30628418329</v>
      </c>
      <c r="C144" s="42" t="str">
        <f>IF(A144="", "", IF(IFERROR(VLOOKUP(A144, 'Base 3F'!$B:$J, 9, FALSE),"")="", "SIN RUBRO", VLOOKUP(A144, 'Base 3F'!$B:$J, 9, FALSE)))</f>
        <v>Metalúrgica</v>
      </c>
      <c r="D144" s="58" t="s">
        <v>211</v>
      </c>
      <c r="E144" s="10" t="s">
        <v>109</v>
      </c>
      <c r="F144" s="46" t="s">
        <v>115</v>
      </c>
    </row>
    <row r="145">
      <c r="A145" s="59" t="s">
        <v>1754</v>
      </c>
      <c r="B145" s="54">
        <f>IF(A145="", "", IF(IFERROR(VLOOKUP(A145, 'Base 3F'!$B:$C, 2, FALSE),"")="", "SIN CUIT", VLOOKUP(A145, 'Base 3F'!$B:$C, 2, FALSE)))</f>
        <v>30701149579</v>
      </c>
      <c r="C145" s="42" t="str">
        <f>IF(A145="", "", IF(IFERROR(VLOOKUP(A145, 'Base 3F'!$B:$J, 9, FALSE),"")="", "SIN RUBRO", VLOOKUP(A145, 'Base 3F'!$B:$J, 9, FALSE)))</f>
        <v>Metalúrgica</v>
      </c>
      <c r="D145" s="142" t="s">
        <v>213</v>
      </c>
      <c r="E145" s="10" t="s">
        <v>109</v>
      </c>
      <c r="F145" s="46" t="s">
        <v>115</v>
      </c>
    </row>
    <row r="146">
      <c r="A146" s="50" t="s">
        <v>1759</v>
      </c>
      <c r="B146" s="54">
        <f>IF(A146="", "", IF(IFERROR(VLOOKUP(A146, 'Base 3F'!$B:$C, 2, FALSE),"")="", "SIN CUIT", VLOOKUP(A146, 'Base 3F'!$B:$C, 2, FALSE)))</f>
        <v>20139809255</v>
      </c>
      <c r="C146" s="42" t="str">
        <f>IF(A146="", "", IF(IFERROR(VLOOKUP(A146, 'Base 3F'!$B:$J, 9, FALSE),"")="", "SIN RUBRO", VLOOKUP(A146, 'Base 3F'!$B:$J, 9, FALSE)))</f>
        <v>Papel</v>
      </c>
      <c r="D146" s="205" t="s">
        <v>215</v>
      </c>
      <c r="E146" s="10" t="s">
        <v>109</v>
      </c>
      <c r="F146" s="46" t="s">
        <v>115</v>
      </c>
    </row>
    <row r="147">
      <c r="A147" s="50" t="s">
        <v>1764</v>
      </c>
      <c r="B147" s="54">
        <f>IF(A147="", "", IF(IFERROR(VLOOKUP(A147, 'Base 3F'!$B:$C, 2, FALSE),"")="", "SIN CUIT", VLOOKUP(A147, 'Base 3F'!$B:$C, 2, FALSE)))</f>
        <v>30716235595</v>
      </c>
      <c r="C147" s="42" t="str">
        <f>IF(A147="", "", IF(IFERROR(VLOOKUP(A147, 'Base 3F'!$B:$J, 9, FALSE),"")="", "SIN RUBRO", VLOOKUP(A147, 'Base 3F'!$B:$J, 9, FALSE)))</f>
        <v>Metalúrgica</v>
      </c>
      <c r="D147" s="58" t="s">
        <v>218</v>
      </c>
      <c r="E147" s="10" t="s">
        <v>109</v>
      </c>
      <c r="F147" s="46" t="s">
        <v>115</v>
      </c>
    </row>
    <row r="148">
      <c r="A148" s="50" t="s">
        <v>1769</v>
      </c>
      <c r="B148" s="54">
        <f>IF(A148="", "", IF(IFERROR(VLOOKUP(A148, 'Base 3F'!$B:$C, 2, FALSE),"")="", "SIN CUIT", VLOOKUP(A148, 'Base 3F'!$B:$C, 2, FALSE)))</f>
        <v>27042535228</v>
      </c>
      <c r="C148" s="42" t="str">
        <f>IF(A148="", "", IF(IFERROR(VLOOKUP(A148, 'Base 3F'!$B:$J, 9, FALSE),"")="", "SIN RUBRO", VLOOKUP(A148, 'Base 3F'!$B:$J, 9, FALSE)))</f>
        <v>Alimenticia</v>
      </c>
      <c r="D148" s="58" t="s">
        <v>220</v>
      </c>
      <c r="E148" s="10" t="s">
        <v>109</v>
      </c>
      <c r="F148" s="46" t="s">
        <v>115</v>
      </c>
    </row>
    <row r="149">
      <c r="A149" s="68" t="s">
        <v>1778</v>
      </c>
      <c r="B149" s="54">
        <f>IF(A149="", "", IF(IFERROR(VLOOKUP(A149, 'Base 3F'!$B:$C, 2, FALSE),"")="", "SIN CUIT", VLOOKUP(A149, 'Base 3F'!$B:$C, 2, FALSE)))</f>
        <v>30717426122</v>
      </c>
      <c r="C149" s="42" t="str">
        <f>IF(A149="", "", IF(IFERROR(VLOOKUP(A149, 'Base 3F'!$B:$J, 9, FALSE),"")="", "SIN RUBRO", VLOOKUP(A149, 'Base 3F'!$B:$J, 9, FALSE)))</f>
        <v>Inmobiliarios</v>
      </c>
      <c r="D149" s="142" t="s">
        <v>222</v>
      </c>
      <c r="E149" s="10" t="s">
        <v>109</v>
      </c>
      <c r="F149" s="46" t="s">
        <v>115</v>
      </c>
    </row>
    <row r="150">
      <c r="A150" s="59" t="s">
        <v>1782</v>
      </c>
      <c r="B150" s="54">
        <f>IF(A150="", "", IF(IFERROR(VLOOKUP(A150, 'Base 3F'!$B:$C, 2, FALSE),"")="", "SIN CUIT", VLOOKUP(A150, 'Base 3F'!$B:$C, 2, FALSE)))</f>
        <v>23122995364</v>
      </c>
      <c r="C150" s="42" t="str">
        <f>IF(A150="", "", IF(IFERROR(VLOOKUP(A150, 'Base 3F'!$B:$J, 9, FALSE),"")="", "SIN RUBRO", VLOOKUP(A150, 'Base 3F'!$B:$J, 9, FALSE)))</f>
        <v>Madera</v>
      </c>
      <c r="D150" s="58" t="s">
        <v>224</v>
      </c>
      <c r="E150" s="10" t="s">
        <v>109</v>
      </c>
      <c r="F150" s="46" t="s">
        <v>115</v>
      </c>
    </row>
    <row r="151">
      <c r="A151" s="50" t="s">
        <v>1784</v>
      </c>
      <c r="B151" s="54">
        <f>IF(A151="", "", IF(IFERROR(VLOOKUP(A151, 'Base 3F'!$B:$C, 2, FALSE),"")="", "SIN CUIT", VLOOKUP(A151, 'Base 3F'!$B:$C, 2, FALSE)))</f>
        <v>30711313822</v>
      </c>
      <c r="C151" s="42" t="str">
        <f>IF(A151="", "", IF(IFERROR(VLOOKUP(A151, 'Base 3F'!$B:$J, 9, FALSE),"")="", "SIN RUBRO", VLOOKUP(A151, 'Base 3F'!$B:$J, 9, FALSE)))</f>
        <v>Alimenticia</v>
      </c>
      <c r="D151" s="58" t="s">
        <v>225</v>
      </c>
      <c r="E151" s="10" t="s">
        <v>109</v>
      </c>
      <c r="F151" s="46" t="s">
        <v>115</v>
      </c>
    </row>
    <row r="152">
      <c r="A152" s="50" t="s">
        <v>1791</v>
      </c>
      <c r="B152" s="54">
        <f>IF(A152="", "", IF(IFERROR(VLOOKUP(A152, 'Base 3F'!$B:$C, 2, FALSE),"")="", "SIN CUIT", VLOOKUP(A152, 'Base 3F'!$B:$C, 2, FALSE)))</f>
        <v>30712294600</v>
      </c>
      <c r="C152" s="42" t="str">
        <f>IF(A152="", "", IF(IFERROR(VLOOKUP(A152, 'Base 3F'!$B:$J, 9, FALSE),"")="", "SIN RUBRO", VLOOKUP(A152, 'Base 3F'!$B:$J, 9, FALSE)))</f>
        <v>Metalúrgica</v>
      </c>
      <c r="D152" s="58" t="s">
        <v>227</v>
      </c>
      <c r="E152" s="10" t="s">
        <v>109</v>
      </c>
      <c r="F152" s="46" t="s">
        <v>115</v>
      </c>
    </row>
    <row r="153">
      <c r="A153" s="50" t="s">
        <v>1795</v>
      </c>
      <c r="B153" s="54">
        <f>IF(A153="", "", IF(IFERROR(VLOOKUP(A153, 'Base 3F'!$B:$C, 2, FALSE),"")="", "SIN CUIT", VLOOKUP(A153, 'Base 3F'!$B:$C, 2, FALSE)))</f>
        <v>20238334862</v>
      </c>
      <c r="C153" s="42" t="str">
        <f>IF(A153="", "", IF(IFERROR(VLOOKUP(A153, 'Base 3F'!$B:$J, 9, FALSE),"")="", "SIN RUBRO", VLOOKUP(A153, 'Base 3F'!$B:$J, 9, FALSE)))</f>
        <v>Servicios</v>
      </c>
      <c r="D153" s="58" t="s">
        <v>229</v>
      </c>
      <c r="E153" s="10" t="s">
        <v>109</v>
      </c>
      <c r="F153" s="46" t="s">
        <v>115</v>
      </c>
    </row>
    <row r="154">
      <c r="A154" s="59" t="s">
        <v>1800</v>
      </c>
      <c r="B154" s="54">
        <f>IF(A154="", "", IF(IFERROR(VLOOKUP(A154, 'Base 3F'!$B:$C, 2, FALSE),"")="", "SIN CUIT", VLOOKUP(A154, 'Base 3F'!$B:$C, 2, FALSE)))</f>
        <v>30709037060</v>
      </c>
      <c r="C154" s="42" t="str">
        <f>IF(A154="", "", IF(IFERROR(VLOOKUP(A154, 'Base 3F'!$B:$J, 9, FALSE),"")="", "SIN RUBRO", VLOOKUP(A154, 'Base 3F'!$B:$J, 9, FALSE)))</f>
        <v>Metalúrgica</v>
      </c>
      <c r="D154" s="58" t="s">
        <v>231</v>
      </c>
      <c r="E154" s="10" t="s">
        <v>109</v>
      </c>
      <c r="F154" s="46" t="s">
        <v>115</v>
      </c>
    </row>
    <row r="155">
      <c r="A155" s="59" t="s">
        <v>1805</v>
      </c>
      <c r="B155" s="54">
        <f>IF(A155="", "", IF(IFERROR(VLOOKUP(A155, 'Base 3F'!$B:$C, 2, FALSE),"")="", "SIN CUIT", VLOOKUP(A155, 'Base 3F'!$B:$C, 2, FALSE)))</f>
        <v>30710637152</v>
      </c>
      <c r="C155" s="42" t="str">
        <f>IF(A155="", "", IF(IFERROR(VLOOKUP(A155, 'Base 3F'!$B:$J, 9, FALSE),"")="", "SIN RUBRO", VLOOKUP(A155, 'Base 3F'!$B:$J, 9, FALSE)))</f>
        <v>Construcción</v>
      </c>
      <c r="D155" s="142" t="s">
        <v>233</v>
      </c>
      <c r="E155" s="10" t="s">
        <v>109</v>
      </c>
      <c r="F155" s="46" t="s">
        <v>115</v>
      </c>
    </row>
    <row r="156">
      <c r="A156" s="50" t="s">
        <v>1808</v>
      </c>
      <c r="B156" s="54">
        <f>IF(A156="", "", IF(IFERROR(VLOOKUP(A156, 'Base 3F'!$B:$C, 2, FALSE),"")="", "SIN CUIT", VLOOKUP(A156, 'Base 3F'!$B:$C, 2, FALSE)))</f>
        <v>33624658529</v>
      </c>
      <c r="C156" s="42" t="str">
        <f>IF(A156="", "", IF(IFERROR(VLOOKUP(A156, 'Base 3F'!$B:$J, 9, FALSE),"")="", "SIN RUBRO", VLOOKUP(A156, 'Base 3F'!$B:$J, 9, FALSE)))</f>
        <v>Gráfica</v>
      </c>
      <c r="D156" s="58" t="s">
        <v>1815</v>
      </c>
      <c r="E156" s="10" t="s">
        <v>109</v>
      </c>
      <c r="F156" s="46" t="s">
        <v>115</v>
      </c>
    </row>
    <row r="157">
      <c r="A157" s="50" t="s">
        <v>1817</v>
      </c>
      <c r="B157" s="54">
        <f>IF(A157="", "", IF(IFERROR(VLOOKUP(A157, 'Base 3F'!$B:$C, 2, FALSE),"")="", "SIN CUIT", VLOOKUP(A157, 'Base 3F'!$B:$C, 2, FALSE)))</f>
        <v>30548089405</v>
      </c>
      <c r="C157" s="42" t="str">
        <f>IF(A157="", "", IF(IFERROR(VLOOKUP(A157, 'Base 3F'!$B:$J, 9, FALSE),"")="", "SIN RUBRO", VLOOKUP(A157, 'Base 3F'!$B:$J, 9, FALSE)))</f>
        <v>Papel</v>
      </c>
      <c r="D157" s="58" t="s">
        <v>237</v>
      </c>
      <c r="E157" s="10" t="s">
        <v>109</v>
      </c>
      <c r="F157" s="46" t="s">
        <v>115</v>
      </c>
    </row>
    <row r="158">
      <c r="A158" s="50" t="s">
        <v>1820</v>
      </c>
      <c r="B158" s="54">
        <f>IF(A158="", "", IF(IFERROR(VLOOKUP(A158, 'Base 3F'!$B:$C, 2, FALSE),"")="", "SIN CUIT", VLOOKUP(A158, 'Base 3F'!$B:$C, 2, FALSE)))</f>
        <v>30715436902</v>
      </c>
      <c r="C158" s="42" t="str">
        <f>IF(A158="", "", IF(IFERROR(VLOOKUP(A158, 'Base 3F'!$B:$J, 9, FALSE),"")="", "SIN RUBRO", VLOOKUP(A158, 'Base 3F'!$B:$J, 9, FALSE)))</f>
        <v>Bebidas</v>
      </c>
      <c r="D158" s="142" t="s">
        <v>240</v>
      </c>
      <c r="E158" s="10" t="s">
        <v>109</v>
      </c>
      <c r="F158" s="46" t="s">
        <v>115</v>
      </c>
    </row>
    <row r="159">
      <c r="A159" s="50" t="s">
        <v>1826</v>
      </c>
      <c r="B159" s="54">
        <f>IF(A159="", "", IF(IFERROR(VLOOKUP(A159, 'Base 3F'!$B:$C, 2, FALSE),"")="", "SIN CUIT", VLOOKUP(A159, 'Base 3F'!$B:$C, 2, FALSE)))</f>
        <v>30612459254</v>
      </c>
      <c r="C159" s="42" t="str">
        <f>IF(A159="", "", IF(IFERROR(VLOOKUP(A159, 'Base 3F'!$B:$J, 9, FALSE),"")="", "SIN RUBRO", VLOOKUP(A159, 'Base 3F'!$B:$J, 9, FALSE)))</f>
        <v>Metalúrgica</v>
      </c>
      <c r="D159" s="133" t="s">
        <v>241</v>
      </c>
      <c r="E159" s="10" t="s">
        <v>109</v>
      </c>
      <c r="F159" s="46" t="s">
        <v>115</v>
      </c>
    </row>
    <row r="160">
      <c r="A160" s="50" t="s">
        <v>1826</v>
      </c>
      <c r="B160" s="54">
        <f>IF(A160="", "", IF(IFERROR(VLOOKUP(A160, 'Base 3F'!$B:$C, 2, FALSE),"")="", "SIN CUIT", VLOOKUP(A160, 'Base 3F'!$B:$C, 2, FALSE)))</f>
        <v>30612459254</v>
      </c>
      <c r="C160" s="42" t="str">
        <f>IF(A160="", "", IF(IFERROR(VLOOKUP(A160, 'Base 3F'!$B:$J, 9, FALSE),"")="", "SIN RUBRO", VLOOKUP(A160, 'Base 3F'!$B:$J, 9, FALSE)))</f>
        <v>Metalúrgica</v>
      </c>
      <c r="D160" s="142" t="s">
        <v>244</v>
      </c>
      <c r="E160" s="10" t="s">
        <v>109</v>
      </c>
      <c r="F160" s="46" t="s">
        <v>115</v>
      </c>
    </row>
    <row r="161">
      <c r="A161" s="50" t="s">
        <v>1832</v>
      </c>
      <c r="B161" s="54" t="str">
        <f>IF(A161="", "", IF(IFERROR(VLOOKUP(A161, 'Base 3F'!$B:$C, 2, FALSE),"")="", "SIN CUIT", VLOOKUP(A161, 'Base 3F'!$B:$C, 2, FALSE)))</f>
        <v>Averiguar</v>
      </c>
      <c r="C161" s="42" t="str">
        <f>IF(A161="", "", IF(IFERROR(VLOOKUP(A161, 'Base 3F'!$B:$J, 9, FALSE),"")="", "SIN RUBRO", VLOOKUP(A161, 'Base 3F'!$B:$J, 9, FALSE)))</f>
        <v>Metalúrgica</v>
      </c>
      <c r="D161" s="58" t="s">
        <v>245</v>
      </c>
      <c r="E161" s="10" t="s">
        <v>109</v>
      </c>
      <c r="F161" s="46" t="s">
        <v>115</v>
      </c>
    </row>
    <row r="162">
      <c r="A162" s="50" t="s">
        <v>1837</v>
      </c>
      <c r="B162" s="54">
        <f>IF(A162="", "", IF(IFERROR(VLOOKUP(A162, 'Base 3F'!$B:$C, 2, FALSE),"")="", "SIN CUIT", VLOOKUP(A162, 'Base 3F'!$B:$C, 2, FALSE)))</f>
        <v>30695577652</v>
      </c>
      <c r="C162" s="42" t="str">
        <f>IF(A162="", "", IF(IFERROR(VLOOKUP(A162, 'Base 3F'!$B:$J, 9, FALSE),"")="", "SIN RUBRO", VLOOKUP(A162, 'Base 3F'!$B:$J, 9, FALSE)))</f>
        <v>Metalúrgica</v>
      </c>
      <c r="D162" s="58" t="s">
        <v>246</v>
      </c>
      <c r="E162" s="10" t="s">
        <v>109</v>
      </c>
      <c r="F162" s="46" t="s">
        <v>115</v>
      </c>
    </row>
    <row r="163">
      <c r="A163" s="50" t="s">
        <v>1841</v>
      </c>
      <c r="B163" s="54">
        <f>IF(A163="", "", IF(IFERROR(VLOOKUP(A163, 'Base 3F'!$B:$C, 2, FALSE),"")="", "SIN CUIT", VLOOKUP(A163, 'Base 3F'!$B:$C, 2, FALSE)))</f>
        <v>30707611223</v>
      </c>
      <c r="C163" s="42" t="str">
        <f>IF(A163="", "", IF(IFERROR(VLOOKUP(A163, 'Base 3F'!$B:$J, 9, FALSE),"")="", "SIN RUBRO", VLOOKUP(A163, 'Base 3F'!$B:$J, 9, FALSE)))</f>
        <v>Construcción</v>
      </c>
      <c r="D163" s="58" t="s">
        <v>248</v>
      </c>
      <c r="E163" s="10" t="s">
        <v>109</v>
      </c>
      <c r="F163" s="46" t="s">
        <v>115</v>
      </c>
    </row>
    <row r="164">
      <c r="A164" s="50" t="s">
        <v>1845</v>
      </c>
      <c r="B164" s="54">
        <f>IF(A164="", "", IF(IFERROR(VLOOKUP(A164, 'Base 3F'!$B:$C, 2, FALSE),"")="", "SIN CUIT", VLOOKUP(A164, 'Base 3F'!$B:$C, 2, FALSE)))</f>
        <v>30708471670</v>
      </c>
      <c r="C164" s="42" t="str">
        <f>IF(A164="", "", IF(IFERROR(VLOOKUP(A164, 'Base 3F'!$B:$J, 9, FALSE),"")="", "SIN RUBRO", VLOOKUP(A164, 'Base 3F'!$B:$J, 9, FALSE)))</f>
        <v>Alimenticia</v>
      </c>
      <c r="D164" s="58" t="s">
        <v>250</v>
      </c>
      <c r="E164" s="10" t="s">
        <v>109</v>
      </c>
      <c r="F164" s="46" t="s">
        <v>115</v>
      </c>
    </row>
    <row r="165">
      <c r="A165" s="68" t="s">
        <v>1850</v>
      </c>
      <c r="B165" s="54">
        <f>IF(A165="", "", IF(IFERROR(VLOOKUP(A165, 'Base 3F'!$B:$C, 2, FALSE),"")="", "SIN CUIT", VLOOKUP(A165, 'Base 3F'!$B:$C, 2, FALSE)))</f>
        <v>30712231765</v>
      </c>
      <c r="C165" s="42" t="str">
        <f>IF(A165="", "", IF(IFERROR(VLOOKUP(A165, 'Base 3F'!$B:$J, 9, FALSE),"")="", "SIN RUBRO", VLOOKUP(A165, 'Base 3F'!$B:$J, 9, FALSE)))</f>
        <v>Metalúrgica</v>
      </c>
      <c r="D165" s="58" t="s">
        <v>251</v>
      </c>
      <c r="E165" s="10" t="s">
        <v>109</v>
      </c>
      <c r="F165" s="46" t="s">
        <v>115</v>
      </c>
    </row>
    <row r="166">
      <c r="A166" s="50" t="s">
        <v>1853</v>
      </c>
      <c r="B166" s="54">
        <f>IF(A166="", "", IF(IFERROR(VLOOKUP(A166, 'Base 3F'!$B:$C, 2, FALSE),"")="", "SIN CUIT", VLOOKUP(A166, 'Base 3F'!$B:$C, 2, FALSE)))</f>
        <v>30701170179</v>
      </c>
      <c r="C166" s="42" t="str">
        <f>IF(A166="", "", IF(IFERROR(VLOOKUP(A166, 'Base 3F'!$B:$J, 9, FALSE),"")="", "SIN RUBRO", VLOOKUP(A166, 'Base 3F'!$B:$J, 9, FALSE)))</f>
        <v>Calzado</v>
      </c>
      <c r="D166" s="58" t="s">
        <v>252</v>
      </c>
      <c r="E166" s="10" t="s">
        <v>109</v>
      </c>
      <c r="F166" s="46" t="s">
        <v>115</v>
      </c>
    </row>
    <row r="167">
      <c r="A167" s="50" t="s">
        <v>1856</v>
      </c>
      <c r="B167" s="54">
        <f>IF(A167="", "", IF(IFERROR(VLOOKUP(A167, 'Base 3F'!$B:$C, 2, FALSE),"")="", "SIN CUIT", VLOOKUP(A167, 'Base 3F'!$B:$C, 2, FALSE)))</f>
        <v>30714699578</v>
      </c>
      <c r="C167" s="42" t="str">
        <f>IF(A167="", "", IF(IFERROR(VLOOKUP(A167, 'Base 3F'!$B:$J, 9, FALSE),"")="", "SIN RUBRO", VLOOKUP(A167, 'Base 3F'!$B:$J, 9, FALSE)))</f>
        <v>Gráfica</v>
      </c>
      <c r="D167" s="58" t="s">
        <v>254</v>
      </c>
      <c r="E167" s="10" t="s">
        <v>109</v>
      </c>
      <c r="F167" s="46" t="s">
        <v>115</v>
      </c>
    </row>
    <row r="168">
      <c r="A168" s="50" t="s">
        <v>1861</v>
      </c>
      <c r="B168" s="54">
        <f>IF(A168="", "", IF(IFERROR(VLOOKUP(A168, 'Base 3F'!$B:$C, 2, FALSE),"")="", "SIN CUIT", VLOOKUP(A168, 'Base 3F'!$B:$C, 2, FALSE)))</f>
        <v>30714415324</v>
      </c>
      <c r="C168" s="42" t="str">
        <f>IF(A168="", "", IF(IFERROR(VLOOKUP(A168, 'Base 3F'!$B:$J, 9, FALSE),"")="", "SIN RUBRO", VLOOKUP(A168, 'Base 3F'!$B:$J, 9, FALSE)))</f>
        <v>Electrónica</v>
      </c>
      <c r="D168" s="58" t="s">
        <v>255</v>
      </c>
      <c r="E168" s="10" t="s">
        <v>109</v>
      </c>
      <c r="F168" s="46" t="s">
        <v>115</v>
      </c>
    </row>
    <row r="169">
      <c r="A169" s="50" t="s">
        <v>1864</v>
      </c>
      <c r="B169" s="54">
        <f>IF(A169="", "", IF(IFERROR(VLOOKUP(A169, 'Base 3F'!$B:$C, 2, FALSE),"")="", "SIN CUIT", VLOOKUP(A169, 'Base 3F'!$B:$C, 2, FALSE)))</f>
        <v>33712338399</v>
      </c>
      <c r="C169" s="42" t="str">
        <f>IF(A169="", "", IF(IFERROR(VLOOKUP(A169, 'Base 3F'!$B:$J, 9, FALSE),"")="", "SIN RUBRO", VLOOKUP(A169, 'Base 3F'!$B:$J, 9, FALSE)))</f>
        <v>Metalúrgica</v>
      </c>
      <c r="D169" s="58" t="s">
        <v>256</v>
      </c>
      <c r="E169" s="10" t="s">
        <v>109</v>
      </c>
      <c r="F169" s="46" t="s">
        <v>115</v>
      </c>
    </row>
    <row r="170">
      <c r="A170" s="50" t="s">
        <v>1870</v>
      </c>
      <c r="B170" s="54">
        <f>IF(A170="", "", IF(IFERROR(VLOOKUP(A170, 'Base 3F'!$B:$C, 2, FALSE),"")="", "SIN CUIT", VLOOKUP(A170, 'Base 3F'!$B:$C, 2, FALSE)))</f>
        <v>30711251258</v>
      </c>
      <c r="C170" s="42" t="str">
        <f>IF(A170="", "", IF(IFERROR(VLOOKUP(A170, 'Base 3F'!$B:$J, 9, FALSE),"")="", "SIN RUBRO", VLOOKUP(A170, 'Base 3F'!$B:$J, 9, FALSE)))</f>
        <v>Metalúrgica</v>
      </c>
      <c r="D170" s="142" t="s">
        <v>259</v>
      </c>
      <c r="E170" s="10" t="s">
        <v>109</v>
      </c>
      <c r="F170" s="46" t="s">
        <v>115</v>
      </c>
    </row>
    <row r="171">
      <c r="A171" s="59" t="s">
        <v>1875</v>
      </c>
      <c r="B171" s="54">
        <f>IF(A171="", "", IF(IFERROR(VLOOKUP(A171, 'Base 3F'!$B:$C, 2, FALSE),"")="", "SIN CUIT", VLOOKUP(A171, 'Base 3F'!$B:$C, 2, FALSE)))</f>
        <v>27200590991</v>
      </c>
      <c r="C171" s="42" t="str">
        <f>IF(A171="", "", IF(IFERROR(VLOOKUP(A171, 'Base 3F'!$B:$J, 9, FALSE),"")="", "SIN RUBRO", VLOOKUP(A171, 'Base 3F'!$B:$J, 9, FALSE)))</f>
        <v>Electrónica</v>
      </c>
      <c r="D171" s="142" t="s">
        <v>260</v>
      </c>
      <c r="E171" s="10" t="s">
        <v>109</v>
      </c>
      <c r="F171" s="46" t="s">
        <v>115</v>
      </c>
    </row>
    <row r="172">
      <c r="A172" s="50" t="s">
        <v>1880</v>
      </c>
      <c r="B172" s="54">
        <f>IF(A172="", "", IF(IFERROR(VLOOKUP(A172, 'Base 3F'!$B:$C, 2, FALSE),"")="", "SIN CUIT", VLOOKUP(A172, 'Base 3F'!$B:$C, 2, FALSE)))</f>
        <v>30712493786</v>
      </c>
      <c r="C172" s="42" t="str">
        <f>IF(A172="", "", IF(IFERROR(VLOOKUP(A172, 'Base 3F'!$B:$J, 9, FALSE),"")="", "SIN RUBRO", VLOOKUP(A172, 'Base 3F'!$B:$J, 9, FALSE)))</f>
        <v>Textil</v>
      </c>
      <c r="D172" s="58" t="s">
        <v>1883</v>
      </c>
      <c r="E172" s="10" t="s">
        <v>109</v>
      </c>
      <c r="F172" s="46" t="s">
        <v>115</v>
      </c>
    </row>
    <row r="173">
      <c r="A173" s="50" t="s">
        <v>1885</v>
      </c>
      <c r="B173" s="54">
        <f>IF(A173="", "", IF(IFERROR(VLOOKUP(A173, 'Base 3F'!$B:$C, 2, FALSE),"")="", "SIN CUIT", VLOOKUP(A173, 'Base 3F'!$B:$C, 2, FALSE)))</f>
        <v>30649035705</v>
      </c>
      <c r="C173" s="42" t="str">
        <f>IF(A173="", "", IF(IFERROR(VLOOKUP(A173, 'Base 3F'!$B:$J, 9, FALSE),"")="", "SIN RUBRO", VLOOKUP(A173, 'Base 3F'!$B:$J, 9, FALSE)))</f>
        <v>Metalúrgica</v>
      </c>
      <c r="D173" s="58" t="s">
        <v>262</v>
      </c>
      <c r="E173" s="10" t="s">
        <v>109</v>
      </c>
      <c r="F173" s="46" t="s">
        <v>115</v>
      </c>
    </row>
    <row r="174">
      <c r="A174" s="59" t="s">
        <v>1890</v>
      </c>
      <c r="B174" s="54">
        <f>IF(A174="", "", IF(IFERROR(VLOOKUP(A174, 'Base 3F'!$B:$C, 2, FALSE),"")="", "SIN CUIT", VLOOKUP(A174, 'Base 3F'!$B:$C, 2, FALSE)))</f>
        <v>30709987867</v>
      </c>
      <c r="C174" s="42" t="str">
        <f>IF(A174="", "", IF(IFERROR(VLOOKUP(A174, 'Base 3F'!$B:$J, 9, FALSE),"")="", "SIN RUBRO", VLOOKUP(A174, 'Base 3F'!$B:$J, 9, FALSE)))</f>
        <v>Metalmecánica</v>
      </c>
      <c r="D174" s="58" t="s">
        <v>263</v>
      </c>
      <c r="E174" s="10" t="s">
        <v>109</v>
      </c>
      <c r="F174" s="46" t="s">
        <v>115</v>
      </c>
    </row>
    <row r="175">
      <c r="A175" s="68" t="s">
        <v>1895</v>
      </c>
      <c r="B175" s="54">
        <f>IF(A175="", "", IF(IFERROR(VLOOKUP(A175, 'Base 3F'!$B:$C, 2, FALSE),"")="", "SIN CUIT", VLOOKUP(A175, 'Base 3F'!$B:$C, 2, FALSE)))</f>
        <v>30716296969</v>
      </c>
      <c r="C175" s="42" t="str">
        <f>IF(A175="", "", IF(IFERROR(VLOOKUP(A175, 'Base 3F'!$B:$J, 9, FALSE),"")="", "SIN RUBRO", VLOOKUP(A175, 'Base 3F'!$B:$J, 9, FALSE)))</f>
        <v>Metalúrgica</v>
      </c>
      <c r="D175" s="142" t="s">
        <v>265</v>
      </c>
      <c r="E175" s="10" t="s">
        <v>109</v>
      </c>
      <c r="F175" s="46" t="s">
        <v>115</v>
      </c>
    </row>
    <row r="176">
      <c r="A176" s="50" t="s">
        <v>1900</v>
      </c>
      <c r="B176" s="54">
        <f>IF(A176="", "", IF(IFERROR(VLOOKUP(A176, 'Base 3F'!$B:$C, 2, FALSE),"")="", "SIN CUIT", VLOOKUP(A176, 'Base 3F'!$B:$C, 2, FALSE)))</f>
        <v>30710163592</v>
      </c>
      <c r="C176" s="42" t="str">
        <f>IF(A176="", "", IF(IFERROR(VLOOKUP(A176, 'Base 3F'!$B:$J, 9, FALSE),"")="", "SIN RUBRO", VLOOKUP(A176, 'Base 3F'!$B:$J, 9, FALSE)))</f>
        <v>Alimenticia</v>
      </c>
      <c r="D176" s="58" t="s">
        <v>267</v>
      </c>
      <c r="E176" s="10" t="s">
        <v>109</v>
      </c>
      <c r="F176" s="46" t="s">
        <v>115</v>
      </c>
    </row>
    <row r="177">
      <c r="A177" s="50" t="s">
        <v>1905</v>
      </c>
      <c r="B177" s="54">
        <f>IF(A177="", "", IF(IFERROR(VLOOKUP(A177, 'Base 3F'!$B:$C, 2, FALSE),"")="", "SIN CUIT", VLOOKUP(A177, 'Base 3F'!$B:$C, 2, FALSE)))</f>
        <v>30710181809</v>
      </c>
      <c r="C177" s="42" t="str">
        <f>IF(A177="", "", IF(IFERROR(VLOOKUP(A177, 'Base 3F'!$B:$J, 9, FALSE),"")="", "SIN RUBRO", VLOOKUP(A177, 'Base 3F'!$B:$J, 9, FALSE)))</f>
        <v>Metalúrgica</v>
      </c>
      <c r="D177" s="142" t="s">
        <v>268</v>
      </c>
      <c r="E177" s="10" t="s">
        <v>109</v>
      </c>
      <c r="F177" s="46" t="s">
        <v>115</v>
      </c>
    </row>
    <row r="178">
      <c r="A178" s="50" t="s">
        <v>1912</v>
      </c>
      <c r="B178" s="54">
        <f>IF(A178="", "", IF(IFERROR(VLOOKUP(A178, 'Base 3F'!$B:$C, 2, FALSE),"")="", "SIN CUIT", VLOOKUP(A178, 'Base 3F'!$B:$C, 2, FALSE)))</f>
        <v>30701152022</v>
      </c>
      <c r="C178" s="42" t="str">
        <f>IF(A178="", "", IF(IFERROR(VLOOKUP(A178, 'Base 3F'!$B:$J, 9, FALSE),"")="", "SIN RUBRO", VLOOKUP(A178, 'Base 3F'!$B:$J, 9, FALSE)))</f>
        <v>Metalúrgica</v>
      </c>
      <c r="D178" s="58" t="s">
        <v>270</v>
      </c>
      <c r="E178" s="10" t="s">
        <v>109</v>
      </c>
      <c r="F178" s="46" t="s">
        <v>115</v>
      </c>
    </row>
    <row r="179">
      <c r="A179" s="50" t="s">
        <v>1917</v>
      </c>
      <c r="B179" s="54">
        <f>IF(A179="", "", IF(IFERROR(VLOOKUP(A179, 'Base 3F'!$B:$C, 2, FALSE),"")="", "SIN CUIT", VLOOKUP(A179, 'Base 3F'!$B:$C, 2, FALSE)))</f>
        <v>33515957133</v>
      </c>
      <c r="C179" s="42" t="str">
        <f>IF(A179="", "", IF(IFERROR(VLOOKUP(A179, 'Base 3F'!$B:$J, 9, FALSE),"")="", "SIN RUBRO", VLOOKUP(A179, 'Base 3F'!$B:$J, 9, FALSE)))</f>
        <v>Química</v>
      </c>
      <c r="D179" s="58" t="s">
        <v>272</v>
      </c>
      <c r="E179" s="10" t="s">
        <v>109</v>
      </c>
      <c r="F179" s="46" t="s">
        <v>115</v>
      </c>
    </row>
    <row r="180">
      <c r="A180" s="50" t="s">
        <v>1919</v>
      </c>
      <c r="B180" s="54">
        <f>IF(A180="", "", IF(IFERROR(VLOOKUP(A180, 'Base 3F'!$B:$C, 2, FALSE),"")="", "SIN CUIT", VLOOKUP(A180, 'Base 3F'!$B:$C, 2, FALSE)))</f>
        <v>33708141769</v>
      </c>
      <c r="C180" s="42" t="str">
        <f>IF(A180="", "", IF(IFERROR(VLOOKUP(A180, 'Base 3F'!$B:$J, 9, FALSE),"")="", "SIN RUBRO", VLOOKUP(A180, 'Base 3F'!$B:$J, 9, FALSE)))</f>
        <v>Textil</v>
      </c>
      <c r="D180" s="58" t="s">
        <v>274</v>
      </c>
      <c r="E180" s="10" t="s">
        <v>109</v>
      </c>
      <c r="F180" s="46" t="s">
        <v>115</v>
      </c>
    </row>
    <row r="181">
      <c r="A181" s="50" t="s">
        <v>1926</v>
      </c>
      <c r="B181" s="54">
        <f>IF(A181="", "", IF(IFERROR(VLOOKUP(A181, 'Base 3F'!$B:$C, 2, FALSE),"")="", "SIN CUIT", VLOOKUP(A181, 'Base 3F'!$B:$C, 2, FALSE)))</f>
        <v>30716798778</v>
      </c>
      <c r="C181" s="42" t="str">
        <f>IF(A181="", "", IF(IFERROR(VLOOKUP(A181, 'Base 3F'!$B:$J, 9, FALSE),"")="", "SIN RUBRO", VLOOKUP(A181, 'Base 3F'!$B:$J, 9, FALSE)))</f>
        <v>Metalúrgica</v>
      </c>
      <c r="D181" s="142" t="s">
        <v>275</v>
      </c>
      <c r="E181" s="10" t="s">
        <v>109</v>
      </c>
      <c r="F181" s="46" t="s">
        <v>115</v>
      </c>
    </row>
    <row r="182">
      <c r="A182" s="50" t="s">
        <v>1928</v>
      </c>
      <c r="B182" s="54">
        <f>IF(A182="", "", IF(IFERROR(VLOOKUP(A182, 'Base 3F'!$B:$C, 2, FALSE),"")="", "SIN CUIT", VLOOKUP(A182, 'Base 3F'!$B:$C, 2, FALSE)))</f>
        <v>30712043039</v>
      </c>
      <c r="C182" s="42" t="str">
        <f>IF(A182="", "", IF(IFERROR(VLOOKUP(A182, 'Base 3F'!$B:$J, 9, FALSE),"")="", "SIN RUBRO", VLOOKUP(A182, 'Base 3F'!$B:$J, 9, FALSE)))</f>
        <v>Madera</v>
      </c>
      <c r="D182" s="58" t="s">
        <v>276</v>
      </c>
      <c r="E182" s="10" t="s">
        <v>109</v>
      </c>
      <c r="F182" s="46" t="s">
        <v>115</v>
      </c>
    </row>
    <row r="183">
      <c r="A183" s="50" t="s">
        <v>1937</v>
      </c>
      <c r="B183" s="54">
        <f>IF(A183="", "", IF(IFERROR(VLOOKUP(A183, 'Base 3F'!$B:$C, 2, FALSE),"")="", "SIN CUIT", VLOOKUP(A183, 'Base 3F'!$B:$C, 2, FALSE)))</f>
        <v>30710855141</v>
      </c>
      <c r="C183" s="42" t="str">
        <f>IF(A183="", "", IF(IFERROR(VLOOKUP(A183, 'Base 3F'!$B:$J, 9, FALSE),"")="", "SIN RUBRO", VLOOKUP(A183, 'Base 3F'!$B:$J, 9, FALSE)))</f>
        <v>Metalúrgica</v>
      </c>
      <c r="D183" s="58" t="s">
        <v>277</v>
      </c>
      <c r="E183" s="10" t="s">
        <v>109</v>
      </c>
      <c r="F183" s="46" t="s">
        <v>115</v>
      </c>
    </row>
    <row r="184">
      <c r="A184" s="68" t="s">
        <v>1942</v>
      </c>
      <c r="B184" s="54">
        <f>IF(A184="", "", IF(IFERROR(VLOOKUP(A184, 'Base 3F'!$B:$C, 2, FALSE),"")="", "SIN CUIT", VLOOKUP(A184, 'Base 3F'!$B:$C, 2, FALSE)))</f>
        <v>30703957540</v>
      </c>
      <c r="C184" s="42" t="str">
        <f>IF(A184="", "", IF(IFERROR(VLOOKUP(A184, 'Base 3F'!$B:$J, 9, FALSE),"")="", "SIN RUBRO", VLOOKUP(A184, 'Base 3F'!$B:$J, 9, FALSE)))</f>
        <v>Gráfica</v>
      </c>
      <c r="D184" s="142" t="s">
        <v>279</v>
      </c>
      <c r="E184" s="10" t="s">
        <v>109</v>
      </c>
      <c r="F184" s="46" t="s">
        <v>115</v>
      </c>
    </row>
    <row r="185">
      <c r="A185" s="50" t="s">
        <v>1946</v>
      </c>
      <c r="B185" s="54">
        <f>IF(A185="", "", IF(IFERROR(VLOOKUP(A185, 'Base 3F'!$B:$C, 2, FALSE),"")="", "SIN CUIT", VLOOKUP(A185, 'Base 3F'!$B:$C, 2, FALSE)))</f>
        <v>20102331843</v>
      </c>
      <c r="C185" s="42" t="str">
        <f>IF(A185="", "", IF(IFERROR(VLOOKUP(A185, 'Base 3F'!$B:$J, 9, FALSE),"")="", "SIN RUBRO", VLOOKUP(A185, 'Base 3F'!$B:$J, 9, FALSE)))</f>
        <v>Alimenticia</v>
      </c>
      <c r="D185" s="58" t="s">
        <v>280</v>
      </c>
      <c r="E185" s="10" t="s">
        <v>109</v>
      </c>
      <c r="F185" s="46" t="s">
        <v>115</v>
      </c>
    </row>
    <row r="186">
      <c r="A186" s="50" t="s">
        <v>1950</v>
      </c>
      <c r="B186" s="54">
        <f>IF(A186="", "", IF(IFERROR(VLOOKUP(A186, 'Base 3F'!$B:$C, 2, FALSE),"")="", "SIN CUIT", VLOOKUP(A186, 'Base 3F'!$B:$C, 2, FALSE)))</f>
        <v>30715761668</v>
      </c>
      <c r="C186" s="42" t="str">
        <f>IF(A186="", "", IF(IFERROR(VLOOKUP(A186, 'Base 3F'!$B:$J, 9, FALSE),"")="", "SIN RUBRO", VLOOKUP(A186, 'Base 3F'!$B:$J, 9, FALSE)))</f>
        <v>Textil</v>
      </c>
      <c r="D186" s="142" t="s">
        <v>281</v>
      </c>
      <c r="E186" s="10" t="s">
        <v>109</v>
      </c>
      <c r="F186" s="46" t="s">
        <v>115</v>
      </c>
    </row>
    <row r="187">
      <c r="A187" s="50" t="s">
        <v>1954</v>
      </c>
      <c r="B187" s="54">
        <f>IF(A187="", "", IF(IFERROR(VLOOKUP(A187, 'Base 3F'!$B:$C, 2, FALSE),"")="", "SIN CUIT", VLOOKUP(A187, 'Base 3F'!$B:$C, 2, FALSE)))</f>
        <v>30708975237</v>
      </c>
      <c r="C187" s="42" t="str">
        <f>IF(A187="", "", IF(IFERROR(VLOOKUP(A187, 'Base 3F'!$B:$J, 9, FALSE),"")="", "SIN RUBRO", VLOOKUP(A187, 'Base 3F'!$B:$J, 9, FALSE)))</f>
        <v>Plástica</v>
      </c>
      <c r="D187" s="136" t="s">
        <v>282</v>
      </c>
      <c r="E187" s="10" t="s">
        <v>109</v>
      </c>
      <c r="F187" s="46" t="s">
        <v>115</v>
      </c>
    </row>
    <row r="188">
      <c r="A188" s="50" t="s">
        <v>1962</v>
      </c>
      <c r="B188" s="54">
        <f>IF(A188="", "", IF(IFERROR(VLOOKUP(A188, 'Base 3F'!$B:$C, 2, FALSE),"")="", "SIN CUIT", VLOOKUP(A188, 'Base 3F'!$B:$C, 2, FALSE)))</f>
        <v>33714959919</v>
      </c>
      <c r="C188" s="42" t="str">
        <f>IF(A188="", "", IF(IFERROR(VLOOKUP(A188, 'Base 3F'!$B:$J, 9, FALSE),"")="", "SIN RUBRO", VLOOKUP(A188, 'Base 3F'!$B:$J, 9, FALSE)))</f>
        <v>Alimenticia</v>
      </c>
      <c r="D188" s="142" t="s">
        <v>289</v>
      </c>
      <c r="E188" s="10" t="s">
        <v>109</v>
      </c>
      <c r="F188" s="46" t="s">
        <v>115</v>
      </c>
    </row>
    <row r="189">
      <c r="A189" s="50" t="s">
        <v>1966</v>
      </c>
      <c r="B189" s="54">
        <f>IF(A189="", "", IF(IFERROR(VLOOKUP(A189, 'Base 3F'!$B:$C, 2, FALSE),"")="", "SIN CUIT", VLOOKUP(A189, 'Base 3F'!$B:$C, 2, FALSE)))</f>
        <v>30714857963</v>
      </c>
      <c r="C189" s="42" t="str">
        <f>IF(A189="", "", IF(IFERROR(VLOOKUP(A189, 'Base 3F'!$B:$J, 9, FALSE),"")="", "SIN RUBRO", VLOOKUP(A189, 'Base 3F'!$B:$J, 9, FALSE)))</f>
        <v>Alimenticia</v>
      </c>
      <c r="D189" s="58" t="s">
        <v>290</v>
      </c>
      <c r="E189" s="10" t="s">
        <v>109</v>
      </c>
      <c r="F189" s="46" t="s">
        <v>115</v>
      </c>
    </row>
    <row r="190">
      <c r="A190" s="120" t="s">
        <v>1970</v>
      </c>
      <c r="B190" s="54">
        <f>IF(A190="", "", IF(IFERROR(VLOOKUP(A190, 'Base 3F'!$B:$C, 2, FALSE),"")="", "SIN CUIT", VLOOKUP(A190, 'Base 3F'!$B:$C, 2, FALSE)))</f>
        <v>30708068477</v>
      </c>
      <c r="C190" s="42" t="str">
        <f>IF(A190="", "", IF(IFERROR(VLOOKUP(A190, 'Base 3F'!$B:$J, 9, FALSE),"")="", "SIN RUBRO", VLOOKUP(A190, 'Base 3F'!$B:$J, 9, FALSE)))</f>
        <v>Química</v>
      </c>
      <c r="D190" s="142" t="s">
        <v>294</v>
      </c>
      <c r="E190" s="10" t="s">
        <v>109</v>
      </c>
      <c r="F190" s="46" t="s">
        <v>115</v>
      </c>
    </row>
    <row r="191">
      <c r="A191" s="50" t="s">
        <v>1975</v>
      </c>
      <c r="B191" s="54">
        <f>IF(A191="", "", IF(IFERROR(VLOOKUP(A191, 'Base 3F'!$B:$C, 2, FALSE),"")="", "SIN CUIT", VLOOKUP(A191, 'Base 3F'!$B:$C, 2, FALSE)))</f>
        <v>30504511797</v>
      </c>
      <c r="C191" s="42" t="str">
        <f>IF(A191="", "", IF(IFERROR(VLOOKUP(A191, 'Base 3F'!$B:$J, 9, FALSE),"")="", "SIN RUBRO", VLOOKUP(A191, 'Base 3F'!$B:$J, 9, FALSE)))</f>
        <v>Alimenticia</v>
      </c>
      <c r="D191" s="58" t="s">
        <v>296</v>
      </c>
      <c r="E191" s="10" t="s">
        <v>109</v>
      </c>
      <c r="F191" s="46" t="s">
        <v>115</v>
      </c>
    </row>
    <row r="192">
      <c r="A192" s="50" t="s">
        <v>1979</v>
      </c>
      <c r="B192" s="54">
        <f>IF(A192="", "", IF(IFERROR(VLOOKUP(A192, 'Base 3F'!$B:$C, 2, FALSE),"")="", "SIN CUIT", VLOOKUP(A192, 'Base 3F'!$B:$C, 2, FALSE)))</f>
        <v>33709433089</v>
      </c>
      <c r="C192" s="42" t="str">
        <f>IF(A192="", "", IF(IFERROR(VLOOKUP(A192, 'Base 3F'!$B:$J, 9, FALSE),"")="", "SIN RUBRO", VLOOKUP(A192, 'Base 3F'!$B:$J, 9, FALSE)))</f>
        <v>Plástica</v>
      </c>
      <c r="D192" s="58" t="s">
        <v>297</v>
      </c>
      <c r="E192" s="10" t="s">
        <v>109</v>
      </c>
      <c r="F192" s="46" t="s">
        <v>115</v>
      </c>
    </row>
    <row r="193">
      <c r="A193" s="50" t="s">
        <v>1984</v>
      </c>
      <c r="B193" s="54">
        <f>IF(A193="", "", IF(IFERROR(VLOOKUP(A193, 'Base 3F'!$B:$C, 2, FALSE),"")="", "SIN CUIT", VLOOKUP(A193, 'Base 3F'!$B:$C, 2, FALSE)))</f>
        <v>30583013608</v>
      </c>
      <c r="C193" s="42" t="str">
        <f>IF(A193="", "", IF(IFERROR(VLOOKUP(A193, 'Base 3F'!$B:$J, 9, FALSE),"")="", "SIN RUBRO", VLOOKUP(A193, 'Base 3F'!$B:$J, 9, FALSE)))</f>
        <v>Servicios</v>
      </c>
      <c r="D193" s="136" t="s">
        <v>299</v>
      </c>
      <c r="E193" s="10" t="s">
        <v>109</v>
      </c>
      <c r="F193" s="46" t="s">
        <v>115</v>
      </c>
    </row>
    <row r="194">
      <c r="A194" s="50" t="s">
        <v>1994</v>
      </c>
      <c r="B194" s="54">
        <f>IF(A194="", "", IF(IFERROR(VLOOKUP(A194, 'Base 3F'!$B:$C, 2, FALSE),"")="", "SIN CUIT", VLOOKUP(A194, 'Base 3F'!$B:$C, 2, FALSE)))</f>
        <v>33714742189</v>
      </c>
      <c r="C194" s="42" t="str">
        <f>IF(A194="", "", IF(IFERROR(VLOOKUP(A194, 'Base 3F'!$B:$J, 9, FALSE),"")="", "SIN RUBRO", VLOOKUP(A194, 'Base 3F'!$B:$J, 9, FALSE)))</f>
        <v>Química</v>
      </c>
      <c r="D194" s="58" t="s">
        <v>300</v>
      </c>
      <c r="E194" s="10" t="s">
        <v>109</v>
      </c>
      <c r="F194" s="46" t="s">
        <v>115</v>
      </c>
    </row>
    <row r="195">
      <c r="A195" s="209" t="s">
        <v>2001</v>
      </c>
      <c r="B195" s="54">
        <f>IF(A195="", "", IF(IFERROR(VLOOKUP(A195, 'Base 3F'!$B:$C, 2, FALSE),"")="", "SIN CUIT", VLOOKUP(A195, 'Base 3F'!$B:$C, 2, FALSE)))</f>
        <v>23143791319</v>
      </c>
      <c r="C195" s="42" t="str">
        <f>IF(A195="", "", IF(IFERROR(VLOOKUP(A195, 'Base 3F'!$B:$J, 9, FALSE),"")="", "SIN RUBRO", VLOOKUP(A195, 'Base 3F'!$B:$J, 9, FALSE)))</f>
        <v>Metalmecánica</v>
      </c>
      <c r="D195" s="58" t="s">
        <v>301</v>
      </c>
      <c r="E195" s="10" t="s">
        <v>109</v>
      </c>
      <c r="F195" s="46" t="s">
        <v>115</v>
      </c>
    </row>
    <row r="196">
      <c r="A196" s="50" t="s">
        <v>2008</v>
      </c>
      <c r="B196" s="54">
        <f>IF(A196="", "", IF(IFERROR(VLOOKUP(A196, 'Base 3F'!$B:$C, 2, FALSE),"")="", "SIN CUIT", VLOOKUP(A196, 'Base 3F'!$B:$C, 2, FALSE)))</f>
        <v>30637443832</v>
      </c>
      <c r="C196" s="42" t="str">
        <f>IF(A196="", "", IF(IFERROR(VLOOKUP(A196, 'Base 3F'!$B:$J, 9, FALSE),"")="", "SIN RUBRO", VLOOKUP(A196, 'Base 3F'!$B:$J, 9, FALSE)))</f>
        <v>Piedra</v>
      </c>
      <c r="D196" s="58" t="s">
        <v>303</v>
      </c>
      <c r="E196" s="10" t="s">
        <v>109</v>
      </c>
      <c r="F196" s="46" t="s">
        <v>115</v>
      </c>
    </row>
    <row r="197">
      <c r="A197" s="50" t="s">
        <v>2014</v>
      </c>
      <c r="B197" s="54">
        <f>IF(A197="", "", IF(IFERROR(VLOOKUP(A197, 'Base 3F'!$B:$C, 2, FALSE),"")="", "SIN CUIT", VLOOKUP(A197, 'Base 3F'!$B:$C, 2, FALSE)))</f>
        <v>30710911602</v>
      </c>
      <c r="C197" s="42" t="str">
        <f>IF(A197="", "", IF(IFERROR(VLOOKUP(A197, 'Base 3F'!$B:$J, 9, FALSE),"")="", "SIN RUBRO", VLOOKUP(A197, 'Base 3F'!$B:$J, 9, FALSE)))</f>
        <v>Servicios</v>
      </c>
      <c r="D197" s="142" t="s">
        <v>305</v>
      </c>
      <c r="E197" s="10" t="s">
        <v>109</v>
      </c>
      <c r="F197" s="46" t="s">
        <v>115</v>
      </c>
    </row>
    <row r="198">
      <c r="A198" s="50" t="s">
        <v>2021</v>
      </c>
      <c r="B198" s="54">
        <f>IF(A198="", "", IF(IFERROR(VLOOKUP(A198, 'Base 3F'!$B:$C, 2, FALSE),"")="", "SIN CUIT", VLOOKUP(A198, 'Base 3F'!$B:$C, 2, FALSE)))</f>
        <v>30519196928</v>
      </c>
      <c r="C198" s="42" t="str">
        <f>IF(A198="", "", IF(IFERROR(VLOOKUP(A198, 'Base 3F'!$B:$J, 9, FALSE),"")="", "SIN RUBRO", VLOOKUP(A198, 'Base 3F'!$B:$J, 9, FALSE)))</f>
        <v>Metalmecánica</v>
      </c>
      <c r="D198" s="58" t="s">
        <v>307</v>
      </c>
      <c r="E198" s="10" t="s">
        <v>109</v>
      </c>
      <c r="F198" s="46" t="s">
        <v>115</v>
      </c>
    </row>
    <row r="199">
      <c r="A199" s="59" t="s">
        <v>2028</v>
      </c>
      <c r="B199" s="54">
        <f>IF(A199="", "", IF(IFERROR(VLOOKUP(A199, 'Base 3F'!$B:$C, 2, FALSE),"")="", "SIN CUIT", VLOOKUP(A199, 'Base 3F'!$B:$C, 2, FALSE)))</f>
        <v>30663753025</v>
      </c>
      <c r="C199" s="42" t="str">
        <f>IF(A199="", "", IF(IFERROR(VLOOKUP(A199, 'Base 3F'!$B:$J, 9, FALSE),"")="", "SIN RUBRO", VLOOKUP(A199, 'Base 3F'!$B:$J, 9, FALSE)))</f>
        <v>Plástica</v>
      </c>
      <c r="D199" s="211" t="s">
        <v>308</v>
      </c>
      <c r="E199" s="10" t="s">
        <v>109</v>
      </c>
      <c r="F199" s="46" t="s">
        <v>115</v>
      </c>
    </row>
    <row r="200">
      <c r="A200" s="59" t="s">
        <v>2032</v>
      </c>
      <c r="B200" s="54">
        <f>IF(A200="", "", IF(IFERROR(VLOOKUP(A200, 'Base 3F'!$B:$C, 2, FALSE),"")="", "SIN CUIT", VLOOKUP(A200, 'Base 3F'!$B:$C, 2, FALSE)))</f>
        <v>30715409166</v>
      </c>
      <c r="C200" s="42" t="str">
        <f>IF(A200="", "", IF(IFERROR(VLOOKUP(A200, 'Base 3F'!$B:$J, 9, FALSE),"")="", "SIN RUBRO", VLOOKUP(A200, 'Base 3F'!$B:$J, 9, FALSE)))</f>
        <v>Bebidas</v>
      </c>
      <c r="D200" s="58" t="s">
        <v>317</v>
      </c>
      <c r="E200" s="10" t="s">
        <v>109</v>
      </c>
      <c r="F200" s="46" t="s">
        <v>115</v>
      </c>
    </row>
    <row r="201">
      <c r="A201" s="50" t="s">
        <v>2036</v>
      </c>
      <c r="B201" s="54">
        <f>IF(A201="", "", IF(IFERROR(VLOOKUP(A201, 'Base 3F'!$B:$C, 2, FALSE),"")="", "SIN CUIT", VLOOKUP(A201, 'Base 3F'!$B:$C, 2, FALSE)))</f>
        <v>30708614692</v>
      </c>
      <c r="C201" s="42" t="str">
        <f>IF(A201="", "", IF(IFERROR(VLOOKUP(A201, 'Base 3F'!$B:$J, 9, FALSE),"")="", "SIN RUBRO", VLOOKUP(A201, 'Base 3F'!$B:$J, 9, FALSE)))</f>
        <v>Metalúrgica</v>
      </c>
      <c r="D201" s="58" t="s">
        <v>319</v>
      </c>
      <c r="E201" s="10" t="s">
        <v>109</v>
      </c>
      <c r="F201" s="46" t="s">
        <v>115</v>
      </c>
    </row>
    <row r="202">
      <c r="A202" s="50" t="s">
        <v>2038</v>
      </c>
      <c r="B202" s="54">
        <f>IF(A202="", "", IF(IFERROR(VLOOKUP(A202, 'Base 3F'!$B:$C, 2, FALSE),"")="", "SIN CUIT", VLOOKUP(A202, 'Base 3F'!$B:$C, 2, FALSE)))</f>
        <v>30708089083</v>
      </c>
      <c r="C202" s="42" t="str">
        <f>IF(A202="", "", IF(IFERROR(VLOOKUP(A202, 'Base 3F'!$B:$J, 9, FALSE),"")="", "SIN RUBRO", VLOOKUP(A202, 'Base 3F'!$B:$J, 9, FALSE)))</f>
        <v>Caucho</v>
      </c>
      <c r="D202" s="58" t="s">
        <v>320</v>
      </c>
      <c r="E202" s="10" t="s">
        <v>109</v>
      </c>
      <c r="F202" s="46" t="s">
        <v>115</v>
      </c>
    </row>
    <row r="203">
      <c r="A203" s="50" t="s">
        <v>2044</v>
      </c>
      <c r="B203" s="54">
        <f>IF(A203="", "", IF(IFERROR(VLOOKUP(A203, 'Base 3F'!$B:$C, 2, FALSE),"")="", "SIN CUIT", VLOOKUP(A203, 'Base 3F'!$B:$C, 2, FALSE)))</f>
        <v>33708799209</v>
      </c>
      <c r="C203" s="42" t="str">
        <f>IF(A203="", "", IF(IFERROR(VLOOKUP(A203, 'Base 3F'!$B:$J, 9, FALSE),"")="", "SIN RUBRO", VLOOKUP(A203, 'Base 3F'!$B:$J, 9, FALSE)))</f>
        <v>Metalúrgica</v>
      </c>
      <c r="D203" s="58" t="s">
        <v>321</v>
      </c>
      <c r="E203" s="10" t="s">
        <v>109</v>
      </c>
      <c r="F203" s="46" t="s">
        <v>115</v>
      </c>
    </row>
    <row r="204">
      <c r="A204" s="50" t="s">
        <v>2050</v>
      </c>
      <c r="B204" s="54">
        <f>IF(A204="", "", IF(IFERROR(VLOOKUP(A204, 'Base 3F'!$B:$C, 2, FALSE),"")="", "SIN CUIT", VLOOKUP(A204, 'Base 3F'!$B:$C, 2, FALSE)))</f>
        <v>20229901673</v>
      </c>
      <c r="C204" s="42" t="str">
        <f>IF(A204="", "", IF(IFERROR(VLOOKUP(A204, 'Base 3F'!$B:$J, 9, FALSE),"")="", "SIN RUBRO", VLOOKUP(A204, 'Base 3F'!$B:$J, 9, FALSE)))</f>
        <v>Servicios</v>
      </c>
      <c r="D204" s="142" t="s">
        <v>323</v>
      </c>
      <c r="E204" s="10" t="s">
        <v>109</v>
      </c>
      <c r="F204" s="46" t="s">
        <v>115</v>
      </c>
    </row>
    <row r="205">
      <c r="A205" s="50" t="s">
        <v>2056</v>
      </c>
      <c r="B205" s="54">
        <f>IF(A205="", "", IF(IFERROR(VLOOKUP(A205, 'Base 3F'!$B:$C, 2, FALSE),"")="", "SIN CUIT", VLOOKUP(A205, 'Base 3F'!$B:$C, 2, FALSE)))</f>
        <v>20172328939</v>
      </c>
      <c r="C205" s="42" t="str">
        <f>IF(A205="", "", IF(IFERROR(VLOOKUP(A205, 'Base 3F'!$B:$J, 9, FALSE),"")="", "SIN RUBRO", VLOOKUP(A205, 'Base 3F'!$B:$J, 9, FALSE)))</f>
        <v>Construcción</v>
      </c>
      <c r="D205" s="58" t="s">
        <v>325</v>
      </c>
      <c r="E205" s="10" t="s">
        <v>109</v>
      </c>
      <c r="F205" s="46" t="s">
        <v>115</v>
      </c>
    </row>
    <row r="206">
      <c r="A206" s="50" t="s">
        <v>2064</v>
      </c>
      <c r="B206" s="54">
        <f>IF(A206="", "", IF(IFERROR(VLOOKUP(A206, 'Base 3F'!$B:$C, 2, FALSE),"")="", "SIN CUIT", VLOOKUP(A206, 'Base 3F'!$B:$C, 2, FALSE)))</f>
        <v>20266706678</v>
      </c>
      <c r="C206" s="42" t="str">
        <f>IF(A206="", "", IF(IFERROR(VLOOKUP(A206, 'Base 3F'!$B:$J, 9, FALSE),"")="", "SIN RUBRO", VLOOKUP(A206, 'Base 3F'!$B:$J, 9, FALSE)))</f>
        <v>Bebidas</v>
      </c>
      <c r="D206" s="58" t="s">
        <v>326</v>
      </c>
      <c r="E206" s="10" t="s">
        <v>109</v>
      </c>
      <c r="F206" s="46" t="s">
        <v>115</v>
      </c>
    </row>
    <row r="207">
      <c r="A207" s="50" t="s">
        <v>2066</v>
      </c>
      <c r="B207" s="54">
        <f>IF(A207="", "", IF(IFERROR(VLOOKUP(A207, 'Base 3F'!$B:$C, 2, FALSE),"")="", "SIN CUIT", VLOOKUP(A207, 'Base 3F'!$B:$C, 2, FALSE)))</f>
        <v>30710919425</v>
      </c>
      <c r="C207" s="42" t="str">
        <f>IF(A207="", "", IF(IFERROR(VLOOKUP(A207, 'Base 3F'!$B:$J, 9, FALSE),"")="", "SIN RUBRO", VLOOKUP(A207, 'Base 3F'!$B:$J, 9, FALSE)))</f>
        <v>Metalúrgica</v>
      </c>
      <c r="D207" s="58" t="s">
        <v>329</v>
      </c>
      <c r="E207" s="10" t="s">
        <v>109</v>
      </c>
      <c r="F207" s="46" t="s">
        <v>115</v>
      </c>
    </row>
    <row r="208">
      <c r="A208" s="50" t="s">
        <v>2072</v>
      </c>
      <c r="B208" s="54">
        <f>IF(A208="", "", IF(IFERROR(VLOOKUP(A208, 'Base 3F'!$B:$C, 2, FALSE),"")="", "SIN CUIT", VLOOKUP(A208, 'Base 3F'!$B:$C, 2, FALSE)))</f>
        <v>33708547749</v>
      </c>
      <c r="C208" s="42" t="str">
        <f>IF(A208="", "", IF(IFERROR(VLOOKUP(A208, 'Base 3F'!$B:$J, 9, FALSE),"")="", "SIN RUBRO", VLOOKUP(A208, 'Base 3F'!$B:$J, 9, FALSE)))</f>
        <v>Metalúrgica</v>
      </c>
      <c r="D208" s="58" t="s">
        <v>331</v>
      </c>
      <c r="E208" s="10" t="s">
        <v>109</v>
      </c>
      <c r="F208" s="46" t="s">
        <v>115</v>
      </c>
    </row>
    <row r="209">
      <c r="A209" s="50" t="s">
        <v>2074</v>
      </c>
      <c r="B209" s="54">
        <f>IF(A209="", "", IF(IFERROR(VLOOKUP(A209, 'Base 3F'!$B:$C, 2, FALSE),"")="", "SIN CUIT", VLOOKUP(A209, 'Base 3F'!$B:$C, 2, FALSE)))</f>
        <v>30594578194</v>
      </c>
      <c r="C209" s="42" t="str">
        <f>IF(A209="", "", IF(IFERROR(VLOOKUP(A209, 'Base 3F'!$B:$J, 9, FALSE),"")="", "SIN RUBRO", VLOOKUP(A209, 'Base 3F'!$B:$J, 9, FALSE)))</f>
        <v>Química</v>
      </c>
      <c r="D209" s="58" t="s">
        <v>334</v>
      </c>
      <c r="E209" s="10" t="s">
        <v>109</v>
      </c>
      <c r="F209" s="46" t="s">
        <v>115</v>
      </c>
    </row>
    <row r="210">
      <c r="A210" s="50" t="s">
        <v>2077</v>
      </c>
      <c r="B210" s="54">
        <f>IF(A210="", "", IF(IFERROR(VLOOKUP(A210, 'Base 3F'!$B:$C, 2, FALSE),"")="", "SIN CUIT", VLOOKUP(A210, 'Base 3F'!$B:$C, 2, FALSE)))</f>
        <v>30715662651</v>
      </c>
      <c r="C210" s="42" t="str">
        <f>IF(A210="", "", IF(IFERROR(VLOOKUP(A210, 'Base 3F'!$B:$J, 9, FALSE),"")="", "SIN RUBRO", VLOOKUP(A210, 'Base 3F'!$B:$J, 9, FALSE)))</f>
        <v>Bebidas</v>
      </c>
      <c r="D210" s="58" t="s">
        <v>335</v>
      </c>
      <c r="E210" s="10" t="s">
        <v>109</v>
      </c>
      <c r="F210" s="46" t="s">
        <v>115</v>
      </c>
    </row>
    <row r="211">
      <c r="A211" s="50" t="s">
        <v>2080</v>
      </c>
      <c r="B211" s="54">
        <f>IF(A211="", "", IF(IFERROR(VLOOKUP(A211, 'Base 3F'!$B:$C, 2, FALSE),"")="", "SIN CUIT", VLOOKUP(A211, 'Base 3F'!$B:$C, 2, FALSE)))</f>
        <v>30505232476</v>
      </c>
      <c r="C211" s="42" t="str">
        <f>IF(A211="", "", IF(IFERROR(VLOOKUP(A211, 'Base 3F'!$B:$J, 9, FALSE),"")="", "SIN RUBRO", VLOOKUP(A211, 'Base 3F'!$B:$J, 9, FALSE)))</f>
        <v>Metalúrgica</v>
      </c>
      <c r="D211" s="142" t="s">
        <v>336</v>
      </c>
      <c r="E211" s="10" t="s">
        <v>109</v>
      </c>
      <c r="F211" s="46" t="s">
        <v>115</v>
      </c>
    </row>
    <row r="212">
      <c r="A212" s="50" t="s">
        <v>2087</v>
      </c>
      <c r="B212" s="54">
        <f>IF(A212="", "", IF(IFERROR(VLOOKUP(A212, 'Base 3F'!$B:$C, 2, FALSE),"")="", "SIN CUIT", VLOOKUP(A212, 'Base 3F'!$B:$C, 2, FALSE)))</f>
        <v>30709729302</v>
      </c>
      <c r="C212" s="42" t="str">
        <f>IF(A212="", "", IF(IFERROR(VLOOKUP(A212, 'Base 3F'!$B:$J, 9, FALSE),"")="", "SIN RUBRO", VLOOKUP(A212, 'Base 3F'!$B:$J, 9, FALSE)))</f>
        <v>Metalúrgica</v>
      </c>
      <c r="D212" s="142" t="s">
        <v>338</v>
      </c>
      <c r="E212" s="10" t="s">
        <v>109</v>
      </c>
      <c r="F212" s="46" t="s">
        <v>115</v>
      </c>
    </row>
    <row r="213">
      <c r="A213" s="50" t="s">
        <v>2091</v>
      </c>
      <c r="B213" s="54">
        <f>IF(A213="", "", IF(IFERROR(VLOOKUP(A213, 'Base 3F'!$B:$C, 2, FALSE),"")="", "SIN CUIT", VLOOKUP(A213, 'Base 3F'!$B:$C, 2, FALSE)))</f>
        <v>30559945168</v>
      </c>
      <c r="C213" s="42" t="str">
        <f>IF(A213="", "", IF(IFERROR(VLOOKUP(A213, 'Base 3F'!$B:$J, 9, FALSE),"")="", "SIN RUBRO", VLOOKUP(A213, 'Base 3F'!$B:$J, 9, FALSE)))</f>
        <v>Metalúrgica</v>
      </c>
      <c r="D213" s="58" t="s">
        <v>340</v>
      </c>
      <c r="E213" s="10" t="s">
        <v>109</v>
      </c>
      <c r="F213" s="46" t="s">
        <v>115</v>
      </c>
    </row>
    <row r="214">
      <c r="A214" s="50" t="s">
        <v>2094</v>
      </c>
      <c r="B214" s="54">
        <f>IF(A214="", "", IF(IFERROR(VLOOKUP(A214, 'Base 3F'!$B:$C, 2, FALSE),"")="", "SIN CUIT", VLOOKUP(A214, 'Base 3F'!$B:$C, 2, FALSE)))</f>
        <v>30571855964</v>
      </c>
      <c r="C214" s="42" t="str">
        <f>IF(A214="", "", IF(IFERROR(VLOOKUP(A214, 'Base 3F'!$B:$J, 9, FALSE),"")="", "SIN RUBRO", VLOOKUP(A214, 'Base 3F'!$B:$J, 9, FALSE)))</f>
        <v>Metalúrgica</v>
      </c>
      <c r="D214" s="58" t="s">
        <v>341</v>
      </c>
      <c r="E214" s="10" t="s">
        <v>109</v>
      </c>
      <c r="F214" s="46" t="s">
        <v>115</v>
      </c>
    </row>
    <row r="215">
      <c r="A215" s="50" t="s">
        <v>2097</v>
      </c>
      <c r="B215" s="54">
        <f>IF(A215="", "", IF(IFERROR(VLOOKUP(A215, 'Base 3F'!$B:$C, 2, FALSE),"")="", "SIN CUIT", VLOOKUP(A215, 'Base 3F'!$B:$C, 2, FALSE)))</f>
        <v>30711931038</v>
      </c>
      <c r="C215" s="42" t="str">
        <f>IF(A215="", "", IF(IFERROR(VLOOKUP(A215, 'Base 3F'!$B:$J, 9, FALSE),"")="", "SIN RUBRO", VLOOKUP(A215, 'Base 3F'!$B:$J, 9, FALSE)))</f>
        <v>Metalúrgica</v>
      </c>
      <c r="D215" s="58" t="s">
        <v>2101</v>
      </c>
      <c r="E215" s="10" t="s">
        <v>109</v>
      </c>
      <c r="F215" s="46" t="s">
        <v>115</v>
      </c>
    </row>
    <row r="216">
      <c r="A216" s="50" t="s">
        <v>2103</v>
      </c>
      <c r="B216" s="54">
        <f>IF(A216="", "", IF(IFERROR(VLOOKUP(A216, 'Base 3F'!$B:$C, 2, FALSE),"")="", "SIN CUIT", VLOOKUP(A216, 'Base 3F'!$B:$C, 2, FALSE)))</f>
        <v>20105373059</v>
      </c>
      <c r="C216" s="42" t="str">
        <f>IF(A216="", "", IF(IFERROR(VLOOKUP(A216, 'Base 3F'!$B:$J, 9, FALSE),"")="", "SIN RUBRO", VLOOKUP(A216, 'Base 3F'!$B:$J, 9, FALSE)))</f>
        <v>Metalúrgica</v>
      </c>
      <c r="D216" s="142" t="s">
        <v>2105</v>
      </c>
      <c r="E216" s="10" t="s">
        <v>109</v>
      </c>
      <c r="F216" s="46" t="s">
        <v>115</v>
      </c>
    </row>
    <row r="217">
      <c r="A217" s="50" t="s">
        <v>2108</v>
      </c>
      <c r="B217" s="54">
        <f>IF(A217="", "", IF(IFERROR(VLOOKUP(A217, 'Base 3F'!$B:$C, 2, FALSE),"")="", "SIN CUIT", VLOOKUP(A217, 'Base 3F'!$B:$C, 2, FALSE)))</f>
        <v>30564118415</v>
      </c>
      <c r="C217" s="42" t="str">
        <f>IF(A217="", "", IF(IFERROR(VLOOKUP(A217, 'Base 3F'!$B:$J, 9, FALSE),"")="", "SIN RUBRO", VLOOKUP(A217, 'Base 3F'!$B:$J, 9, FALSE)))</f>
        <v>Metalúrgica</v>
      </c>
      <c r="D217" s="58" t="s">
        <v>342</v>
      </c>
      <c r="E217" s="10" t="s">
        <v>109</v>
      </c>
      <c r="F217" s="46" t="s">
        <v>115</v>
      </c>
    </row>
    <row r="218">
      <c r="A218" s="50" t="s">
        <v>2110</v>
      </c>
      <c r="B218" s="54">
        <f>IF(A218="", "", IF(IFERROR(VLOOKUP(A218, 'Base 3F'!$B:$C, 2, FALSE),"")="", "SIN CUIT", VLOOKUP(A218, 'Base 3F'!$B:$C, 2, FALSE)))</f>
        <v>30504755629</v>
      </c>
      <c r="C218" s="42" t="str">
        <f>IF(A218="", "", IF(IFERROR(VLOOKUP(A218, 'Base 3F'!$B:$J, 9, FALSE),"")="", "SIN RUBRO", VLOOKUP(A218, 'Base 3F'!$B:$J, 9, FALSE)))</f>
        <v>Metalúrgica</v>
      </c>
      <c r="D218" s="58" t="s">
        <v>343</v>
      </c>
      <c r="E218" s="10" t="s">
        <v>109</v>
      </c>
      <c r="F218" s="46" t="s">
        <v>115</v>
      </c>
    </row>
    <row r="219">
      <c r="A219" s="50" t="s">
        <v>2113</v>
      </c>
      <c r="B219" s="54">
        <f>IF(A219="", "", IF(IFERROR(VLOOKUP(A219, 'Base 3F'!$B:$C, 2, FALSE),"")="", "SIN CUIT", VLOOKUP(A219, 'Base 3F'!$B:$C, 2, FALSE)))</f>
        <v>30711914028</v>
      </c>
      <c r="C219" s="42" t="str">
        <f>IF(A219="", "", IF(IFERROR(VLOOKUP(A219, 'Base 3F'!$B:$J, 9, FALSE),"")="", "SIN RUBRO", VLOOKUP(A219, 'Base 3F'!$B:$J, 9, FALSE)))</f>
        <v>Metalúrgica</v>
      </c>
      <c r="D219" s="58" t="s">
        <v>344</v>
      </c>
      <c r="E219" s="10" t="s">
        <v>109</v>
      </c>
      <c r="F219" s="46" t="s">
        <v>115</v>
      </c>
    </row>
    <row r="220">
      <c r="A220" s="50" t="s">
        <v>2115</v>
      </c>
      <c r="B220" s="54">
        <f>IF(A220="", "", IF(IFERROR(VLOOKUP(A220, 'Base 3F'!$B:$C, 2, FALSE),"")="", "SIN CUIT", VLOOKUP(A220, 'Base 3F'!$B:$C, 2, FALSE)))</f>
        <v>30624469077</v>
      </c>
      <c r="C220" s="42" t="str">
        <f>IF(A220="", "", IF(IFERROR(VLOOKUP(A220, 'Base 3F'!$B:$J, 9, FALSE),"")="", "SIN RUBRO", VLOOKUP(A220, 'Base 3F'!$B:$J, 9, FALSE)))</f>
        <v>Metalúrgica</v>
      </c>
      <c r="D220" s="58" t="s">
        <v>345</v>
      </c>
      <c r="E220" s="10" t="s">
        <v>109</v>
      </c>
      <c r="F220" s="46" t="s">
        <v>115</v>
      </c>
    </row>
    <row r="221">
      <c r="A221" s="50" t="s">
        <v>2119</v>
      </c>
      <c r="B221" s="54">
        <f>IF(A221="", "", IF(IFERROR(VLOOKUP(A221, 'Base 3F'!$B:$C, 2, FALSE),"")="", "SIN CUIT", VLOOKUP(A221, 'Base 3F'!$B:$C, 2, FALSE)))</f>
        <v>30707612475</v>
      </c>
      <c r="C221" s="42" t="str">
        <f>IF(A221="", "", IF(IFERROR(VLOOKUP(A221, 'Base 3F'!$B:$J, 9, FALSE),"")="", "SIN RUBRO", VLOOKUP(A221, 'Base 3F'!$B:$J, 9, FALSE)))</f>
        <v>Metalúrgica</v>
      </c>
      <c r="D221" s="58" t="s">
        <v>346</v>
      </c>
      <c r="E221" s="10" t="s">
        <v>109</v>
      </c>
      <c r="F221" s="46" t="s">
        <v>115</v>
      </c>
    </row>
    <row r="222">
      <c r="A222" s="50" t="s">
        <v>2121</v>
      </c>
      <c r="B222" s="54">
        <f>IF(A222="", "", IF(IFERROR(VLOOKUP(A222, 'Base 3F'!$B:$C, 2, FALSE),"")="", "SIN CUIT", VLOOKUP(A222, 'Base 3F'!$B:$C, 2, FALSE)))</f>
        <v>30711524351</v>
      </c>
      <c r="C222" s="42" t="str">
        <f>IF(A222="", "", IF(IFERROR(VLOOKUP(A222, 'Base 3F'!$B:$J, 9, FALSE),"")="", "SIN RUBRO", VLOOKUP(A222, 'Base 3F'!$B:$J, 9, FALSE)))</f>
        <v>Metalúrgica</v>
      </c>
      <c r="D222" s="58" t="s">
        <v>348</v>
      </c>
      <c r="E222" s="10" t="s">
        <v>109</v>
      </c>
      <c r="F222" s="46" t="s">
        <v>115</v>
      </c>
    </row>
    <row r="223">
      <c r="A223" s="50" t="s">
        <v>2125</v>
      </c>
      <c r="B223" s="54">
        <f>IF(A223="", "", IF(IFERROR(VLOOKUP(A223, 'Base 3F'!$B:$C, 2, FALSE),"")="", "SIN CUIT", VLOOKUP(A223, 'Base 3F'!$B:$C, 2, FALSE)))</f>
        <v>30504115026</v>
      </c>
      <c r="C223" s="42" t="str">
        <f>IF(A223="", "", IF(IFERROR(VLOOKUP(A223, 'Base 3F'!$B:$J, 9, FALSE),"")="", "SIN RUBRO", VLOOKUP(A223, 'Base 3F'!$B:$J, 9, FALSE)))</f>
        <v>Plástica</v>
      </c>
      <c r="D223" s="58" t="s">
        <v>349</v>
      </c>
      <c r="E223" s="10" t="s">
        <v>109</v>
      </c>
      <c r="F223" s="46" t="s">
        <v>115</v>
      </c>
    </row>
    <row r="224">
      <c r="A224" s="50" t="s">
        <v>2128</v>
      </c>
      <c r="B224" s="54">
        <f>IF(A224="", "", IF(IFERROR(VLOOKUP(A224, 'Base 3F'!$B:$C, 2, FALSE),"")="", "SIN CUIT", VLOOKUP(A224, 'Base 3F'!$B:$C, 2, FALSE)))</f>
        <v>20164957471</v>
      </c>
      <c r="C224" s="42" t="str">
        <f>IF(A224="", "", IF(IFERROR(VLOOKUP(A224, 'Base 3F'!$B:$J, 9, FALSE),"")="", "SIN RUBRO", VLOOKUP(A224, 'Base 3F'!$B:$J, 9, FALSE)))</f>
        <v>Textil</v>
      </c>
      <c r="D224" s="58" t="s">
        <v>350</v>
      </c>
      <c r="E224" s="10" t="s">
        <v>109</v>
      </c>
      <c r="F224" s="46" t="s">
        <v>115</v>
      </c>
    </row>
    <row r="225">
      <c r="A225" s="59" t="s">
        <v>2134</v>
      </c>
      <c r="B225" s="54">
        <f>IF(A225="", "", IF(IFERROR(VLOOKUP(A225, 'Base 3F'!$B:$C, 2, FALSE),"")="", "SIN CUIT", VLOOKUP(A225, 'Base 3F'!$B:$C, 2, FALSE)))</f>
        <v>30708938021</v>
      </c>
      <c r="C225" s="42" t="str">
        <f>IF(A225="", "", IF(IFERROR(VLOOKUP(A225, 'Base 3F'!$B:$J, 9, FALSE),"")="", "SIN RUBRO", VLOOKUP(A225, 'Base 3F'!$B:$J, 9, FALSE)))</f>
        <v>Alimenticia</v>
      </c>
      <c r="D225" s="58" t="s">
        <v>351</v>
      </c>
      <c r="E225" s="10" t="s">
        <v>109</v>
      </c>
      <c r="F225" s="46" t="s">
        <v>115</v>
      </c>
    </row>
    <row r="226">
      <c r="A226" s="50" t="s">
        <v>2141</v>
      </c>
      <c r="B226" s="54" t="str">
        <f>IF(A226="", "", IF(IFERROR(VLOOKUP(A226, 'Base 3F'!$B:$C, 2, FALSE),"")="", "SIN CUIT", VLOOKUP(A226, 'Base 3F'!$B:$C, 2, FALSE)))</f>
        <v>SIN CUIT</v>
      </c>
      <c r="C226" s="42" t="str">
        <f>IF(A226="", "", IF(IFERROR(VLOOKUP(A226, 'Base 3F'!$B:$J, 9, FALSE),"")="", "SIN RUBRO", VLOOKUP(A226, 'Base 3F'!$B:$J, 9, FALSE)))</f>
        <v>SIN RUBRO</v>
      </c>
      <c r="D226" s="58" t="s">
        <v>353</v>
      </c>
      <c r="E226" s="10" t="s">
        <v>109</v>
      </c>
      <c r="F226" s="46" t="s">
        <v>115</v>
      </c>
    </row>
    <row r="227">
      <c r="A227" s="50" t="s">
        <v>2145</v>
      </c>
      <c r="B227" s="54">
        <f>IF(A227="", "", IF(IFERROR(VLOOKUP(A227, 'Base 3F'!$B:$C, 2, FALSE),"")="", "SIN CUIT", VLOOKUP(A227, 'Base 3F'!$B:$C, 2, FALSE)))</f>
        <v>30560494757</v>
      </c>
      <c r="C227" s="42" t="str">
        <f>IF(A227="", "", IF(IFERROR(VLOOKUP(A227, 'Base 3F'!$B:$J, 9, FALSE),"")="", "SIN RUBRO", VLOOKUP(A227, 'Base 3F'!$B:$J, 9, FALSE)))</f>
        <v>Piedra</v>
      </c>
      <c r="D227" s="58" t="s">
        <v>354</v>
      </c>
      <c r="E227" s="10" t="s">
        <v>109</v>
      </c>
      <c r="F227" s="46" t="s">
        <v>115</v>
      </c>
    </row>
    <row r="228">
      <c r="A228" s="50" t="s">
        <v>2149</v>
      </c>
      <c r="B228" s="54">
        <f>IF(A228="", "", IF(IFERROR(VLOOKUP(A228, 'Base 3F'!$B:$C, 2, FALSE),"")="", "SIN CUIT", VLOOKUP(A228, 'Base 3F'!$B:$C, 2, FALSE)))</f>
        <v>30715098667</v>
      </c>
      <c r="C228" s="42" t="str">
        <f>IF(A228="", "", IF(IFERROR(VLOOKUP(A228, 'Base 3F'!$B:$J, 9, FALSE),"")="", "SIN RUBRO", VLOOKUP(A228, 'Base 3F'!$B:$J, 9, FALSE)))</f>
        <v>Textil</v>
      </c>
      <c r="D228" s="58" t="s">
        <v>355</v>
      </c>
      <c r="E228" s="10" t="s">
        <v>109</v>
      </c>
      <c r="F228" s="46" t="s">
        <v>115</v>
      </c>
    </row>
    <row r="229">
      <c r="A229" s="50" t="s">
        <v>2156</v>
      </c>
      <c r="B229" s="54">
        <f>IF(A229="", "", IF(IFERROR(VLOOKUP(A229, 'Base 3F'!$B:$C, 2, FALSE),"")="", "SIN CUIT", VLOOKUP(A229, 'Base 3F'!$B:$C, 2, FALSE)))</f>
        <v>30708590602</v>
      </c>
      <c r="C229" s="42" t="str">
        <f>IF(A229="", "", IF(IFERROR(VLOOKUP(A229, 'Base 3F'!$B:$J, 9, FALSE),"")="", "SIN RUBRO", VLOOKUP(A229, 'Base 3F'!$B:$J, 9, FALSE)))</f>
        <v>Metalúrgica</v>
      </c>
      <c r="D229" s="58" t="s">
        <v>2158</v>
      </c>
      <c r="E229" s="10" t="s">
        <v>109</v>
      </c>
      <c r="F229" s="46" t="s">
        <v>115</v>
      </c>
    </row>
    <row r="230">
      <c r="A230" s="50" t="s">
        <v>2160</v>
      </c>
      <c r="B230" s="54">
        <f>IF(A230="", "", IF(IFERROR(VLOOKUP(A230, 'Base 3F'!$B:$C, 2, FALSE),"")="", "SIN CUIT", VLOOKUP(A230, 'Base 3F'!$B:$C, 2, FALSE)))</f>
        <v>30700915154</v>
      </c>
      <c r="C230" s="42" t="str">
        <f>IF(A230="", "", IF(IFERROR(VLOOKUP(A230, 'Base 3F'!$B:$J, 9, FALSE),"")="", "SIN RUBRO", VLOOKUP(A230, 'Base 3F'!$B:$J, 9, FALSE)))</f>
        <v>Madera</v>
      </c>
      <c r="D230" s="58" t="s">
        <v>360</v>
      </c>
      <c r="E230" s="10" t="s">
        <v>109</v>
      </c>
      <c r="F230" s="46" t="s">
        <v>115</v>
      </c>
    </row>
    <row r="231">
      <c r="A231" s="50" t="s">
        <v>2164</v>
      </c>
      <c r="B231" s="54">
        <f>IF(A231="", "", IF(IFERROR(VLOOKUP(A231, 'Base 3F'!$B:$C, 2, FALSE),"")="", "SIN CUIT", VLOOKUP(A231, 'Base 3F'!$B:$C, 2, FALSE)))</f>
        <v>20115940237</v>
      </c>
      <c r="C231" s="42" t="str">
        <f>IF(A231="", "", IF(IFERROR(VLOOKUP(A231, 'Base 3F'!$B:$J, 9, FALSE),"")="", "SIN RUBRO", VLOOKUP(A231, 'Base 3F'!$B:$J, 9, FALSE)))</f>
        <v>Manufactura</v>
      </c>
      <c r="D231" s="58" t="s">
        <v>364</v>
      </c>
      <c r="E231" s="10" t="s">
        <v>109</v>
      </c>
      <c r="F231" s="46" t="s">
        <v>115</v>
      </c>
    </row>
    <row r="232">
      <c r="A232" s="50" t="s">
        <v>2168</v>
      </c>
      <c r="B232" s="54">
        <f>IF(A232="", "", IF(IFERROR(VLOOKUP(A232, 'Base 3F'!$B:$C, 2, FALSE),"")="", "SIN CUIT", VLOOKUP(A232, 'Base 3F'!$B:$C, 2, FALSE)))</f>
        <v>30500786937</v>
      </c>
      <c r="C232" s="42" t="str">
        <f>IF(A232="", "", IF(IFERROR(VLOOKUP(A232, 'Base 3F'!$B:$J, 9, FALSE),"")="", "SIN RUBRO", VLOOKUP(A232, 'Base 3F'!$B:$J, 9, FALSE)))</f>
        <v>Metalúrgica</v>
      </c>
      <c r="D232" s="58" t="s">
        <v>366</v>
      </c>
      <c r="E232" s="10" t="s">
        <v>109</v>
      </c>
      <c r="F232" s="46" t="s">
        <v>115</v>
      </c>
    </row>
    <row r="233">
      <c r="A233" s="50" t="s">
        <v>2173</v>
      </c>
      <c r="B233" s="54">
        <f>IF(A233="", "", IF(IFERROR(VLOOKUP(A233, 'Base 3F'!$B:$C, 2, FALSE),"")="", "SIN CUIT", VLOOKUP(A233, 'Base 3F'!$B:$C, 2, FALSE)))</f>
        <v>30716126451</v>
      </c>
      <c r="C233" s="42" t="str">
        <f>IF(A233="", "", IF(IFERROR(VLOOKUP(A233, 'Base 3F'!$B:$J, 9, FALSE),"")="", "SIN RUBRO", VLOOKUP(A233, 'Base 3F'!$B:$J, 9, FALSE)))</f>
        <v>Madera</v>
      </c>
      <c r="D233" s="142" t="s">
        <v>368</v>
      </c>
      <c r="E233" s="10" t="s">
        <v>109</v>
      </c>
      <c r="F233" s="46" t="s">
        <v>115</v>
      </c>
    </row>
    <row r="234">
      <c r="A234" s="50" t="s">
        <v>2176</v>
      </c>
      <c r="B234" s="54">
        <f>IF(A234="", "", IF(IFERROR(VLOOKUP(A234, 'Base 3F'!$B:$C, 2, FALSE),"")="", "SIN CUIT", VLOOKUP(A234, 'Base 3F'!$B:$C, 2, FALSE)))</f>
        <v>30715087789</v>
      </c>
      <c r="C234" s="42" t="str">
        <f>IF(A234="", "", IF(IFERROR(VLOOKUP(A234, 'Base 3F'!$B:$J, 9, FALSE),"")="", "SIN RUBRO", VLOOKUP(A234, 'Base 3F'!$B:$J, 9, FALSE)))</f>
        <v>Plástica</v>
      </c>
      <c r="D234" s="58" t="s">
        <v>371</v>
      </c>
      <c r="E234" s="10" t="s">
        <v>109</v>
      </c>
      <c r="F234" s="46" t="s">
        <v>115</v>
      </c>
    </row>
    <row r="235">
      <c r="A235" s="50" t="s">
        <v>2183</v>
      </c>
      <c r="B235" s="54">
        <f>IF(A235="", "", IF(IFERROR(VLOOKUP(A235, 'Base 3F'!$B:$C, 2, FALSE),"")="", "SIN CUIT", VLOOKUP(A235, 'Base 3F'!$B:$C, 2, FALSE)))</f>
        <v>30557281289</v>
      </c>
      <c r="C235" s="42" t="str">
        <f>IF(A235="", "", IF(IFERROR(VLOOKUP(A235, 'Base 3F'!$B:$J, 9, FALSE),"")="", "SIN RUBRO", VLOOKUP(A235, 'Base 3F'!$B:$J, 9, FALSE)))</f>
        <v>Plástica</v>
      </c>
      <c r="D235" s="58" t="s">
        <v>372</v>
      </c>
      <c r="E235" s="10" t="s">
        <v>109</v>
      </c>
      <c r="F235" s="46" t="s">
        <v>115</v>
      </c>
    </row>
    <row r="236">
      <c r="A236" s="50" t="s">
        <v>2187</v>
      </c>
      <c r="B236" s="54">
        <f>IF(A236="", "", IF(IFERROR(VLOOKUP(A236, 'Base 3F'!$B:$C, 2, FALSE),"")="", "SIN CUIT", VLOOKUP(A236, 'Base 3F'!$B:$C, 2, FALSE)))</f>
        <v>30639072076</v>
      </c>
      <c r="C236" s="42" t="str">
        <f>IF(A236="", "", IF(IFERROR(VLOOKUP(A236, 'Base 3F'!$B:$J, 9, FALSE),"")="", "SIN RUBRO", VLOOKUP(A236, 'Base 3F'!$B:$J, 9, FALSE)))</f>
        <v>Textil</v>
      </c>
      <c r="D236" s="58" t="s">
        <v>374</v>
      </c>
      <c r="E236" s="10" t="s">
        <v>109</v>
      </c>
      <c r="F236" s="46" t="s">
        <v>115</v>
      </c>
    </row>
    <row r="237">
      <c r="A237" s="59" t="s">
        <v>2191</v>
      </c>
      <c r="B237" s="54">
        <f>IF(A237="", "", IF(IFERROR(VLOOKUP(A237, 'Base 3F'!$B:$C, 2, FALSE),"")="", "SIN CUIT", VLOOKUP(A237, 'Base 3F'!$B:$C, 2, FALSE)))</f>
        <v>33644674059</v>
      </c>
      <c r="C237" s="42" t="str">
        <f>IF(A237="", "", IF(IFERROR(VLOOKUP(A237, 'Base 3F'!$B:$J, 9, FALSE),"")="", "SIN RUBRO", VLOOKUP(A237, 'Base 3F'!$B:$J, 9, FALSE)))</f>
        <v>Plástica</v>
      </c>
      <c r="D237" s="58" t="s">
        <v>376</v>
      </c>
      <c r="E237" s="10" t="s">
        <v>109</v>
      </c>
      <c r="F237" s="46" t="s">
        <v>115</v>
      </c>
    </row>
    <row r="238">
      <c r="A238" s="50" t="s">
        <v>2196</v>
      </c>
      <c r="B238" s="54">
        <f>IF(A238="", "", IF(IFERROR(VLOOKUP(A238, 'Base 3F'!$B:$C, 2, FALSE),"")="", "SIN CUIT", VLOOKUP(A238, 'Base 3F'!$B:$C, 2, FALSE)))</f>
        <v>30689645131</v>
      </c>
      <c r="C238" s="42" t="str">
        <f>IF(A238="", "", IF(IFERROR(VLOOKUP(A238, 'Base 3F'!$B:$J, 9, FALSE),"")="", "SIN RUBRO", VLOOKUP(A238, 'Base 3F'!$B:$J, 9, FALSE)))</f>
        <v>Madera</v>
      </c>
      <c r="D238" s="58" t="s">
        <v>378</v>
      </c>
      <c r="E238" s="10" t="s">
        <v>109</v>
      </c>
      <c r="F238" s="46" t="s">
        <v>115</v>
      </c>
    </row>
    <row r="239">
      <c r="A239" s="50" t="s">
        <v>2200</v>
      </c>
      <c r="B239" s="54">
        <f>IF(A239="", "", IF(IFERROR(VLOOKUP(A239, 'Base 3F'!$B:$C, 2, FALSE),"")="", "SIN CUIT", VLOOKUP(A239, 'Base 3F'!$B:$C, 2, FALSE)))</f>
        <v>20203299479</v>
      </c>
      <c r="C239" s="42" t="str">
        <f>IF(A239="", "", IF(IFERROR(VLOOKUP(A239, 'Base 3F'!$B:$J, 9, FALSE),"")="", "SIN RUBRO", VLOOKUP(A239, 'Base 3F'!$B:$J, 9, FALSE)))</f>
        <v>Electrónica</v>
      </c>
      <c r="D239" s="58" t="s">
        <v>380</v>
      </c>
      <c r="E239" s="10" t="s">
        <v>109</v>
      </c>
      <c r="F239" s="46" t="s">
        <v>115</v>
      </c>
    </row>
    <row r="240">
      <c r="A240" s="50" t="s">
        <v>2205</v>
      </c>
      <c r="B240" s="54">
        <f>IF(A240="", "", IF(IFERROR(VLOOKUP(A240, 'Base 3F'!$B:$C, 2, FALSE),"")="", "SIN CUIT", VLOOKUP(A240, 'Base 3F'!$B:$C, 2, FALSE)))</f>
        <v>30711659834</v>
      </c>
      <c r="C240" s="42" t="str">
        <f>IF(A240="", "", IF(IFERROR(VLOOKUP(A240, 'Base 3F'!$B:$J, 9, FALSE),"")="", "SIN RUBRO", VLOOKUP(A240, 'Base 3F'!$B:$J, 9, FALSE)))</f>
        <v>Papel</v>
      </c>
      <c r="D240" s="142" t="s">
        <v>381</v>
      </c>
      <c r="E240" s="10" t="s">
        <v>109</v>
      </c>
      <c r="F240" s="46" t="s">
        <v>115</v>
      </c>
    </row>
    <row r="241">
      <c r="A241" s="50" t="s">
        <v>2208</v>
      </c>
      <c r="B241" s="54">
        <f>IF(A241="", "", IF(IFERROR(VLOOKUP(A241, 'Base 3F'!$B:$C, 2, FALSE),"")="", "SIN CUIT", VLOOKUP(A241, 'Base 3F'!$B:$C, 2, FALSE)))</f>
        <v>30642724211</v>
      </c>
      <c r="C241" s="42" t="str">
        <f>IF(A241="", "", IF(IFERROR(VLOOKUP(A241, 'Base 3F'!$B:$J, 9, FALSE),"")="", "SIN RUBRO", VLOOKUP(A241, 'Base 3F'!$B:$J, 9, FALSE)))</f>
        <v>Electrónica</v>
      </c>
      <c r="D241" s="142" t="s">
        <v>383</v>
      </c>
      <c r="E241" s="10" t="s">
        <v>109</v>
      </c>
      <c r="F241" s="46" t="s">
        <v>115</v>
      </c>
    </row>
    <row r="242">
      <c r="A242" s="50" t="s">
        <v>2214</v>
      </c>
      <c r="B242" s="54">
        <f>IF(A242="", "", IF(IFERROR(VLOOKUP(A242, 'Base 3F'!$B:$C, 2, FALSE),"")="", "SIN CUIT", VLOOKUP(A242, 'Base 3F'!$B:$C, 2, FALSE)))</f>
        <v>20265232176</v>
      </c>
      <c r="C242" s="42" t="str">
        <f>IF(A242="", "", IF(IFERROR(VLOOKUP(A242, 'Base 3F'!$B:$J, 9, FALSE),"")="", "SIN RUBRO", VLOOKUP(A242, 'Base 3F'!$B:$J, 9, FALSE)))</f>
        <v>Alimenticia</v>
      </c>
      <c r="D242" s="58" t="s">
        <v>384</v>
      </c>
      <c r="E242" s="10" t="s">
        <v>109</v>
      </c>
      <c r="F242" s="46" t="s">
        <v>115</v>
      </c>
    </row>
    <row r="243">
      <c r="A243" s="50" t="s">
        <v>2216</v>
      </c>
      <c r="B243" s="54">
        <f>IF(A243="", "", IF(IFERROR(VLOOKUP(A243, 'Base 3F'!$B:$C, 2, FALSE),"")="", "SIN CUIT", VLOOKUP(A243, 'Base 3F'!$B:$C, 2, FALSE)))</f>
        <v>30504812649</v>
      </c>
      <c r="C243" s="42" t="str">
        <f>IF(A243="", "", IF(IFERROR(VLOOKUP(A243, 'Base 3F'!$B:$J, 9, FALSE),"")="", "SIN RUBRO", VLOOKUP(A243, 'Base 3F'!$B:$J, 9, FALSE)))</f>
        <v>Metalúrgica</v>
      </c>
      <c r="D243" s="58" t="s">
        <v>385</v>
      </c>
      <c r="E243" s="10" t="s">
        <v>109</v>
      </c>
      <c r="F243" s="46" t="s">
        <v>115</v>
      </c>
    </row>
    <row r="244">
      <c r="A244" s="50" t="s">
        <v>2227</v>
      </c>
      <c r="B244" s="54">
        <f>IF(A244="", "", IF(IFERROR(VLOOKUP(A244, 'Base 3F'!$B:$C, 2, FALSE),"")="", "SIN CUIT", VLOOKUP(A244, 'Base 3F'!$B:$C, 2, FALSE)))</f>
        <v>30575198348</v>
      </c>
      <c r="C244" s="42" t="str">
        <f>IF(A244="", "", IF(IFERROR(VLOOKUP(A244, 'Base 3F'!$B:$J, 9, FALSE),"")="", "SIN RUBRO", VLOOKUP(A244, 'Base 3F'!$B:$J, 9, FALSE)))</f>
        <v>Metalúrgica</v>
      </c>
      <c r="D244" s="58" t="s">
        <v>386</v>
      </c>
      <c r="E244" s="10" t="s">
        <v>109</v>
      </c>
      <c r="F244" s="46" t="s">
        <v>115</v>
      </c>
    </row>
    <row r="245">
      <c r="A245" s="59" t="s">
        <v>2234</v>
      </c>
      <c r="B245" s="54">
        <f>IF(A245="", "", IF(IFERROR(VLOOKUP(A245, 'Base 3F'!$B:$C, 2, FALSE),"")="", "SIN CUIT", VLOOKUP(A245, 'Base 3F'!$B:$C, 2, FALSE)))</f>
        <v>23127140979</v>
      </c>
      <c r="C245" s="42" t="str">
        <f>IF(A245="", "", IF(IFERROR(VLOOKUP(A245, 'Base 3F'!$B:$J, 9, FALSE),"")="", "SIN RUBRO", VLOOKUP(A245, 'Base 3F'!$B:$J, 9, FALSE)))</f>
        <v>Metalúrgica</v>
      </c>
      <c r="D245" s="58" t="s">
        <v>388</v>
      </c>
      <c r="E245" s="10" t="s">
        <v>109</v>
      </c>
      <c r="F245" s="46" t="s">
        <v>115</v>
      </c>
    </row>
    <row r="246">
      <c r="A246" s="50" t="s">
        <v>2237</v>
      </c>
      <c r="B246" s="54">
        <f>IF(A246="", "", IF(IFERROR(VLOOKUP(A246, 'Base 3F'!$B:$C, 2, FALSE),"")="", "SIN CUIT", VLOOKUP(A246, 'Base 3F'!$B:$C, 2, FALSE)))</f>
        <v>20302795801</v>
      </c>
      <c r="C246" s="42" t="str">
        <f>IF(A246="", "", IF(IFERROR(VLOOKUP(A246, 'Base 3F'!$B:$J, 9, FALSE),"")="", "SIN RUBRO", VLOOKUP(A246, 'Base 3F'!$B:$J, 9, FALSE)))</f>
        <v>Alimenticia</v>
      </c>
      <c r="D246" s="58" t="s">
        <v>389</v>
      </c>
      <c r="E246" s="10" t="s">
        <v>109</v>
      </c>
      <c r="F246" s="46" t="s">
        <v>115</v>
      </c>
    </row>
    <row r="247">
      <c r="A247" s="59" t="s">
        <v>2244</v>
      </c>
      <c r="B247" s="54">
        <f>IF(A247="", "", IF(IFERROR(VLOOKUP(A247, 'Base 3F'!$B:$C, 2, FALSE),"")="", "SIN CUIT", VLOOKUP(A247, 'Base 3F'!$B:$C, 2, FALSE)))</f>
        <v>30586686417</v>
      </c>
      <c r="C247" s="42" t="str">
        <f>IF(A247="", "", IF(IFERROR(VLOOKUP(A247, 'Base 3F'!$B:$J, 9, FALSE),"")="", "SIN RUBRO", VLOOKUP(A247, 'Base 3F'!$B:$J, 9, FALSE)))</f>
        <v>Alimenticia</v>
      </c>
      <c r="D247" s="58" t="s">
        <v>2251</v>
      </c>
      <c r="E247" s="10" t="s">
        <v>109</v>
      </c>
      <c r="F247" s="46" t="s">
        <v>115</v>
      </c>
    </row>
    <row r="248">
      <c r="A248" s="59" t="s">
        <v>2252</v>
      </c>
      <c r="B248" s="54">
        <f>IF(A248="", "", IF(IFERROR(VLOOKUP(A248, 'Base 3F'!$B:$C, 2, FALSE),"")="", "SIN CUIT", VLOOKUP(A248, 'Base 3F'!$B:$C, 2, FALSE)))</f>
        <v>30710373716</v>
      </c>
      <c r="C248" s="42" t="str">
        <f>IF(A248="", "", IF(IFERROR(VLOOKUP(A248, 'Base 3F'!$B:$J, 9, FALSE),"")="", "SIN RUBRO", VLOOKUP(A248, 'Base 3F'!$B:$J, 9, FALSE)))</f>
        <v>Electrónica</v>
      </c>
      <c r="D248" s="58" t="s">
        <v>392</v>
      </c>
      <c r="E248" s="10" t="s">
        <v>109</v>
      </c>
      <c r="F248" s="46" t="s">
        <v>115</v>
      </c>
    </row>
    <row r="249">
      <c r="A249" s="50" t="s">
        <v>2257</v>
      </c>
      <c r="B249" s="54">
        <f>IF(A249="", "", IF(IFERROR(VLOOKUP(A249, 'Base 3F'!$B:$C, 2, FALSE),"")="", "SIN CUIT", VLOOKUP(A249, 'Base 3F'!$B:$C, 2, FALSE)))</f>
        <v>30708309032</v>
      </c>
      <c r="C249" s="42" t="str">
        <f>IF(A249="", "", IF(IFERROR(VLOOKUP(A249, 'Base 3F'!$B:$J, 9, FALSE),"")="", "SIN RUBRO", VLOOKUP(A249, 'Base 3F'!$B:$J, 9, FALSE)))</f>
        <v>Plástica</v>
      </c>
      <c r="D249" s="58" t="s">
        <v>394</v>
      </c>
      <c r="E249" s="10" t="s">
        <v>109</v>
      </c>
      <c r="F249" s="46" t="s">
        <v>115</v>
      </c>
    </row>
    <row r="250">
      <c r="A250" s="50" t="s">
        <v>2261</v>
      </c>
      <c r="B250" s="54">
        <f>IF(A250="", "", IF(IFERROR(VLOOKUP(A250, 'Base 3F'!$B:$C, 2, FALSE),"")="", "SIN CUIT", VLOOKUP(A250, 'Base 3F'!$B:$C, 2, FALSE)))</f>
        <v>30716347865</v>
      </c>
      <c r="C250" s="42" t="str">
        <f>IF(A250="", "", IF(IFERROR(VLOOKUP(A250, 'Base 3F'!$B:$J, 9, FALSE),"")="", "SIN RUBRO", VLOOKUP(A250, 'Base 3F'!$B:$J, 9, FALSE)))</f>
        <v>Automotor</v>
      </c>
      <c r="D250" s="142" t="s">
        <v>395</v>
      </c>
      <c r="E250" s="10" t="s">
        <v>109</v>
      </c>
      <c r="F250" s="46" t="s">
        <v>115</v>
      </c>
    </row>
    <row r="251">
      <c r="A251" s="50" t="s">
        <v>2266</v>
      </c>
      <c r="B251" s="54">
        <f>IF(A251="", "", IF(IFERROR(VLOOKUP(A251, 'Base 3F'!$B:$C, 2, FALSE),"")="", "SIN CUIT", VLOOKUP(A251, 'Base 3F'!$B:$C, 2, FALSE)))</f>
        <v>30685322710</v>
      </c>
      <c r="C251" s="42" t="str">
        <f>IF(A251="", "", IF(IFERROR(VLOOKUP(A251, 'Base 3F'!$B:$J, 9, FALSE),"")="", "SIN RUBRO", VLOOKUP(A251, 'Base 3F'!$B:$J, 9, FALSE)))</f>
        <v>Servicios</v>
      </c>
      <c r="D251" s="58" t="s">
        <v>1137</v>
      </c>
      <c r="E251" s="10" t="s">
        <v>109</v>
      </c>
      <c r="F251" s="46" t="s">
        <v>115</v>
      </c>
    </row>
    <row r="252">
      <c r="A252" s="50" t="s">
        <v>2270</v>
      </c>
      <c r="B252" s="54">
        <f>IF(A252="", "", IF(IFERROR(VLOOKUP(A252, 'Base 3F'!$B:$C, 2, FALSE),"")="", "SIN CUIT", VLOOKUP(A252, 'Base 3F'!$B:$C, 2, FALSE)))</f>
        <v>30715807668</v>
      </c>
      <c r="C252" s="42" t="str">
        <f>IF(A252="", "", IF(IFERROR(VLOOKUP(A252, 'Base 3F'!$B:$J, 9, FALSE),"")="", "SIN RUBRO", VLOOKUP(A252, 'Base 3F'!$B:$J, 9, FALSE)))</f>
        <v>Alimenticia</v>
      </c>
      <c r="D252" s="88" t="s">
        <v>399</v>
      </c>
      <c r="E252" s="10" t="s">
        <v>109</v>
      </c>
      <c r="F252" s="46" t="s">
        <v>1625</v>
      </c>
    </row>
    <row r="253">
      <c r="A253" s="50" t="s">
        <v>2277</v>
      </c>
      <c r="B253" s="54">
        <f>IF(A253="", "", IF(IFERROR(VLOOKUP(A253, 'Base 3F'!$B:$C, 2, FALSE),"")="", "SIN CUIT", VLOOKUP(A253, 'Base 3F'!$B:$C, 2, FALSE)))</f>
        <v>30503969358</v>
      </c>
      <c r="C253" s="42" t="str">
        <f>IF(A253="", "", IF(IFERROR(VLOOKUP(A253, 'Base 3F'!$B:$J, 9, FALSE),"")="", "SIN RUBRO", VLOOKUP(A253, 'Base 3F'!$B:$J, 9, FALSE)))</f>
        <v>Química</v>
      </c>
      <c r="D253" s="58" t="s">
        <v>400</v>
      </c>
      <c r="E253" s="10" t="s">
        <v>109</v>
      </c>
      <c r="F253" s="46" t="s">
        <v>115</v>
      </c>
    </row>
    <row r="254">
      <c r="A254" s="50" t="s">
        <v>2281</v>
      </c>
      <c r="B254" s="54">
        <f>IF(A254="", "", IF(IFERROR(VLOOKUP(A254, 'Base 3F'!$B:$C, 2, FALSE),"")="", "SIN CUIT", VLOOKUP(A254, 'Base 3F'!$B:$C, 2, FALSE)))</f>
        <v>30708167823</v>
      </c>
      <c r="C254" s="42" t="str">
        <f>IF(A254="", "", IF(IFERROR(VLOOKUP(A254, 'Base 3F'!$B:$J, 9, FALSE),"")="", "SIN RUBRO", VLOOKUP(A254, 'Base 3F'!$B:$J, 9, FALSE)))</f>
        <v>Papel</v>
      </c>
      <c r="D254" s="58" t="s">
        <v>401</v>
      </c>
      <c r="E254" s="10" t="s">
        <v>109</v>
      </c>
      <c r="F254" s="46" t="s">
        <v>115</v>
      </c>
    </row>
    <row r="255">
      <c r="A255" s="50" t="s">
        <v>2285</v>
      </c>
      <c r="B255" s="54">
        <f>IF(A255="", "", IF(IFERROR(VLOOKUP(A255, 'Base 3F'!$B:$C, 2, FALSE),"")="", "SIN CUIT", VLOOKUP(A255, 'Base 3F'!$B:$C, 2, FALSE)))</f>
        <v>30517046929</v>
      </c>
      <c r="C255" s="42" t="str">
        <f>IF(A255="", "", IF(IFERROR(VLOOKUP(A255, 'Base 3F'!$B:$J, 9, FALSE),"")="", "SIN RUBRO", VLOOKUP(A255, 'Base 3F'!$B:$J, 9, FALSE)))</f>
        <v>Madera</v>
      </c>
      <c r="D255" s="58" t="s">
        <v>402</v>
      </c>
      <c r="E255" s="10" t="s">
        <v>109</v>
      </c>
      <c r="F255" s="46" t="s">
        <v>115</v>
      </c>
    </row>
    <row r="256">
      <c r="A256" s="50" t="s">
        <v>2287</v>
      </c>
      <c r="B256" s="54">
        <f>IF(A256="", "", IF(IFERROR(VLOOKUP(A256, 'Base 3F'!$B:$C, 2, FALSE),"")="", "SIN CUIT", VLOOKUP(A256, 'Base 3F'!$B:$C, 2, FALSE)))</f>
        <v>30504594943</v>
      </c>
      <c r="C256" s="42" t="str">
        <f>IF(A256="", "", IF(IFERROR(VLOOKUP(A256, 'Base 3F'!$B:$J, 9, FALSE),"")="", "SIN RUBRO", VLOOKUP(A256, 'Base 3F'!$B:$J, 9, FALSE)))</f>
        <v>Bebidas</v>
      </c>
      <c r="D256" s="58" t="s">
        <v>404</v>
      </c>
      <c r="E256" s="10" t="s">
        <v>109</v>
      </c>
      <c r="F256" s="46" t="s">
        <v>115</v>
      </c>
    </row>
    <row r="257">
      <c r="A257" s="50" t="s">
        <v>2291</v>
      </c>
      <c r="B257" s="54">
        <f>IF(A257="", "", IF(IFERROR(VLOOKUP(A257, 'Base 3F'!$B:$C, 2, FALSE),"")="", "SIN CUIT", VLOOKUP(A257, 'Base 3F'!$B:$C, 2, FALSE)))</f>
        <v>20108334836</v>
      </c>
      <c r="C257" s="42" t="str">
        <f>IF(A257="", "", IF(IFERROR(VLOOKUP(A257, 'Base 3F'!$B:$J, 9, FALSE),"")="", "SIN RUBRO", VLOOKUP(A257, 'Base 3F'!$B:$J, 9, FALSE)))</f>
        <v>Metalúrgica</v>
      </c>
      <c r="D257" s="58" t="s">
        <v>405</v>
      </c>
      <c r="E257" s="10" t="s">
        <v>109</v>
      </c>
      <c r="F257" s="46" t="s">
        <v>115</v>
      </c>
    </row>
    <row r="258">
      <c r="A258" s="50" t="s">
        <v>2294</v>
      </c>
      <c r="B258" s="54">
        <f>IF(A258="", "", IF(IFERROR(VLOOKUP(A258, 'Base 3F'!$B:$C, 2, FALSE),"")="", "SIN CUIT", VLOOKUP(A258, 'Base 3F'!$B:$C, 2, FALSE)))</f>
        <v>20251778273</v>
      </c>
      <c r="C258" s="42" t="str">
        <f>IF(A258="", "", IF(IFERROR(VLOOKUP(A258, 'Base 3F'!$B:$J, 9, FALSE),"")="", "SIN RUBRO", VLOOKUP(A258, 'Base 3F'!$B:$J, 9, FALSE)))</f>
        <v>Informática</v>
      </c>
      <c r="D258" s="58" t="s">
        <v>406</v>
      </c>
      <c r="E258" s="10" t="s">
        <v>109</v>
      </c>
      <c r="F258" s="46" t="s">
        <v>115</v>
      </c>
    </row>
    <row r="259">
      <c r="A259" s="59" t="s">
        <v>2299</v>
      </c>
      <c r="B259" s="54">
        <f>IF(A259="", "", IF(IFERROR(VLOOKUP(A259, 'Base 3F'!$B:$C, 2, FALSE),"")="", "SIN CUIT", VLOOKUP(A259, 'Base 3F'!$B:$C, 2, FALSE)))</f>
        <v>27286942356</v>
      </c>
      <c r="C259" s="42" t="str">
        <f>IF(A259="", "", IF(IFERROR(VLOOKUP(A259, 'Base 3F'!$B:$J, 9, FALSE),"")="", "SIN RUBRO", VLOOKUP(A259, 'Base 3F'!$B:$J, 9, FALSE)))</f>
        <v>Madera</v>
      </c>
      <c r="D259" s="58" t="s">
        <v>408</v>
      </c>
      <c r="E259" s="10" t="s">
        <v>109</v>
      </c>
      <c r="F259" s="46" t="s">
        <v>115</v>
      </c>
    </row>
    <row r="260">
      <c r="A260" s="50" t="s">
        <v>2301</v>
      </c>
      <c r="B260" s="54">
        <f>IF(A260="", "", IF(IFERROR(VLOOKUP(A260, 'Base 3F'!$B:$C, 2, FALSE),"")="", "SIN CUIT", VLOOKUP(A260, 'Base 3F'!$B:$C, 2, FALSE)))</f>
        <v>30708397225</v>
      </c>
      <c r="C260" s="42" t="str">
        <f>IF(A260="", "", IF(IFERROR(VLOOKUP(A260, 'Base 3F'!$B:$J, 9, FALSE),"")="", "SIN RUBRO", VLOOKUP(A260, 'Base 3F'!$B:$J, 9, FALSE)))</f>
        <v>Textil</v>
      </c>
      <c r="D260" s="142" t="s">
        <v>409</v>
      </c>
      <c r="E260" s="10" t="s">
        <v>109</v>
      </c>
      <c r="F260" s="46" t="s">
        <v>115</v>
      </c>
    </row>
    <row r="261">
      <c r="A261" s="50" t="s">
        <v>2308</v>
      </c>
      <c r="B261" s="54">
        <f>IF(A261="", "", IF(IFERROR(VLOOKUP(A261, 'Base 3F'!$B:$C, 2, FALSE),"")="", "SIN CUIT", VLOOKUP(A261, 'Base 3F'!$B:$C, 2, FALSE)))</f>
        <v>30708843055</v>
      </c>
      <c r="C261" s="42" t="str">
        <f>IF(A261="", "", IF(IFERROR(VLOOKUP(A261, 'Base 3F'!$B:$J, 9, FALSE),"")="", "SIN RUBRO", VLOOKUP(A261, 'Base 3F'!$B:$J, 9, FALSE)))</f>
        <v>Plástica</v>
      </c>
      <c r="D261" s="58" t="s">
        <v>411</v>
      </c>
      <c r="E261" s="10" t="s">
        <v>109</v>
      </c>
      <c r="F261" s="46" t="s">
        <v>115</v>
      </c>
    </row>
    <row r="262">
      <c r="A262" s="50" t="s">
        <v>2310</v>
      </c>
      <c r="B262" s="54">
        <f>IF(A262="", "", IF(IFERROR(VLOOKUP(A262, 'Base 3F'!$B:$C, 2, FALSE),"")="", "SIN CUIT", VLOOKUP(A262, 'Base 3F'!$B:$C, 2, FALSE)))</f>
        <v>30617044354</v>
      </c>
      <c r="C262" s="42" t="str">
        <f>IF(A262="", "", IF(IFERROR(VLOOKUP(A262, 'Base 3F'!$B:$J, 9, FALSE),"")="", "SIN RUBRO", VLOOKUP(A262, 'Base 3F'!$B:$J, 9, FALSE)))</f>
        <v>Servicios</v>
      </c>
      <c r="D262" s="58" t="s">
        <v>412</v>
      </c>
      <c r="E262" s="10" t="s">
        <v>109</v>
      </c>
      <c r="F262" s="46" t="s">
        <v>115</v>
      </c>
    </row>
    <row r="263">
      <c r="A263" s="50" t="s">
        <v>2313</v>
      </c>
      <c r="B263" s="54">
        <f>IF(A263="", "", IF(IFERROR(VLOOKUP(A263, 'Base 3F'!$B:$C, 2, FALSE),"")="", "SIN CUIT", VLOOKUP(A263, 'Base 3F'!$B:$C, 2, FALSE)))</f>
        <v>30551504774</v>
      </c>
      <c r="C263" s="42" t="str">
        <f>IF(A263="", "", IF(IFERROR(VLOOKUP(A263, 'Base 3F'!$B:$J, 9, FALSE),"")="", "SIN RUBRO", VLOOKUP(A263, 'Base 3F'!$B:$J, 9, FALSE)))</f>
        <v>Plástica</v>
      </c>
      <c r="D263" s="205" t="s">
        <v>413</v>
      </c>
      <c r="E263" s="10" t="s">
        <v>109</v>
      </c>
      <c r="F263" s="46" t="s">
        <v>115</v>
      </c>
    </row>
    <row r="264">
      <c r="A264" s="50" t="s">
        <v>2318</v>
      </c>
      <c r="B264" s="54">
        <f>IF(A264="", "", IF(IFERROR(VLOOKUP(A264, 'Base 3F'!$B:$C, 2, FALSE),"")="", "SIN CUIT", VLOOKUP(A264, 'Base 3F'!$B:$C, 2, FALSE)))</f>
        <v>30678279257</v>
      </c>
      <c r="C264" s="42" t="str">
        <f>IF(A264="", "", IF(IFERROR(VLOOKUP(A264, 'Base 3F'!$B:$J, 9, FALSE),"")="", "SIN RUBRO", VLOOKUP(A264, 'Base 3F'!$B:$J, 9, FALSE)))</f>
        <v>Metalúrgica</v>
      </c>
      <c r="D264" s="58" t="s">
        <v>414</v>
      </c>
      <c r="E264" s="10" t="s">
        <v>109</v>
      </c>
      <c r="F264" s="46" t="s">
        <v>115</v>
      </c>
    </row>
    <row r="265">
      <c r="A265" s="59" t="s">
        <v>2321</v>
      </c>
      <c r="B265" s="54">
        <f>IF(A265="", "", IF(IFERROR(VLOOKUP(A265, 'Base 3F'!$B:$C, 2, FALSE),"")="", "SIN CUIT", VLOOKUP(A265, 'Base 3F'!$B:$C, 2, FALSE)))</f>
        <v>30709417408</v>
      </c>
      <c r="C265" s="42" t="str">
        <f>IF(A265="", "", IF(IFERROR(VLOOKUP(A265, 'Base 3F'!$B:$J, 9, FALSE),"")="", "SIN RUBRO", VLOOKUP(A265, 'Base 3F'!$B:$J, 9, FALSE)))</f>
        <v>Metalúrgica</v>
      </c>
      <c r="D265" s="142" t="s">
        <v>415</v>
      </c>
      <c r="E265" s="10" t="s">
        <v>109</v>
      </c>
      <c r="F265" s="46" t="s">
        <v>115</v>
      </c>
    </row>
    <row r="266">
      <c r="A266" s="50" t="s">
        <v>2324</v>
      </c>
      <c r="B266" s="54">
        <f>IF(A266="", "", IF(IFERROR(VLOOKUP(A266, 'Base 3F'!$B:$C, 2, FALSE),"")="", "SIN CUIT", VLOOKUP(A266, 'Base 3F'!$B:$C, 2, FALSE)))</f>
        <v>20314226446</v>
      </c>
      <c r="C266" s="42" t="str">
        <f>IF(A266="", "", IF(IFERROR(VLOOKUP(A266, 'Base 3F'!$B:$J, 9, FALSE),"")="", "SIN RUBRO", VLOOKUP(A266, 'Base 3F'!$B:$J, 9, FALSE)))</f>
        <v>Metalúrgica</v>
      </c>
      <c r="D266" s="58" t="s">
        <v>416</v>
      </c>
      <c r="E266" s="10" t="s">
        <v>109</v>
      </c>
      <c r="F266" s="46" t="s">
        <v>115</v>
      </c>
    </row>
    <row r="267">
      <c r="A267" s="50" t="s">
        <v>2326</v>
      </c>
      <c r="B267" s="54">
        <f>IF(A267="", "", IF(IFERROR(VLOOKUP(A267, 'Base 3F'!$B:$C, 2, FALSE),"")="", "SIN CUIT", VLOOKUP(A267, 'Base 3F'!$B:$C, 2, FALSE)))</f>
        <v>30714633941</v>
      </c>
      <c r="C267" s="42" t="str">
        <f>IF(A267="", "", IF(IFERROR(VLOOKUP(A267, 'Base 3F'!$B:$J, 9, FALSE),"")="", "SIN RUBRO", VLOOKUP(A267, 'Base 3F'!$B:$J, 9, FALSE)))</f>
        <v>Papel</v>
      </c>
      <c r="D267" s="142" t="s">
        <v>419</v>
      </c>
      <c r="E267" s="10" t="s">
        <v>109</v>
      </c>
      <c r="F267" s="46" t="s">
        <v>115</v>
      </c>
    </row>
    <row r="268">
      <c r="A268" s="50" t="s">
        <v>2330</v>
      </c>
      <c r="B268" s="54">
        <f>IF(A268="", "", IF(IFERROR(VLOOKUP(A268, 'Base 3F'!$B:$C, 2, FALSE),"")="", "SIN CUIT", VLOOKUP(A268, 'Base 3F'!$B:$C, 2, FALSE)))</f>
        <v>30715505122</v>
      </c>
      <c r="C268" s="42" t="str">
        <f>IF(A268="", "", IF(IFERROR(VLOOKUP(A268, 'Base 3F'!$B:$J, 9, FALSE),"")="", "SIN RUBRO", VLOOKUP(A268, 'Base 3F'!$B:$J, 9, FALSE)))</f>
        <v>Olivicola</v>
      </c>
      <c r="D268" s="142" t="s">
        <v>421</v>
      </c>
      <c r="E268" s="10" t="s">
        <v>109</v>
      </c>
      <c r="F268" s="46" t="s">
        <v>115</v>
      </c>
    </row>
    <row r="269">
      <c r="A269" s="50" t="s">
        <v>2334</v>
      </c>
      <c r="B269" s="54">
        <f>IF(A269="", "", IF(IFERROR(VLOOKUP(A269, 'Base 3F'!$B:$C, 2, FALSE),"")="", "SIN CUIT", VLOOKUP(A269, 'Base 3F'!$B:$C, 2, FALSE)))</f>
        <v>30709992917</v>
      </c>
      <c r="C269" s="42" t="str">
        <f>IF(A269="", "", IF(IFERROR(VLOOKUP(A269, 'Base 3F'!$B:$J, 9, FALSE),"")="", "SIN RUBRO", VLOOKUP(A269, 'Base 3F'!$B:$J, 9, FALSE)))</f>
        <v>Textil</v>
      </c>
      <c r="D269" s="58" t="s">
        <v>422</v>
      </c>
      <c r="E269" s="10" t="s">
        <v>109</v>
      </c>
      <c r="F269" s="46" t="s">
        <v>115</v>
      </c>
    </row>
    <row r="270">
      <c r="A270" s="50" t="s">
        <v>2336</v>
      </c>
      <c r="B270" s="54">
        <f>IF(A270="", "", IF(IFERROR(VLOOKUP(A270, 'Base 3F'!$B:$C, 2, FALSE),"")="", "SIN CUIT", VLOOKUP(A270, 'Base 3F'!$B:$C, 2, FALSE)))</f>
        <v>30708443251</v>
      </c>
      <c r="C270" s="42" t="str">
        <f>IF(A270="", "", IF(IFERROR(VLOOKUP(A270, 'Base 3F'!$B:$J, 9, FALSE),"")="", "SIN RUBRO", VLOOKUP(A270, 'Base 3F'!$B:$J, 9, FALSE)))</f>
        <v>Alimenticia</v>
      </c>
      <c r="D270" s="58" t="s">
        <v>423</v>
      </c>
      <c r="E270" s="10" t="s">
        <v>109</v>
      </c>
      <c r="F270" s="46" t="s">
        <v>115</v>
      </c>
    </row>
    <row r="271">
      <c r="A271" s="50" t="s">
        <v>2338</v>
      </c>
      <c r="B271" s="54">
        <f>IF(A271="", "", IF(IFERROR(VLOOKUP(A271, 'Base 3F'!$B:$C, 2, FALSE),"")="", "SIN CUIT", VLOOKUP(A271, 'Base 3F'!$B:$C, 2, FALSE)))</f>
        <v>30593166488</v>
      </c>
      <c r="C271" s="42" t="str">
        <f>IF(A271="", "", IF(IFERROR(VLOOKUP(A271, 'Base 3F'!$B:$J, 9, FALSE),"")="", "SIN RUBRO", VLOOKUP(A271, 'Base 3F'!$B:$J, 9, FALSE)))</f>
        <v>Plástica</v>
      </c>
      <c r="D271" s="58" t="s">
        <v>425</v>
      </c>
      <c r="E271" s="10" t="s">
        <v>109</v>
      </c>
      <c r="F271" s="46" t="s">
        <v>115</v>
      </c>
    </row>
    <row r="272">
      <c r="A272" s="50" t="s">
        <v>2346</v>
      </c>
      <c r="B272" s="54">
        <f>IF(A272="", "", IF(IFERROR(VLOOKUP(A272, 'Base 3F'!$B:$C, 2, FALSE),"")="", "SIN CUIT", VLOOKUP(A272, 'Base 3F'!$B:$C, 2, FALSE)))</f>
        <v>30623356856</v>
      </c>
      <c r="C272" s="42" t="str">
        <f>IF(A272="", "", IF(IFERROR(VLOOKUP(A272, 'Base 3F'!$B:$J, 9, FALSE),"")="", "SIN RUBRO", VLOOKUP(A272, 'Base 3F'!$B:$J, 9, FALSE)))</f>
        <v>Servicios</v>
      </c>
      <c r="D272" s="142" t="s">
        <v>428</v>
      </c>
      <c r="E272" s="10" t="s">
        <v>109</v>
      </c>
      <c r="F272" s="46" t="s">
        <v>115</v>
      </c>
    </row>
    <row r="273">
      <c r="A273" s="50" t="s">
        <v>2349</v>
      </c>
      <c r="B273" s="54">
        <f>IF(A273="", "", IF(IFERROR(VLOOKUP(A273, 'Base 3F'!$B:$C, 2, FALSE),"")="", "SIN CUIT", VLOOKUP(A273, 'Base 3F'!$B:$C, 2, FALSE)))</f>
        <v>33610921189</v>
      </c>
      <c r="C273" s="42" t="str">
        <f>IF(A273="", "", IF(IFERROR(VLOOKUP(A273, 'Base 3F'!$B:$J, 9, FALSE),"")="", "SIN RUBRO", VLOOKUP(A273, 'Base 3F'!$B:$J, 9, FALSE)))</f>
        <v>Metalúrgica</v>
      </c>
      <c r="D273" s="142" t="s">
        <v>430</v>
      </c>
      <c r="E273" s="10" t="s">
        <v>109</v>
      </c>
      <c r="F273" s="46" t="s">
        <v>115</v>
      </c>
    </row>
    <row r="274">
      <c r="A274" s="50" t="s">
        <v>2352</v>
      </c>
      <c r="B274" s="54">
        <f>IF(A274="", "", IF(IFERROR(VLOOKUP(A274, 'Base 3F'!$B:$C, 2, FALSE),"")="", "SIN CUIT", VLOOKUP(A274, 'Base 3F'!$B:$C, 2, FALSE)))</f>
        <v>20215484794</v>
      </c>
      <c r="C274" s="42" t="str">
        <f>IF(A274="", "", IF(IFERROR(VLOOKUP(A274, 'Base 3F'!$B:$J, 9, FALSE),"")="", "SIN RUBRO", VLOOKUP(A274, 'Base 3F'!$B:$J, 9, FALSE)))</f>
        <v>Química</v>
      </c>
      <c r="D274" s="142" t="s">
        <v>431</v>
      </c>
      <c r="E274" s="10" t="s">
        <v>109</v>
      </c>
      <c r="F274" s="46" t="s">
        <v>115</v>
      </c>
    </row>
    <row r="275">
      <c r="A275" s="212" t="s">
        <v>2357</v>
      </c>
      <c r="B275" s="54">
        <f>IF(A275="", "", IF(IFERROR(VLOOKUP(A275, 'Base 3F'!$B:$C, 2, FALSE),"")="", "SIN CUIT", VLOOKUP(A275, 'Base 3F'!$B:$C, 2, FALSE)))</f>
        <v>30716120372</v>
      </c>
      <c r="C275" s="42" t="str">
        <f>IF(A275="", "", IF(IFERROR(VLOOKUP(A275, 'Base 3F'!$B:$J, 9, FALSE),"")="", "SIN RUBRO", VLOOKUP(A275, 'Base 3F'!$B:$J, 9, FALSE)))</f>
        <v>Alimenticia</v>
      </c>
      <c r="D275" s="213" t="s">
        <v>1148</v>
      </c>
      <c r="E275" s="10" t="s">
        <v>109</v>
      </c>
      <c r="F275" s="46" t="s">
        <v>1625</v>
      </c>
    </row>
    <row r="276">
      <c r="A276" s="50" t="s">
        <v>2361</v>
      </c>
      <c r="B276" s="54">
        <f>IF(A276="", "", IF(IFERROR(VLOOKUP(A276, 'Base 3F'!$B:$C, 2, FALSE),"")="", "SIN CUIT", VLOOKUP(A276, 'Base 3F'!$B:$C, 2, FALSE)))</f>
        <v>30709585890</v>
      </c>
      <c r="C276" s="42" t="str">
        <f>IF(A276="", "", IF(IFERROR(VLOOKUP(A276, 'Base 3F'!$B:$J, 9, FALSE),"")="", "SIN RUBRO", VLOOKUP(A276, 'Base 3F'!$B:$J, 9, FALSE)))</f>
        <v>Madera</v>
      </c>
      <c r="D276" s="142" t="s">
        <v>432</v>
      </c>
      <c r="E276" s="10" t="s">
        <v>109</v>
      </c>
      <c r="F276" s="46" t="s">
        <v>115</v>
      </c>
    </row>
    <row r="277">
      <c r="A277" s="50" t="s">
        <v>2364</v>
      </c>
      <c r="B277" s="54">
        <f>IF(A277="", "", IF(IFERROR(VLOOKUP(A277, 'Base 3F'!$B:$C, 2, FALSE),"")="", "SIN CUIT", VLOOKUP(A277, 'Base 3F'!$B:$C, 2, FALSE)))</f>
        <v>30689670624</v>
      </c>
      <c r="C277" s="42" t="str">
        <f>IF(A277="", "", IF(IFERROR(VLOOKUP(A277, 'Base 3F'!$B:$J, 9, FALSE),"")="", "SIN RUBRO", VLOOKUP(A277, 'Base 3F'!$B:$J, 9, FALSE)))</f>
        <v>Papel</v>
      </c>
      <c r="D277" s="58" t="s">
        <v>434</v>
      </c>
      <c r="E277" s="10" t="s">
        <v>109</v>
      </c>
      <c r="F277" s="46" t="s">
        <v>115</v>
      </c>
    </row>
    <row r="278">
      <c r="A278" s="50" t="s">
        <v>2372</v>
      </c>
      <c r="B278" s="54">
        <f>IF(A278="", "", IF(IFERROR(VLOOKUP(A278, 'Base 3F'!$B:$C, 2, FALSE),"")="", "SIN CUIT", VLOOKUP(A278, 'Base 3F'!$B:$C, 2, FALSE)))</f>
        <v>30631963516</v>
      </c>
      <c r="C278" s="42" t="str">
        <f>IF(A278="", "", IF(IFERROR(VLOOKUP(A278, 'Base 3F'!$B:$J, 9, FALSE),"")="", "SIN RUBRO", VLOOKUP(A278, 'Base 3F'!$B:$J, 9, FALSE)))</f>
        <v>Metalúrgica</v>
      </c>
      <c r="D278" s="58" t="s">
        <v>435</v>
      </c>
      <c r="E278" s="10" t="s">
        <v>109</v>
      </c>
      <c r="F278" s="46" t="s">
        <v>115</v>
      </c>
    </row>
    <row r="279">
      <c r="A279" s="50" t="s">
        <v>2374</v>
      </c>
      <c r="B279" s="54">
        <f>IF(A279="", "", IF(IFERROR(VLOOKUP(A279, 'Base 3F'!$B:$C, 2, FALSE),"")="", "SIN CUIT", VLOOKUP(A279, 'Base 3F'!$B:$C, 2, FALSE)))</f>
        <v>30596296633</v>
      </c>
      <c r="C279" s="42" t="str">
        <f>IF(A279="", "", IF(IFERROR(VLOOKUP(A279, 'Base 3F'!$B:$J, 9, FALSE),"")="", "SIN RUBRO", VLOOKUP(A279, 'Base 3F'!$B:$J, 9, FALSE)))</f>
        <v>Metalúrgica</v>
      </c>
      <c r="D279" s="58" t="s">
        <v>436</v>
      </c>
      <c r="E279" s="10" t="s">
        <v>109</v>
      </c>
      <c r="F279" s="46" t="s">
        <v>115</v>
      </c>
    </row>
    <row r="280">
      <c r="A280" s="50" t="s">
        <v>2380</v>
      </c>
      <c r="B280" s="54">
        <f>IF(A280="", "", IF(IFERROR(VLOOKUP(A280, 'Base 3F'!$B:$C, 2, FALSE),"")="", "SIN CUIT", VLOOKUP(A280, 'Base 3F'!$B:$C, 2, FALSE)))</f>
        <v>30709089583</v>
      </c>
      <c r="C280" s="42" t="str">
        <f>IF(A280="", "", IF(IFERROR(VLOOKUP(A280, 'Base 3F'!$B:$J, 9, FALSE),"")="", "SIN RUBRO", VLOOKUP(A280, 'Base 3F'!$B:$J, 9, FALSE)))</f>
        <v>Metalúrgica</v>
      </c>
      <c r="D280" s="58" t="s">
        <v>437</v>
      </c>
      <c r="E280" s="10" t="s">
        <v>109</v>
      </c>
      <c r="F280" s="46" t="s">
        <v>115</v>
      </c>
    </row>
    <row r="281">
      <c r="A281" s="50" t="s">
        <v>2384</v>
      </c>
      <c r="B281" s="54">
        <f>IF(A281="", "", IF(IFERROR(VLOOKUP(A281, 'Base 3F'!$B:$C, 2, FALSE),"")="", "SIN CUIT", VLOOKUP(A281, 'Base 3F'!$B:$C, 2, FALSE)))</f>
        <v>30707522557</v>
      </c>
      <c r="C281" s="42" t="str">
        <f>IF(A281="", "", IF(IFERROR(VLOOKUP(A281, 'Base 3F'!$B:$J, 9, FALSE),"")="", "SIN RUBRO", VLOOKUP(A281, 'Base 3F'!$B:$J, 9, FALSE)))</f>
        <v>Textil</v>
      </c>
      <c r="D281" s="58" t="s">
        <v>440</v>
      </c>
      <c r="E281" s="10" t="s">
        <v>109</v>
      </c>
      <c r="F281" s="46" t="s">
        <v>115</v>
      </c>
    </row>
    <row r="282">
      <c r="A282" s="50" t="s">
        <v>2389</v>
      </c>
      <c r="B282" s="54">
        <f>IF(A282="", "", IF(IFERROR(VLOOKUP(A282, 'Base 3F'!$B:$C, 2, FALSE),"")="", "SIN CUIT", VLOOKUP(A282, 'Base 3F'!$B:$C, 2, FALSE)))</f>
        <v>20169292850</v>
      </c>
      <c r="C282" s="42" t="str">
        <f>IF(A282="", "", IF(IFERROR(VLOOKUP(A282, 'Base 3F'!$B:$J, 9, FALSE),"")="", "SIN RUBRO", VLOOKUP(A282, 'Base 3F'!$B:$J, 9, FALSE)))</f>
        <v>Metalúrgica</v>
      </c>
      <c r="D282" s="58" t="s">
        <v>441</v>
      </c>
      <c r="E282" s="10" t="s">
        <v>2392</v>
      </c>
      <c r="F282" s="46" t="s">
        <v>115</v>
      </c>
    </row>
    <row r="283">
      <c r="A283" s="50" t="s">
        <v>2393</v>
      </c>
      <c r="B283" s="54">
        <f>IF(A283="", "", IF(IFERROR(VLOOKUP(A283, 'Base 3F'!$B:$C, 2, FALSE),"")="", "SIN CUIT", VLOOKUP(A283, 'Base 3F'!$B:$C, 2, FALSE)))</f>
        <v>30682593101</v>
      </c>
      <c r="C283" s="42" t="str">
        <f>IF(A283="", "", IF(IFERROR(VLOOKUP(A283, 'Base 3F'!$B:$J, 9, FALSE),"")="", "SIN RUBRO", VLOOKUP(A283, 'Base 3F'!$B:$J, 9, FALSE)))</f>
        <v>Química</v>
      </c>
      <c r="D283" s="58" t="s">
        <v>443</v>
      </c>
      <c r="E283" s="10" t="s">
        <v>2392</v>
      </c>
      <c r="F283" s="46" t="s">
        <v>115</v>
      </c>
    </row>
    <row r="284">
      <c r="A284" s="50" t="s">
        <v>2398</v>
      </c>
      <c r="B284" s="54">
        <f>IF(A284="", "", IF(IFERROR(VLOOKUP(A284, 'Base 3F'!$B:$C, 2, FALSE),"")="", "SIN CUIT", VLOOKUP(A284, 'Base 3F'!$B:$C, 2, FALSE)))</f>
        <v>33504596309</v>
      </c>
      <c r="C284" s="42" t="str">
        <f>IF(A284="", "", IF(IFERROR(VLOOKUP(A284, 'Base 3F'!$B:$J, 9, FALSE),"")="", "SIN RUBRO", VLOOKUP(A284, 'Base 3F'!$B:$J, 9, FALSE)))</f>
        <v>Metalúrgica</v>
      </c>
      <c r="D284" s="58" t="s">
        <v>446</v>
      </c>
      <c r="E284" s="10" t="s">
        <v>2392</v>
      </c>
      <c r="F284" s="46" t="s">
        <v>115</v>
      </c>
    </row>
    <row r="285">
      <c r="A285" s="50" t="s">
        <v>2411</v>
      </c>
      <c r="B285" s="54">
        <f>IF(A285="", "", IF(IFERROR(VLOOKUP(A285, 'Base 3F'!$B:$C, 2, FALSE),"")="", "SIN CUIT", VLOOKUP(A285, 'Base 3F'!$B:$C, 2, FALSE)))</f>
        <v>20251287881</v>
      </c>
      <c r="C285" s="42" t="str">
        <f>IF(A285="", "", IF(IFERROR(VLOOKUP(A285, 'Base 3F'!$B:$J, 9, FALSE),"")="", "SIN RUBRO", VLOOKUP(A285, 'Base 3F'!$B:$J, 9, FALSE)))</f>
        <v>Metalúrgica</v>
      </c>
      <c r="D285" s="58" t="s">
        <v>447</v>
      </c>
      <c r="E285" s="10" t="s">
        <v>2392</v>
      </c>
      <c r="F285" s="46" t="s">
        <v>115</v>
      </c>
    </row>
    <row r="286">
      <c r="A286" s="50" t="s">
        <v>2420</v>
      </c>
      <c r="B286" s="54">
        <f>IF(A286="", "", IF(IFERROR(VLOOKUP(A286, 'Base 3F'!$B:$C, 2, FALSE),"")="", "SIN CUIT", VLOOKUP(A286, 'Base 3F'!$B:$C, 2, FALSE)))</f>
        <v>30557662320</v>
      </c>
      <c r="C286" s="42" t="str">
        <f>IF(A286="", "", IF(IFERROR(VLOOKUP(A286, 'Base 3F'!$B:$J, 9, FALSE),"")="", "SIN RUBRO", VLOOKUP(A286, 'Base 3F'!$B:$J, 9, FALSE)))</f>
        <v>Metalúrgica</v>
      </c>
      <c r="D286" s="58" t="s">
        <v>449</v>
      </c>
      <c r="E286" s="10" t="s">
        <v>2392</v>
      </c>
      <c r="F286" s="46" t="s">
        <v>115</v>
      </c>
    </row>
    <row r="287">
      <c r="A287" s="50" t="s">
        <v>2430</v>
      </c>
      <c r="B287" s="54">
        <f>IF(A287="", "", IF(IFERROR(VLOOKUP(A287, 'Base 3F'!$B:$C, 2, FALSE),"")="", "SIN CUIT", VLOOKUP(A287, 'Base 3F'!$B:$C, 2, FALSE)))</f>
        <v>30711163340</v>
      </c>
      <c r="C287" s="42" t="str">
        <f>IF(A287="", "", IF(IFERROR(VLOOKUP(A287, 'Base 3F'!$B:$J, 9, FALSE),"")="", "SIN RUBRO", VLOOKUP(A287, 'Base 3F'!$B:$J, 9, FALSE)))</f>
        <v>Metalúrgica</v>
      </c>
      <c r="D287" s="58" t="s">
        <v>452</v>
      </c>
      <c r="E287" s="10" t="s">
        <v>2392</v>
      </c>
      <c r="F287" s="46" t="s">
        <v>115</v>
      </c>
    </row>
    <row r="288">
      <c r="A288" s="50" t="s">
        <v>2435</v>
      </c>
      <c r="B288" s="54">
        <f>IF(A288="", "", IF(IFERROR(VLOOKUP(A288, 'Base 3F'!$B:$C, 2, FALSE),"")="", "SIN CUIT", VLOOKUP(A288, 'Base 3F'!$B:$C, 2, FALSE)))</f>
        <v>30599132453</v>
      </c>
      <c r="C288" s="42" t="str">
        <f>IF(A288="", "", IF(IFERROR(VLOOKUP(A288, 'Base 3F'!$B:$J, 9, FALSE),"")="", "SIN RUBRO", VLOOKUP(A288, 'Base 3F'!$B:$J, 9, FALSE)))</f>
        <v>Metalúrgica</v>
      </c>
      <c r="D288" s="58" t="s">
        <v>454</v>
      </c>
      <c r="E288" s="10" t="s">
        <v>2392</v>
      </c>
      <c r="F288" s="46" t="s">
        <v>115</v>
      </c>
    </row>
    <row r="289">
      <c r="A289" s="50" t="s">
        <v>2441</v>
      </c>
      <c r="B289" s="54">
        <f>IF(A289="", "", IF(IFERROR(VLOOKUP(A289, 'Base 3F'!$B:$C, 2, FALSE),"")="", "SIN CUIT", VLOOKUP(A289, 'Base 3F'!$B:$C, 2, FALSE)))</f>
        <v>30714941263</v>
      </c>
      <c r="C289" s="42" t="str">
        <f>IF(A289="", "", IF(IFERROR(VLOOKUP(A289, 'Base 3F'!$B:$J, 9, FALSE),"")="", "SIN RUBRO", VLOOKUP(A289, 'Base 3F'!$B:$J, 9, FALSE)))</f>
        <v>Servicios</v>
      </c>
      <c r="D289" s="58" t="s">
        <v>455</v>
      </c>
      <c r="E289" s="10" t="s">
        <v>2392</v>
      </c>
      <c r="F289" s="46" t="s">
        <v>115</v>
      </c>
    </row>
    <row r="290">
      <c r="A290" s="50" t="s">
        <v>2447</v>
      </c>
      <c r="B290" s="54">
        <f>IF(A290="", "", IF(IFERROR(VLOOKUP(A290, 'Base 3F'!$B:$C, 2, FALSE),"")="", "SIN CUIT", VLOOKUP(A290, 'Base 3F'!$B:$C, 2, FALSE)))</f>
        <v>23141630709</v>
      </c>
      <c r="C290" s="42" t="str">
        <f>IF(A290="", "", IF(IFERROR(VLOOKUP(A290, 'Base 3F'!$B:$J, 9, FALSE),"")="", "SIN RUBRO", VLOOKUP(A290, 'Base 3F'!$B:$J, 9, FALSE)))</f>
        <v>Industria</v>
      </c>
      <c r="D290" s="58" t="s">
        <v>456</v>
      </c>
      <c r="E290" s="10" t="s">
        <v>2392</v>
      </c>
      <c r="F290" s="46" t="s">
        <v>115</v>
      </c>
    </row>
    <row r="291">
      <c r="A291" s="50" t="s">
        <v>2449</v>
      </c>
      <c r="B291" s="54">
        <f>IF(A291="", "", IF(IFERROR(VLOOKUP(A291, 'Base 3F'!$B:$C, 2, FALSE),"")="", "SIN CUIT", VLOOKUP(A291, 'Base 3F'!$B:$C, 2, FALSE)))</f>
        <v>30648888283</v>
      </c>
      <c r="C291" s="42" t="str">
        <f>IF(A291="", "", IF(IFERROR(VLOOKUP(A291, 'Base 3F'!$B:$J, 9, FALSE),"")="", "SIN RUBRO", VLOOKUP(A291, 'Base 3F'!$B:$J, 9, FALSE)))</f>
        <v>Química</v>
      </c>
      <c r="D291" s="58" t="s">
        <v>458</v>
      </c>
      <c r="E291" s="10" t="s">
        <v>2392</v>
      </c>
      <c r="F291" s="46" t="s">
        <v>115</v>
      </c>
    </row>
    <row r="292">
      <c r="A292" s="50" t="s">
        <v>2452</v>
      </c>
      <c r="B292" s="54">
        <f>IF(A292="", "", IF(IFERROR(VLOOKUP(A292, 'Base 3F'!$B:$C, 2, FALSE),"")="", "SIN CUIT", VLOOKUP(A292, 'Base 3F'!$B:$C, 2, FALSE)))</f>
        <v>33710012259</v>
      </c>
      <c r="C292" s="42" t="str">
        <f>IF(A292="", "", IF(IFERROR(VLOOKUP(A292, 'Base 3F'!$B:$J, 9, FALSE),"")="", "SIN RUBRO", VLOOKUP(A292, 'Base 3F'!$B:$J, 9, FALSE)))</f>
        <v>Metalúrgica</v>
      </c>
      <c r="D292" s="142" t="s">
        <v>459</v>
      </c>
      <c r="E292" s="10" t="s">
        <v>2392</v>
      </c>
      <c r="F292" s="46" t="s">
        <v>115</v>
      </c>
    </row>
    <row r="293">
      <c r="A293" s="50" t="s">
        <v>2458</v>
      </c>
      <c r="B293" s="54">
        <f>IF(A293="", "", IF(IFERROR(VLOOKUP(A293, 'Base 3F'!$B:$C, 2, FALSE),"")="", "SIN CUIT", VLOOKUP(A293, 'Base 3F'!$B:$C, 2, FALSE)))</f>
        <v>30500719687</v>
      </c>
      <c r="C293" s="42" t="str">
        <f>IF(A293="", "", IF(IFERROR(VLOOKUP(A293, 'Base 3F'!$B:$J, 9, FALSE),"")="", "SIN RUBRO", VLOOKUP(A293, 'Base 3F'!$B:$J, 9, FALSE)))</f>
        <v>Química</v>
      </c>
      <c r="D293" s="58" t="s">
        <v>461</v>
      </c>
      <c r="E293" s="10" t="s">
        <v>2392</v>
      </c>
      <c r="F293" s="46" t="s">
        <v>115</v>
      </c>
    </row>
    <row r="294">
      <c r="A294" s="50" t="s">
        <v>2465</v>
      </c>
      <c r="B294" s="54">
        <f>IF(A294="", "", IF(IFERROR(VLOOKUP(A294, 'Base 3F'!$B:$C, 2, FALSE),"")="", "SIN CUIT", VLOOKUP(A294, 'Base 3F'!$B:$C, 2, FALSE)))</f>
        <v>30624140148</v>
      </c>
      <c r="C294" s="42" t="str">
        <f>IF(A294="", "", IF(IFERROR(VLOOKUP(A294, 'Base 3F'!$B:$J, 9, FALSE),"")="", "SIN RUBRO", VLOOKUP(A294, 'Base 3F'!$B:$J, 9, FALSE)))</f>
        <v>Textil</v>
      </c>
      <c r="D294" s="142" t="s">
        <v>463</v>
      </c>
      <c r="E294" s="10" t="s">
        <v>2392</v>
      </c>
      <c r="F294" s="46" t="s">
        <v>115</v>
      </c>
    </row>
    <row r="295">
      <c r="A295" s="50" t="s">
        <v>2469</v>
      </c>
      <c r="B295" s="54">
        <f>IF(A295="", "", IF(IFERROR(VLOOKUP(A295, 'Base 3F'!$B:$C, 2, FALSE),"")="", "SIN CUIT", VLOOKUP(A295, 'Base 3F'!$B:$C, 2, FALSE)))</f>
        <v>30712117903</v>
      </c>
      <c r="C295" s="42" t="str">
        <f>IF(A295="", "", IF(IFERROR(VLOOKUP(A295, 'Base 3F'!$B:$J, 9, FALSE),"")="", "SIN RUBRO", VLOOKUP(A295, 'Base 3F'!$B:$J, 9, FALSE)))</f>
        <v>Textil</v>
      </c>
      <c r="D295" s="58" t="s">
        <v>464</v>
      </c>
      <c r="E295" s="10" t="s">
        <v>2392</v>
      </c>
      <c r="F295" s="46" t="s">
        <v>115</v>
      </c>
    </row>
    <row r="296">
      <c r="A296" s="50" t="s">
        <v>2475</v>
      </c>
      <c r="B296" s="54">
        <f>IF(A296="", "", IF(IFERROR(VLOOKUP(A296, 'Base 3F'!$B:$C, 2, FALSE),"")="", "SIN CUIT", VLOOKUP(A296, 'Base 3F'!$B:$C, 2, FALSE)))</f>
        <v>33501880049</v>
      </c>
      <c r="C296" s="42" t="str">
        <f>IF(A296="", "", IF(IFERROR(VLOOKUP(A296, 'Base 3F'!$B:$J, 9, FALSE),"")="", "SIN RUBRO", VLOOKUP(A296, 'Base 3F'!$B:$J, 9, FALSE)))</f>
        <v>Química</v>
      </c>
      <c r="D296" s="58" t="s">
        <v>2478</v>
      </c>
      <c r="E296" s="10" t="s">
        <v>2392</v>
      </c>
      <c r="F296" s="46" t="s">
        <v>115</v>
      </c>
    </row>
    <row r="297">
      <c r="A297" s="50" t="s">
        <v>2482</v>
      </c>
      <c r="B297" s="54">
        <f>IF(A297="", "", IF(IFERROR(VLOOKUP(A297, 'Base 3F'!$B:$C, 2, FALSE),"")="", "SIN CUIT", VLOOKUP(A297, 'Base 3F'!$B:$C, 2, FALSE)))</f>
        <v>30648203094</v>
      </c>
      <c r="C297" s="42" t="str">
        <f>IF(A297="", "", IF(IFERROR(VLOOKUP(A297, 'Base 3F'!$B:$J, 9, FALSE),"")="", "SIN RUBRO", VLOOKUP(A297, 'Base 3F'!$B:$J, 9, FALSE)))</f>
        <v>Metalúrgica</v>
      </c>
      <c r="D297" s="58" t="s">
        <v>468</v>
      </c>
      <c r="E297" s="10" t="s">
        <v>2392</v>
      </c>
      <c r="F297" s="46" t="s">
        <v>115</v>
      </c>
    </row>
    <row r="298">
      <c r="A298" s="50" t="s">
        <v>2486</v>
      </c>
      <c r="B298" s="54">
        <f>IF(A298="", "", IF(IFERROR(VLOOKUP(A298, 'Base 3F'!$B:$C, 2, FALSE),"")="", "SIN CUIT", VLOOKUP(A298, 'Base 3F'!$B:$C, 2, FALSE)))</f>
        <v>30643786172</v>
      </c>
      <c r="C298" s="42" t="str">
        <f>IF(A298="", "", IF(IFERROR(VLOOKUP(A298, 'Base 3F'!$B:$J, 9, FALSE),"")="", "SIN RUBRO", VLOOKUP(A298, 'Base 3F'!$B:$J, 9, FALSE)))</f>
        <v>Electrónica</v>
      </c>
      <c r="D298" s="58" t="s">
        <v>469</v>
      </c>
      <c r="E298" s="10" t="s">
        <v>2392</v>
      </c>
      <c r="F298" s="46" t="s">
        <v>115</v>
      </c>
    </row>
    <row r="299">
      <c r="A299" s="50" t="s">
        <v>2492</v>
      </c>
      <c r="B299" s="54">
        <f>IF(A299="", "", IF(IFERROR(VLOOKUP(A299, 'Base 3F'!$B:$C, 2, FALSE),"")="", "SIN CUIT", VLOOKUP(A299, 'Base 3F'!$B:$C, 2, FALSE)))</f>
        <v>30711889368</v>
      </c>
      <c r="C299" s="42" t="str">
        <f>IF(A299="", "", IF(IFERROR(VLOOKUP(A299, 'Base 3F'!$B:$J, 9, FALSE),"")="", "SIN RUBRO", VLOOKUP(A299, 'Base 3F'!$B:$J, 9, FALSE)))</f>
        <v>Metalúrgica</v>
      </c>
      <c r="D299" s="58" t="s">
        <v>471</v>
      </c>
      <c r="E299" s="10" t="s">
        <v>2392</v>
      </c>
      <c r="F299" s="46" t="s">
        <v>115</v>
      </c>
    </row>
    <row r="300">
      <c r="A300" s="50" t="s">
        <v>2497</v>
      </c>
      <c r="B300" s="54">
        <f>IF(A300="", "", IF(IFERROR(VLOOKUP(A300, 'Base 3F'!$B:$C, 2, FALSE),"")="", "SIN CUIT", VLOOKUP(A300, 'Base 3F'!$B:$C, 2, FALSE)))</f>
        <v>30550960830</v>
      </c>
      <c r="C300" s="42" t="str">
        <f>IF(A300="", "", IF(IFERROR(VLOOKUP(A300, 'Base 3F'!$B:$J, 9, FALSE),"")="", "SIN RUBRO", VLOOKUP(A300, 'Base 3F'!$B:$J, 9, FALSE)))</f>
        <v>Alimenticia</v>
      </c>
      <c r="D300" s="58" t="s">
        <v>472</v>
      </c>
      <c r="E300" s="10" t="s">
        <v>2392</v>
      </c>
      <c r="F300" s="46" t="s">
        <v>115</v>
      </c>
    </row>
    <row r="301">
      <c r="A301" s="50" t="s">
        <v>2506</v>
      </c>
      <c r="B301" s="54">
        <f>IF(A301="", "", IF(IFERROR(VLOOKUP(A301, 'Base 3F'!$B:$C, 2, FALSE),"")="", "SIN CUIT", VLOOKUP(A301, 'Base 3F'!$B:$C, 2, FALSE)))</f>
        <v>30707227253</v>
      </c>
      <c r="C301" s="42" t="str">
        <f>IF(A301="", "", IF(IFERROR(VLOOKUP(A301, 'Base 3F'!$B:$J, 9, FALSE),"")="", "SIN RUBRO", VLOOKUP(A301, 'Base 3F'!$B:$J, 9, FALSE)))</f>
        <v>Servicios</v>
      </c>
      <c r="D301" s="142" t="s">
        <v>473</v>
      </c>
      <c r="E301" s="10" t="s">
        <v>2392</v>
      </c>
      <c r="F301" s="46" t="s">
        <v>115</v>
      </c>
    </row>
    <row r="302">
      <c r="A302" s="68" t="s">
        <v>2515</v>
      </c>
      <c r="B302" s="54">
        <f>IF(A302="", "", IF(IFERROR(VLOOKUP(A302, 'Base 3F'!$B:$C, 2, FALSE),"")="", "SIN CUIT", VLOOKUP(A302, 'Base 3F'!$B:$C, 2, FALSE)))</f>
        <v>30522030518</v>
      </c>
      <c r="C302" s="42" t="str">
        <f>IF(A302="", "", IF(IFERROR(VLOOKUP(A302, 'Base 3F'!$B:$J, 9, FALSE),"")="", "SIN RUBRO", VLOOKUP(A302, 'Base 3F'!$B:$J, 9, FALSE)))</f>
        <v>Alimenticia</v>
      </c>
      <c r="D302" s="142" t="s">
        <v>475</v>
      </c>
      <c r="E302" s="10" t="s">
        <v>2392</v>
      </c>
      <c r="F302" s="46" t="s">
        <v>115</v>
      </c>
    </row>
    <row r="303">
      <c r="A303" s="50" t="s">
        <v>2524</v>
      </c>
      <c r="B303" s="54">
        <f>IF(A303="", "", IF(IFERROR(VLOOKUP(A303, 'Base 3F'!$B:$C, 2, FALSE),"")="", "SIN CUIT", VLOOKUP(A303, 'Base 3F'!$B:$C, 2, FALSE)))</f>
        <v>30710424493</v>
      </c>
      <c r="C303" s="42" t="str">
        <f>IF(A303="", "", IF(IFERROR(VLOOKUP(A303, 'Base 3F'!$B:$J, 9, FALSE),"")="", "SIN RUBRO", VLOOKUP(A303, 'Base 3F'!$B:$J, 9, FALSE)))</f>
        <v>Servicios</v>
      </c>
      <c r="D303" s="58" t="s">
        <v>476</v>
      </c>
      <c r="E303" s="10" t="s">
        <v>2392</v>
      </c>
      <c r="F303" s="46" t="s">
        <v>115</v>
      </c>
    </row>
    <row r="304">
      <c r="A304" s="50" t="s">
        <v>2531</v>
      </c>
      <c r="B304" s="54">
        <f>IF(A304="", "", IF(IFERROR(VLOOKUP(A304, 'Base 3F'!$B:$C, 2, FALSE),"")="", "SIN CUIT", VLOOKUP(A304, 'Base 3F'!$B:$C, 2, FALSE)))</f>
        <v>30709382817</v>
      </c>
      <c r="C304" s="42" t="str">
        <f>IF(A304="", "", IF(IFERROR(VLOOKUP(A304, 'Base 3F'!$B:$J, 9, FALSE),"")="", "SIN RUBRO", VLOOKUP(A304, 'Base 3F'!$B:$J, 9, FALSE)))</f>
        <v>Metalúrgica</v>
      </c>
      <c r="D304" s="58" t="s">
        <v>477</v>
      </c>
      <c r="E304" s="10" t="s">
        <v>2392</v>
      </c>
      <c r="F304" s="46" t="s">
        <v>115</v>
      </c>
    </row>
    <row r="305">
      <c r="A305" s="120" t="s">
        <v>2537</v>
      </c>
      <c r="B305" s="54">
        <f>IF(A305="", "", IF(IFERROR(VLOOKUP(A305, 'Base 3F'!$B:$C, 2, FALSE),"")="", "SIN CUIT", VLOOKUP(A305, 'Base 3F'!$B:$C, 2, FALSE)))</f>
        <v>30516326782</v>
      </c>
      <c r="C305" s="42" t="str">
        <f>IF(A305="", "", IF(IFERROR(VLOOKUP(A305, 'Base 3F'!$B:$J, 9, FALSE),"")="", "SIN RUBRO", VLOOKUP(A305, 'Base 3F'!$B:$J, 9, FALSE)))</f>
        <v>Química</v>
      </c>
      <c r="D305" s="122" t="s">
        <v>479</v>
      </c>
      <c r="E305" s="10" t="s">
        <v>2392</v>
      </c>
      <c r="F305" s="46" t="s">
        <v>115</v>
      </c>
    </row>
    <row r="306">
      <c r="A306" s="50" t="s">
        <v>2539</v>
      </c>
      <c r="B306" s="54">
        <f>IF(A306="", "", IF(IFERROR(VLOOKUP(A306, 'Base 3F'!$B:$C, 2, FALSE),"")="", "SIN CUIT", VLOOKUP(A306, 'Base 3F'!$B:$C, 2, FALSE)))</f>
        <v>30710478720</v>
      </c>
      <c r="C306" s="42" t="str">
        <f>IF(A306="", "", IF(IFERROR(VLOOKUP(A306, 'Base 3F'!$B:$J, 9, FALSE),"")="", "SIN RUBRO", VLOOKUP(A306, 'Base 3F'!$B:$J, 9, FALSE)))</f>
        <v>Metalúrgica</v>
      </c>
      <c r="D306" s="58" t="s">
        <v>480</v>
      </c>
      <c r="E306" s="10" t="s">
        <v>2392</v>
      </c>
      <c r="F306" s="46" t="s">
        <v>115</v>
      </c>
    </row>
    <row r="307">
      <c r="A307" s="50" t="s">
        <v>2548</v>
      </c>
      <c r="B307" s="54">
        <f>IF(A307="", "", IF(IFERROR(VLOOKUP(A307, 'Base 3F'!$B:$C, 2, FALSE),"")="", "SIN CUIT", VLOOKUP(A307, 'Base 3F'!$B:$C, 2, FALSE)))</f>
        <v>30713895306</v>
      </c>
      <c r="C307" s="42" t="str">
        <f>IF(A307="", "", IF(IFERROR(VLOOKUP(A307, 'Base 3F'!$B:$J, 9, FALSE),"")="", "SIN RUBRO", VLOOKUP(A307, 'Base 3F'!$B:$J, 9, FALSE)))</f>
        <v>Electrónica</v>
      </c>
      <c r="D307" s="58" t="s">
        <v>481</v>
      </c>
      <c r="E307" s="10" t="s">
        <v>2392</v>
      </c>
      <c r="F307" s="46" t="s">
        <v>115</v>
      </c>
    </row>
    <row r="308">
      <c r="A308" s="50" t="s">
        <v>2555</v>
      </c>
      <c r="B308" s="54">
        <f>IF(A308="", "", IF(IFERROR(VLOOKUP(A308, 'Base 3F'!$B:$C, 2, FALSE),"")="", "SIN CUIT", VLOOKUP(A308, 'Base 3F'!$B:$C, 2, FALSE)))</f>
        <v>30709629901</v>
      </c>
      <c r="C308" s="42" t="str">
        <f>IF(A308="", "", IF(IFERROR(VLOOKUP(A308, 'Base 3F'!$B:$J, 9, FALSE),"")="", "SIN RUBRO", VLOOKUP(A308, 'Base 3F'!$B:$J, 9, FALSE)))</f>
        <v>Metalmecánica</v>
      </c>
      <c r="D308" s="58" t="s">
        <v>482</v>
      </c>
      <c r="E308" s="10" t="s">
        <v>2392</v>
      </c>
      <c r="F308" s="46" t="s">
        <v>115</v>
      </c>
    </row>
    <row r="309">
      <c r="A309" s="50" t="s">
        <v>2562</v>
      </c>
      <c r="B309" s="54">
        <f>IF(A309="", "", IF(IFERROR(VLOOKUP(A309, 'Base 3F'!$B:$C, 2, FALSE),"")="", "SIN CUIT", VLOOKUP(A309, 'Base 3F'!$B:$C, 2, FALSE)))</f>
        <v>30663025739</v>
      </c>
      <c r="C309" s="42" t="str">
        <f>IF(A309="", "", IF(IFERROR(VLOOKUP(A309, 'Base 3F'!$B:$J, 9, FALSE),"")="", "SIN RUBRO", VLOOKUP(A309, 'Base 3F'!$B:$J, 9, FALSE)))</f>
        <v>Metalúrgica</v>
      </c>
      <c r="D309" s="58" t="s">
        <v>483</v>
      </c>
      <c r="E309" s="10" t="s">
        <v>2392</v>
      </c>
      <c r="F309" s="46" t="s">
        <v>115</v>
      </c>
    </row>
    <row r="310">
      <c r="A310" s="50" t="s">
        <v>2567</v>
      </c>
      <c r="B310" s="54">
        <f>IF(A310="", "", IF(IFERROR(VLOOKUP(A310, 'Base 3F'!$B:$C, 2, FALSE),"")="", "SIN CUIT", VLOOKUP(A310, 'Base 3F'!$B:$C, 2, FALSE)))</f>
        <v>30561990715</v>
      </c>
      <c r="C310" s="42" t="str">
        <f>IF(A310="", "", IF(IFERROR(VLOOKUP(A310, 'Base 3F'!$B:$J, 9, FALSE),"")="", "SIN RUBRO", VLOOKUP(A310, 'Base 3F'!$B:$J, 9, FALSE)))</f>
        <v>Química</v>
      </c>
      <c r="D310" s="58" t="s">
        <v>485</v>
      </c>
      <c r="E310" s="10" t="s">
        <v>2392</v>
      </c>
      <c r="F310" s="46" t="s">
        <v>115</v>
      </c>
    </row>
    <row r="311">
      <c r="A311" s="50" t="s">
        <v>2572</v>
      </c>
      <c r="B311" s="54">
        <f>IF(A311="", "", IF(IFERROR(VLOOKUP(A311, 'Base 3F'!$B:$C, 2, FALSE),"")="", "SIN CUIT", VLOOKUP(A311, 'Base 3F'!$B:$C, 2, FALSE)))</f>
        <v>30549477263</v>
      </c>
      <c r="C311" s="42" t="str">
        <f>IF(A311="", "", IF(IFERROR(VLOOKUP(A311, 'Base 3F'!$B:$J, 9, FALSE),"")="", "SIN RUBRO", VLOOKUP(A311, 'Base 3F'!$B:$J, 9, FALSE)))</f>
        <v>Electrónica</v>
      </c>
      <c r="D311" s="58" t="s">
        <v>486</v>
      </c>
      <c r="E311" s="10" t="s">
        <v>2392</v>
      </c>
      <c r="F311" s="46" t="s">
        <v>115</v>
      </c>
    </row>
    <row r="312">
      <c r="A312" s="50" t="s">
        <v>2575</v>
      </c>
      <c r="B312" s="54">
        <f>IF(A312="", "", IF(IFERROR(VLOOKUP(A312, 'Base 3F'!$B:$C, 2, FALSE),"")="", "SIN CUIT", VLOOKUP(A312, 'Base 3F'!$B:$C, 2, FALSE)))</f>
        <v>33714638209</v>
      </c>
      <c r="C312" s="42" t="str">
        <f>IF(A312="", "", IF(IFERROR(VLOOKUP(A312, 'Base 3F'!$B:$J, 9, FALSE),"")="", "SIN RUBRO", VLOOKUP(A312, 'Base 3F'!$B:$J, 9, FALSE)))</f>
        <v>Informática</v>
      </c>
      <c r="D312" s="234" t="s">
        <v>2584</v>
      </c>
      <c r="E312" s="10" t="s">
        <v>2392</v>
      </c>
      <c r="F312" s="46" t="s">
        <v>115</v>
      </c>
    </row>
    <row r="313">
      <c r="A313" s="50" t="s">
        <v>2586</v>
      </c>
      <c r="B313" s="54">
        <f>IF(A313="", "", IF(IFERROR(VLOOKUP(A313, 'Base 3F'!$B:$C, 2, FALSE),"")="", "SIN CUIT", VLOOKUP(A313, 'Base 3F'!$B:$C, 2, FALSE)))</f>
        <v>30551470578</v>
      </c>
      <c r="C313" s="42" t="str">
        <f>IF(A313="", "", IF(IFERROR(VLOOKUP(A313, 'Base 3F'!$B:$J, 9, FALSE),"")="", "SIN RUBRO", VLOOKUP(A313, 'Base 3F'!$B:$J, 9, FALSE)))</f>
        <v>Metalúrgica</v>
      </c>
      <c r="D313" s="142" t="s">
        <v>487</v>
      </c>
      <c r="E313" s="10" t="s">
        <v>2392</v>
      </c>
      <c r="F313" s="46" t="s">
        <v>115</v>
      </c>
    </row>
    <row r="314">
      <c r="A314" s="50" t="s">
        <v>2591</v>
      </c>
      <c r="B314" s="54">
        <f>IF(A314="", "", IF(IFERROR(VLOOKUP(A314, 'Base 3F'!$B:$C, 2, FALSE),"")="", "SIN CUIT", VLOOKUP(A314, 'Base 3F'!$B:$C, 2, FALSE)))</f>
        <v>30695261418</v>
      </c>
      <c r="C314" s="42" t="str">
        <f>IF(A314="", "", IF(IFERROR(VLOOKUP(A314, 'Base 3F'!$B:$J, 9, FALSE),"")="", "SIN RUBRO", VLOOKUP(A314, 'Base 3F'!$B:$J, 9, FALSE)))</f>
        <v>Electrónica</v>
      </c>
      <c r="D314" s="58" t="s">
        <v>488</v>
      </c>
      <c r="E314" s="10" t="s">
        <v>2392</v>
      </c>
      <c r="F314" s="46" t="s">
        <v>115</v>
      </c>
    </row>
    <row r="315">
      <c r="A315" s="50" t="s">
        <v>2597</v>
      </c>
      <c r="B315" s="54">
        <f>IF(A315="", "", IF(IFERROR(VLOOKUP(A315, 'Base 3F'!$B:$C, 2, FALSE),"")="", "SIN CUIT", VLOOKUP(A315, 'Base 3F'!$B:$C, 2, FALSE)))</f>
        <v>30708574224</v>
      </c>
      <c r="C315" s="42" t="str">
        <f>IF(A315="", "", IF(IFERROR(VLOOKUP(A315, 'Base 3F'!$B:$J, 9, FALSE),"")="", "SIN RUBRO", VLOOKUP(A315, 'Base 3F'!$B:$J, 9, FALSE)))</f>
        <v>Madera</v>
      </c>
      <c r="D315" s="58" t="s">
        <v>489</v>
      </c>
      <c r="E315" s="10" t="s">
        <v>2392</v>
      </c>
      <c r="F315" s="46" t="s">
        <v>115</v>
      </c>
    </row>
    <row r="316">
      <c r="A316" s="50" t="s">
        <v>2606</v>
      </c>
      <c r="B316" s="54">
        <f>IF(A316="", "", IF(IFERROR(VLOOKUP(A316, 'Base 3F'!$B:$C, 2, FALSE),"")="", "SIN CUIT", VLOOKUP(A316, 'Base 3F'!$B:$C, 2, FALSE)))</f>
        <v>30710460759</v>
      </c>
      <c r="C316" s="42" t="str">
        <f>IF(A316="", "", IF(IFERROR(VLOOKUP(A316, 'Base 3F'!$B:$J, 9, FALSE),"")="", "SIN RUBRO", VLOOKUP(A316, 'Base 3F'!$B:$J, 9, FALSE)))</f>
        <v>Metalúrgica</v>
      </c>
      <c r="D316" s="58" t="s">
        <v>2609</v>
      </c>
      <c r="E316" s="10" t="s">
        <v>2392</v>
      </c>
      <c r="F316" s="46" t="s">
        <v>115</v>
      </c>
    </row>
    <row r="317">
      <c r="A317" s="50" t="s">
        <v>2611</v>
      </c>
      <c r="B317" s="54">
        <f>IF(A317="", "", IF(IFERROR(VLOOKUP(A317, 'Base 3F'!$B:$C, 2, FALSE),"")="", "SIN CUIT", VLOOKUP(A317, 'Base 3F'!$B:$C, 2, FALSE)))</f>
        <v>30708875992</v>
      </c>
      <c r="C317" s="42" t="str">
        <f>IF(A317="", "", IF(IFERROR(VLOOKUP(A317, 'Base 3F'!$B:$J, 9, FALSE),"")="", "SIN RUBRO", VLOOKUP(A317, 'Base 3F'!$B:$J, 9, FALSE)))</f>
        <v>Metalúrgica</v>
      </c>
      <c r="D317" s="58" t="s">
        <v>491</v>
      </c>
      <c r="E317" s="10" t="s">
        <v>2392</v>
      </c>
      <c r="F317" s="46" t="s">
        <v>115</v>
      </c>
    </row>
    <row r="318">
      <c r="A318" s="50" t="s">
        <v>2619</v>
      </c>
      <c r="B318" s="54">
        <f>IF(A318="", "", IF(IFERROR(VLOOKUP(A318, 'Base 3F'!$B:$C, 2, FALSE),"")="", "SIN CUIT", VLOOKUP(A318, 'Base 3F'!$B:$C, 2, FALSE)))</f>
        <v>30711999929</v>
      </c>
      <c r="C318" s="42" t="str">
        <f>IF(A318="", "", IF(IFERROR(VLOOKUP(A318, 'Base 3F'!$B:$J, 9, FALSE),"")="", "SIN RUBRO", VLOOKUP(A318, 'Base 3F'!$B:$J, 9, FALSE)))</f>
        <v>Metalmecánica</v>
      </c>
      <c r="D318" s="142" t="s">
        <v>492</v>
      </c>
      <c r="E318" s="10" t="s">
        <v>2392</v>
      </c>
      <c r="F318" s="46" t="s">
        <v>115</v>
      </c>
    </row>
    <row r="319">
      <c r="A319" s="50" t="s">
        <v>2619</v>
      </c>
      <c r="B319" s="54">
        <f>IF(A319="", "", IF(IFERROR(VLOOKUP(A319, 'Base 3F'!$B:$C, 2, FALSE),"")="", "SIN CUIT", VLOOKUP(A319, 'Base 3F'!$B:$C, 2, FALSE)))</f>
        <v>30711999929</v>
      </c>
      <c r="C319" s="42" t="str">
        <f>IF(A319="", "", IF(IFERROR(VLOOKUP(A319, 'Base 3F'!$B:$J, 9, FALSE),"")="", "SIN RUBRO", VLOOKUP(A319, 'Base 3F'!$B:$J, 9, FALSE)))</f>
        <v>Metalmecánica</v>
      </c>
      <c r="D319" s="142" t="s">
        <v>493</v>
      </c>
      <c r="E319" s="10" t="s">
        <v>2392</v>
      </c>
      <c r="F319" s="46" t="s">
        <v>115</v>
      </c>
    </row>
    <row r="320">
      <c r="A320" s="50" t="s">
        <v>2628</v>
      </c>
      <c r="B320" s="54">
        <f>IF(A320="", "", IF(IFERROR(VLOOKUP(A320, 'Base 3F'!$B:$C, 2, FALSE),"")="", "SIN CUIT", VLOOKUP(A320, 'Base 3F'!$B:$C, 2, FALSE)))</f>
        <v>33685032339</v>
      </c>
      <c r="C320" s="42" t="str">
        <f>IF(A320="", "", IF(IFERROR(VLOOKUP(A320, 'Base 3F'!$B:$J, 9, FALSE),"")="", "SIN RUBRO", VLOOKUP(A320, 'Base 3F'!$B:$J, 9, FALSE)))</f>
        <v>Electricidad</v>
      </c>
      <c r="D320" s="58" t="s">
        <v>495</v>
      </c>
      <c r="E320" s="10" t="s">
        <v>2392</v>
      </c>
      <c r="F320" s="46" t="s">
        <v>115</v>
      </c>
    </row>
    <row r="321">
      <c r="A321" s="50" t="s">
        <v>2633</v>
      </c>
      <c r="B321" s="54">
        <f>IF(A321="", "", IF(IFERROR(VLOOKUP(A321, 'Base 3F'!$B:$C, 2, FALSE),"")="", "SIN CUIT", VLOOKUP(A321, 'Base 3F'!$B:$C, 2, FALSE)))</f>
        <v>30644425831</v>
      </c>
      <c r="C321" s="42" t="str">
        <f>IF(A321="", "", IF(IFERROR(VLOOKUP(A321, 'Base 3F'!$B:$J, 9, FALSE),"")="", "SIN RUBRO", VLOOKUP(A321, 'Base 3F'!$B:$J, 9, FALSE)))</f>
        <v>Química</v>
      </c>
      <c r="D321" s="58" t="s">
        <v>496</v>
      </c>
      <c r="E321" s="10" t="s">
        <v>2392</v>
      </c>
      <c r="F321" s="46" t="s">
        <v>115</v>
      </c>
    </row>
    <row r="322">
      <c r="A322" s="50" t="s">
        <v>2640</v>
      </c>
      <c r="B322" s="54">
        <f>IF(A322="", "", IF(IFERROR(VLOOKUP(A322, 'Base 3F'!$B:$C, 2, FALSE),"")="", "SIN CUIT", VLOOKUP(A322, 'Base 3F'!$B:$C, 2, FALSE)))</f>
        <v>30714532215</v>
      </c>
      <c r="C322" s="42" t="str">
        <f>IF(A322="", "", IF(IFERROR(VLOOKUP(A322, 'Base 3F'!$B:$J, 9, FALSE),"")="", "SIN RUBRO", VLOOKUP(A322, 'Base 3F'!$B:$J, 9, FALSE)))</f>
        <v>Plástica</v>
      </c>
      <c r="D322" s="58" t="s">
        <v>497</v>
      </c>
      <c r="E322" s="10" t="s">
        <v>2392</v>
      </c>
      <c r="F322" s="46" t="s">
        <v>115</v>
      </c>
    </row>
    <row r="323">
      <c r="A323" s="50" t="s">
        <v>2647</v>
      </c>
      <c r="B323" s="54">
        <f>IF(A323="", "", IF(IFERROR(VLOOKUP(A323, 'Base 3F'!$B:$C, 2, FALSE),"")="", "SIN CUIT", VLOOKUP(A323, 'Base 3F'!$B:$C, 2, FALSE)))</f>
        <v>30710151950</v>
      </c>
      <c r="C323" s="42" t="str">
        <f>IF(A323="", "", IF(IFERROR(VLOOKUP(A323, 'Base 3F'!$B:$J, 9, FALSE),"")="", "SIN RUBRO", VLOOKUP(A323, 'Base 3F'!$B:$J, 9, FALSE)))</f>
        <v>Metalúrgica</v>
      </c>
      <c r="D323" s="58" t="s">
        <v>2653</v>
      </c>
      <c r="E323" s="10" t="s">
        <v>2392</v>
      </c>
      <c r="F323" s="46" t="s">
        <v>115</v>
      </c>
    </row>
    <row r="324">
      <c r="A324" s="50" t="s">
        <v>2654</v>
      </c>
      <c r="B324" s="54">
        <f>IF(A324="", "", IF(IFERROR(VLOOKUP(A324, 'Base 3F'!$B:$C, 2, FALSE),"")="", "SIN CUIT", VLOOKUP(A324, 'Base 3F'!$B:$C, 2, FALSE)))</f>
        <v>30505488004</v>
      </c>
      <c r="C324" s="42" t="str">
        <f>IF(A324="", "", IF(IFERROR(VLOOKUP(A324, 'Base 3F'!$B:$J, 9, FALSE),"")="", "SIN RUBRO", VLOOKUP(A324, 'Base 3F'!$B:$J, 9, FALSE)))</f>
        <v>Plástica</v>
      </c>
      <c r="D324" s="236" t="s">
        <v>501</v>
      </c>
      <c r="E324" s="10" t="s">
        <v>2392</v>
      </c>
      <c r="F324" s="46" t="s">
        <v>115</v>
      </c>
    </row>
    <row r="325">
      <c r="A325" s="50" t="s">
        <v>2659</v>
      </c>
      <c r="B325" s="54">
        <f>IF(A325="", "", IF(IFERROR(VLOOKUP(A325, 'Base 3F'!$B:$C, 2, FALSE),"")="", "SIN CUIT", VLOOKUP(A325, 'Base 3F'!$B:$C, 2, FALSE)))</f>
        <v>30683018135</v>
      </c>
      <c r="C325" s="42" t="str">
        <f>IF(A325="", "", IF(IFERROR(VLOOKUP(A325, 'Base 3F'!$B:$J, 9, FALSE),"")="", "SIN RUBRO", VLOOKUP(A325, 'Base 3F'!$B:$J, 9, FALSE)))</f>
        <v>Textil</v>
      </c>
      <c r="D325" s="58" t="s">
        <v>504</v>
      </c>
      <c r="E325" s="10" t="s">
        <v>2392</v>
      </c>
      <c r="F325" s="46" t="s">
        <v>115</v>
      </c>
    </row>
    <row r="326">
      <c r="A326" s="50" t="s">
        <v>2667</v>
      </c>
      <c r="B326" s="54">
        <f>IF(A326="", "", IF(IFERROR(VLOOKUP(A326, 'Base 3F'!$B:$C, 2, FALSE),"")="", "SIN CUIT", VLOOKUP(A326, 'Base 3F'!$B:$C, 2, FALSE)))</f>
        <v>30620611979</v>
      </c>
      <c r="C326" s="42" t="str">
        <f>IF(A326="", "", IF(IFERROR(VLOOKUP(A326, 'Base 3F'!$B:$J, 9, FALSE),"")="", "SIN RUBRO", VLOOKUP(A326, 'Base 3F'!$B:$J, 9, FALSE)))</f>
        <v>Textil</v>
      </c>
      <c r="D326" s="58" t="s">
        <v>505</v>
      </c>
      <c r="E326" s="10" t="s">
        <v>2392</v>
      </c>
      <c r="F326" s="46" t="s">
        <v>115</v>
      </c>
    </row>
    <row r="327">
      <c r="A327" s="50" t="s">
        <v>2672</v>
      </c>
      <c r="B327" s="54">
        <f>IF(A327="", "", IF(IFERROR(VLOOKUP(A327, 'Base 3F'!$B:$C, 2, FALSE),"")="", "SIN CUIT", VLOOKUP(A327, 'Base 3F'!$B:$C, 2, FALSE)))</f>
        <v>30564216514</v>
      </c>
      <c r="C327" s="42" t="str">
        <f>IF(A327="", "", IF(IFERROR(VLOOKUP(A327, 'Base 3F'!$B:$J, 9, FALSE),"")="", "SIN RUBRO", VLOOKUP(A327, 'Base 3F'!$B:$J, 9, FALSE)))</f>
        <v>Textil</v>
      </c>
      <c r="D327" s="142" t="s">
        <v>506</v>
      </c>
      <c r="E327" s="10" t="s">
        <v>2392</v>
      </c>
      <c r="F327" s="46" t="s">
        <v>115</v>
      </c>
    </row>
    <row r="328">
      <c r="A328" s="50" t="s">
        <v>2679</v>
      </c>
      <c r="B328" s="54">
        <f>IF(A328="", "", IF(IFERROR(VLOOKUP(A328, 'Base 3F'!$B:$C, 2, FALSE),"")="", "SIN CUIT", VLOOKUP(A328, 'Base 3F'!$B:$C, 2, FALSE)))</f>
        <v>30711812349</v>
      </c>
      <c r="C328" s="42" t="str">
        <f>IF(A328="", "", IF(IFERROR(VLOOKUP(A328, 'Base 3F'!$B:$J, 9, FALSE),"")="", "SIN RUBRO", VLOOKUP(A328, 'Base 3F'!$B:$J, 9, FALSE)))</f>
        <v>Textil</v>
      </c>
      <c r="D328" s="58" t="s">
        <v>507</v>
      </c>
      <c r="E328" s="10" t="s">
        <v>2392</v>
      </c>
      <c r="F328" s="46" t="s">
        <v>115</v>
      </c>
    </row>
    <row r="329">
      <c r="A329" s="50" t="s">
        <v>2690</v>
      </c>
      <c r="B329" s="54">
        <f>IF(A329="", "", IF(IFERROR(VLOOKUP(A329, 'Base 3F'!$B:$C, 2, FALSE),"")="", "SIN CUIT", VLOOKUP(A329, 'Base 3F'!$B:$C, 2, FALSE)))</f>
        <v>30708531215</v>
      </c>
      <c r="C329" s="42" t="str">
        <f>IF(A329="", "", IF(IFERROR(VLOOKUP(A329, 'Base 3F'!$B:$J, 9, FALSE),"")="", "SIN RUBRO", VLOOKUP(A329, 'Base 3F'!$B:$J, 9, FALSE)))</f>
        <v>Textil</v>
      </c>
      <c r="D329" s="136" t="s">
        <v>508</v>
      </c>
      <c r="E329" s="10" t="s">
        <v>2392</v>
      </c>
      <c r="F329" s="46" t="s">
        <v>115</v>
      </c>
    </row>
    <row r="330">
      <c r="A330" s="50" t="s">
        <v>2700</v>
      </c>
      <c r="B330" s="54">
        <f>IF(A330="", "", IF(IFERROR(VLOOKUP(A330, 'Base 3F'!$B:$C, 2, FALSE),"")="", "SIN CUIT", VLOOKUP(A330, 'Base 3F'!$B:$C, 2, FALSE)))</f>
        <v>30714519626</v>
      </c>
      <c r="C330" s="42" t="str">
        <f>IF(A330="", "", IF(IFERROR(VLOOKUP(A330, 'Base 3F'!$B:$J, 9, FALSE),"")="", "SIN RUBRO", VLOOKUP(A330, 'Base 3F'!$B:$J, 9, FALSE)))</f>
        <v>Textil</v>
      </c>
      <c r="D330" s="58" t="s">
        <v>513</v>
      </c>
      <c r="E330" s="10" t="s">
        <v>2392</v>
      </c>
      <c r="F330" s="46" t="s">
        <v>115</v>
      </c>
    </row>
    <row r="331">
      <c r="A331" s="50" t="s">
        <v>2708</v>
      </c>
      <c r="B331" s="54">
        <f>IF(A331="", "", IF(IFERROR(VLOOKUP(A331, 'Base 3F'!$B:$C, 2, FALSE),"")="", "SIN CUIT", VLOOKUP(A331, 'Base 3F'!$B:$C, 2, FALSE)))</f>
        <v>30715155520</v>
      </c>
      <c r="C331" s="42" t="str">
        <f>IF(A331="", "", IF(IFERROR(VLOOKUP(A331, 'Base 3F'!$B:$J, 9, FALSE),"")="", "SIN RUBRO", VLOOKUP(A331, 'Base 3F'!$B:$J, 9, FALSE)))</f>
        <v>Metalúrgica</v>
      </c>
      <c r="D331" s="58" t="s">
        <v>514</v>
      </c>
      <c r="E331" s="10" t="s">
        <v>2392</v>
      </c>
      <c r="F331" s="46" t="s">
        <v>115</v>
      </c>
    </row>
    <row r="332">
      <c r="A332" s="50" t="s">
        <v>2716</v>
      </c>
      <c r="B332" s="54">
        <f>IF(A332="", "", IF(IFERROR(VLOOKUP(A332, 'Base 3F'!$B:$C, 2, FALSE),"")="", "SIN CUIT", VLOOKUP(A332, 'Base 3F'!$B:$C, 2, FALSE)))</f>
        <v>30712001018</v>
      </c>
      <c r="C332" s="42" t="str">
        <f>IF(A332="", "", IF(IFERROR(VLOOKUP(A332, 'Base 3F'!$B:$J, 9, FALSE),"")="", "SIN RUBRO", VLOOKUP(A332, 'Base 3F'!$B:$J, 9, FALSE)))</f>
        <v>Papel</v>
      </c>
      <c r="D332" s="58" t="s">
        <v>2723</v>
      </c>
      <c r="E332" s="10" t="s">
        <v>2392</v>
      </c>
      <c r="F332" s="46" t="s">
        <v>115</v>
      </c>
    </row>
    <row r="333">
      <c r="A333" s="50" t="s">
        <v>2724</v>
      </c>
      <c r="B333" s="54">
        <f>IF(A333="", "", IF(IFERROR(VLOOKUP(A333, 'Base 3F'!$B:$C, 2, FALSE),"")="", "SIN CUIT", VLOOKUP(A333, 'Base 3F'!$B:$C, 2, FALSE)))</f>
        <v>30597797717</v>
      </c>
      <c r="C333" s="42" t="str">
        <f>IF(A333="", "", IF(IFERROR(VLOOKUP(A333, 'Base 3F'!$B:$J, 9, FALSE),"")="", "SIN RUBRO", VLOOKUP(A333, 'Base 3F'!$B:$J, 9, FALSE)))</f>
        <v>Metalúrgica</v>
      </c>
      <c r="D333" s="58" t="s">
        <v>515</v>
      </c>
      <c r="E333" s="10" t="s">
        <v>2392</v>
      </c>
      <c r="F333" s="46" t="s">
        <v>115</v>
      </c>
    </row>
    <row r="334">
      <c r="A334" s="50" t="s">
        <v>2727</v>
      </c>
      <c r="B334" s="54">
        <f>IF(A334="", "", IF(IFERROR(VLOOKUP(A334, 'Base 3F'!$B:$C, 2, FALSE),"")="", "SIN CUIT", VLOOKUP(A334, 'Base 3F'!$B:$C, 2, FALSE)))</f>
        <v>30708397896</v>
      </c>
      <c r="C334" s="42" t="str">
        <f>IF(A334="", "", IF(IFERROR(VLOOKUP(A334, 'Base 3F'!$B:$J, 9, FALSE),"")="", "SIN RUBRO", VLOOKUP(A334, 'Base 3F'!$B:$J, 9, FALSE)))</f>
        <v>Transporte</v>
      </c>
      <c r="D334" s="142" t="s">
        <v>517</v>
      </c>
      <c r="E334" s="10" t="s">
        <v>2392</v>
      </c>
      <c r="F334" s="46" t="s">
        <v>115</v>
      </c>
    </row>
    <row r="335">
      <c r="A335" s="50" t="s">
        <v>2732</v>
      </c>
      <c r="B335" s="54">
        <f>IF(A335="", "", IF(IFERROR(VLOOKUP(A335, 'Base 3F'!$B:$C, 2, FALSE),"")="", "SIN CUIT", VLOOKUP(A335, 'Base 3F'!$B:$C, 2, FALSE)))</f>
        <v>30504359197</v>
      </c>
      <c r="C335" s="42" t="str">
        <f>IF(A335="", "", IF(IFERROR(VLOOKUP(A335, 'Base 3F'!$B:$J, 9, FALSE),"")="", "SIN RUBRO", VLOOKUP(A335, 'Base 3F'!$B:$J, 9, FALSE)))</f>
        <v>Metalúrgica</v>
      </c>
      <c r="D335" s="136" t="s">
        <v>518</v>
      </c>
      <c r="E335" s="10" t="s">
        <v>2392</v>
      </c>
      <c r="F335" s="46" t="s">
        <v>115</v>
      </c>
    </row>
    <row r="336">
      <c r="A336" s="68" t="s">
        <v>2738</v>
      </c>
      <c r="B336" s="54">
        <f>IF(A336="", "", IF(IFERROR(VLOOKUP(A336, 'Base 3F'!$B:$C, 2, FALSE),"")="", "SIN CUIT", VLOOKUP(A336, 'Base 3F'!$B:$C, 2, FALSE)))</f>
        <v>30710326246</v>
      </c>
      <c r="C336" s="42" t="str">
        <f>IF(A336="", "", IF(IFERROR(VLOOKUP(A336, 'Base 3F'!$B:$J, 9, FALSE),"")="", "SIN RUBRO", VLOOKUP(A336, 'Base 3F'!$B:$J, 9, FALSE)))</f>
        <v>Alimenticia</v>
      </c>
      <c r="D336" s="142" t="s">
        <v>519</v>
      </c>
      <c r="E336" s="10" t="s">
        <v>2392</v>
      </c>
      <c r="F336" s="46" t="s">
        <v>115</v>
      </c>
    </row>
    <row r="337">
      <c r="A337" s="50" t="s">
        <v>2742</v>
      </c>
      <c r="B337" s="54">
        <f>IF(A337="", "", IF(IFERROR(VLOOKUP(A337, 'Base 3F'!$B:$C, 2, FALSE),"")="", "SIN CUIT", VLOOKUP(A337, 'Base 3F'!$B:$C, 2, FALSE)))</f>
        <v>30711917760</v>
      </c>
      <c r="C337" s="42" t="str">
        <f>IF(A337="", "", IF(IFERROR(VLOOKUP(A337, 'Base 3F'!$B:$J, 9, FALSE),"")="", "SIN RUBRO", VLOOKUP(A337, 'Base 3F'!$B:$J, 9, FALSE)))</f>
        <v>Metalúrgica</v>
      </c>
      <c r="D337" s="58" t="s">
        <v>439</v>
      </c>
      <c r="E337" s="10" t="s">
        <v>2392</v>
      </c>
      <c r="F337" s="46" t="s">
        <v>115</v>
      </c>
    </row>
    <row r="338">
      <c r="A338" s="50" t="s">
        <v>2750</v>
      </c>
      <c r="B338" s="54">
        <f>IF(A338="", "", IF(IFERROR(VLOOKUP(A338, 'Base 3F'!$B:$C, 2, FALSE),"")="", "SIN CUIT", VLOOKUP(A338, 'Base 3F'!$B:$C, 2, FALSE)))</f>
        <v>30653678963</v>
      </c>
      <c r="C338" s="42" t="str">
        <f>IF(A338="", "", IF(IFERROR(VLOOKUP(A338, 'Base 3F'!$B:$J, 9, FALSE),"")="", "SIN RUBRO", VLOOKUP(A338, 'Base 3F'!$B:$J, 9, FALSE)))</f>
        <v>Plástica</v>
      </c>
      <c r="D338" s="58" t="s">
        <v>520</v>
      </c>
      <c r="E338" s="10" t="s">
        <v>2392</v>
      </c>
      <c r="F338" s="46" t="s">
        <v>115</v>
      </c>
    </row>
    <row r="339">
      <c r="A339" s="50" t="s">
        <v>2757</v>
      </c>
      <c r="B339" s="54">
        <f>IF(A339="", "", IF(IFERROR(VLOOKUP(A339, 'Base 3F'!$B:$C, 2, FALSE),"")="", "SIN CUIT", VLOOKUP(A339, 'Base 3F'!$B:$C, 2, FALSE)))</f>
        <v>30715992627</v>
      </c>
      <c r="C339" s="42" t="str">
        <f>IF(A339="", "", IF(IFERROR(VLOOKUP(A339, 'Base 3F'!$B:$J, 9, FALSE),"")="", "SIN RUBRO", VLOOKUP(A339, 'Base 3F'!$B:$J, 9, FALSE)))</f>
        <v>Cuero</v>
      </c>
      <c r="D339" s="142" t="s">
        <v>521</v>
      </c>
      <c r="E339" s="10" t="s">
        <v>2392</v>
      </c>
      <c r="F339" s="46" t="s">
        <v>115</v>
      </c>
    </row>
    <row r="340">
      <c r="A340" s="50" t="s">
        <v>2766</v>
      </c>
      <c r="B340" s="54">
        <f>IF(A340="", "", IF(IFERROR(VLOOKUP(A340, 'Base 3F'!$B:$C, 2, FALSE),"")="", "SIN CUIT", VLOOKUP(A340, 'Base 3F'!$B:$C, 2, FALSE)))</f>
        <v>30636890339</v>
      </c>
      <c r="C340" s="42" t="str">
        <f>IF(A340="", "", IF(IFERROR(VLOOKUP(A340, 'Base 3F'!$B:$J, 9, FALSE),"")="", "SIN RUBRO", VLOOKUP(A340, 'Base 3F'!$B:$J, 9, FALSE)))</f>
        <v>Metalúrgica</v>
      </c>
      <c r="D340" s="58" t="s">
        <v>522</v>
      </c>
      <c r="E340" s="10" t="s">
        <v>2392</v>
      </c>
      <c r="F340" s="46" t="s">
        <v>115</v>
      </c>
    </row>
    <row r="341">
      <c r="A341" s="68" t="s">
        <v>2777</v>
      </c>
      <c r="B341" s="54">
        <f>IF(A341="", "", IF(IFERROR(VLOOKUP(A341, 'Base 3F'!$B:$C, 2, FALSE),"")="", "SIN CUIT", VLOOKUP(A341, 'Base 3F'!$B:$C, 2, FALSE)))</f>
        <v>30715980009</v>
      </c>
      <c r="C341" s="42" t="str">
        <f>IF(A341="", "", IF(IFERROR(VLOOKUP(A341, 'Base 3F'!$B:$J, 9, FALSE),"")="", "SIN RUBRO", VLOOKUP(A341, 'Base 3F'!$B:$J, 9, FALSE)))</f>
        <v>Servicios</v>
      </c>
      <c r="D341" s="142" t="s">
        <v>523</v>
      </c>
      <c r="E341" s="10" t="s">
        <v>2392</v>
      </c>
      <c r="F341" s="46" t="s">
        <v>115</v>
      </c>
    </row>
    <row r="342">
      <c r="A342" s="50" t="s">
        <v>2784</v>
      </c>
      <c r="B342" s="54">
        <f>IF(A342="", "", IF(IFERROR(VLOOKUP(A342, 'Base 3F'!$B:$C, 2, FALSE),"")="", "SIN CUIT", VLOOKUP(A342, 'Base 3F'!$B:$C, 2, FALSE)))</f>
        <v>30697291829</v>
      </c>
      <c r="C342" s="42" t="str">
        <f>IF(A342="", "", IF(IFERROR(VLOOKUP(A342, 'Base 3F'!$B:$J, 9, FALSE),"")="", "SIN RUBRO", VLOOKUP(A342, 'Base 3F'!$B:$J, 9, FALSE)))</f>
        <v>Metalúrgica</v>
      </c>
      <c r="D342" s="58" t="s">
        <v>524</v>
      </c>
      <c r="E342" s="10" t="s">
        <v>2392</v>
      </c>
      <c r="F342" s="46" t="s">
        <v>115</v>
      </c>
    </row>
    <row r="343">
      <c r="A343" s="50" t="s">
        <v>2796</v>
      </c>
      <c r="B343" s="54">
        <f>IF(A343="", "", IF(IFERROR(VLOOKUP(A343, 'Base 3F'!$B:$C, 2, FALSE),"")="", "SIN CUIT", VLOOKUP(A343, 'Base 3F'!$B:$C, 2, FALSE)))</f>
        <v>27264114190</v>
      </c>
      <c r="C343" s="42" t="str">
        <f>IF(A343="", "", IF(IFERROR(VLOOKUP(A343, 'Base 3F'!$B:$J, 9, FALSE),"")="", "SIN RUBRO", VLOOKUP(A343, 'Base 3F'!$B:$J, 9, FALSE)))</f>
        <v>Madera</v>
      </c>
      <c r="D343" s="142" t="s">
        <v>525</v>
      </c>
      <c r="E343" s="10" t="s">
        <v>2392</v>
      </c>
      <c r="F343" s="46" t="s">
        <v>115</v>
      </c>
    </row>
    <row r="344">
      <c r="A344" s="50" t="s">
        <v>2805</v>
      </c>
      <c r="B344" s="54">
        <f>IF(A344="", "", IF(IFERROR(VLOOKUP(A344, 'Base 3F'!$B:$C, 2, FALSE),"")="", "SIN CUIT", VLOOKUP(A344, 'Base 3F'!$B:$C, 2, FALSE)))</f>
        <v>33709027579</v>
      </c>
      <c r="C344" s="42" t="str">
        <f>IF(A344="", "", IF(IFERROR(VLOOKUP(A344, 'Base 3F'!$B:$J, 9, FALSE),"")="", "SIN RUBRO", VLOOKUP(A344, 'Base 3F'!$B:$J, 9, FALSE)))</f>
        <v>Química</v>
      </c>
      <c r="D344" s="58" t="s">
        <v>526</v>
      </c>
      <c r="E344" s="10" t="s">
        <v>2392</v>
      </c>
      <c r="F344" s="46" t="s">
        <v>115</v>
      </c>
    </row>
    <row r="345">
      <c r="A345" s="50" t="s">
        <v>2812</v>
      </c>
      <c r="B345" s="54">
        <f>IF(A345="", "", IF(IFERROR(VLOOKUP(A345, 'Base 3F'!$B:$C, 2, FALSE),"")="", "SIN CUIT", VLOOKUP(A345, 'Base 3F'!$B:$C, 2, FALSE)))</f>
        <v>30708758732</v>
      </c>
      <c r="C345" s="42" t="str">
        <f>IF(A345="", "", IF(IFERROR(VLOOKUP(A345, 'Base 3F'!$B:$J, 9, FALSE),"")="", "SIN RUBRO", VLOOKUP(A345, 'Base 3F'!$B:$J, 9, FALSE)))</f>
        <v>Metalúrgica</v>
      </c>
      <c r="D345" s="58" t="s">
        <v>528</v>
      </c>
      <c r="E345" s="10" t="s">
        <v>2392</v>
      </c>
      <c r="F345" s="46" t="s">
        <v>115</v>
      </c>
    </row>
    <row r="346">
      <c r="A346" s="50" t="s">
        <v>2817</v>
      </c>
      <c r="B346" s="54">
        <f>IF(A346="", "", IF(IFERROR(VLOOKUP(A346, 'Base 3F'!$B:$C, 2, FALSE),"")="", "SIN CUIT", VLOOKUP(A346, 'Base 3F'!$B:$C, 2, FALSE)))</f>
        <v>30707338071</v>
      </c>
      <c r="C346" s="42" t="str">
        <f>IF(A346="", "", IF(IFERROR(VLOOKUP(A346, 'Base 3F'!$B:$J, 9, FALSE),"")="", "SIN RUBRO", VLOOKUP(A346, 'Base 3F'!$B:$J, 9, FALSE)))</f>
        <v>Servicios</v>
      </c>
      <c r="D346" s="58" t="s">
        <v>530</v>
      </c>
      <c r="E346" s="10" t="s">
        <v>2392</v>
      </c>
      <c r="F346" s="46" t="s">
        <v>115</v>
      </c>
    </row>
    <row r="347">
      <c r="A347" s="50" t="s">
        <v>2829</v>
      </c>
      <c r="B347" s="54">
        <f>IF(A347="", "", IF(IFERROR(VLOOKUP(A347, 'Base 3F'!$B:$C, 2, FALSE),"")="", "SIN CUIT", VLOOKUP(A347, 'Base 3F'!$B:$C, 2, FALSE)))</f>
        <v>30710874944</v>
      </c>
      <c r="C347" s="42" t="str">
        <f>IF(A347="", "", IF(IFERROR(VLOOKUP(A347, 'Base 3F'!$B:$J, 9, FALSE),"")="", "SIN RUBRO", VLOOKUP(A347, 'Base 3F'!$B:$J, 9, FALSE)))</f>
        <v>Textil</v>
      </c>
      <c r="D347" s="241" t="s">
        <v>531</v>
      </c>
      <c r="E347" s="10" t="s">
        <v>2392</v>
      </c>
      <c r="F347" s="46" t="s">
        <v>115</v>
      </c>
    </row>
    <row r="348">
      <c r="A348" s="50" t="s">
        <v>2836</v>
      </c>
      <c r="B348" s="54">
        <f>IF(A348="", "", IF(IFERROR(VLOOKUP(A348, 'Base 3F'!$B:$C, 2, FALSE),"")="", "SIN CUIT", VLOOKUP(A348, 'Base 3F'!$B:$C, 2, FALSE)))</f>
        <v>30710526008</v>
      </c>
      <c r="C348" s="42" t="str">
        <f>IF(A348="", "", IF(IFERROR(VLOOKUP(A348, 'Base 3F'!$B:$J, 9, FALSE),"")="", "SIN RUBRO", VLOOKUP(A348, 'Base 3F'!$B:$J, 9, FALSE)))</f>
        <v>Servicios</v>
      </c>
      <c r="D348" s="241" t="s">
        <v>533</v>
      </c>
      <c r="E348" s="10" t="s">
        <v>2392</v>
      </c>
      <c r="F348" s="46" t="s">
        <v>115</v>
      </c>
    </row>
    <row r="349">
      <c r="A349" s="50" t="s">
        <v>2843</v>
      </c>
      <c r="B349" s="54">
        <f>IF(A349="", "", IF(IFERROR(VLOOKUP(A349, 'Base 3F'!$B:$C, 2, FALSE),"")="", "SIN CUIT", VLOOKUP(A349, 'Base 3F'!$B:$C, 2, FALSE)))</f>
        <v>30681489130</v>
      </c>
      <c r="C349" s="42" t="str">
        <f>IF(A349="", "", IF(IFERROR(VLOOKUP(A349, 'Base 3F'!$B:$J, 9, FALSE),"")="", "SIN RUBRO", VLOOKUP(A349, 'Base 3F'!$B:$J, 9, FALSE)))</f>
        <v>Manufactura</v>
      </c>
      <c r="D349" s="58" t="s">
        <v>534</v>
      </c>
      <c r="E349" s="10" t="s">
        <v>2392</v>
      </c>
      <c r="F349" s="46" t="s">
        <v>115</v>
      </c>
    </row>
    <row r="350">
      <c r="A350" s="50" t="s">
        <v>2848</v>
      </c>
      <c r="B350" s="54">
        <f>IF(A350="", "", IF(IFERROR(VLOOKUP(A350, 'Base 3F'!$B:$C, 2, FALSE),"")="", "SIN CUIT", VLOOKUP(A350, 'Base 3F'!$B:$C, 2, FALSE)))</f>
        <v>30710479689</v>
      </c>
      <c r="C350" s="42" t="str">
        <f>IF(A350="", "", IF(IFERROR(VLOOKUP(A350, 'Base 3F'!$B:$J, 9, FALSE),"")="", "SIN RUBRO", VLOOKUP(A350, 'Base 3F'!$B:$J, 9, FALSE)))</f>
        <v>Calzado</v>
      </c>
      <c r="D350" s="58" t="s">
        <v>535</v>
      </c>
      <c r="E350" s="10" t="s">
        <v>2392</v>
      </c>
      <c r="F350" s="46" t="s">
        <v>115</v>
      </c>
    </row>
    <row r="351">
      <c r="A351" s="50" t="s">
        <v>2855</v>
      </c>
      <c r="B351" s="54">
        <f>IF(A351="", "", IF(IFERROR(VLOOKUP(A351, 'Base 3F'!$B:$C, 2, FALSE),"")="", "SIN CUIT", VLOOKUP(A351, 'Base 3F'!$B:$C, 2, FALSE)))</f>
        <v>30710365667</v>
      </c>
      <c r="C351" s="42" t="str">
        <f>IF(A351="", "", IF(IFERROR(VLOOKUP(A351, 'Base 3F'!$B:$J, 9, FALSE),"")="", "SIN RUBRO", VLOOKUP(A351, 'Base 3F'!$B:$J, 9, FALSE)))</f>
        <v>Construcción</v>
      </c>
      <c r="D351" s="58" t="s">
        <v>536</v>
      </c>
      <c r="E351" s="10" t="s">
        <v>2392</v>
      </c>
      <c r="F351" s="46" t="s">
        <v>115</v>
      </c>
    </row>
    <row r="352">
      <c r="A352" s="50" t="s">
        <v>2866</v>
      </c>
      <c r="B352" s="54">
        <f>IF(A352="", "", IF(IFERROR(VLOOKUP(A352, 'Base 3F'!$B:$C, 2, FALSE),"")="", "SIN CUIT", VLOOKUP(A352, 'Base 3F'!$B:$C, 2, FALSE)))</f>
        <v>30710081480</v>
      </c>
      <c r="C352" s="42" t="str">
        <f>IF(A352="", "", IF(IFERROR(VLOOKUP(A352, 'Base 3F'!$B:$J, 9, FALSE),"")="", "SIN RUBRO", VLOOKUP(A352, 'Base 3F'!$B:$J, 9, FALSE)))</f>
        <v>SIN RUBRO</v>
      </c>
      <c r="D352" s="142" t="s">
        <v>538</v>
      </c>
      <c r="E352" s="10" t="s">
        <v>2392</v>
      </c>
      <c r="F352" s="46" t="s">
        <v>115</v>
      </c>
    </row>
    <row r="353">
      <c r="A353" s="50" t="s">
        <v>2873</v>
      </c>
      <c r="B353" s="54" t="str">
        <f>IF(A353="", "", IF(IFERROR(VLOOKUP(A353, 'Base 3F'!$B:$C, 2, FALSE),"")="", "SIN CUIT", VLOOKUP(A353, 'Base 3F'!$B:$C, 2, FALSE)))</f>
        <v>SIN CUIT</v>
      </c>
      <c r="C353" s="42" t="str">
        <f>IF(A353="", "", IF(IFERROR(VLOOKUP(A353, 'Base 3F'!$B:$J, 9, FALSE),"")="", "SIN RUBRO", VLOOKUP(A353, 'Base 3F'!$B:$J, 9, FALSE)))</f>
        <v>Construcción</v>
      </c>
      <c r="D353" s="142" t="s">
        <v>540</v>
      </c>
      <c r="E353" s="10" t="s">
        <v>2392</v>
      </c>
      <c r="F353" s="46" t="s">
        <v>115</v>
      </c>
    </row>
    <row r="354">
      <c r="A354" s="50" t="s">
        <v>2881</v>
      </c>
      <c r="B354" s="54">
        <f>IF(A354="", "", IF(IFERROR(VLOOKUP(A354, 'Base 3F'!$B:$C, 2, FALSE),"")="", "SIN CUIT", VLOOKUP(A354, 'Base 3F'!$B:$C, 2, FALSE)))</f>
        <v>30580446457</v>
      </c>
      <c r="C354" s="42" t="str">
        <f>IF(A354="", "", IF(IFERROR(VLOOKUP(A354, 'Base 3F'!$B:$J, 9, FALSE),"")="", "SIN RUBRO", VLOOKUP(A354, 'Base 3F'!$B:$J, 9, FALSE)))</f>
        <v>Autopartes</v>
      </c>
      <c r="D354" s="142" t="s">
        <v>541</v>
      </c>
      <c r="E354" s="10" t="s">
        <v>2392</v>
      </c>
      <c r="F354" s="46" t="s">
        <v>115</v>
      </c>
    </row>
    <row r="355">
      <c r="A355" s="50" t="s">
        <v>2888</v>
      </c>
      <c r="B355" s="54">
        <f>IF(A355="", "", IF(IFERROR(VLOOKUP(A355, 'Base 3F'!$B:$C, 2, FALSE),"")="", "SIN CUIT", VLOOKUP(A355, 'Base 3F'!$B:$C, 2, FALSE)))</f>
        <v>20148957305</v>
      </c>
      <c r="C355" s="42" t="str">
        <f>IF(A355="", "", IF(IFERROR(VLOOKUP(A355, 'Base 3F'!$B:$J, 9, FALSE),"")="", "SIN RUBRO", VLOOKUP(A355, 'Base 3F'!$B:$J, 9, FALSE)))</f>
        <v>Metalúrgica</v>
      </c>
      <c r="D355" s="142" t="s">
        <v>542</v>
      </c>
      <c r="E355" s="10" t="s">
        <v>2392</v>
      </c>
      <c r="F355" s="46" t="s">
        <v>115</v>
      </c>
    </row>
    <row r="356">
      <c r="A356" s="50" t="s">
        <v>2897</v>
      </c>
      <c r="B356" s="54">
        <f>IF(A356="", "", IF(IFERROR(VLOOKUP(A356, 'Base 3F'!$B:$C, 2, FALSE),"")="", "SIN CUIT", VLOOKUP(A356, 'Base 3F'!$B:$C, 2, FALSE)))</f>
        <v>27367296114</v>
      </c>
      <c r="C356" s="42" t="str">
        <f>IF(A356="", "", IF(IFERROR(VLOOKUP(A356, 'Base 3F'!$B:$J, 9, FALSE),"")="", "SIN RUBRO", VLOOKUP(A356, 'Base 3F'!$B:$J, 9, FALSE)))</f>
        <v>Metalúrgica</v>
      </c>
      <c r="D356" s="142" t="s">
        <v>543</v>
      </c>
      <c r="E356" s="10" t="s">
        <v>2392</v>
      </c>
      <c r="F356" s="46" t="s">
        <v>115</v>
      </c>
    </row>
    <row r="357">
      <c r="A357" s="50" t="s">
        <v>2903</v>
      </c>
      <c r="B357" s="54">
        <f>IF(A357="", "", IF(IFERROR(VLOOKUP(A357, 'Base 3F'!$B:$C, 2, FALSE),"")="", "SIN CUIT", VLOOKUP(A357, 'Base 3F'!$B:$C, 2, FALSE)))</f>
        <v>20148954292</v>
      </c>
      <c r="C357" s="42" t="str">
        <f>IF(A357="", "", IF(IFERROR(VLOOKUP(A357, 'Base 3F'!$B:$J, 9, FALSE),"")="", "SIN RUBRO", VLOOKUP(A357, 'Base 3F'!$B:$J, 9, FALSE)))</f>
        <v>Textil</v>
      </c>
      <c r="D357" s="142" t="s">
        <v>544</v>
      </c>
      <c r="E357" s="10" t="s">
        <v>2392</v>
      </c>
      <c r="F357" s="46" t="s">
        <v>115</v>
      </c>
    </row>
    <row r="358">
      <c r="A358" s="50" t="s">
        <v>2910</v>
      </c>
      <c r="B358" s="54">
        <f>IF(A358="", "", IF(IFERROR(VLOOKUP(A358, 'Base 3F'!$B:$C, 2, FALSE),"")="", "SIN CUIT", VLOOKUP(A358, 'Base 3F'!$B:$C, 2, FALSE)))</f>
        <v>33718151479</v>
      </c>
      <c r="C358" s="42" t="str">
        <f>IF(A358="", "", IF(IFERROR(VLOOKUP(A358, 'Base 3F'!$B:$J, 9, FALSE),"")="", "SIN RUBRO", VLOOKUP(A358, 'Base 3F'!$B:$J, 9, FALSE)))</f>
        <v>SIN RUBRO</v>
      </c>
      <c r="D358" s="142" t="s">
        <v>545</v>
      </c>
      <c r="E358" s="10" t="s">
        <v>2392</v>
      </c>
      <c r="F358" s="46" t="s">
        <v>115</v>
      </c>
    </row>
    <row r="359">
      <c r="A359" s="50" t="s">
        <v>2917</v>
      </c>
      <c r="B359" s="54">
        <f>IF(A359="", "", IF(IFERROR(VLOOKUP(A359, 'Base 3F'!$B:$C, 2, FALSE),"")="", "SIN CUIT", VLOOKUP(A359, 'Base 3F'!$B:$C, 2, FALSE)))</f>
        <v>20280119556</v>
      </c>
      <c r="C359" s="42" t="str">
        <f>IF(A359="", "", IF(IFERROR(VLOOKUP(A359, 'Base 3F'!$B:$J, 9, FALSE),"")="", "SIN RUBRO", VLOOKUP(A359, 'Base 3F'!$B:$J, 9, FALSE)))</f>
        <v>SIN RUBRO</v>
      </c>
      <c r="D359" s="142" t="s">
        <v>547</v>
      </c>
      <c r="E359" s="10" t="s">
        <v>2392</v>
      </c>
      <c r="F359" s="46" t="s">
        <v>115</v>
      </c>
    </row>
    <row r="360">
      <c r="A360" s="50" t="s">
        <v>2923</v>
      </c>
      <c r="B360" s="54">
        <f>IF(A360="", "", IF(IFERROR(VLOOKUP(A360, 'Base 3F'!$B:$C, 2, FALSE),"")="", "SIN CUIT", VLOOKUP(A360, 'Base 3F'!$B:$C, 2, FALSE)))</f>
        <v>30709410144</v>
      </c>
      <c r="C360" s="42" t="str">
        <f>IF(A360="", "", IF(IFERROR(VLOOKUP(A360, 'Base 3F'!$B:$J, 9, FALSE),"")="", "SIN RUBRO", VLOOKUP(A360, 'Base 3F'!$B:$J, 9, FALSE)))</f>
        <v>Servicios</v>
      </c>
      <c r="D360" s="142" t="s">
        <v>550</v>
      </c>
      <c r="E360" s="10" t="s">
        <v>2392</v>
      </c>
      <c r="F360" s="46" t="s">
        <v>115</v>
      </c>
    </row>
    <row r="361">
      <c r="A361" s="50" t="s">
        <v>2928</v>
      </c>
      <c r="B361" s="54">
        <f>IF(A361="", "", IF(IFERROR(VLOOKUP(A361, 'Base 3F'!$B:$C, 2, FALSE),"")="", "SIN CUIT", VLOOKUP(A361, 'Base 3F'!$B:$C, 2, FALSE)))</f>
        <v>30638224506</v>
      </c>
      <c r="C361" s="42" t="str">
        <f>IF(A361="", "", IF(IFERROR(VLOOKUP(A361, 'Base 3F'!$B:$J, 9, FALSE),"")="", "SIN RUBRO", VLOOKUP(A361, 'Base 3F'!$B:$J, 9, FALSE)))</f>
        <v>Textil</v>
      </c>
      <c r="D361" s="142" t="s">
        <v>552</v>
      </c>
      <c r="E361" s="10" t="s">
        <v>2392</v>
      </c>
      <c r="F361" s="46" t="s">
        <v>115</v>
      </c>
    </row>
    <row r="362">
      <c r="A362" s="50" t="s">
        <v>2932</v>
      </c>
      <c r="B362" s="54">
        <f>IF(A362="", "", IF(IFERROR(VLOOKUP(A362, 'Base 3F'!$B:$C, 2, FALSE),"")="", "SIN CUIT", VLOOKUP(A362, 'Base 3F'!$B:$C, 2, FALSE)))</f>
        <v>20131394110</v>
      </c>
      <c r="C362" s="42" t="str">
        <f>IF(A362="", "", IF(IFERROR(VLOOKUP(A362, 'Base 3F'!$B:$J, 9, FALSE),"")="", "SIN RUBRO", VLOOKUP(A362, 'Base 3F'!$B:$J, 9, FALSE)))</f>
        <v>Industria</v>
      </c>
      <c r="D362" s="142" t="s">
        <v>553</v>
      </c>
      <c r="E362" s="10" t="s">
        <v>2392</v>
      </c>
      <c r="F362" s="46" t="s">
        <v>115</v>
      </c>
    </row>
    <row r="363">
      <c r="A363" s="50" t="s">
        <v>2940</v>
      </c>
      <c r="B363" s="54">
        <f>IF(A363="", "", IF(IFERROR(VLOOKUP(A363, 'Base 3F'!$B:$C, 2, FALSE),"")="", "SIN CUIT", VLOOKUP(A363, 'Base 3F'!$B:$C, 2, FALSE)))</f>
        <v>30717547388</v>
      </c>
      <c r="C363" s="42" t="str">
        <f>IF(A363="", "", IF(IFERROR(VLOOKUP(A363, 'Base 3F'!$B:$J, 9, FALSE),"")="", "SIN RUBRO", VLOOKUP(A363, 'Base 3F'!$B:$J, 9, FALSE)))</f>
        <v>Madera</v>
      </c>
      <c r="D363" s="142" t="s">
        <v>554</v>
      </c>
      <c r="E363" s="10" t="s">
        <v>2392</v>
      </c>
      <c r="F363" s="46" t="s">
        <v>115</v>
      </c>
    </row>
    <row r="364">
      <c r="A364" s="50" t="s">
        <v>2947</v>
      </c>
      <c r="B364" s="54">
        <f>IF(A364="", "", IF(IFERROR(VLOOKUP(A364, 'Base 3F'!$B:$C, 2, FALSE),"")="", "SIN CUIT", VLOOKUP(A364, 'Base 3F'!$B:$C, 2, FALSE)))</f>
        <v>30715912305</v>
      </c>
      <c r="C364" s="42" t="str">
        <f>IF(A364="", "", IF(IFERROR(VLOOKUP(A364, 'Base 3F'!$B:$J, 9, FALSE),"")="", "SIN RUBRO", VLOOKUP(A364, 'Base 3F'!$B:$J, 9, FALSE)))</f>
        <v>Servicios</v>
      </c>
      <c r="D364" s="142" t="s">
        <v>555</v>
      </c>
      <c r="E364" s="10" t="s">
        <v>2392</v>
      </c>
      <c r="F364" s="46" t="s">
        <v>115</v>
      </c>
    </row>
    <row r="365">
      <c r="A365" s="50" t="s">
        <v>2956</v>
      </c>
      <c r="B365" s="54">
        <f>IF(A365="", "", IF(IFERROR(VLOOKUP(A365, 'Base 3F'!$B:$C, 2, FALSE),"")="", "SIN CUIT", VLOOKUP(A365, 'Base 3F'!$B:$C, 2, FALSE)))</f>
        <v>30715750763</v>
      </c>
      <c r="C365" s="42" t="str">
        <f>IF(A365="", "", IF(IFERROR(VLOOKUP(A365, 'Base 3F'!$B:$J, 9, FALSE),"")="", "SIN RUBRO", VLOOKUP(A365, 'Base 3F'!$B:$J, 9, FALSE)))</f>
        <v>Plástica</v>
      </c>
      <c r="D365" s="142" t="s">
        <v>556</v>
      </c>
      <c r="E365" s="10" t="s">
        <v>2392</v>
      </c>
      <c r="F365" s="46" t="s">
        <v>115</v>
      </c>
    </row>
    <row r="366">
      <c r="A366" s="50" t="s">
        <v>2962</v>
      </c>
      <c r="B366" s="54">
        <f>IF(A366="", "", IF(IFERROR(VLOOKUP(A366, 'Base 3F'!$B:$C, 2, FALSE),"")="", "SIN CUIT", VLOOKUP(A366, 'Base 3F'!$B:$C, 2, FALSE)))</f>
        <v>30709719633</v>
      </c>
      <c r="C366" s="42" t="str">
        <f>IF(A366="", "", IF(IFERROR(VLOOKUP(A366, 'Base 3F'!$B:$J, 9, FALSE),"")="", "SIN RUBRO", VLOOKUP(A366, 'Base 3F'!$B:$J, 9, FALSE)))</f>
        <v>Metalmecánica</v>
      </c>
      <c r="D366" s="142" t="s">
        <v>557</v>
      </c>
      <c r="E366" s="10" t="s">
        <v>2392</v>
      </c>
      <c r="F366" s="46" t="s">
        <v>115</v>
      </c>
    </row>
    <row r="367">
      <c r="A367" s="50" t="s">
        <v>2968</v>
      </c>
      <c r="B367" s="54">
        <f>IF(A367="", "", IF(IFERROR(VLOOKUP(A367, 'Base 3F'!$B:$C, 2, FALSE),"")="", "SIN CUIT", VLOOKUP(A367, 'Base 3F'!$B:$C, 2, FALSE)))</f>
        <v>30574151259</v>
      </c>
      <c r="C367" s="42" t="str">
        <f>IF(A367="", "", IF(IFERROR(VLOOKUP(A367, 'Base 3F'!$B:$J, 9, FALSE),"")="", "SIN RUBRO", VLOOKUP(A367, 'Base 3F'!$B:$J, 9, FALSE)))</f>
        <v>Alimenticia</v>
      </c>
      <c r="D367" s="142" t="s">
        <v>558</v>
      </c>
      <c r="E367" s="10" t="s">
        <v>2392</v>
      </c>
      <c r="F367" s="46" t="s">
        <v>115</v>
      </c>
    </row>
    <row r="368">
      <c r="A368" s="50" t="s">
        <v>2975</v>
      </c>
      <c r="B368" s="54">
        <f>IF(A368="", "", IF(IFERROR(VLOOKUP(A368, 'Base 3F'!$B:$C, 2, FALSE),"")="", "SIN CUIT", VLOOKUP(A368, 'Base 3F'!$B:$C, 2, FALSE)))</f>
        <v>20254000702</v>
      </c>
      <c r="C368" s="42" t="str">
        <f>IF(A368="", "", IF(IFERROR(VLOOKUP(A368, 'Base 3F'!$B:$J, 9, FALSE),"")="", "SIN RUBRO", VLOOKUP(A368, 'Base 3F'!$B:$J, 9, FALSE)))</f>
        <v>Metalmecánica</v>
      </c>
      <c r="D368" s="142" t="s">
        <v>559</v>
      </c>
      <c r="E368" s="10" t="s">
        <v>2392</v>
      </c>
      <c r="F368" s="46" t="s">
        <v>115</v>
      </c>
    </row>
    <row r="369">
      <c r="A369" s="50" t="s">
        <v>2983</v>
      </c>
      <c r="B369" s="54">
        <f>IF(A369="", "", IF(IFERROR(VLOOKUP(A369, 'Base 3F'!$B:$C, 2, FALSE),"")="", "SIN CUIT", VLOOKUP(A369, 'Base 3F'!$B:$C, 2, FALSE)))</f>
        <v>20341502560</v>
      </c>
      <c r="C369" s="42" t="str">
        <f>IF(A369="", "", IF(IFERROR(VLOOKUP(A369, 'Base 3F'!$B:$J, 9, FALSE),"")="", "SIN RUBRO", VLOOKUP(A369, 'Base 3F'!$B:$J, 9, FALSE)))</f>
        <v>Alimenticia</v>
      </c>
      <c r="D369" s="142" t="s">
        <v>560</v>
      </c>
      <c r="E369" s="10" t="s">
        <v>2392</v>
      </c>
      <c r="F369" s="46" t="s">
        <v>115</v>
      </c>
    </row>
    <row r="370">
      <c r="A370" s="50" t="s">
        <v>2990</v>
      </c>
      <c r="B370" s="54">
        <f>IF(A370="", "", IF(IFERROR(VLOOKUP(A370, 'Base 3F'!$B:$C, 2, FALSE),"")="", "SIN CUIT", VLOOKUP(A370, 'Base 3F'!$B:$C, 2, FALSE)))</f>
        <v>30715641492</v>
      </c>
      <c r="C370" s="42" t="str">
        <f>IF(A370="", "", IF(IFERROR(VLOOKUP(A370, 'Base 3F'!$B:$J, 9, FALSE),"")="", "SIN RUBRO", VLOOKUP(A370, 'Base 3F'!$B:$J, 9, FALSE)))</f>
        <v>Bebidas</v>
      </c>
      <c r="D370" s="142" t="s">
        <v>562</v>
      </c>
      <c r="E370" s="10" t="s">
        <v>2392</v>
      </c>
      <c r="F370" s="46" t="s">
        <v>115</v>
      </c>
    </row>
    <row r="371">
      <c r="A371" s="50" t="s">
        <v>2996</v>
      </c>
      <c r="B371" s="54">
        <f>IF(A371="", "", IF(IFERROR(VLOOKUP(A371, 'Base 3F'!$B:$C, 2, FALSE),"")="", "SIN CUIT", VLOOKUP(A371, 'Base 3F'!$B:$C, 2, FALSE)))</f>
        <v>20220396321</v>
      </c>
      <c r="C371" s="42" t="str">
        <f>IF(A371="", "", IF(IFERROR(VLOOKUP(A371, 'Base 3F'!$B:$J, 9, FALSE),"")="", "SIN RUBRO", VLOOKUP(A371, 'Base 3F'!$B:$J, 9, FALSE)))</f>
        <v>Metalúrgica</v>
      </c>
      <c r="D371" s="142" t="s">
        <v>563</v>
      </c>
      <c r="E371" s="10" t="s">
        <v>2392</v>
      </c>
      <c r="F371" s="46" t="s">
        <v>115</v>
      </c>
    </row>
    <row r="372">
      <c r="A372" s="50" t="s">
        <v>3006</v>
      </c>
      <c r="B372" s="54">
        <f>IF(A372="", "", IF(IFERROR(VLOOKUP(A372, 'Base 3F'!$B:$C, 2, FALSE),"")="", "SIN CUIT", VLOOKUP(A372, 'Base 3F'!$B:$C, 2, FALSE)))</f>
        <v>27329120800</v>
      </c>
      <c r="C372" s="42" t="str">
        <f>IF(A372="", "", IF(IFERROR(VLOOKUP(A372, 'Base 3F'!$B:$J, 9, FALSE),"")="", "SIN RUBRO", VLOOKUP(A372, 'Base 3F'!$B:$J, 9, FALSE)))</f>
        <v>Madera</v>
      </c>
      <c r="D372" s="142" t="s">
        <v>565</v>
      </c>
      <c r="E372" s="10" t="s">
        <v>2392</v>
      </c>
      <c r="F372" s="46" t="s">
        <v>115</v>
      </c>
    </row>
    <row r="373">
      <c r="A373" s="50" t="s">
        <v>3018</v>
      </c>
      <c r="B373" s="54">
        <f>IF(A373="", "", IF(IFERROR(VLOOKUP(A373, 'Base 3F'!$B:$C, 2, FALSE),"")="", "SIN CUIT", VLOOKUP(A373, 'Base 3F'!$B:$C, 2, FALSE)))</f>
        <v>30714517291</v>
      </c>
      <c r="C373" s="42" t="str">
        <f>IF(A373="", "", IF(IFERROR(VLOOKUP(A373, 'Base 3F'!$B:$J, 9, FALSE),"")="", "SIN RUBRO", VLOOKUP(A373, 'Base 3F'!$B:$J, 9, FALSE)))</f>
        <v>Metalúrgica</v>
      </c>
      <c r="D373" s="142" t="s">
        <v>566</v>
      </c>
      <c r="E373" s="10" t="s">
        <v>2392</v>
      </c>
      <c r="F373" s="46" t="s">
        <v>115</v>
      </c>
    </row>
    <row r="374">
      <c r="A374" s="50" t="s">
        <v>3028</v>
      </c>
      <c r="B374" s="54">
        <f>IF(A374="", "", IF(IFERROR(VLOOKUP(A374, 'Base 3F'!$B:$C, 2, FALSE),"")="", "SIN CUIT", VLOOKUP(A374, 'Base 3F'!$B:$C, 2, FALSE)))</f>
        <v>30697111634</v>
      </c>
      <c r="C374" s="42" t="str">
        <f>IF(A374="", "", IF(IFERROR(VLOOKUP(A374, 'Base 3F'!$B:$J, 9, FALSE),"")="", "SIN RUBRO", VLOOKUP(A374, 'Base 3F'!$B:$J, 9, FALSE)))</f>
        <v>Textil</v>
      </c>
      <c r="D374" s="142" t="s">
        <v>567</v>
      </c>
      <c r="E374" s="10" t="s">
        <v>2392</v>
      </c>
      <c r="F374" s="46" t="s">
        <v>115</v>
      </c>
    </row>
    <row r="375">
      <c r="A375" s="50" t="s">
        <v>3039</v>
      </c>
      <c r="B375" s="54">
        <f>IF(A375="", "", IF(IFERROR(VLOOKUP(A375, 'Base 3F'!$B:$C, 2, FALSE),"")="", "SIN CUIT", VLOOKUP(A375, 'Base 3F'!$B:$C, 2, FALSE)))</f>
        <v>20429996938</v>
      </c>
      <c r="C375" s="42" t="str">
        <f>IF(A375="", "", IF(IFERROR(VLOOKUP(A375, 'Base 3F'!$B:$J, 9, FALSE),"")="", "SIN RUBRO", VLOOKUP(A375, 'Base 3F'!$B:$J, 9, FALSE)))</f>
        <v>Plástica</v>
      </c>
      <c r="D375" s="142" t="s">
        <v>570</v>
      </c>
      <c r="E375" s="10" t="s">
        <v>2392</v>
      </c>
      <c r="F375" s="46" t="s">
        <v>115</v>
      </c>
    </row>
    <row r="376">
      <c r="A376" s="50" t="s">
        <v>3043</v>
      </c>
      <c r="B376" s="54">
        <f>IF(A376="", "", IF(IFERROR(VLOOKUP(A376, 'Base 3F'!$B:$C, 2, FALSE),"")="", "SIN CUIT", VLOOKUP(A376, 'Base 3F'!$B:$C, 2, FALSE)))</f>
        <v>30716826895</v>
      </c>
      <c r="C376" s="42" t="str">
        <f>IF(A376="", "", IF(IFERROR(VLOOKUP(A376, 'Base 3F'!$B:$J, 9, FALSE),"")="", "SIN RUBRO", VLOOKUP(A376, 'Base 3F'!$B:$J, 9, FALSE)))</f>
        <v>Fundicion</v>
      </c>
      <c r="D376" s="142" t="s">
        <v>571</v>
      </c>
      <c r="E376" s="10" t="s">
        <v>2392</v>
      </c>
      <c r="F376" s="46" t="s">
        <v>115</v>
      </c>
    </row>
    <row r="377">
      <c r="A377" s="50" t="s">
        <v>3048</v>
      </c>
      <c r="B377" s="54">
        <f>IF(A377="", "", IF(IFERROR(VLOOKUP(A377, 'Base 3F'!$B:$C, 2, FALSE),"")="", "SIN CUIT", VLOOKUP(A377, 'Base 3F'!$B:$C, 2, FALSE)))</f>
        <v>20223028633</v>
      </c>
      <c r="C377" s="42" t="str">
        <f>IF(A377="", "", IF(IFERROR(VLOOKUP(A377, 'Base 3F'!$B:$J, 9, FALSE),"")="", "SIN RUBRO", VLOOKUP(A377, 'Base 3F'!$B:$J, 9, FALSE)))</f>
        <v>Fundicion</v>
      </c>
      <c r="D377" s="142" t="s">
        <v>572</v>
      </c>
      <c r="E377" s="10" t="s">
        <v>2392</v>
      </c>
      <c r="F377" s="46" t="s">
        <v>115</v>
      </c>
    </row>
    <row r="378">
      <c r="A378" s="50" t="s">
        <v>3055</v>
      </c>
      <c r="B378" s="54">
        <f>IF(A378="", "", IF(IFERROR(VLOOKUP(A378, 'Base 3F'!$B:$C, 2, FALSE),"")="", "SIN CUIT", VLOOKUP(A378, 'Base 3F'!$B:$C, 2, FALSE)))</f>
        <v>30710077556</v>
      </c>
      <c r="C378" s="42" t="str">
        <f>IF(A378="", "", IF(IFERROR(VLOOKUP(A378, 'Base 3F'!$B:$J, 9, FALSE),"")="", "SIN RUBRO", VLOOKUP(A378, 'Base 3F'!$B:$J, 9, FALSE)))</f>
        <v>Textil</v>
      </c>
      <c r="D378" s="142" t="s">
        <v>573</v>
      </c>
      <c r="E378" s="10" t="s">
        <v>2392</v>
      </c>
      <c r="F378" s="46" t="s">
        <v>115</v>
      </c>
    </row>
    <row r="379">
      <c r="A379" s="50" t="s">
        <v>3061</v>
      </c>
      <c r="B379" s="54">
        <f>IF(A379="", "", IF(IFERROR(VLOOKUP(A379, 'Base 3F'!$B:$C, 2, FALSE),"")="", "SIN CUIT", VLOOKUP(A379, 'Base 3F'!$B:$C, 2, FALSE)))</f>
        <v>30710105045</v>
      </c>
      <c r="C379" s="42" t="str">
        <f>IF(A379="", "", IF(IFERROR(VLOOKUP(A379, 'Base 3F'!$B:$J, 9, FALSE),"")="", "SIN RUBRO", VLOOKUP(A379, 'Base 3F'!$B:$J, 9, FALSE)))</f>
        <v>Plástica</v>
      </c>
      <c r="D379" s="142" t="s">
        <v>574</v>
      </c>
      <c r="E379" s="10" t="s">
        <v>2392</v>
      </c>
      <c r="F379" s="46" t="s">
        <v>115</v>
      </c>
    </row>
    <row r="380">
      <c r="A380" s="50" t="s">
        <v>3066</v>
      </c>
      <c r="B380" s="54">
        <f>IF(A380="", "", IF(IFERROR(VLOOKUP(A380, 'Base 3F'!$B:$C, 2, FALSE),"")="", "SIN CUIT", VLOOKUP(A380, 'Base 3F'!$B:$C, 2, FALSE)))</f>
        <v>20279392923</v>
      </c>
      <c r="C380" s="42" t="str">
        <f>IF(A380="", "", IF(IFERROR(VLOOKUP(A380, 'Base 3F'!$B:$J, 9, FALSE),"")="", "SIN RUBRO", VLOOKUP(A380, 'Base 3F'!$B:$J, 9, FALSE)))</f>
        <v>Madera</v>
      </c>
      <c r="D380" s="142" t="s">
        <v>576</v>
      </c>
      <c r="E380" s="10" t="s">
        <v>2392</v>
      </c>
      <c r="F380" s="46" t="s">
        <v>115</v>
      </c>
    </row>
    <row r="381">
      <c r="A381" s="50" t="s">
        <v>3072</v>
      </c>
      <c r="B381" s="54">
        <f>IF(A381="", "", IF(IFERROR(VLOOKUP(A381, 'Base 3F'!$B:$C, 2, FALSE),"")="", "SIN CUIT", VLOOKUP(A381, 'Base 3F'!$B:$C, 2, FALSE)))</f>
        <v>20235941156</v>
      </c>
      <c r="C381" s="42" t="str">
        <f>IF(A381="", "", IF(IFERROR(VLOOKUP(A381, 'Base 3F'!$B:$J, 9, FALSE),"")="", "SIN RUBRO", VLOOKUP(A381, 'Base 3F'!$B:$J, 9, FALSE)))</f>
        <v>Bebidas</v>
      </c>
      <c r="D381" s="142" t="s">
        <v>578</v>
      </c>
      <c r="E381" s="10" t="s">
        <v>2392</v>
      </c>
      <c r="F381" s="46" t="s">
        <v>115</v>
      </c>
    </row>
    <row r="382">
      <c r="A382" s="50" t="s">
        <v>3077</v>
      </c>
      <c r="B382" s="54">
        <f>IF(A382="", "", IF(IFERROR(VLOOKUP(A382, 'Base 3F'!$B:$C, 2, FALSE),"")="", "SIN CUIT", VLOOKUP(A382, 'Base 3F'!$B:$C, 2, FALSE)))</f>
        <v>30718183428</v>
      </c>
      <c r="C382" s="42" t="str">
        <f>IF(A382="", "", IF(IFERROR(VLOOKUP(A382, 'Base 3F'!$B:$J, 9, FALSE),"")="", "SIN RUBRO", VLOOKUP(A382, 'Base 3F'!$B:$J, 9, FALSE)))</f>
        <v>Metalúrgica</v>
      </c>
      <c r="D382" s="142" t="s">
        <v>580</v>
      </c>
      <c r="E382" s="10" t="s">
        <v>2392</v>
      </c>
      <c r="F382" s="46" t="s">
        <v>115</v>
      </c>
    </row>
    <row r="383">
      <c r="A383" s="50" t="s">
        <v>3083</v>
      </c>
      <c r="B383" s="54">
        <f>IF(A383="", "", IF(IFERROR(VLOOKUP(A383, 'Base 3F'!$B:$C, 2, FALSE),"")="", "SIN CUIT", VLOOKUP(A383, 'Base 3F'!$B:$C, 2, FALSE)))</f>
        <v>33719029359</v>
      </c>
      <c r="C383" s="42" t="str">
        <f>IF(A383="", "", IF(IFERROR(VLOOKUP(A383, 'Base 3F'!$B:$J, 9, FALSE),"")="", "SIN RUBRO", VLOOKUP(A383, 'Base 3F'!$B:$J, 9, FALSE)))</f>
        <v>SIN RUBRO</v>
      </c>
      <c r="D383" s="142" t="s">
        <v>581</v>
      </c>
      <c r="E383" s="10" t="s">
        <v>2392</v>
      </c>
      <c r="F383" s="46" t="s">
        <v>115</v>
      </c>
    </row>
    <row r="384">
      <c r="A384" s="50" t="s">
        <v>3090</v>
      </c>
      <c r="B384" s="54">
        <f>IF(A384="", "", IF(IFERROR(VLOOKUP(A384, 'Base 3F'!$B:$C, 2, FALSE),"")="", "SIN CUIT", VLOOKUP(A384, 'Base 3F'!$B:$C, 2, FALSE)))</f>
        <v>30701136884</v>
      </c>
      <c r="C384" s="42" t="str">
        <f>IF(A384="", "", IF(IFERROR(VLOOKUP(A384, 'Base 3F'!$B:$J, 9, FALSE),"")="", "SIN RUBRO", VLOOKUP(A384, 'Base 3F'!$B:$J, 9, FALSE)))</f>
        <v>Metalúrgica</v>
      </c>
      <c r="D384" s="142" t="s">
        <v>582</v>
      </c>
      <c r="E384" s="10" t="s">
        <v>2392</v>
      </c>
      <c r="F384" s="46" t="s">
        <v>115</v>
      </c>
    </row>
    <row r="385">
      <c r="A385" s="68" t="s">
        <v>3095</v>
      </c>
      <c r="B385" s="54">
        <f>IF(A385="", "", IF(IFERROR(VLOOKUP(A385, 'Base 3F'!$B:$C, 2, FALSE),"")="", "SIN CUIT", VLOOKUP(A385, 'Base 3F'!$B:$C, 2, FALSE)))</f>
        <v>20323795887</v>
      </c>
      <c r="C385" s="42" t="str">
        <f>IF(A385="", "", IF(IFERROR(VLOOKUP(A385, 'Base 3F'!$B:$J, 9, FALSE),"")="", "SIN RUBRO", VLOOKUP(A385, 'Base 3F'!$B:$J, 9, FALSE)))</f>
        <v>Metalúrgica</v>
      </c>
      <c r="D385" s="142" t="s">
        <v>583</v>
      </c>
      <c r="E385" s="10" t="s">
        <v>2392</v>
      </c>
      <c r="F385" s="46" t="s">
        <v>115</v>
      </c>
    </row>
    <row r="386">
      <c r="A386" s="50" t="s">
        <v>3104</v>
      </c>
      <c r="B386" s="54">
        <f>IF(A386="", "", IF(IFERROR(VLOOKUP(A386, 'Base 3F'!$B:$C, 2, FALSE),"")="", "SIN CUIT", VLOOKUP(A386, 'Base 3F'!$B:$C, 2, FALSE)))</f>
        <v>30708318597</v>
      </c>
      <c r="C386" s="42" t="str">
        <f>IF(A386="", "", IF(IFERROR(VLOOKUP(A386, 'Base 3F'!$B:$J, 9, FALSE),"")="", "SIN RUBRO", VLOOKUP(A386, 'Base 3F'!$B:$J, 9, FALSE)))</f>
        <v>Metalúrgica</v>
      </c>
      <c r="D386" s="142" t="s">
        <v>584</v>
      </c>
      <c r="E386" s="10" t="s">
        <v>2392</v>
      </c>
      <c r="F386" s="46" t="s">
        <v>115</v>
      </c>
    </row>
    <row r="387">
      <c r="A387" s="50" t="s">
        <v>3108</v>
      </c>
      <c r="B387" s="54">
        <f>IF(A387="", "", IF(IFERROR(VLOOKUP(A387, 'Base 3F'!$B:$C, 2, FALSE),"")="", "SIN CUIT", VLOOKUP(A387, 'Base 3F'!$B:$C, 2, FALSE)))</f>
        <v>20332985141</v>
      </c>
      <c r="C387" s="42" t="str">
        <f>IF(A387="", "", IF(IFERROR(VLOOKUP(A387, 'Base 3F'!$B:$J, 9, FALSE),"")="", "SIN RUBRO", VLOOKUP(A387, 'Base 3F'!$B:$J, 9, FALSE)))</f>
        <v>Plástica</v>
      </c>
      <c r="D387" s="142" t="s">
        <v>587</v>
      </c>
      <c r="E387" s="10" t="s">
        <v>2392</v>
      </c>
      <c r="F387" s="46" t="s">
        <v>115</v>
      </c>
    </row>
    <row r="388">
      <c r="A388" s="50" t="s">
        <v>3114</v>
      </c>
      <c r="B388" s="54">
        <f>IF(A388="", "", IF(IFERROR(VLOOKUP(A388, 'Base 3F'!$B:$C, 2, FALSE),"")="", "SIN CUIT", VLOOKUP(A388, 'Base 3F'!$B:$C, 2, FALSE)))</f>
        <v>33715777539</v>
      </c>
      <c r="C388" s="42" t="str">
        <f>IF(A388="", "", IF(IFERROR(VLOOKUP(A388, 'Base 3F'!$B:$J, 9, FALSE),"")="", "SIN RUBRO", VLOOKUP(A388, 'Base 3F'!$B:$J, 9, FALSE)))</f>
        <v>Metalúrgica</v>
      </c>
      <c r="D388" s="142" t="s">
        <v>3118</v>
      </c>
      <c r="E388" s="10" t="s">
        <v>2392</v>
      </c>
      <c r="F388" s="46" t="s">
        <v>115</v>
      </c>
    </row>
    <row r="389">
      <c r="A389" s="50" t="s">
        <v>3120</v>
      </c>
      <c r="B389" s="54">
        <f>IF(A389="", "", IF(IFERROR(VLOOKUP(A389, 'Base 3F'!$B:$C, 2, FALSE),"")="", "SIN CUIT", VLOOKUP(A389, 'Base 3F'!$B:$C, 2, FALSE)))</f>
        <v>20177873366</v>
      </c>
      <c r="C389" s="42" t="str">
        <f>IF(A389="", "", IF(IFERROR(VLOOKUP(A389, 'Base 3F'!$B:$J, 9, FALSE),"")="", "SIN RUBRO", VLOOKUP(A389, 'Base 3F'!$B:$J, 9, FALSE)))</f>
        <v>Papel</v>
      </c>
      <c r="D389" s="142" t="s">
        <v>3123</v>
      </c>
      <c r="E389" s="10" t="s">
        <v>2392</v>
      </c>
      <c r="F389" s="46" t="s">
        <v>115</v>
      </c>
    </row>
    <row r="390">
      <c r="A390" s="50" t="s">
        <v>3124</v>
      </c>
      <c r="B390" s="54" t="str">
        <f>IF(A390="", "", IF(IFERROR(VLOOKUP(A390, 'Base 3F'!$B:$C, 2, FALSE),"")="", "SIN CUIT", VLOOKUP(A390, 'Base 3F'!$B:$C, 2, FALSE)))</f>
        <v>SIN CUIT</v>
      </c>
      <c r="C390" s="42" t="str">
        <f>IF(A390="", "", IF(IFERROR(VLOOKUP(A390, 'Base 3F'!$B:$J, 9, FALSE),"")="", "SIN RUBRO", VLOOKUP(A390, 'Base 3F'!$B:$J, 9, FALSE)))</f>
        <v>Madera</v>
      </c>
      <c r="D390" s="142" t="s">
        <v>588</v>
      </c>
      <c r="E390" s="10" t="s">
        <v>2392</v>
      </c>
      <c r="F390" s="46" t="s">
        <v>115</v>
      </c>
    </row>
    <row r="391">
      <c r="A391" s="50" t="s">
        <v>3131</v>
      </c>
      <c r="B391" s="54">
        <f>IF(A391="", "", IF(IFERROR(VLOOKUP(A391, 'Base 3F'!$B:$C, 2, FALSE),"")="", "SIN CUIT", VLOOKUP(A391, 'Base 3F'!$B:$C, 2, FALSE)))</f>
        <v>20202141006</v>
      </c>
      <c r="C391" s="42" t="str">
        <f>IF(A391="", "", IF(IFERROR(VLOOKUP(A391, 'Base 3F'!$B:$J, 9, FALSE),"")="", "SIN RUBRO", VLOOKUP(A391, 'Base 3F'!$B:$J, 9, FALSE)))</f>
        <v>Marmoleria</v>
      </c>
      <c r="D391" s="142" t="s">
        <v>590</v>
      </c>
      <c r="E391" s="10" t="s">
        <v>2392</v>
      </c>
      <c r="F391" s="46" t="s">
        <v>115</v>
      </c>
    </row>
    <row r="392">
      <c r="A392" s="50" t="s">
        <v>3134</v>
      </c>
      <c r="B392" s="54">
        <f>IF(A392="", "", IF(IFERROR(VLOOKUP(A392, 'Base 3F'!$B:$C, 2, FALSE),"")="", "SIN CUIT", VLOOKUP(A392, 'Base 3F'!$B:$C, 2, FALSE)))</f>
        <v>20128687107</v>
      </c>
      <c r="C392" s="42" t="str">
        <f>IF(A392="", "", IF(IFERROR(VLOOKUP(A392, 'Base 3F'!$B:$J, 9, FALSE),"")="", "SIN RUBRO", VLOOKUP(A392, 'Base 3F'!$B:$J, 9, FALSE)))</f>
        <v>Metalúrgica</v>
      </c>
      <c r="D392" s="142" t="s">
        <v>592</v>
      </c>
      <c r="E392" s="10" t="s">
        <v>2392</v>
      </c>
      <c r="F392" s="46" t="s">
        <v>115</v>
      </c>
    </row>
    <row r="393">
      <c r="A393" s="50" t="s">
        <v>3142</v>
      </c>
      <c r="B393" s="54">
        <f>IF(A393="", "", IF(IFERROR(VLOOKUP(A393, 'Base 3F'!$B:$C, 2, FALSE),"")="", "SIN CUIT", VLOOKUP(A393, 'Base 3F'!$B:$C, 2, FALSE)))</f>
        <v>30709252980</v>
      </c>
      <c r="C393" s="42" t="str">
        <f>IF(A393="", "", IF(IFERROR(VLOOKUP(A393, 'Base 3F'!$B:$J, 9, FALSE),"")="", "SIN RUBRO", VLOOKUP(A393, 'Base 3F'!$B:$J, 9, FALSE)))</f>
        <v>Metalúrgica</v>
      </c>
      <c r="D393" s="142" t="s">
        <v>593</v>
      </c>
      <c r="E393" s="10" t="s">
        <v>2392</v>
      </c>
      <c r="F393" s="46" t="s">
        <v>115</v>
      </c>
    </row>
    <row r="394">
      <c r="A394" s="50" t="s">
        <v>3148</v>
      </c>
      <c r="B394" s="54">
        <f>IF(A394="", "", IF(IFERROR(VLOOKUP(A394, 'Base 3F'!$B:$C, 2, FALSE),"")="", "SIN CUIT", VLOOKUP(A394, 'Base 3F'!$B:$C, 2, FALSE)))</f>
        <v>20254276635</v>
      </c>
      <c r="C394" s="42" t="str">
        <f>IF(A394="", "", IF(IFERROR(VLOOKUP(A394, 'Base 3F'!$B:$J, 9, FALSE),"")="", "SIN RUBRO", VLOOKUP(A394, 'Base 3F'!$B:$J, 9, FALSE)))</f>
        <v>Madera</v>
      </c>
      <c r="D394" s="142" t="s">
        <v>594</v>
      </c>
      <c r="E394" s="10" t="s">
        <v>2392</v>
      </c>
      <c r="F394" s="46" t="s">
        <v>115</v>
      </c>
    </row>
    <row r="395">
      <c r="A395" s="50" t="s">
        <v>3158</v>
      </c>
      <c r="B395" s="54">
        <f>IF(A395="", "", IF(IFERROR(VLOOKUP(A395, 'Base 3F'!$B:$C, 2, FALSE),"")="", "SIN CUIT", VLOOKUP(A395, 'Base 3F'!$B:$C, 2, FALSE)))</f>
        <v>30661143610</v>
      </c>
      <c r="C395" s="42" t="str">
        <f>IF(A395="", "", IF(IFERROR(VLOOKUP(A395, 'Base 3F'!$B:$J, 9, FALSE),"")="", "SIN RUBRO", VLOOKUP(A395, 'Base 3F'!$B:$J, 9, FALSE)))</f>
        <v>Metalúrgica</v>
      </c>
      <c r="D395" s="142" t="s">
        <v>595</v>
      </c>
      <c r="E395" s="10" t="s">
        <v>2392</v>
      </c>
      <c r="F395" s="46" t="s">
        <v>115</v>
      </c>
    </row>
    <row r="396">
      <c r="A396" s="50" t="s">
        <v>3163</v>
      </c>
      <c r="B396" s="54">
        <f>IF(A396="", "", IF(IFERROR(VLOOKUP(A396, 'Base 3F'!$B:$C, 2, FALSE),"")="", "SIN CUIT", VLOOKUP(A396, 'Base 3F'!$B:$C, 2, FALSE)))</f>
        <v>20225453226</v>
      </c>
      <c r="C396" s="42" t="str">
        <f>IF(A396="", "", IF(IFERROR(VLOOKUP(A396, 'Base 3F'!$B:$J, 9, FALSE),"")="", "SIN RUBRO", VLOOKUP(A396, 'Base 3F'!$B:$J, 9, FALSE)))</f>
        <v>Servicios</v>
      </c>
      <c r="D396" s="236" t="s">
        <v>597</v>
      </c>
      <c r="E396" s="10" t="s">
        <v>2392</v>
      </c>
      <c r="F396" s="46" t="s">
        <v>115</v>
      </c>
    </row>
    <row r="397">
      <c r="A397" s="244" t="s">
        <v>3172</v>
      </c>
      <c r="B397" s="54">
        <f>IF(A397="", "", IF(IFERROR(VLOOKUP(A397, 'Base 3F'!$B:$C, 2, FALSE),"")="", "SIN CUIT", VLOOKUP(A397, 'Base 3F'!$B:$C, 2, FALSE)))</f>
        <v>30716423030</v>
      </c>
      <c r="C397" s="42" t="str">
        <f>IF(A397="", "", IF(IFERROR(VLOOKUP(A397, 'Base 3F'!$B:$J, 9, FALSE),"")="", "SIN RUBRO", VLOOKUP(A397, 'Base 3F'!$B:$J, 9, FALSE)))</f>
        <v>Alimenticia</v>
      </c>
      <c r="D397" s="244" t="s">
        <v>598</v>
      </c>
      <c r="E397" s="10" t="s">
        <v>2392</v>
      </c>
      <c r="F397" s="46" t="s">
        <v>115</v>
      </c>
    </row>
    <row r="398">
      <c r="A398" s="244" t="s">
        <v>3180</v>
      </c>
      <c r="B398" s="54">
        <f>IF(A398="", "", IF(IFERROR(VLOOKUP(A398, 'Base 3F'!$B:$C, 2, FALSE),"")="", "SIN CUIT", VLOOKUP(A398, 'Base 3F'!$B:$C, 2, FALSE)))</f>
        <v>30709676276</v>
      </c>
      <c r="C398" s="42" t="str">
        <f>IF(A398="", "", IF(IFERROR(VLOOKUP(A398, 'Base 3F'!$B:$J, 9, FALSE),"")="", "SIN RUBRO", VLOOKUP(A398, 'Base 3F'!$B:$J, 9, FALSE)))</f>
        <v>Metalmecánica</v>
      </c>
      <c r="D398" s="120" t="s">
        <v>600</v>
      </c>
      <c r="E398" s="10" t="s">
        <v>2392</v>
      </c>
      <c r="F398" s="46" t="s">
        <v>115</v>
      </c>
    </row>
    <row r="399">
      <c r="A399" s="244" t="s">
        <v>3192</v>
      </c>
      <c r="B399" s="54">
        <f>IF(A399="", "", IF(IFERROR(VLOOKUP(A399, 'Base 3F'!$B:$C, 2, FALSE),"")="", "SIN CUIT", VLOOKUP(A399, 'Base 3F'!$B:$C, 2, FALSE)))</f>
        <v>20217913226</v>
      </c>
      <c r="C399" s="42" t="str">
        <f>IF(A399="", "", IF(IFERROR(VLOOKUP(A399, 'Base 3F'!$B:$J, 9, FALSE),"")="", "SIN RUBRO", VLOOKUP(A399, 'Base 3F'!$B:$J, 9, FALSE)))</f>
        <v>Plástica</v>
      </c>
      <c r="D399" s="244" t="s">
        <v>602</v>
      </c>
      <c r="E399" s="10" t="s">
        <v>2392</v>
      </c>
      <c r="F399" s="46" t="s">
        <v>115</v>
      </c>
    </row>
    <row r="400">
      <c r="A400" s="244" t="s">
        <v>3196</v>
      </c>
      <c r="B400" s="54">
        <f>IF(A400="", "", IF(IFERROR(VLOOKUP(A400, 'Base 3F'!$B:$C, 2, FALSE),"")="", "SIN CUIT", VLOOKUP(A400, 'Base 3F'!$B:$C, 2, FALSE)))</f>
        <v>30708366486</v>
      </c>
      <c r="C400" s="42" t="str">
        <f>IF(A400="", "", IF(IFERROR(VLOOKUP(A400, 'Base 3F'!$B:$J, 9, FALSE),"")="", "SIN RUBRO", VLOOKUP(A400, 'Base 3F'!$B:$J, 9, FALSE)))</f>
        <v>Papel</v>
      </c>
      <c r="D400" s="120" t="s">
        <v>603</v>
      </c>
      <c r="E400" s="10" t="s">
        <v>2392</v>
      </c>
      <c r="F400" s="46" t="s">
        <v>115</v>
      </c>
    </row>
    <row r="401">
      <c r="A401" s="244" t="s">
        <v>3203</v>
      </c>
      <c r="B401" s="54">
        <f>IF(A401="", "", IF(IFERROR(VLOOKUP(A401, 'Base 3F'!$B:$C, 2, FALSE),"")="", "SIN CUIT", VLOOKUP(A401, 'Base 3F'!$B:$C, 2, FALSE)))</f>
        <v>30716052279</v>
      </c>
      <c r="C401" s="42" t="str">
        <f>IF(A401="", "", IF(IFERROR(VLOOKUP(A401, 'Base 3F'!$B:$J, 9, FALSE),"")="", "SIN RUBRO", VLOOKUP(A401, 'Base 3F'!$B:$J, 9, FALSE)))</f>
        <v>Metalúrgica</v>
      </c>
      <c r="D401" s="244" t="s">
        <v>604</v>
      </c>
      <c r="E401" s="10" t="s">
        <v>2392</v>
      </c>
      <c r="F401" s="46" t="s">
        <v>115</v>
      </c>
    </row>
    <row r="402">
      <c r="A402" s="244" t="s">
        <v>3207</v>
      </c>
      <c r="B402" s="54">
        <f>IF(A402="", "", IF(IFERROR(VLOOKUP(A402, 'Base 3F'!$B:$C, 2, FALSE),"")="", "SIN CUIT", VLOOKUP(A402, 'Base 3F'!$B:$C, 2, FALSE)))</f>
        <v>30715886568</v>
      </c>
      <c r="C402" s="42" t="str">
        <f>IF(A402="", "", IF(IFERROR(VLOOKUP(A402, 'Base 3F'!$B:$J, 9, FALSE),"")="", "SIN RUBRO", VLOOKUP(A402, 'Base 3F'!$B:$J, 9, FALSE)))</f>
        <v>Química</v>
      </c>
      <c r="D402" s="120" t="s">
        <v>606</v>
      </c>
      <c r="E402" s="10" t="s">
        <v>2392</v>
      </c>
      <c r="F402" s="46" t="s">
        <v>115</v>
      </c>
    </row>
    <row r="403">
      <c r="A403" s="244" t="s">
        <v>3211</v>
      </c>
      <c r="B403" s="54">
        <f>IF(A403="", "", IF(IFERROR(VLOOKUP(A403, 'Base 3F'!$B:$C, 2, FALSE),"")="", "SIN CUIT", VLOOKUP(A403, 'Base 3F'!$B:$C, 2, FALSE)))</f>
        <v>20251303127</v>
      </c>
      <c r="C403" s="42" t="str">
        <f>IF(A403="", "", IF(IFERROR(VLOOKUP(A403, 'Base 3F'!$B:$J, 9, FALSE),"")="", "SIN RUBRO", VLOOKUP(A403, 'Base 3F'!$B:$J, 9, FALSE)))</f>
        <v>Metalúrgica</v>
      </c>
      <c r="D403" s="244" t="s">
        <v>607</v>
      </c>
      <c r="E403" s="10" t="s">
        <v>2392</v>
      </c>
      <c r="F403" s="46" t="s">
        <v>115</v>
      </c>
    </row>
    <row r="404">
      <c r="A404" s="244" t="s">
        <v>3215</v>
      </c>
      <c r="B404" s="54">
        <f>IF(A404="", "", IF(IFERROR(VLOOKUP(A404, 'Base 3F'!$B:$C, 2, FALSE),"")="", "SIN CUIT", VLOOKUP(A404, 'Base 3F'!$B:$C, 2, FALSE)))</f>
        <v>33711979439</v>
      </c>
      <c r="C404" s="42" t="str">
        <f>IF(A404="", "", IF(IFERROR(VLOOKUP(A404, 'Base 3F'!$B:$J, 9, FALSE),"")="", "SIN RUBRO", VLOOKUP(A404, 'Base 3F'!$B:$J, 9, FALSE)))</f>
        <v>Alimenticia </v>
      </c>
      <c r="D404" s="244" t="s">
        <v>610</v>
      </c>
      <c r="E404" s="10" t="s">
        <v>2392</v>
      </c>
      <c r="F404" s="46" t="s">
        <v>115</v>
      </c>
    </row>
    <row r="405">
      <c r="A405" s="244" t="s">
        <v>3218</v>
      </c>
      <c r="B405" s="54">
        <f>IF(A405="", "", IF(IFERROR(VLOOKUP(A405, 'Base 3F'!$B:$C, 2, FALSE),"")="", "SIN CUIT", VLOOKUP(A405, 'Base 3F'!$B:$C, 2, FALSE)))</f>
        <v>33716445769</v>
      </c>
      <c r="C405" s="42" t="str">
        <f>IF(A405="", "", IF(IFERROR(VLOOKUP(A405, 'Base 3F'!$B:$J, 9, FALSE),"")="", "SIN RUBRO", VLOOKUP(A405, 'Base 3F'!$B:$J, 9, FALSE)))</f>
        <v>Textil</v>
      </c>
      <c r="D405" s="120" t="s">
        <v>612</v>
      </c>
      <c r="E405" s="10" t="s">
        <v>2392</v>
      </c>
      <c r="F405" s="46" t="s">
        <v>115</v>
      </c>
    </row>
    <row r="406">
      <c r="A406" s="244" t="s">
        <v>3219</v>
      </c>
      <c r="B406" s="54">
        <f>IF(A406="", "", IF(IFERROR(VLOOKUP(A406, 'Base 3F'!$B:$C, 2, FALSE),"")="", "SIN CUIT", VLOOKUP(A406, 'Base 3F'!$B:$C, 2, FALSE)))</f>
        <v>33716100699</v>
      </c>
      <c r="C406" s="42" t="str">
        <f>IF(A406="", "", IF(IFERROR(VLOOKUP(A406, 'Base 3F'!$B:$J, 9, FALSE),"")="", "SIN RUBRO", VLOOKUP(A406, 'Base 3F'!$B:$J, 9, FALSE)))</f>
        <v>Química</v>
      </c>
      <c r="D406" s="120" t="s">
        <v>615</v>
      </c>
      <c r="E406" s="10" t="s">
        <v>2392</v>
      </c>
      <c r="F406" s="46" t="s">
        <v>115</v>
      </c>
    </row>
    <row r="407">
      <c r="A407" s="244" t="s">
        <v>3224</v>
      </c>
      <c r="B407" s="54">
        <f>IF(A407="", "", IF(IFERROR(VLOOKUP(A407, 'Base 3F'!$B:$C, 2, FALSE),"")="", "SIN CUIT", VLOOKUP(A407, 'Base 3F'!$B:$C, 2, FALSE)))</f>
        <v>27219366030</v>
      </c>
      <c r="C407" s="42" t="str">
        <f>IF(A407="", "", IF(IFERROR(VLOOKUP(A407, 'Base 3F'!$B:$J, 9, FALSE),"")="", "SIN RUBRO", VLOOKUP(A407, 'Base 3F'!$B:$J, 9, FALSE)))</f>
        <v>Textil</v>
      </c>
      <c r="D407" s="244" t="s">
        <v>617</v>
      </c>
      <c r="E407" s="10" t="s">
        <v>2392</v>
      </c>
      <c r="F407" s="46" t="s">
        <v>115</v>
      </c>
    </row>
    <row r="408">
      <c r="A408" s="244" t="s">
        <v>3227</v>
      </c>
      <c r="B408" s="54">
        <f>IF(A408="", "", IF(IFERROR(VLOOKUP(A408, 'Base 3F'!$B:$C, 2, FALSE),"")="", "SIN CUIT", VLOOKUP(A408, 'Base 3F'!$B:$C, 2, FALSE)))</f>
        <v>23135017299</v>
      </c>
      <c r="C408" s="42" t="str">
        <f>IF(A408="", "", IF(IFERROR(VLOOKUP(A408, 'Base 3F'!$B:$J, 9, FALSE),"")="", "SIN RUBRO", VLOOKUP(A408, 'Base 3F'!$B:$J, 9, FALSE)))</f>
        <v>Caucho</v>
      </c>
      <c r="D408" s="120" t="s">
        <v>618</v>
      </c>
      <c r="E408" s="10" t="s">
        <v>2392</v>
      </c>
      <c r="F408" s="46" t="s">
        <v>115</v>
      </c>
    </row>
    <row r="409">
      <c r="A409" s="244" t="s">
        <v>3236</v>
      </c>
      <c r="B409" s="54">
        <f>IF(A409="", "", IF(IFERROR(VLOOKUP(A409, 'Base 3F'!$B:$C, 2, FALSE),"")="", "SIN CUIT", VLOOKUP(A409, 'Base 3F'!$B:$C, 2, FALSE)))</f>
        <v>20107603418</v>
      </c>
      <c r="C409" s="42" t="str">
        <f>IF(A409="", "", IF(IFERROR(VLOOKUP(A409, 'Base 3F'!$B:$J, 9, FALSE),"")="", "SIN RUBRO", VLOOKUP(A409, 'Base 3F'!$B:$J, 9, FALSE)))</f>
        <v>Plástica</v>
      </c>
      <c r="D409" s="244" t="s">
        <v>620</v>
      </c>
      <c r="E409" s="10" t="s">
        <v>2392</v>
      </c>
      <c r="F409" s="46" t="s">
        <v>115</v>
      </c>
    </row>
    <row r="410">
      <c r="A410" s="244" t="s">
        <v>3238</v>
      </c>
      <c r="B410" s="54">
        <f>IF(A410="", "", IF(IFERROR(VLOOKUP(A410, 'Base 3F'!$B:$C, 2, FALSE),"")="", "SIN CUIT", VLOOKUP(A410, 'Base 3F'!$B:$C, 2, FALSE)))</f>
        <v>30716466147</v>
      </c>
      <c r="C410" s="42" t="str">
        <f>IF(A410="", "", IF(IFERROR(VLOOKUP(A410, 'Base 3F'!$B:$J, 9, FALSE),"")="", "SIN RUBRO", VLOOKUP(A410, 'Base 3F'!$B:$J, 9, FALSE)))</f>
        <v>Alimenticia</v>
      </c>
      <c r="D410" s="191" t="s">
        <v>623</v>
      </c>
      <c r="E410" s="10" t="s">
        <v>2392</v>
      </c>
      <c r="F410" s="46" t="s">
        <v>1625</v>
      </c>
    </row>
    <row r="411">
      <c r="A411" s="244" t="s">
        <v>3240</v>
      </c>
      <c r="B411" s="54">
        <f>IF(A411="", "", IF(IFERROR(VLOOKUP(A411, 'Base 3F'!$B:$C, 2, FALSE),"")="", "SIN CUIT", VLOOKUP(A411, 'Base 3F'!$B:$C, 2, FALSE)))</f>
        <v>30715802887</v>
      </c>
      <c r="C411" s="42" t="str">
        <f>IF(A411="", "", IF(IFERROR(VLOOKUP(A411, 'Base 3F'!$B:$J, 9, FALSE),"")="", "SIN RUBRO", VLOOKUP(A411, 'Base 3F'!$B:$J, 9, FALSE)))</f>
        <v>Papel</v>
      </c>
      <c r="D411" s="244" t="s">
        <v>624</v>
      </c>
      <c r="E411" s="10" t="s">
        <v>2392</v>
      </c>
      <c r="F411" s="46" t="s">
        <v>115</v>
      </c>
    </row>
    <row r="412">
      <c r="A412" s="244" t="s">
        <v>3242</v>
      </c>
      <c r="B412" s="54">
        <f>IF(A412="", "", IF(IFERROR(VLOOKUP(A412, 'Base 3F'!$B:$C, 2, FALSE),"")="", "SIN CUIT", VLOOKUP(A412, 'Base 3F'!$B:$C, 2, FALSE)))</f>
        <v>30716481669</v>
      </c>
      <c r="C412" s="42" t="str">
        <f>IF(A412="", "", IF(IFERROR(VLOOKUP(A412, 'Base 3F'!$B:$J, 9, FALSE),"")="", "SIN RUBRO", VLOOKUP(A412, 'Base 3F'!$B:$J, 9, FALSE)))</f>
        <v>Metalúrgica</v>
      </c>
      <c r="D412" s="120" t="s">
        <v>626</v>
      </c>
      <c r="E412" s="10" t="s">
        <v>2392</v>
      </c>
      <c r="F412" s="46" t="s">
        <v>115</v>
      </c>
    </row>
    <row r="413">
      <c r="A413" s="244" t="s">
        <v>3247</v>
      </c>
      <c r="B413" s="54">
        <f>IF(A413="", "", IF(IFERROR(VLOOKUP(A413, 'Base 3F'!$B:$C, 2, FALSE),"")="", "SIN CUIT", VLOOKUP(A413, 'Base 3F'!$B:$C, 2, FALSE)))</f>
        <v>20143102743</v>
      </c>
      <c r="C413" s="42" t="str">
        <f>IF(A413="", "", IF(IFERROR(VLOOKUP(A413, 'Base 3F'!$B:$J, 9, FALSE),"")="", "SIN RUBRO", VLOOKUP(A413, 'Base 3F'!$B:$J, 9, FALSE)))</f>
        <v>Imprenta</v>
      </c>
      <c r="D413" s="244" t="s">
        <v>627</v>
      </c>
      <c r="E413" s="10" t="s">
        <v>2392</v>
      </c>
      <c r="F413" s="46" t="s">
        <v>115</v>
      </c>
    </row>
    <row r="414">
      <c r="A414" s="244" t="s">
        <v>3254</v>
      </c>
      <c r="B414" s="54">
        <f>IF(A414="", "", IF(IFERROR(VLOOKUP(A414, 'Base 3F'!$B:$C, 2, FALSE),"")="", "SIN CUIT", VLOOKUP(A414, 'Base 3F'!$B:$C, 2, FALSE)))</f>
        <v>20082671308</v>
      </c>
      <c r="C414" s="42" t="str">
        <f>IF(A414="", "", IF(IFERROR(VLOOKUP(A414, 'Base 3F'!$B:$J, 9, FALSE),"")="", "SIN RUBRO", VLOOKUP(A414, 'Base 3F'!$B:$J, 9, FALSE)))</f>
        <v>Plástica</v>
      </c>
      <c r="D414" s="244" t="s">
        <v>628</v>
      </c>
      <c r="E414" s="10" t="s">
        <v>2392</v>
      </c>
      <c r="F414" s="46" t="s">
        <v>115</v>
      </c>
    </row>
    <row r="415">
      <c r="A415" s="244" t="s">
        <v>3257</v>
      </c>
      <c r="B415" s="54">
        <f>IF(A415="", "", IF(IFERROR(VLOOKUP(A415, 'Base 3F'!$B:$C, 2, FALSE),"")="", "SIN CUIT", VLOOKUP(A415, 'Base 3F'!$B:$C, 2, FALSE)))</f>
        <v>30717179842</v>
      </c>
      <c r="C415" s="42" t="str">
        <f>IF(A415="", "", IF(IFERROR(VLOOKUP(A415, 'Base 3F'!$B:$J, 9, FALSE),"")="", "SIN RUBRO", VLOOKUP(A415, 'Base 3F'!$B:$J, 9, FALSE)))</f>
        <v>Plástica</v>
      </c>
      <c r="D415" s="120" t="s">
        <v>3261</v>
      </c>
      <c r="E415" s="10" t="s">
        <v>2392</v>
      </c>
      <c r="F415" s="46" t="s">
        <v>115</v>
      </c>
    </row>
    <row r="416">
      <c r="A416" s="244" t="s">
        <v>3262</v>
      </c>
      <c r="B416" s="54">
        <f>IF(A416="", "", IF(IFERROR(VLOOKUP(A416, 'Base 3F'!$B:$C, 2, FALSE),"")="", "SIN CUIT", VLOOKUP(A416, 'Base 3F'!$B:$C, 2, FALSE)))</f>
        <v>30715599232</v>
      </c>
      <c r="C416" s="42" t="str">
        <f>IF(A416="", "", IF(IFERROR(VLOOKUP(A416, 'Base 3F'!$B:$J, 9, FALSE),"")="", "SIN RUBRO", VLOOKUP(A416, 'Base 3F'!$B:$J, 9, FALSE)))</f>
        <v>Metalúrgica</v>
      </c>
      <c r="D416" s="244" t="s">
        <v>632</v>
      </c>
      <c r="E416" s="10" t="s">
        <v>2392</v>
      </c>
      <c r="F416" s="46" t="s">
        <v>115</v>
      </c>
    </row>
    <row r="417">
      <c r="A417" s="244" t="s">
        <v>3266</v>
      </c>
      <c r="B417" s="54">
        <f>IF(A417="", "", IF(IFERROR(VLOOKUP(A417, 'Base 3F'!$B:$C, 2, FALSE),"")="", "SIN CUIT", VLOOKUP(A417, 'Base 3F'!$B:$C, 2, FALSE)))</f>
        <v>27119119907</v>
      </c>
      <c r="C417" s="42" t="str">
        <f>IF(A417="", "", IF(IFERROR(VLOOKUP(A417, 'Base 3F'!$B:$J, 9, FALSE),"")="", "SIN RUBRO", VLOOKUP(A417, 'Base 3F'!$B:$J, 9, FALSE)))</f>
        <v>Metalúrgica</v>
      </c>
      <c r="D417" s="120" t="s">
        <v>634</v>
      </c>
      <c r="E417" s="10" t="s">
        <v>2392</v>
      </c>
      <c r="F417" s="46" t="s">
        <v>115</v>
      </c>
    </row>
    <row r="418">
      <c r="A418" s="245" t="s">
        <v>3270</v>
      </c>
      <c r="B418" s="10">
        <v>3.3717414379E10</v>
      </c>
      <c r="C418" s="42" t="str">
        <f>IF(A418="", "", IF(IFERROR(VLOOKUP(A418, 'Base 3F'!$B:$J, 9, FALSE),"")="", "SIN RUBRO", VLOOKUP(A418, 'Base 3F'!$B:$J, 9, FALSE)))</f>
        <v>Metalúrgica</v>
      </c>
      <c r="D418" s="245" t="s">
        <v>635</v>
      </c>
      <c r="E418" s="10" t="s">
        <v>2392</v>
      </c>
      <c r="F418" s="46" t="s">
        <v>310</v>
      </c>
    </row>
    <row r="419">
      <c r="A419" s="244" t="s">
        <v>3275</v>
      </c>
      <c r="B419" s="54">
        <f>IF(A419="", "", IF(IFERROR(VLOOKUP(A419, 'Base 3F'!$B:$C, 2, FALSE),"")="", "SIN CUIT", VLOOKUP(A419, 'Base 3F'!$B:$C, 2, FALSE)))</f>
        <v>20227214865</v>
      </c>
      <c r="C419" s="42" t="str">
        <f>IF(A419="", "", IF(IFERROR(VLOOKUP(A419, 'Base 3F'!$B:$J, 9, FALSE),"")="", "SIN RUBRO", VLOOKUP(A419, 'Base 3F'!$B:$J, 9, FALSE)))</f>
        <v>Alimenticia</v>
      </c>
      <c r="D419" s="120" t="s">
        <v>636</v>
      </c>
      <c r="E419" s="10" t="s">
        <v>2392</v>
      </c>
      <c r="F419" s="46" t="s">
        <v>115</v>
      </c>
    </row>
    <row r="420">
      <c r="A420" s="244" t="s">
        <v>3280</v>
      </c>
      <c r="B420" s="54">
        <f>IF(A420="", "", IF(IFERROR(VLOOKUP(A420, 'Base 3F'!$B:$C, 2, FALSE),"")="", "SIN CUIT", VLOOKUP(A420, 'Base 3F'!$B:$C, 2, FALSE)))</f>
        <v>30717619753</v>
      </c>
      <c r="C420" s="42" t="str">
        <f>IF(A420="", "", IF(IFERROR(VLOOKUP(A420, 'Base 3F'!$B:$J, 9, FALSE),"")="", "SIN RUBRO", VLOOKUP(A420, 'Base 3F'!$B:$J, 9, FALSE)))</f>
        <v>Alimenticia</v>
      </c>
      <c r="D420" s="245" t="s">
        <v>637</v>
      </c>
      <c r="E420" s="10" t="s">
        <v>2392</v>
      </c>
      <c r="F420" s="46" t="s">
        <v>1625</v>
      </c>
    </row>
    <row r="421">
      <c r="A421" s="244" t="s">
        <v>3285</v>
      </c>
      <c r="B421" s="54">
        <f>IF(A421="", "", IF(IFERROR(VLOOKUP(A421, 'Base 3F'!$B:$C, 2, FALSE),"")="", "SIN CUIT", VLOOKUP(A421, 'Base 3F'!$B:$C, 2, FALSE)))</f>
        <v>30715604635</v>
      </c>
      <c r="C421" s="42" t="str">
        <f>IF(A421="", "", IF(IFERROR(VLOOKUP(A421, 'Base 3F'!$B:$J, 9, FALSE),"")="", "SIN RUBRO", VLOOKUP(A421, 'Base 3F'!$B:$J, 9, FALSE)))</f>
        <v>Alimenticia</v>
      </c>
      <c r="D421" s="244" t="s">
        <v>639</v>
      </c>
      <c r="E421" s="10" t="s">
        <v>2392</v>
      </c>
      <c r="F421" s="46" t="s">
        <v>115</v>
      </c>
    </row>
    <row r="422">
      <c r="A422" s="244" t="s">
        <v>3291</v>
      </c>
      <c r="B422" s="54">
        <f>IF(A422="", "", IF(IFERROR(VLOOKUP(A422, 'Base 3F'!$B:$C, 2, FALSE),"")="", "SIN CUIT", VLOOKUP(A422, 'Base 3F'!$B:$C, 2, FALSE)))</f>
        <v>20308378498</v>
      </c>
      <c r="C422" s="42" t="str">
        <f>IF(A422="", "", IF(IFERROR(VLOOKUP(A422, 'Base 3F'!$B:$J, 9, FALSE),"")="", "SIN RUBRO", VLOOKUP(A422, 'Base 3F'!$B:$J, 9, FALSE)))</f>
        <v>Química</v>
      </c>
      <c r="D422" s="244" t="s">
        <v>640</v>
      </c>
      <c r="E422" s="10" t="s">
        <v>2392</v>
      </c>
      <c r="F422" s="46" t="s">
        <v>115</v>
      </c>
    </row>
    <row r="423">
      <c r="A423" s="244" t="s">
        <v>3293</v>
      </c>
      <c r="B423" s="54">
        <f>IF(A423="", "", IF(IFERROR(VLOOKUP(A423, 'Base 3F'!$B:$C, 2, FALSE),"")="", "SIN CUIT", VLOOKUP(A423, 'Base 3F'!$B:$C, 2, FALSE)))</f>
        <v>27052789597</v>
      </c>
      <c r="C423" s="42" t="str">
        <f>IF(A423="", "", IF(IFERROR(VLOOKUP(A423, 'Base 3F'!$B:$J, 9, FALSE),"")="", "SIN RUBRO", VLOOKUP(A423, 'Base 3F'!$B:$J, 9, FALSE)))</f>
        <v>Electrónica</v>
      </c>
      <c r="D423" s="120" t="s">
        <v>641</v>
      </c>
      <c r="E423" s="10" t="s">
        <v>2392</v>
      </c>
      <c r="F423" s="46" t="s">
        <v>115</v>
      </c>
    </row>
    <row r="424">
      <c r="A424" s="244" t="s">
        <v>3299</v>
      </c>
      <c r="B424" s="54">
        <f>IF(A424="", "", IF(IFERROR(VLOOKUP(A424, 'Base 3F'!$B:$C, 2, FALSE),"")="", "SIN CUIT", VLOOKUP(A424, 'Base 3F'!$B:$C, 2, FALSE)))</f>
        <v>20359896000</v>
      </c>
      <c r="C424" s="42" t="str">
        <f>IF(A424="", "", IF(IFERROR(VLOOKUP(A424, 'Base 3F'!$B:$J, 9, FALSE),"")="", "SIN RUBRO", VLOOKUP(A424, 'Base 3F'!$B:$J, 9, FALSE)))</f>
        <v>Plástica</v>
      </c>
      <c r="D424" s="244" t="s">
        <v>644</v>
      </c>
      <c r="E424" s="10" t="s">
        <v>2392</v>
      </c>
      <c r="F424" s="46" t="s">
        <v>115</v>
      </c>
    </row>
    <row r="425">
      <c r="A425" s="244" t="s">
        <v>3303</v>
      </c>
      <c r="B425" s="54">
        <f>IF(A425="", "", IF(IFERROR(VLOOKUP(A425, 'Base 3F'!$B:$C, 2, FALSE),"")="", "SIN CUIT", VLOOKUP(A425, 'Base 3F'!$B:$C, 2, FALSE)))</f>
        <v>20176021714</v>
      </c>
      <c r="C425" s="42" t="str">
        <f>IF(A425="", "", IF(IFERROR(VLOOKUP(A425, 'Base 3F'!$B:$J, 9, FALSE),"")="", "SIN RUBRO", VLOOKUP(A425, 'Base 3F'!$B:$J, 9, FALSE)))</f>
        <v>Metalúrgica</v>
      </c>
      <c r="D425" s="244" t="s">
        <v>645</v>
      </c>
      <c r="E425" s="10" t="s">
        <v>2392</v>
      </c>
      <c r="F425" s="46" t="s">
        <v>115</v>
      </c>
    </row>
    <row r="426">
      <c r="A426" s="244" t="s">
        <v>3304</v>
      </c>
      <c r="B426" s="54">
        <f>IF(A426="", "", IF(IFERROR(VLOOKUP(A426, 'Base 3F'!$B:$C, 2, FALSE),"")="", "SIN CUIT", VLOOKUP(A426, 'Base 3F'!$B:$C, 2, FALSE)))</f>
        <v>30712373047</v>
      </c>
      <c r="C426" s="42" t="str">
        <f>IF(A426="", "", IF(IFERROR(VLOOKUP(A426, 'Base 3F'!$B:$J, 9, FALSE),"")="", "SIN RUBRO", VLOOKUP(A426, 'Base 3F'!$B:$J, 9, FALSE)))</f>
        <v>Madera</v>
      </c>
      <c r="D426" s="244" t="s">
        <v>648</v>
      </c>
      <c r="E426" s="10" t="s">
        <v>2392</v>
      </c>
      <c r="F426" s="46" t="s">
        <v>115</v>
      </c>
    </row>
    <row r="427">
      <c r="A427" s="244" t="s">
        <v>3310</v>
      </c>
      <c r="B427" s="54">
        <f>IF(A427="", "", IF(IFERROR(VLOOKUP(A427, 'Base 3F'!$B:$C, 2, FALSE),"")="", "SIN CUIT", VLOOKUP(A427, 'Base 3F'!$B:$C, 2, FALSE)))</f>
        <v>20288571571</v>
      </c>
      <c r="C427" s="42" t="str">
        <f>IF(A427="", "", IF(IFERROR(VLOOKUP(A427, 'Base 3F'!$B:$J, 9, FALSE),"")="", "SIN RUBRO", VLOOKUP(A427, 'Base 3F'!$B:$J, 9, FALSE)))</f>
        <v>Madera</v>
      </c>
      <c r="D427" s="244" t="s">
        <v>650</v>
      </c>
      <c r="E427" s="10" t="s">
        <v>2392</v>
      </c>
      <c r="F427" s="46" t="s">
        <v>115</v>
      </c>
    </row>
    <row r="428">
      <c r="A428" s="244" t="s">
        <v>3312</v>
      </c>
      <c r="B428" s="54">
        <f>IF(A428="", "", IF(IFERROR(VLOOKUP(A428, 'Base 3F'!$B:$C, 2, FALSE),"")="", "SIN CUIT", VLOOKUP(A428, 'Base 3F'!$B:$C, 2, FALSE)))</f>
        <v>30717389529</v>
      </c>
      <c r="C428" s="42" t="str">
        <f>IF(A428="", "", IF(IFERROR(VLOOKUP(A428, 'Base 3F'!$B:$J, 9, FALSE),"")="", "SIN RUBRO", VLOOKUP(A428, 'Base 3F'!$B:$J, 9, FALSE)))</f>
        <v>Alimenticia</v>
      </c>
      <c r="D428" s="244" t="s">
        <v>651</v>
      </c>
      <c r="E428" s="10" t="s">
        <v>2392</v>
      </c>
      <c r="F428" s="46" t="s">
        <v>115</v>
      </c>
    </row>
    <row r="429">
      <c r="A429" s="244" t="s">
        <v>3319</v>
      </c>
      <c r="B429" s="54">
        <f>IF(A429="", "", IF(IFERROR(VLOOKUP(A429, 'Base 3F'!$B:$C, 2, FALSE),"")="", "SIN CUIT", VLOOKUP(A429, 'Base 3F'!$B:$C, 2, FALSE)))</f>
        <v>33716790369</v>
      </c>
      <c r="C429" s="42" t="str">
        <f>IF(A429="", "", IF(IFERROR(VLOOKUP(A429, 'Base 3F'!$B:$J, 9, FALSE),"")="", "SIN RUBRO", VLOOKUP(A429, 'Base 3F'!$B:$J, 9, FALSE)))</f>
        <v>Metalúrgica</v>
      </c>
      <c r="D429" s="120" t="s">
        <v>652</v>
      </c>
      <c r="E429" s="10" t="s">
        <v>2392</v>
      </c>
      <c r="F429" s="46" t="s">
        <v>115</v>
      </c>
    </row>
    <row r="430">
      <c r="A430" s="244" t="s">
        <v>3325</v>
      </c>
      <c r="B430" s="54">
        <f>IF(A430="", "", IF(IFERROR(VLOOKUP(A430, 'Base 3F'!$B:$C, 2, FALSE),"")="", "SIN CUIT", VLOOKUP(A430, 'Base 3F'!$B:$C, 2, FALSE)))</f>
        <v>20940698198</v>
      </c>
      <c r="C430" s="42" t="str">
        <f>IF(A430="", "", IF(IFERROR(VLOOKUP(A430, 'Base 3F'!$B:$J, 9, FALSE),"")="", "SIN RUBRO", VLOOKUP(A430, 'Base 3F'!$B:$J, 9, FALSE)))</f>
        <v>Textil</v>
      </c>
      <c r="D430" s="244" t="s">
        <v>653</v>
      </c>
      <c r="E430" s="10" t="s">
        <v>2392</v>
      </c>
      <c r="F430" s="46" t="s">
        <v>115</v>
      </c>
    </row>
    <row r="431">
      <c r="A431" s="244" t="s">
        <v>3327</v>
      </c>
      <c r="B431" s="54">
        <f>IF(A431="", "", IF(IFERROR(VLOOKUP(A431, 'Base 3F'!$B:$C, 2, FALSE),"")="", "SIN CUIT", VLOOKUP(A431, 'Base 3F'!$B:$C, 2, FALSE)))</f>
        <v>30714112216</v>
      </c>
      <c r="C431" s="42" t="str">
        <f>IF(A431="", "", IF(IFERROR(VLOOKUP(A431, 'Base 3F'!$B:$J, 9, FALSE),"")="", "SIN RUBRO", VLOOKUP(A431, 'Base 3F'!$B:$J, 9, FALSE)))</f>
        <v>Metalúrgica</v>
      </c>
      <c r="D431" s="120" t="s">
        <v>654</v>
      </c>
      <c r="E431" s="10" t="s">
        <v>2392</v>
      </c>
      <c r="F431" s="46" t="s">
        <v>115</v>
      </c>
    </row>
    <row r="432">
      <c r="A432" s="244" t="s">
        <v>3331</v>
      </c>
      <c r="B432" s="54">
        <f>IF(A432="", "", IF(IFERROR(VLOOKUP(A432, 'Base 3F'!$B:$C, 2, FALSE),"")="", "SIN CUIT", VLOOKUP(A432, 'Base 3F'!$B:$C, 2, FALSE)))</f>
        <v>30612383983</v>
      </c>
      <c r="C432" s="42" t="str">
        <f>IF(A432="", "", IF(IFERROR(VLOOKUP(A432, 'Base 3F'!$B:$J, 9, FALSE),"")="", "SIN RUBRO", VLOOKUP(A432, 'Base 3F'!$B:$J, 9, FALSE)))</f>
        <v>Metalúrgica</v>
      </c>
      <c r="D432" s="244" t="s">
        <v>655</v>
      </c>
      <c r="E432" s="10" t="s">
        <v>2392</v>
      </c>
      <c r="F432" s="46" t="s">
        <v>115</v>
      </c>
    </row>
    <row r="433">
      <c r="A433" s="244" t="s">
        <v>3336</v>
      </c>
      <c r="B433" s="54">
        <f>IF(A433="", "", IF(IFERROR(VLOOKUP(A433, 'Base 3F'!$B:$C, 2, FALSE),"")="", "SIN CUIT", VLOOKUP(A433, 'Base 3F'!$B:$C, 2, FALSE)))</f>
        <v>30717324257</v>
      </c>
      <c r="C433" s="42" t="str">
        <f>IF(A433="", "", IF(IFERROR(VLOOKUP(A433, 'Base 3F'!$B:$J, 9, FALSE),"")="", "SIN RUBRO", VLOOKUP(A433, 'Base 3F'!$B:$J, 9, FALSE)))</f>
        <v>Alimenticia</v>
      </c>
      <c r="D433" s="244" t="s">
        <v>656</v>
      </c>
      <c r="E433" s="10" t="s">
        <v>2392</v>
      </c>
      <c r="F433" s="46" t="s">
        <v>115</v>
      </c>
    </row>
    <row r="434">
      <c r="A434" s="244" t="s">
        <v>3338</v>
      </c>
      <c r="B434" s="54">
        <f>IF(A434="", "", IF(IFERROR(VLOOKUP(A434, 'Base 3F'!$B:$C, 2, FALSE),"")="", "SIN CUIT", VLOOKUP(A434, 'Base 3F'!$B:$C, 2, FALSE)))</f>
        <v>27347672055</v>
      </c>
      <c r="C434" s="42" t="str">
        <f>IF(A434="", "", IF(IFERROR(VLOOKUP(A434, 'Base 3F'!$B:$J, 9, FALSE),"")="", "SIN RUBRO", VLOOKUP(A434, 'Base 3F'!$B:$J, 9, FALSE)))</f>
        <v>Textil</v>
      </c>
      <c r="D434" s="244" t="s">
        <v>657</v>
      </c>
      <c r="E434" s="10" t="s">
        <v>2392</v>
      </c>
      <c r="F434" s="46" t="s">
        <v>115</v>
      </c>
    </row>
    <row r="435">
      <c r="A435" s="244" t="s">
        <v>3347</v>
      </c>
      <c r="B435" s="54">
        <f>IF(A435="", "", IF(IFERROR(VLOOKUP(A435, 'Base 3F'!$B:$C, 2, FALSE),"")="", "SIN CUIT", VLOOKUP(A435, 'Base 3F'!$B:$C, 2, FALSE)))</f>
        <v>20277185394</v>
      </c>
      <c r="C435" s="42" t="str">
        <f>IF(A435="", "", IF(IFERROR(VLOOKUP(A435, 'Base 3F'!$B:$J, 9, FALSE),"")="", "SIN RUBRO", VLOOKUP(A435, 'Base 3F'!$B:$J, 9, FALSE)))</f>
        <v>Textil</v>
      </c>
      <c r="D435" s="248" t="s">
        <v>1207</v>
      </c>
      <c r="E435" s="10" t="s">
        <v>2392</v>
      </c>
      <c r="F435" s="46" t="s">
        <v>115</v>
      </c>
    </row>
    <row r="436">
      <c r="A436" s="244" t="s">
        <v>3356</v>
      </c>
      <c r="B436" s="54">
        <f>IF(A436="", "", IF(IFERROR(VLOOKUP(A436, 'Base 3F'!$B:$C, 2, FALSE),"")="", "SIN CUIT", VLOOKUP(A436, 'Base 3F'!$B:$C, 2, FALSE)))</f>
        <v>20143099491</v>
      </c>
      <c r="C436" s="42" t="str">
        <f>IF(A436="", "", IF(IFERROR(VLOOKUP(A436, 'Base 3F'!$B:$J, 9, FALSE),"")="", "SIN RUBRO", VLOOKUP(A436, 'Base 3F'!$B:$J, 9, FALSE)))</f>
        <v>Textil</v>
      </c>
      <c r="D436" s="244" t="s">
        <v>664</v>
      </c>
      <c r="E436" s="10" t="s">
        <v>2392</v>
      </c>
      <c r="F436" s="46" t="s">
        <v>115</v>
      </c>
    </row>
    <row r="437">
      <c r="A437" s="244" t="s">
        <v>3360</v>
      </c>
      <c r="B437" s="54">
        <f>IF(A437="", "", IF(IFERROR(VLOOKUP(A437, 'Base 3F'!$B:$C, 2, FALSE),"")="", "SIN CUIT", VLOOKUP(A437, 'Base 3F'!$B:$C, 2, FALSE)))</f>
        <v>30717716651</v>
      </c>
      <c r="C437" s="42" t="str">
        <f>IF(A437="", "", IF(IFERROR(VLOOKUP(A437, 'Base 3F'!$B:$J, 9, FALSE),"")="", "SIN RUBRO", VLOOKUP(A437, 'Base 3F'!$B:$J, 9, FALSE)))</f>
        <v>Cosmética</v>
      </c>
      <c r="D437" s="244" t="s">
        <v>665</v>
      </c>
      <c r="E437" s="10" t="s">
        <v>2392</v>
      </c>
      <c r="F437" s="46" t="s">
        <v>115</v>
      </c>
    </row>
    <row r="438">
      <c r="A438" s="244" t="s">
        <v>3364</v>
      </c>
      <c r="B438" s="54">
        <f>IF(A438="", "", IF(IFERROR(VLOOKUP(A438, 'Base 3F'!$B:$C, 2, FALSE),"")="", "SIN CUIT", VLOOKUP(A438, 'Base 3F'!$B:$C, 2, FALSE)))</f>
        <v>30717779440</v>
      </c>
      <c r="C438" s="42" t="str">
        <f>IF(A438="", "", IF(IFERROR(VLOOKUP(A438, 'Base 3F'!$B:$J, 9, FALSE),"")="", "SIN RUBRO", VLOOKUP(A438, 'Base 3F'!$B:$J, 9, FALSE)))</f>
        <v>Metalúrgica</v>
      </c>
      <c r="D438" s="244" t="s">
        <v>668</v>
      </c>
      <c r="E438" s="10" t="s">
        <v>2392</v>
      </c>
      <c r="F438" s="46" t="s">
        <v>115</v>
      </c>
    </row>
    <row r="439">
      <c r="A439" s="244" t="s">
        <v>3375</v>
      </c>
      <c r="B439" s="54">
        <f>IF(A439="", "", IF(IFERROR(VLOOKUP(A439, 'Base 3F'!$B:$C, 2, FALSE),"")="", "SIN CUIT", VLOOKUP(A439, 'Base 3F'!$B:$C, 2, FALSE)))</f>
        <v>20343188537</v>
      </c>
      <c r="C439" s="42" t="str">
        <f>IF(A439="", "", IF(IFERROR(VLOOKUP(A439, 'Base 3F'!$B:$J, 9, FALSE),"")="", "SIN RUBRO", VLOOKUP(A439, 'Base 3F'!$B:$J, 9, FALSE)))</f>
        <v>Madera</v>
      </c>
      <c r="D439" s="244" t="s">
        <v>671</v>
      </c>
      <c r="E439" s="10" t="s">
        <v>2392</v>
      </c>
      <c r="F439" s="46" t="s">
        <v>115</v>
      </c>
    </row>
    <row r="440">
      <c r="A440" s="244" t="s">
        <v>3378</v>
      </c>
      <c r="B440" s="54">
        <f>IF(A440="", "", IF(IFERROR(VLOOKUP(A440, 'Base 3F'!$B:$C, 2, FALSE),"")="", "SIN CUIT", VLOOKUP(A440, 'Base 3F'!$B:$C, 2, FALSE)))</f>
        <v>30715645617</v>
      </c>
      <c r="C440" s="42" t="str">
        <f>IF(A440="", "", IF(IFERROR(VLOOKUP(A440, 'Base 3F'!$B:$J, 9, FALSE),"")="", "SIN RUBRO", VLOOKUP(A440, 'Base 3F'!$B:$J, 9, FALSE)))</f>
        <v>Alimenticia</v>
      </c>
      <c r="D440" s="244" t="s">
        <v>673</v>
      </c>
      <c r="E440" s="10" t="s">
        <v>2392</v>
      </c>
      <c r="F440" s="46" t="s">
        <v>115</v>
      </c>
    </row>
    <row r="441">
      <c r="A441" s="244" t="s">
        <v>3382</v>
      </c>
      <c r="B441" s="54">
        <f>IF(A441="", "", IF(IFERROR(VLOOKUP(A441, 'Base 3F'!$B:$C, 2, FALSE),"")="", "SIN CUIT", VLOOKUP(A441, 'Base 3F'!$B:$C, 2, FALSE)))</f>
        <v>30717400174</v>
      </c>
      <c r="C441" s="42" t="str">
        <f>IF(A441="", "", IF(IFERROR(VLOOKUP(A441, 'Base 3F'!$B:$J, 9, FALSE),"")="", "SIN RUBRO", VLOOKUP(A441, 'Base 3F'!$B:$J, 9, FALSE)))</f>
        <v>Textil</v>
      </c>
      <c r="D441" s="244" t="s">
        <v>674</v>
      </c>
      <c r="E441" s="10" t="s">
        <v>2392</v>
      </c>
      <c r="F441" s="46" t="s">
        <v>115</v>
      </c>
    </row>
    <row r="442">
      <c r="A442" s="244" t="s">
        <v>3385</v>
      </c>
      <c r="B442" s="54">
        <f>IF(A442="", "", IF(IFERROR(VLOOKUP(A442, 'Base 3F'!$B:$C, 2, FALSE),"")="", "SIN CUIT", VLOOKUP(A442, 'Base 3F'!$B:$C, 2, FALSE)))</f>
        <v>30716120208</v>
      </c>
      <c r="C442" s="42" t="str">
        <f>IF(A442="", "", IF(IFERROR(VLOOKUP(A442, 'Base 3F'!$B:$J, 9, FALSE),"")="", "SIN RUBRO", VLOOKUP(A442, 'Base 3F'!$B:$J, 9, FALSE)))</f>
        <v>Madera</v>
      </c>
      <c r="D442" s="244" t="s">
        <v>676</v>
      </c>
      <c r="E442" s="10" t="s">
        <v>2392</v>
      </c>
      <c r="F442" s="46" t="s">
        <v>115</v>
      </c>
    </row>
    <row r="443">
      <c r="A443" s="244" t="s">
        <v>3393</v>
      </c>
      <c r="B443" s="54">
        <f>IF(A443="", "", IF(IFERROR(VLOOKUP(A443, 'Base 3F'!$B:$C, 2, FALSE),"")="", "SIN CUIT", VLOOKUP(A443, 'Base 3F'!$B:$C, 2, FALSE)))</f>
        <v>30716483092</v>
      </c>
      <c r="C443" s="42" t="str">
        <f>IF(A443="", "", IF(IFERROR(VLOOKUP(A443, 'Base 3F'!$B:$J, 9, FALSE),"")="", "SIN RUBRO", VLOOKUP(A443, 'Base 3F'!$B:$J, 9, FALSE)))</f>
        <v>Textil</v>
      </c>
      <c r="D443" s="120" t="s">
        <v>677</v>
      </c>
      <c r="E443" s="10" t="s">
        <v>2392</v>
      </c>
      <c r="F443" s="46" t="s">
        <v>115</v>
      </c>
    </row>
    <row r="444">
      <c r="A444" s="244" t="s">
        <v>3397</v>
      </c>
      <c r="B444" s="54">
        <f>IF(A444="", "", IF(IFERROR(VLOOKUP(A444, 'Base 3F'!$B:$C, 2, FALSE),"")="", "SIN CUIT", VLOOKUP(A444, 'Base 3F'!$B:$C, 2, FALSE)))</f>
        <v>30717486842</v>
      </c>
      <c r="C444" s="42" t="str">
        <f>IF(A444="", "", IF(IFERROR(VLOOKUP(A444, 'Base 3F'!$B:$J, 9, FALSE),"")="", "SIN RUBRO", VLOOKUP(A444, 'Base 3F'!$B:$J, 9, FALSE)))</f>
        <v>Alimenticia </v>
      </c>
      <c r="D444" s="244" t="s">
        <v>679</v>
      </c>
      <c r="E444" s="10" t="s">
        <v>2392</v>
      </c>
      <c r="F444" s="46" t="s">
        <v>115</v>
      </c>
    </row>
    <row r="445">
      <c r="A445" s="244" t="s">
        <v>3401</v>
      </c>
      <c r="B445" s="54">
        <f>IF(A445="", "", IF(IFERROR(VLOOKUP(A445, 'Base 3F'!$B:$C, 2, FALSE),"")="", "SIN CUIT", VLOOKUP(A445, 'Base 3F'!$B:$C, 2, FALSE)))</f>
        <v>20359570296</v>
      </c>
      <c r="C445" s="42" t="str">
        <f>IF(A445="", "", IF(IFERROR(VLOOKUP(A445, 'Base 3F'!$B:$J, 9, FALSE),"")="", "SIN RUBRO", VLOOKUP(A445, 'Base 3F'!$B:$J, 9, FALSE)))</f>
        <v>Metalúrgica</v>
      </c>
      <c r="D445" s="120" t="s">
        <v>680</v>
      </c>
      <c r="E445" s="10" t="s">
        <v>2392</v>
      </c>
      <c r="F445" s="46" t="s">
        <v>115</v>
      </c>
    </row>
    <row r="446">
      <c r="A446" s="244" t="s">
        <v>3406</v>
      </c>
      <c r="B446" s="54">
        <f>IF(A446="", "", IF(IFERROR(VLOOKUP(A446, 'Base 3F'!$B:$C, 2, FALSE),"")="", "SIN CUIT", VLOOKUP(A446, 'Base 3F'!$B:$C, 2, FALSE)))</f>
        <v>30716112191</v>
      </c>
      <c r="C446" s="42" t="str">
        <f>IF(A446="", "", IF(IFERROR(VLOOKUP(A446, 'Base 3F'!$B:$J, 9, FALSE),"")="", "SIN RUBRO", VLOOKUP(A446, 'Base 3F'!$B:$J, 9, FALSE)))</f>
        <v>Calzado</v>
      </c>
      <c r="D446" s="244" t="s">
        <v>681</v>
      </c>
      <c r="E446" s="10" t="s">
        <v>2392</v>
      </c>
      <c r="F446" s="46" t="s">
        <v>115</v>
      </c>
    </row>
    <row r="447">
      <c r="A447" s="244" t="s">
        <v>3409</v>
      </c>
      <c r="B447" s="54">
        <f>IF(A447="", "", IF(IFERROR(VLOOKUP(A447, 'Base 3F'!$B:$C, 2, FALSE),"")="", "SIN CUIT", VLOOKUP(A447, 'Base 3F'!$B:$C, 2, FALSE)))</f>
        <v>20216517262</v>
      </c>
      <c r="C447" s="42" t="str">
        <f>IF(A447="", "", IF(IFERROR(VLOOKUP(A447, 'Base 3F'!$B:$J, 9, FALSE),"")="", "SIN RUBRO", VLOOKUP(A447, 'Base 3F'!$B:$J, 9, FALSE)))</f>
        <v>Alimenticia</v>
      </c>
      <c r="D447" s="244" t="s">
        <v>683</v>
      </c>
      <c r="E447" s="10" t="s">
        <v>2392</v>
      </c>
      <c r="F447" s="46" t="s">
        <v>115</v>
      </c>
    </row>
    <row r="448">
      <c r="A448" s="244" t="s">
        <v>3414</v>
      </c>
      <c r="B448" s="54">
        <f>IF(A448="", "", IF(IFERROR(VLOOKUP(A448, 'Base 3F'!$B:$C, 2, FALSE),"")="", "SIN CUIT", VLOOKUP(A448, 'Base 3F'!$B:$C, 2, FALSE)))</f>
        <v>30715102001</v>
      </c>
      <c r="C448" s="42" t="str">
        <f>IF(A448="", "", IF(IFERROR(VLOOKUP(A448, 'Base 3F'!$B:$J, 9, FALSE),"")="", "SIN RUBRO", VLOOKUP(A448, 'Base 3F'!$B:$J, 9, FALSE)))</f>
        <v>Metalúrgica</v>
      </c>
      <c r="D448" s="244" t="s">
        <v>684</v>
      </c>
      <c r="E448" s="10" t="s">
        <v>2392</v>
      </c>
      <c r="F448" s="46" t="s">
        <v>115</v>
      </c>
    </row>
    <row r="449">
      <c r="A449" s="244" t="s">
        <v>3417</v>
      </c>
      <c r="B449" s="54">
        <f>IF(A449="", "", IF(IFERROR(VLOOKUP(A449, 'Base 3F'!$B:$C, 2, FALSE),"")="", "SIN CUIT", VLOOKUP(A449, 'Base 3F'!$B:$C, 2, FALSE)))</f>
        <v>30717601315</v>
      </c>
      <c r="C449" s="42" t="str">
        <f>IF(A449="", "", IF(IFERROR(VLOOKUP(A449, 'Base 3F'!$B:$J, 9, FALSE),"")="", "SIN RUBRO", VLOOKUP(A449, 'Base 3F'!$B:$J, 9, FALSE)))</f>
        <v>Calzado</v>
      </c>
      <c r="D449" s="244" t="s">
        <v>685</v>
      </c>
      <c r="E449" s="10" t="s">
        <v>2392</v>
      </c>
      <c r="F449" s="46" t="s">
        <v>115</v>
      </c>
    </row>
    <row r="450">
      <c r="A450" s="244" t="s">
        <v>3420</v>
      </c>
      <c r="B450" s="54">
        <f>IF(A450="", "", IF(IFERROR(VLOOKUP(A450, 'Base 3F'!$B:$C, 2, FALSE),"")="", "SIN CUIT", VLOOKUP(A450, 'Base 3F'!$B:$C, 2, FALSE)))</f>
        <v>30716985748</v>
      </c>
      <c r="C450" s="42" t="str">
        <f>IF(A450="", "", IF(IFERROR(VLOOKUP(A450, 'Base 3F'!$B:$J, 9, FALSE),"")="", "SIN RUBRO", VLOOKUP(A450, 'Base 3F'!$B:$J, 9, FALSE)))</f>
        <v>Gráfica</v>
      </c>
      <c r="D450" s="244" t="s">
        <v>686</v>
      </c>
      <c r="E450" s="10" t="s">
        <v>2392</v>
      </c>
      <c r="F450" s="46" t="s">
        <v>115</v>
      </c>
    </row>
    <row r="451">
      <c r="A451" s="244" t="s">
        <v>3424</v>
      </c>
      <c r="B451" s="54">
        <f>IF(A451="", "", IF(IFERROR(VLOOKUP(A451, 'Base 3F'!$B:$C, 2, FALSE),"")="", "SIN CUIT", VLOOKUP(A451, 'Base 3F'!$B:$C, 2, FALSE)))</f>
        <v>30709084131</v>
      </c>
      <c r="C451" s="42" t="str">
        <f>IF(A451="", "", IF(IFERROR(VLOOKUP(A451, 'Base 3F'!$B:$J, 9, FALSE),"")="", "SIN RUBRO", VLOOKUP(A451, 'Base 3F'!$B:$J, 9, FALSE)))</f>
        <v>Química</v>
      </c>
      <c r="D451" s="120" t="s">
        <v>688</v>
      </c>
      <c r="E451" s="10" t="s">
        <v>2392</v>
      </c>
      <c r="F451" s="46" t="s">
        <v>115</v>
      </c>
    </row>
    <row r="452">
      <c r="A452" s="244" t="s">
        <v>3433</v>
      </c>
      <c r="B452" s="54">
        <f>IF(A452="", "", IF(IFERROR(VLOOKUP(A452, 'Base 3F'!$B:$C, 2, FALSE),"")="", "SIN CUIT", VLOOKUP(A452, 'Base 3F'!$B:$C, 2, FALSE)))</f>
        <v>20288577553</v>
      </c>
      <c r="C452" s="42" t="str">
        <f>IF(A452="", "", IF(IFERROR(VLOOKUP(A452, 'Base 3F'!$B:$J, 9, FALSE),"")="", "SIN RUBRO", VLOOKUP(A452, 'Base 3F'!$B:$J, 9, FALSE)))</f>
        <v>Alimenticia</v>
      </c>
      <c r="D452" s="245" t="s">
        <v>689</v>
      </c>
      <c r="E452" s="10" t="s">
        <v>2392</v>
      </c>
      <c r="F452" s="46" t="s">
        <v>1625</v>
      </c>
    </row>
    <row r="453">
      <c r="A453" s="244" t="s">
        <v>3434</v>
      </c>
      <c r="B453" s="54">
        <f>IF(A453="", "", IF(IFERROR(VLOOKUP(A453, 'Base 3F'!$B:$C, 2, FALSE),"")="", "SIN CUIT", VLOOKUP(A453, 'Base 3F'!$B:$C, 2, FALSE)))</f>
        <v>30711949166</v>
      </c>
      <c r="C453" s="42" t="str">
        <f>IF(A453="", "", IF(IFERROR(VLOOKUP(A453, 'Base 3F'!$B:$J, 9, FALSE),"")="", "SIN RUBRO", VLOOKUP(A453, 'Base 3F'!$B:$J, 9, FALSE)))</f>
        <v>Metalúrgica</v>
      </c>
      <c r="D453" s="120" t="s">
        <v>690</v>
      </c>
      <c r="E453" s="10" t="s">
        <v>2392</v>
      </c>
      <c r="F453" s="46" t="s">
        <v>115</v>
      </c>
    </row>
    <row r="454">
      <c r="A454" s="244" t="s">
        <v>3443</v>
      </c>
      <c r="B454" s="54">
        <f>IF(A454="", "", IF(IFERROR(VLOOKUP(A454, 'Base 3F'!$B:$C, 2, FALSE),"")="", "SIN CUIT", VLOOKUP(A454, 'Base 3F'!$B:$C, 2, FALSE)))</f>
        <v>30717144038</v>
      </c>
      <c r="C454" s="42" t="str">
        <f>IF(A454="", "", IF(IFERROR(VLOOKUP(A454, 'Base 3F'!$B:$J, 9, FALSE),"")="", "SIN RUBRO", VLOOKUP(A454, 'Base 3F'!$B:$J, 9, FALSE)))</f>
        <v>Caucho</v>
      </c>
      <c r="D454" s="244" t="s">
        <v>691</v>
      </c>
      <c r="E454" s="10" t="s">
        <v>2392</v>
      </c>
      <c r="F454" s="46" t="s">
        <v>115</v>
      </c>
    </row>
    <row r="455">
      <c r="A455" s="244" t="s">
        <v>3446</v>
      </c>
      <c r="B455" s="54">
        <f>IF(A455="", "", IF(IFERROR(VLOOKUP(A455, 'Base 3F'!$B:$C, 2, FALSE),"")="", "SIN CUIT", VLOOKUP(A455, 'Base 3F'!$B:$C, 2, FALSE)))</f>
        <v>30715194321</v>
      </c>
      <c r="C455" s="42" t="str">
        <f>IF(A455="", "", IF(IFERROR(VLOOKUP(A455, 'Base 3F'!$B:$J, 9, FALSE),"")="", "SIN RUBRO", VLOOKUP(A455, 'Base 3F'!$B:$J, 9, FALSE)))</f>
        <v>Alimenticia</v>
      </c>
      <c r="D455" s="244" t="s">
        <v>692</v>
      </c>
      <c r="E455" s="10" t="s">
        <v>2392</v>
      </c>
      <c r="F455" s="46" t="s">
        <v>115</v>
      </c>
    </row>
    <row r="456">
      <c r="A456" s="244" t="s">
        <v>3448</v>
      </c>
      <c r="B456" s="54">
        <f>IF(A456="", "", IF(IFERROR(VLOOKUP(A456, 'Base 3F'!$B:$C, 2, FALSE),"")="", "SIN CUIT", VLOOKUP(A456, 'Base 3F'!$B:$C, 2, FALSE)))</f>
        <v>20380270480</v>
      </c>
      <c r="C456" s="42" t="str">
        <f>IF(A456="", "", IF(IFERROR(VLOOKUP(A456, 'Base 3F'!$B:$J, 9, FALSE),"")="", "SIN RUBRO", VLOOKUP(A456, 'Base 3F'!$B:$J, 9, FALSE)))</f>
        <v>Bebidas</v>
      </c>
      <c r="D456" s="244" t="s">
        <v>695</v>
      </c>
      <c r="E456" s="10" t="s">
        <v>2392</v>
      </c>
      <c r="F456" s="46" t="s">
        <v>115</v>
      </c>
    </row>
    <row r="457">
      <c r="A457" s="244" t="s">
        <v>3453</v>
      </c>
      <c r="B457" s="54">
        <f>IF(A457="", "", IF(IFERROR(VLOOKUP(A457, 'Base 3F'!$B:$C, 2, FALSE),"")="", "SIN CUIT", VLOOKUP(A457, 'Base 3F'!$B:$C, 2, FALSE)))</f>
        <v>20353241290</v>
      </c>
      <c r="C457" s="42" t="str">
        <f>IF(A457="", "", IF(IFERROR(VLOOKUP(A457, 'Base 3F'!$B:$J, 9, FALSE),"")="", "SIN RUBRO", VLOOKUP(A457, 'Base 3F'!$B:$J, 9, FALSE)))</f>
        <v>Bebidas</v>
      </c>
      <c r="D457" s="120" t="s">
        <v>697</v>
      </c>
      <c r="E457" s="10" t="s">
        <v>2392</v>
      </c>
      <c r="F457" s="46" t="s">
        <v>115</v>
      </c>
    </row>
    <row r="458">
      <c r="A458" s="244" t="s">
        <v>3464</v>
      </c>
      <c r="B458" s="54">
        <f>IF(A458="", "", IF(IFERROR(VLOOKUP(A458, 'Base 3F'!$B:$C, 2, FALSE),"")="", "SIN CUIT", VLOOKUP(A458, 'Base 3F'!$B:$C, 2, FALSE)))</f>
        <v>30716406772</v>
      </c>
      <c r="C458" s="42" t="str">
        <f>IF(A458="", "", IF(IFERROR(VLOOKUP(A458, 'Base 3F'!$B:$J, 9, FALSE),"")="", "SIN RUBRO", VLOOKUP(A458, 'Base 3F'!$B:$J, 9, FALSE)))</f>
        <v>Bebidas</v>
      </c>
      <c r="D458" s="244" t="s">
        <v>698</v>
      </c>
      <c r="E458" s="10" t="s">
        <v>2392</v>
      </c>
      <c r="F458" s="46" t="s">
        <v>115</v>
      </c>
    </row>
    <row r="459">
      <c r="A459" s="244" t="s">
        <v>3467</v>
      </c>
      <c r="B459" s="54">
        <f>IF(A459="", "", IF(IFERROR(VLOOKUP(A459, 'Base 3F'!$B:$C, 2, FALSE),"")="", "SIN CUIT", VLOOKUP(A459, 'Base 3F'!$B:$C, 2, FALSE)))</f>
        <v>30716576937</v>
      </c>
      <c r="C459" s="42" t="str">
        <f>IF(A459="", "", IF(IFERROR(VLOOKUP(A459, 'Base 3F'!$B:$J, 9, FALSE),"")="", "SIN RUBRO", VLOOKUP(A459, 'Base 3F'!$B:$J, 9, FALSE)))</f>
        <v>Metalúrgica</v>
      </c>
      <c r="D459" s="244" t="s">
        <v>699</v>
      </c>
      <c r="E459" s="10" t="s">
        <v>2392</v>
      </c>
      <c r="F459" s="46" t="s">
        <v>115</v>
      </c>
    </row>
    <row r="460">
      <c r="A460" s="244" t="s">
        <v>3475</v>
      </c>
      <c r="B460" s="54">
        <f>IF(A460="", "", IF(IFERROR(VLOOKUP(A460, 'Base 3F'!$B:$C, 2, FALSE),"")="", "SIN CUIT", VLOOKUP(A460, 'Base 3F'!$B:$C, 2, FALSE)))</f>
        <v>30717100278</v>
      </c>
      <c r="C460" s="42" t="str">
        <f>IF(A460="", "", IF(IFERROR(VLOOKUP(A460, 'Base 3F'!$B:$J, 9, FALSE),"")="", "SIN RUBRO", VLOOKUP(A460, 'Base 3F'!$B:$J, 9, FALSE)))</f>
        <v>Metalúrgica</v>
      </c>
      <c r="D460" s="244" t="s">
        <v>700</v>
      </c>
      <c r="E460" s="10" t="s">
        <v>2392</v>
      </c>
      <c r="F460" s="46" t="s">
        <v>115</v>
      </c>
    </row>
    <row r="461">
      <c r="A461" s="244" t="s">
        <v>3479</v>
      </c>
      <c r="B461" s="54">
        <f>IF(A461="", "", IF(IFERROR(VLOOKUP(A461, 'Base 3F'!$B:$C, 2, FALSE),"")="", "SIN CUIT", VLOOKUP(A461, 'Base 3F'!$B:$C, 2, FALSE)))</f>
        <v>23316602584</v>
      </c>
      <c r="C461" s="42" t="str">
        <f>IF(A461="", "", IF(IFERROR(VLOOKUP(A461, 'Base 3F'!$B:$J, 9, FALSE),"")="", "SIN RUBRO", VLOOKUP(A461, 'Base 3F'!$B:$J, 9, FALSE)))</f>
        <v>Metalúrgica</v>
      </c>
      <c r="D461" s="120" t="s">
        <v>702</v>
      </c>
      <c r="E461" s="10" t="s">
        <v>2392</v>
      </c>
      <c r="F461" s="46" t="s">
        <v>115</v>
      </c>
    </row>
    <row r="462">
      <c r="A462" s="244" t="s">
        <v>3484</v>
      </c>
      <c r="B462" s="54">
        <f>IF(A462="", "", IF(IFERROR(VLOOKUP(A462, 'Base 3F'!$B:$C, 2, FALSE),"")="", "SIN CUIT", VLOOKUP(A462, 'Base 3F'!$B:$C, 2, FALSE)))</f>
        <v>27229802602</v>
      </c>
      <c r="C462" s="42" t="str">
        <f>IF(A462="", "", IF(IFERROR(VLOOKUP(A462, 'Base 3F'!$B:$J, 9, FALSE),"")="", "SIN RUBRO", VLOOKUP(A462, 'Base 3F'!$B:$J, 9, FALSE)))</f>
        <v>Metalúrgica</v>
      </c>
      <c r="D462" s="244" t="s">
        <v>703</v>
      </c>
      <c r="E462" s="10" t="s">
        <v>2392</v>
      </c>
      <c r="F462" s="46" t="s">
        <v>115</v>
      </c>
    </row>
    <row r="463">
      <c r="A463" s="244" t="s">
        <v>3490</v>
      </c>
      <c r="B463" s="54">
        <f>IF(A463="", "", IF(IFERROR(VLOOKUP(A463, 'Base 3F'!$B:$C, 2, FALSE),"")="", "SIN CUIT", VLOOKUP(A463, 'Base 3F'!$B:$C, 2, FALSE)))</f>
        <v>30711595356</v>
      </c>
      <c r="C463" s="42" t="str">
        <f>IF(A463="", "", IF(IFERROR(VLOOKUP(A463, 'Base 3F'!$B:$J, 9, FALSE),"")="", "SIN RUBRO", VLOOKUP(A463, 'Base 3F'!$B:$J, 9, FALSE)))</f>
        <v>Papel</v>
      </c>
      <c r="D463" s="244" t="s">
        <v>705</v>
      </c>
      <c r="E463" s="10" t="s">
        <v>2392</v>
      </c>
      <c r="F463" s="46" t="s">
        <v>115</v>
      </c>
    </row>
    <row r="464">
      <c r="A464" s="244" t="s">
        <v>3497</v>
      </c>
      <c r="B464" s="54">
        <f>IF(A464="", "", IF(IFERROR(VLOOKUP(A464, 'Base 3F'!$B:$C, 2, FALSE),"")="", "SIN CUIT", VLOOKUP(A464, 'Base 3F'!$B:$C, 2, FALSE)))</f>
        <v>30714367265</v>
      </c>
      <c r="C464" s="42" t="str">
        <f>IF(A464="", "", IF(IFERROR(VLOOKUP(A464, 'Base 3F'!$B:$J, 9, FALSE),"")="", "SIN RUBRO", VLOOKUP(A464, 'Base 3F'!$B:$J, 9, FALSE)))</f>
        <v>Textil</v>
      </c>
      <c r="D464" s="120" t="s">
        <v>706</v>
      </c>
      <c r="E464" s="10" t="s">
        <v>2392</v>
      </c>
      <c r="F464" s="46" t="s">
        <v>115</v>
      </c>
    </row>
    <row r="465">
      <c r="A465" s="244" t="s">
        <v>3505</v>
      </c>
      <c r="B465" s="54">
        <f>IF(A465="", "", IF(IFERROR(VLOOKUP(A465, 'Base 3F'!$B:$C, 2, FALSE),"")="", "SIN CUIT", VLOOKUP(A465, 'Base 3F'!$B:$C, 2, FALSE)))</f>
        <v>30693219821</v>
      </c>
      <c r="C465" s="42" t="str">
        <f>IF(A465="", "", IF(IFERROR(VLOOKUP(A465, 'Base 3F'!$B:$J, 9, FALSE),"")="", "SIN RUBRO", VLOOKUP(A465, 'Base 3F'!$B:$J, 9, FALSE)))</f>
        <v>Metalúrgica</v>
      </c>
      <c r="D465" s="244" t="s">
        <v>710</v>
      </c>
      <c r="E465" s="10" t="s">
        <v>2392</v>
      </c>
      <c r="F465" s="46" t="s">
        <v>115</v>
      </c>
    </row>
    <row r="466">
      <c r="A466" s="244" t="s">
        <v>3509</v>
      </c>
      <c r="B466" s="54">
        <f>IF(A466="", "", IF(IFERROR(VLOOKUP(A466, 'Base 3F'!$B:$C, 2, FALSE),"")="", "SIN CUIT", VLOOKUP(A466, 'Base 3F'!$B:$C, 2, FALSE)))</f>
        <v>20337162658</v>
      </c>
      <c r="C466" s="42" t="str">
        <f>IF(A466="", "", IF(IFERROR(VLOOKUP(A466, 'Base 3F'!$B:$J, 9, FALSE),"")="", "SIN RUBRO", VLOOKUP(A466, 'Base 3F'!$B:$J, 9, FALSE)))</f>
        <v>Vidrio</v>
      </c>
      <c r="D466" s="244" t="s">
        <v>711</v>
      </c>
      <c r="E466" s="10" t="s">
        <v>2392</v>
      </c>
      <c r="F466" s="46" t="s">
        <v>115</v>
      </c>
    </row>
    <row r="467">
      <c r="A467" s="244" t="s">
        <v>3513</v>
      </c>
      <c r="B467" s="54">
        <f>IF(A467="", "", IF(IFERROR(VLOOKUP(A467, 'Base 3F'!$B:$C, 2, FALSE),"")="", "SIN CUIT", VLOOKUP(A467, 'Base 3F'!$B:$C, 2, FALSE)))</f>
        <v>20331542424</v>
      </c>
      <c r="C467" s="42" t="str">
        <f>IF(A467="", "", IF(IFERROR(VLOOKUP(A467, 'Base 3F'!$B:$J, 9, FALSE),"")="", "SIN RUBRO", VLOOKUP(A467, 'Base 3F'!$B:$J, 9, FALSE)))</f>
        <v>Papel</v>
      </c>
      <c r="D467" s="249" t="s">
        <v>712</v>
      </c>
      <c r="E467" s="10" t="s">
        <v>2392</v>
      </c>
      <c r="F467" s="46" t="s">
        <v>115</v>
      </c>
    </row>
    <row r="468">
      <c r="A468" s="244" t="s">
        <v>3516</v>
      </c>
      <c r="B468" s="54">
        <f>IF(A468="", "", IF(IFERROR(VLOOKUP(A468, 'Base 3F'!$B:$C, 2, FALSE),"")="", "SIN CUIT", VLOOKUP(A468, 'Base 3F'!$B:$C, 2, FALSE)))</f>
        <v>30717625362</v>
      </c>
      <c r="C468" s="42" t="str">
        <f>IF(A468="", "", IF(IFERROR(VLOOKUP(A468, 'Base 3F'!$B:$J, 9, FALSE),"")="", "SIN RUBRO", VLOOKUP(A468, 'Base 3F'!$B:$J, 9, FALSE)))</f>
        <v>Metalúrgica</v>
      </c>
      <c r="D468" s="250" t="s">
        <v>713</v>
      </c>
      <c r="E468" s="10" t="s">
        <v>2392</v>
      </c>
      <c r="F468" s="46" t="s">
        <v>115</v>
      </c>
    </row>
    <row r="469">
      <c r="A469" s="244" t="s">
        <v>3522</v>
      </c>
      <c r="B469" s="54">
        <f>IF(A469="", "", IF(IFERROR(VLOOKUP(A469, 'Base 3F'!$B:$C, 2, FALSE),"")="", "SIN CUIT", VLOOKUP(A469, 'Base 3F'!$B:$C, 2, FALSE)))</f>
        <v>30715728725</v>
      </c>
      <c r="C469" s="42" t="str">
        <f>IF(A469="", "", IF(IFERROR(VLOOKUP(A469, 'Base 3F'!$B:$J, 9, FALSE),"")="", "SIN RUBRO", VLOOKUP(A469, 'Base 3F'!$B:$J, 9, FALSE)))</f>
        <v>Metalúrgica</v>
      </c>
      <c r="D469" s="249" t="s">
        <v>714</v>
      </c>
      <c r="E469" s="10" t="s">
        <v>2392</v>
      </c>
      <c r="F469" s="46" t="s">
        <v>115</v>
      </c>
    </row>
    <row r="470">
      <c r="A470" s="244" t="s">
        <v>3525</v>
      </c>
      <c r="B470" s="54">
        <f>IF(A470="", "", IF(IFERROR(VLOOKUP(A470, 'Base 3F'!$B:$C, 2, FALSE),"")="", "SIN CUIT", VLOOKUP(A470, 'Base 3F'!$B:$C, 2, FALSE)))</f>
        <v>30710476884</v>
      </c>
      <c r="C470" s="42" t="str">
        <f>IF(A470="", "", IF(IFERROR(VLOOKUP(A470, 'Base 3F'!$B:$J, 9, FALSE),"")="", "SIN RUBRO", VLOOKUP(A470, 'Base 3F'!$B:$J, 9, FALSE)))</f>
        <v>Textil</v>
      </c>
      <c r="D470" s="250" t="s">
        <v>715</v>
      </c>
      <c r="E470" s="10" t="s">
        <v>2392</v>
      </c>
      <c r="F470" s="46" t="s">
        <v>115</v>
      </c>
    </row>
    <row r="471">
      <c r="A471" s="244" t="s">
        <v>3528</v>
      </c>
      <c r="B471" s="54">
        <f>IF(A471="", "", IF(IFERROR(VLOOKUP(A471, 'Base 3F'!$B:$C, 2, FALSE),"")="", "SIN CUIT", VLOOKUP(A471, 'Base 3F'!$B:$C, 2, FALSE)))</f>
        <v>20321976256</v>
      </c>
      <c r="C471" s="42" t="str">
        <f>IF(A471="", "", IF(IFERROR(VLOOKUP(A471, 'Base 3F'!$B:$J, 9, FALSE),"")="", "SIN RUBRO", VLOOKUP(A471, 'Base 3F'!$B:$J, 9, FALSE)))</f>
        <v>Metalúrgica</v>
      </c>
      <c r="D471" s="249" t="s">
        <v>716</v>
      </c>
      <c r="E471" s="10" t="s">
        <v>2392</v>
      </c>
      <c r="F471" s="46" t="s">
        <v>115</v>
      </c>
    </row>
    <row r="472">
      <c r="A472" s="244" t="s">
        <v>3532</v>
      </c>
      <c r="B472" s="54">
        <f>IF(A472="", "", IF(IFERROR(VLOOKUP(A472, 'Base 3F'!$B:$C, 2, FALSE),"")="", "SIN CUIT", VLOOKUP(A472, 'Base 3F'!$B:$C, 2, FALSE)))</f>
        <v>23408556279</v>
      </c>
      <c r="C472" s="42" t="str">
        <f>IF(A472="", "", IF(IFERROR(VLOOKUP(A472, 'Base 3F'!$B:$J, 9, FALSE),"")="", "SIN RUBRO", VLOOKUP(A472, 'Base 3F'!$B:$J, 9, FALSE)))</f>
        <v>Alimenticia</v>
      </c>
      <c r="D472" s="249" t="s">
        <v>3535</v>
      </c>
      <c r="E472" s="10" t="s">
        <v>2392</v>
      </c>
      <c r="F472" s="46" t="s">
        <v>115</v>
      </c>
    </row>
    <row r="473">
      <c r="A473" s="244" t="s">
        <v>3536</v>
      </c>
      <c r="B473" s="54">
        <f>IF(A473="", "", IF(IFERROR(VLOOKUP(A473, 'Base 3F'!$B:$C, 2, FALSE),"")="", "SIN CUIT", VLOOKUP(A473, 'Base 3F'!$B:$C, 2, FALSE)))</f>
        <v>30712150498</v>
      </c>
      <c r="C473" s="42" t="str">
        <f>IF(A473="", "", IF(IFERROR(VLOOKUP(A473, 'Base 3F'!$B:$J, 9, FALSE),"")="", "SIN RUBRO", VLOOKUP(A473, 'Base 3F'!$B:$J, 9, FALSE)))</f>
        <v>Alimenticia</v>
      </c>
      <c r="D473" s="249" t="s">
        <v>719</v>
      </c>
      <c r="E473" s="10" t="s">
        <v>2392</v>
      </c>
      <c r="F473" s="46" t="s">
        <v>115</v>
      </c>
    </row>
    <row r="474">
      <c r="A474" s="251" t="s">
        <v>3541</v>
      </c>
      <c r="B474" s="252">
        <f>IF(A474="", "", IF(IFERROR(VLOOKUP(A474, 'Base 3F'!$B:$C, 2, FALSE),"")="", "SIN CUIT", VLOOKUP(A474, 'Base 3F'!$B:$C, 2, FALSE)))</f>
        <v>30716594242</v>
      </c>
      <c r="C474" s="253" t="str">
        <f>IF(A474="", "", IF(IFERROR(VLOOKUP(A474, 'Base 3F'!$B:$J, 9, FALSE),"")="", "SIN RUBRO", VLOOKUP(A474, 'Base 3F'!$B:$J, 9, FALSE)))</f>
        <v>Electrónica</v>
      </c>
      <c r="D474" s="249" t="s">
        <v>720</v>
      </c>
      <c r="E474" s="10" t="s">
        <v>2392</v>
      </c>
      <c r="F474" s="46" t="s">
        <v>115</v>
      </c>
    </row>
    <row r="475">
      <c r="A475" s="251" t="s">
        <v>3543</v>
      </c>
      <c r="B475" s="252">
        <f>IF(A475="", "", IF(IFERROR(VLOOKUP(A475, 'Base 3F'!$B:$C, 2, FALSE),"")="", "SIN CUIT", VLOOKUP(A475, 'Base 3F'!$B:$C, 2, FALSE)))</f>
        <v>20341087245</v>
      </c>
      <c r="C475" s="253" t="str">
        <f>IF(A475="", "", IF(IFERROR(VLOOKUP(A475, 'Base 3F'!$B:$J, 9, FALSE),"")="", "SIN RUBRO", VLOOKUP(A475, 'Base 3F'!$B:$J, 9, FALSE)))</f>
        <v>Madera</v>
      </c>
      <c r="D475" s="249" t="s">
        <v>721</v>
      </c>
      <c r="E475" s="10" t="s">
        <v>2392</v>
      </c>
      <c r="F475" s="46" t="s">
        <v>115</v>
      </c>
    </row>
    <row r="476">
      <c r="A476" s="251" t="s">
        <v>3546</v>
      </c>
      <c r="B476" s="252">
        <f>IF(A476="", "", IF(IFERROR(VLOOKUP(A476, 'Base 3F'!$B:$C, 2, FALSE),"")="", "SIN CUIT", VLOOKUP(A476, 'Base 3F'!$B:$C, 2, FALSE)))</f>
        <v>30718593812</v>
      </c>
      <c r="C476" s="253" t="str">
        <f>IF(A476="", "", IF(IFERROR(VLOOKUP(A476, 'Base 3F'!$B:$J, 9, FALSE),"")="", "SIN RUBRO", VLOOKUP(A476, 'Base 3F'!$B:$J, 9, FALSE)))</f>
        <v>Química</v>
      </c>
      <c r="D476" s="249" t="s">
        <v>724</v>
      </c>
      <c r="E476" s="10" t="s">
        <v>2392</v>
      </c>
      <c r="F476" s="46" t="s">
        <v>115</v>
      </c>
    </row>
    <row r="477">
      <c r="A477" s="251" t="s">
        <v>3551</v>
      </c>
      <c r="B477" s="252">
        <f>IF(A477="", "", IF(IFERROR(VLOOKUP(A477, 'Base 3F'!$B:$C, 2, FALSE),"")="", "SIN CUIT", VLOOKUP(A477, 'Base 3F'!$B:$C, 2, FALSE)))</f>
        <v>20350874861</v>
      </c>
      <c r="C477" s="253" t="str">
        <f>IF(A477="", "", IF(IFERROR(VLOOKUP(A477, 'Base 3F'!$B:$J, 9, FALSE),"")="", "SIN RUBRO", VLOOKUP(A477, 'Base 3F'!$B:$J, 9, FALSE)))</f>
        <v>Textil</v>
      </c>
      <c r="D477" s="249" t="s">
        <v>727</v>
      </c>
      <c r="E477" s="10" t="s">
        <v>2392</v>
      </c>
      <c r="F477" s="46" t="s">
        <v>115</v>
      </c>
    </row>
    <row r="478">
      <c r="A478" s="251" t="s">
        <v>3553</v>
      </c>
      <c r="B478" s="252">
        <f>IF(A478="", "", IF(IFERROR(VLOOKUP(A478, 'Base 3F'!$B:$C, 2, FALSE),"")="", "SIN CUIT", VLOOKUP(A478, 'Base 3F'!$B:$C, 2, FALSE)))</f>
        <v>30718039882</v>
      </c>
      <c r="C478" s="253" t="str">
        <f>IF(A478="", "", IF(IFERROR(VLOOKUP(A478, 'Base 3F'!$B:$J, 9, FALSE),"")="", "SIN RUBRO", VLOOKUP(A478, 'Base 3F'!$B:$J, 9, FALSE)))</f>
        <v>Plastico</v>
      </c>
      <c r="D478" s="250" t="s">
        <v>728</v>
      </c>
      <c r="E478" s="10" t="s">
        <v>2392</v>
      </c>
      <c r="F478" s="46" t="s">
        <v>115</v>
      </c>
    </row>
    <row r="479">
      <c r="A479" s="251" t="s">
        <v>3560</v>
      </c>
      <c r="B479" s="252">
        <f>IF(A479="", "", IF(IFERROR(VLOOKUP(A479, 'Base 3F'!$B:$C, 2, FALSE),"")="", "SIN CUIT", VLOOKUP(A479, 'Base 3F'!$B:$C, 2, FALSE)))</f>
        <v>30718207033</v>
      </c>
      <c r="C479" s="253" t="str">
        <f>IF(A479="", "", IF(IFERROR(VLOOKUP(A479, 'Base 3F'!$B:$J, 9, FALSE),"")="", "SIN RUBRO", VLOOKUP(A479, 'Base 3F'!$B:$J, 9, FALSE)))</f>
        <v>Alimenticia</v>
      </c>
      <c r="D479" s="249" t="s">
        <v>729</v>
      </c>
      <c r="E479" s="10" t="s">
        <v>2392</v>
      </c>
      <c r="F479" s="46" t="s">
        <v>115</v>
      </c>
    </row>
    <row r="480">
      <c r="A480" s="251" t="s">
        <v>3570</v>
      </c>
      <c r="B480" s="252">
        <f>IF(A480="", "", IF(IFERROR(VLOOKUP(A480, 'Base 3F'!$B:$C, 2, FALSE),"")="", "SIN CUIT", VLOOKUP(A480, 'Base 3F'!$B:$C, 2, FALSE)))</f>
        <v>20355616070</v>
      </c>
      <c r="C480" s="253" t="str">
        <f>IF(A480="", "", IF(IFERROR(VLOOKUP(A480, 'Base 3F'!$B:$J, 9, FALSE),"")="", "SIN RUBRO", VLOOKUP(A480, 'Base 3F'!$B:$J, 9, FALSE)))</f>
        <v>Calzado</v>
      </c>
      <c r="D480" s="249" t="s">
        <v>732</v>
      </c>
      <c r="E480" s="10" t="s">
        <v>2392</v>
      </c>
      <c r="F480" s="46" t="s">
        <v>115</v>
      </c>
    </row>
    <row r="481">
      <c r="A481" s="251" t="s">
        <v>3572</v>
      </c>
      <c r="B481" s="252">
        <f>IF(A481="", "", IF(IFERROR(VLOOKUP(A481, 'Base 3F'!$B:$C, 2, FALSE),"")="", "SIN CUIT", VLOOKUP(A481, 'Base 3F'!$B:$C, 2, FALSE)))</f>
        <v>30718617401</v>
      </c>
      <c r="C481" s="253" t="str">
        <f>IF(A481="", "", IF(IFERROR(VLOOKUP(A481, 'Base 3F'!$B:$J, 9, FALSE),"")="", "SIN RUBRO", VLOOKUP(A481, 'Base 3F'!$B:$J, 9, FALSE)))</f>
        <v>Alimenticia</v>
      </c>
      <c r="D481" s="254" t="s">
        <v>733</v>
      </c>
      <c r="E481" s="10" t="s">
        <v>2392</v>
      </c>
      <c r="F481" s="46" t="s">
        <v>1625</v>
      </c>
    </row>
    <row r="482">
      <c r="A482" s="251" t="s">
        <v>3577</v>
      </c>
      <c r="B482" s="252">
        <f>IF(A482="", "", IF(IFERROR(VLOOKUP(A482, 'Base 3F'!$B:$C, 2, FALSE),"")="", "SIN CUIT", VLOOKUP(A482, 'Base 3F'!$B:$C, 2, FALSE)))</f>
        <v>30718361334</v>
      </c>
      <c r="C482" s="253" t="str">
        <f>IF(A482="", "", IF(IFERROR(VLOOKUP(A482, 'Base 3F'!$B:$J, 9, FALSE),"")="", "SIN RUBRO", VLOOKUP(A482, 'Base 3F'!$B:$J, 9, FALSE)))</f>
        <v>Alimenticia</v>
      </c>
      <c r="D482" s="249" t="s">
        <v>735</v>
      </c>
      <c r="E482" s="10" t="s">
        <v>2392</v>
      </c>
      <c r="F482" s="46" t="s">
        <v>115</v>
      </c>
    </row>
    <row r="483">
      <c r="A483" s="251" t="s">
        <v>3581</v>
      </c>
      <c r="B483" s="252">
        <f>IF(A483="", "", IF(IFERROR(VLOOKUP(A483, 'Base 3F'!$B:$C, 2, FALSE),"")="", "SIN CUIT", VLOOKUP(A483, 'Base 3F'!$B:$C, 2, FALSE)))</f>
        <v>20333901774</v>
      </c>
      <c r="C483" s="253" t="str">
        <f>IF(A483="", "", IF(IFERROR(VLOOKUP(A483, 'Base 3F'!$B:$J, 9, FALSE),"")="", "SIN RUBRO", VLOOKUP(A483, 'Base 3F'!$B:$J, 9, FALSE)))</f>
        <v>Química</v>
      </c>
      <c r="D483" s="249" t="s">
        <v>736</v>
      </c>
      <c r="E483" s="10" t="s">
        <v>2392</v>
      </c>
      <c r="F483" s="46" t="s">
        <v>115</v>
      </c>
    </row>
    <row r="484">
      <c r="A484" s="251" t="s">
        <v>3584</v>
      </c>
      <c r="B484" s="252">
        <f>IF(A484="", "", IF(IFERROR(VLOOKUP(A484, 'Base 3F'!$B:$C, 2, FALSE),"")="", "SIN CUIT", VLOOKUP(A484, 'Base 3F'!$B:$C, 2, FALSE)))</f>
        <v>30715954156</v>
      </c>
      <c r="C484" s="253" t="str">
        <f>IF(A484="", "", IF(IFERROR(VLOOKUP(A484, 'Base 3F'!$B:$J, 9, FALSE),"")="", "SIN RUBRO", VLOOKUP(A484, 'Base 3F'!$B:$J, 9, FALSE)))</f>
        <v>Plástica</v>
      </c>
      <c r="D484" s="249" t="s">
        <v>737</v>
      </c>
      <c r="E484" s="10" t="s">
        <v>2392</v>
      </c>
      <c r="F484" s="46" t="s">
        <v>115</v>
      </c>
    </row>
    <row r="485">
      <c r="A485" s="251" t="s">
        <v>3589</v>
      </c>
      <c r="B485" s="252">
        <f>IF(A485="", "", IF(IFERROR(VLOOKUP(A485, 'Base 3F'!$B:$C, 2, FALSE),"")="", "SIN CUIT", VLOOKUP(A485, 'Base 3F'!$B:$C, 2, FALSE)))</f>
        <v>23209572389</v>
      </c>
      <c r="C485" s="253" t="str">
        <f>IF(A485="", "", IF(IFERROR(VLOOKUP(A485, 'Base 3F'!$B:$J, 9, FALSE),"")="", "SIN RUBRO", VLOOKUP(A485, 'Base 3F'!$B:$J, 9, FALSE)))</f>
        <v>Metalúrgica</v>
      </c>
      <c r="D485" s="249" t="s">
        <v>740</v>
      </c>
      <c r="E485" s="10" t="s">
        <v>2392</v>
      </c>
      <c r="F485" s="46" t="s">
        <v>115</v>
      </c>
    </row>
    <row r="486">
      <c r="A486" s="251" t="s">
        <v>3593</v>
      </c>
      <c r="B486" s="255">
        <f>IF(A486="", "", IF(IFERROR(VLOOKUP(A486, 'Base 3F'!$B:$C, 2, FALSE),"")="", "SIN CUIT", VLOOKUP(A486, 'Base 3F'!$B:$C, 2, FALSE)))</f>
        <v>20940351090</v>
      </c>
      <c r="C486" s="253" t="str">
        <f>IF(A486="", "", IF(IFERROR(VLOOKUP(A486, 'Base 3F'!$B:$J, 9, FALSE),"")="", "SIN RUBRO", VLOOKUP(A486, 'Base 3F'!$B:$J, 9, FALSE)))</f>
        <v>Madera</v>
      </c>
      <c r="D486" s="249" t="s">
        <v>741</v>
      </c>
      <c r="E486" s="10" t="s">
        <v>2392</v>
      </c>
      <c r="F486" s="46" t="s">
        <v>115</v>
      </c>
    </row>
    <row r="487">
      <c r="A487" s="251" t="s">
        <v>3599</v>
      </c>
      <c r="B487" s="252">
        <f>IF(A487="", "", IF(IFERROR(VLOOKUP(A487, 'Base 3F'!$B:$C, 2, FALSE),"")="", "SIN CUIT", VLOOKUP(A487, 'Base 3F'!$B:$C, 2, FALSE)))</f>
        <v>30716565560</v>
      </c>
      <c r="C487" s="253" t="str">
        <f>IF(A487="", "", IF(IFERROR(VLOOKUP(A487, 'Base 3F'!$B:$J, 9, FALSE),"")="", "SIN RUBRO", VLOOKUP(A487, 'Base 3F'!$B:$J, 9, FALSE)))</f>
        <v>Metalúrgica</v>
      </c>
      <c r="D487" s="249" t="s">
        <v>743</v>
      </c>
      <c r="E487" s="10" t="s">
        <v>2392</v>
      </c>
      <c r="F487" s="46" t="s">
        <v>115</v>
      </c>
    </row>
    <row r="488">
      <c r="A488" s="251" t="s">
        <v>3605</v>
      </c>
      <c r="B488" s="252">
        <f>IF(A488="", "", IF(IFERROR(VLOOKUP(A488, 'Base 3F'!$B:$C, 2, FALSE),"")="", "SIN CUIT", VLOOKUP(A488, 'Base 3F'!$B:$C, 2, FALSE)))</f>
        <v>30717661849</v>
      </c>
      <c r="C488" s="253" t="str">
        <f>IF(A488="", "", IF(IFERROR(VLOOKUP(A488, 'Base 3F'!$B:$J, 9, FALSE),"")="", "SIN RUBRO", VLOOKUP(A488, 'Base 3F'!$B:$J, 9, FALSE)))</f>
        <v>Alimenticia</v>
      </c>
      <c r="D488" s="250" t="s">
        <v>744</v>
      </c>
      <c r="E488" s="10" t="s">
        <v>2392</v>
      </c>
      <c r="F488" s="46" t="s">
        <v>115</v>
      </c>
    </row>
    <row r="489">
      <c r="A489" s="251" t="s">
        <v>3606</v>
      </c>
      <c r="B489" s="252">
        <f>IF(A489="", "", IF(IFERROR(VLOOKUP(A489, 'Base 3F'!$B:$C, 2, FALSE),"")="", "SIN CUIT", VLOOKUP(A489, 'Base 3F'!$B:$C, 2, FALSE)))</f>
        <v>20270682120</v>
      </c>
      <c r="C489" s="253" t="str">
        <f>IF(A489="", "", IF(IFERROR(VLOOKUP(A489, 'Base 3F'!$B:$J, 9, FALSE),"")="", "SIN RUBRO", VLOOKUP(A489, 'Base 3F'!$B:$J, 9, FALSE)))</f>
        <v>Química</v>
      </c>
      <c r="D489" s="256" t="s">
        <v>746</v>
      </c>
      <c r="E489" s="10" t="s">
        <v>2392</v>
      </c>
      <c r="F489" s="46" t="s">
        <v>115</v>
      </c>
    </row>
    <row r="490">
      <c r="A490" s="251" t="s">
        <v>3610</v>
      </c>
      <c r="B490" s="252">
        <f>IF(A490="", "", IF(IFERROR(VLOOKUP(A490, 'Base 3F'!$B:$C, 2, FALSE),"")="", "SIN CUIT", VLOOKUP(A490, 'Base 3F'!$B:$C, 2, FALSE)))</f>
        <v>30716140454</v>
      </c>
      <c r="C490" s="253" t="str">
        <f>IF(A490="", "", IF(IFERROR(VLOOKUP(A490, 'Base 3F'!$B:$J, 9, FALSE),"")="", "SIN RUBRO", VLOOKUP(A490, 'Base 3F'!$B:$J, 9, FALSE)))</f>
        <v>Vidrio</v>
      </c>
      <c r="D490" s="249" t="s">
        <v>747</v>
      </c>
      <c r="E490" s="10" t="s">
        <v>2392</v>
      </c>
      <c r="F490" s="46" t="s">
        <v>115</v>
      </c>
    </row>
    <row r="491">
      <c r="A491" s="251" t="s">
        <v>3613</v>
      </c>
      <c r="B491" s="252">
        <f>IF(A491="", "", IF(IFERROR(VLOOKUP(A491, 'Base 3F'!$B:$C, 2, FALSE),"")="", "SIN CUIT", VLOOKUP(A491, 'Base 3F'!$B:$C, 2, FALSE)))</f>
        <v>30717818373</v>
      </c>
      <c r="C491" s="253" t="str">
        <f>IF(A491="", "", IF(IFERROR(VLOOKUP(A491, 'Base 3F'!$B:$J, 9, FALSE),"")="", "SIN RUBRO", VLOOKUP(A491, 'Base 3F'!$B:$J, 9, FALSE)))</f>
        <v>Vidrio</v>
      </c>
      <c r="D491" s="249" t="s">
        <v>748</v>
      </c>
      <c r="E491" s="10" t="s">
        <v>2392</v>
      </c>
      <c r="F491" s="46" t="s">
        <v>115</v>
      </c>
    </row>
    <row r="492">
      <c r="A492" s="251" t="s">
        <v>3623</v>
      </c>
      <c r="B492" s="252">
        <f>IF(A492="", "", IF(IFERROR(VLOOKUP(A492, 'Base 3F'!$B:$C, 2, FALSE),"")="", "SIN CUIT", VLOOKUP(A492, 'Base 3F'!$B:$C, 2, FALSE)))</f>
        <v>30550960830</v>
      </c>
      <c r="C492" s="253" t="str">
        <f>IF(A492="", "", IF(IFERROR(VLOOKUP(A492, 'Base 3F'!$B:$J, 9, FALSE),"")="", "SIN RUBRO", VLOOKUP(A492, 'Base 3F'!$B:$J, 9, FALSE)))</f>
        <v>Alimenticia</v>
      </c>
      <c r="D492" s="249" t="s">
        <v>750</v>
      </c>
      <c r="E492" s="10" t="s">
        <v>2392</v>
      </c>
      <c r="F492" s="46" t="s">
        <v>115</v>
      </c>
    </row>
    <row r="493">
      <c r="A493" s="251" t="s">
        <v>3625</v>
      </c>
      <c r="B493" s="252">
        <f>IF(A493="", "", IF(IFERROR(VLOOKUP(A493, 'Base 3F'!$B:$C, 2, FALSE),"")="", "SIN CUIT", VLOOKUP(A493, 'Base 3F'!$B:$C, 2, FALSE)))</f>
        <v>30718752406</v>
      </c>
      <c r="C493" s="253" t="str">
        <f>IF(A493="", "", IF(IFERROR(VLOOKUP(A493, 'Base 3F'!$B:$J, 9, FALSE),"")="", "SIN RUBRO", VLOOKUP(A493, 'Base 3F'!$B:$J, 9, FALSE)))</f>
        <v>Alimenticia</v>
      </c>
      <c r="D493" s="250" t="s">
        <v>751</v>
      </c>
      <c r="E493" s="10" t="s">
        <v>2392</v>
      </c>
      <c r="F493" s="46" t="s">
        <v>115</v>
      </c>
    </row>
    <row r="494">
      <c r="A494" s="251" t="s">
        <v>3631</v>
      </c>
      <c r="B494" s="252">
        <f>IF(A494="", "", IF(IFERROR(VLOOKUP(A494, 'Base 3F'!$B:$C, 2, FALSE),"")="", "SIN CUIT", VLOOKUP(A494, 'Base 3F'!$B:$C, 2, FALSE)))</f>
        <v>30715767933</v>
      </c>
      <c r="C494" s="253" t="str">
        <f>IF(A494="", "", IF(IFERROR(VLOOKUP(A494, 'Base 3F'!$B:$J, 9, FALSE),"")="", "SIN RUBRO", VLOOKUP(A494, 'Base 3F'!$B:$J, 9, FALSE)))</f>
        <v>Textil</v>
      </c>
      <c r="D494" s="249" t="s">
        <v>753</v>
      </c>
      <c r="E494" s="10" t="s">
        <v>2392</v>
      </c>
      <c r="F494" s="46" t="s">
        <v>115</v>
      </c>
    </row>
    <row r="495">
      <c r="A495" s="251" t="s">
        <v>3639</v>
      </c>
      <c r="B495" s="252">
        <f>IF(A495="", "", IF(IFERROR(VLOOKUP(A495, 'Base 3F'!$B:$C, 2, FALSE),"")="", "SIN CUIT", VLOOKUP(A495, 'Base 3F'!$B:$C, 2, FALSE)))</f>
        <v>33717045799</v>
      </c>
      <c r="C495" s="253" t="str">
        <f>IF(A495="", "", IF(IFERROR(VLOOKUP(A495, 'Base 3F'!$B:$J, 9, FALSE),"")="", "SIN RUBRO", VLOOKUP(A495, 'Base 3F'!$B:$J, 9, FALSE)))</f>
        <v>Metalúrgica</v>
      </c>
      <c r="D495" s="249" t="s">
        <v>754</v>
      </c>
      <c r="E495" s="10" t="s">
        <v>2392</v>
      </c>
      <c r="F495" s="46" t="s">
        <v>115</v>
      </c>
    </row>
    <row r="496">
      <c r="A496" s="251" t="s">
        <v>3642</v>
      </c>
      <c r="B496" s="252">
        <f>IF(A496="", "", IF(IFERROR(VLOOKUP(A496, 'Base 3F'!$B:$C, 2, FALSE),"")="", "SIN CUIT", VLOOKUP(A496, 'Base 3F'!$B:$C, 2, FALSE)))</f>
        <v>30715750062</v>
      </c>
      <c r="C496" s="253" t="str">
        <f>IF(A496="", "", IF(IFERROR(VLOOKUP(A496, 'Base 3F'!$B:$J, 9, FALSE),"")="", "SIN RUBRO", VLOOKUP(A496, 'Base 3F'!$B:$J, 9, FALSE)))</f>
        <v>Electrónica</v>
      </c>
      <c r="D496" s="249" t="s">
        <v>755</v>
      </c>
      <c r="E496" s="10" t="s">
        <v>2392</v>
      </c>
      <c r="F496" s="46" t="s">
        <v>115</v>
      </c>
    </row>
    <row r="497">
      <c r="A497" s="251" t="s">
        <v>3649</v>
      </c>
      <c r="B497" s="252">
        <f>IF(A497="", "", IF(IFERROR(VLOOKUP(A497, 'Base 3F'!$B:$C, 2, FALSE),"")="", "SIN CUIT", VLOOKUP(A497, 'Base 3F'!$B:$C, 2, FALSE)))</f>
        <v>30717201821</v>
      </c>
      <c r="C497" s="253" t="str">
        <f>IF(A497="", "", IF(IFERROR(VLOOKUP(A497, 'Base 3F'!$B:$J, 9, FALSE),"")="", "SIN RUBRO", VLOOKUP(A497, 'Base 3F'!$B:$J, 9, FALSE)))</f>
        <v>Plástica</v>
      </c>
      <c r="D497" s="249" t="s">
        <v>759</v>
      </c>
      <c r="E497" s="10" t="s">
        <v>2392</v>
      </c>
      <c r="F497" s="46" t="s">
        <v>115</v>
      </c>
    </row>
    <row r="498">
      <c r="A498" s="251" t="s">
        <v>3652</v>
      </c>
      <c r="B498" s="252">
        <f>IF(A498="", "", IF(IFERROR(VLOOKUP(A498, 'Base 3F'!$B:$C, 2, FALSE),"")="", "SIN CUIT", VLOOKUP(A498, 'Base 3F'!$B:$C, 2, FALSE)))</f>
        <v>20251200549</v>
      </c>
      <c r="C498" s="253" t="str">
        <f>IF(A498="", "", IF(IFERROR(VLOOKUP(A498, 'Base 3F'!$B:$J, 9, FALSE),"")="", "SIN RUBRO", VLOOKUP(A498, 'Base 3F'!$B:$J, 9, FALSE)))</f>
        <v>Imprenta</v>
      </c>
      <c r="D498" s="249" t="s">
        <v>761</v>
      </c>
      <c r="E498" s="10" t="s">
        <v>2392</v>
      </c>
      <c r="F498" s="46" t="s">
        <v>115</v>
      </c>
    </row>
    <row r="499">
      <c r="A499" s="251" t="s">
        <v>3660</v>
      </c>
      <c r="B499" s="252">
        <f>IF(A499="", "", IF(IFERROR(VLOOKUP(A499, 'Base 3F'!$B:$C, 2, FALSE),"")="", "SIN CUIT", VLOOKUP(A499, 'Base 3F'!$B:$C, 2, FALSE)))</f>
        <v>30716852586</v>
      </c>
      <c r="C499" s="253" t="str">
        <f>IF(A499="", "", IF(IFERROR(VLOOKUP(A499, 'Base 3F'!$B:$J, 9, FALSE),"")="", "SIN RUBRO", VLOOKUP(A499, 'Base 3F'!$B:$J, 9, FALSE)))</f>
        <v>Alimenticia</v>
      </c>
      <c r="D499" s="254" t="s">
        <v>762</v>
      </c>
      <c r="E499" s="10" t="s">
        <v>2392</v>
      </c>
      <c r="F499" s="46" t="s">
        <v>1625</v>
      </c>
    </row>
    <row r="500">
      <c r="A500" s="251" t="s">
        <v>3665</v>
      </c>
      <c r="B500" s="252">
        <f>IF(A500="", "", IF(IFERROR(VLOOKUP(A500, 'Base 3F'!$B:$C, 2, FALSE),"")="", "SIN CUIT", VLOOKUP(A500, 'Base 3F'!$B:$C, 2, FALSE)))</f>
        <v>23246892059</v>
      </c>
      <c r="C500" s="253" t="str">
        <f>IF(A500="", "", IF(IFERROR(VLOOKUP(A500, 'Base 3F'!$B:$J, 9, FALSE),"")="", "SIN RUBRO", VLOOKUP(A500, 'Base 3F'!$B:$J, 9, FALSE)))</f>
        <v>Bebidas</v>
      </c>
      <c r="D500" s="249" t="s">
        <v>764</v>
      </c>
      <c r="E500" s="10" t="s">
        <v>2392</v>
      </c>
      <c r="F500" s="46" t="s">
        <v>115</v>
      </c>
    </row>
    <row r="501">
      <c r="A501" s="251" t="s">
        <v>3674</v>
      </c>
      <c r="B501" s="252">
        <f>IF(A501="", "", IF(IFERROR(VLOOKUP(A501, 'Base 3F'!$B:$C, 2, FALSE),"")="", "SIN CUIT", VLOOKUP(A501, 'Base 3F'!$B:$C, 2, FALSE)))</f>
        <v>33718208039</v>
      </c>
      <c r="C501" s="253" t="str">
        <f>IF(A501="", "", IF(IFERROR(VLOOKUP(A501, 'Base 3F'!$B:$J, 9, FALSE),"")="", "SIN RUBRO", VLOOKUP(A501, 'Base 3F'!$B:$J, 9, FALSE)))</f>
        <v>Alimenticia</v>
      </c>
      <c r="D501" s="249" t="s">
        <v>766</v>
      </c>
      <c r="E501" s="10" t="s">
        <v>2392</v>
      </c>
      <c r="F501" s="46" t="s">
        <v>115</v>
      </c>
    </row>
    <row r="502">
      <c r="A502" s="251" t="s">
        <v>3679</v>
      </c>
      <c r="B502" s="252">
        <f>IF(A502="", "", IF(IFERROR(VLOOKUP(A502, 'Base 3F'!$B:$C, 2, FALSE),"")="", "SIN CUIT", VLOOKUP(A502, 'Base 3F'!$B:$C, 2, FALSE)))</f>
        <v>30715089439</v>
      </c>
      <c r="C502" s="253" t="str">
        <f>IF(A502="", "", IF(IFERROR(VLOOKUP(A502, 'Base 3F'!$B:$J, 9, FALSE),"")="", "SIN RUBRO", VLOOKUP(A502, 'Base 3F'!$B:$J, 9, FALSE)))</f>
        <v>Alimenticia</v>
      </c>
      <c r="D502" s="254" t="s">
        <v>768</v>
      </c>
      <c r="E502" s="10" t="s">
        <v>2392</v>
      </c>
      <c r="F502" s="46" t="s">
        <v>1625</v>
      </c>
    </row>
    <row r="503">
      <c r="A503" s="251" t="s">
        <v>3684</v>
      </c>
      <c r="B503" s="252">
        <f>IF(A503="", "", IF(IFERROR(VLOOKUP(A503, 'Base 3F'!$B:$C, 2, FALSE),"")="", "SIN CUIT", VLOOKUP(A503, 'Base 3F'!$B:$C, 2, FALSE)))</f>
        <v>30717716953</v>
      </c>
      <c r="C503" s="253" t="str">
        <f>IF(A503="", "", IF(IFERROR(VLOOKUP(A503, 'Base 3F'!$B:$J, 9, FALSE),"")="", "SIN RUBRO", VLOOKUP(A503, 'Base 3F'!$B:$J, 9, FALSE)))</f>
        <v>Imprenta</v>
      </c>
      <c r="D503" s="249" t="s">
        <v>770</v>
      </c>
      <c r="E503" s="10" t="s">
        <v>2392</v>
      </c>
      <c r="F503" s="46" t="s">
        <v>115</v>
      </c>
    </row>
    <row r="504">
      <c r="A504" s="251" t="s">
        <v>3687</v>
      </c>
      <c r="B504" s="252">
        <f>IF(A504="", "", IF(IFERROR(VLOOKUP(A504, 'Base 3F'!$B:$C, 2, FALSE),"")="", "SIN CUIT", VLOOKUP(A504, 'Base 3F'!$B:$C, 2, FALSE)))</f>
        <v>33715265619</v>
      </c>
      <c r="C504" s="253" t="str">
        <f>IF(A504="", "", IF(IFERROR(VLOOKUP(A504, 'Base 3F'!$B:$J, 9, FALSE),"")="", "SIN RUBRO", VLOOKUP(A504, 'Base 3F'!$B:$J, 9, FALSE)))</f>
        <v>Madera</v>
      </c>
      <c r="D504" s="249" t="s">
        <v>772</v>
      </c>
      <c r="E504" s="10" t="s">
        <v>2392</v>
      </c>
      <c r="F504" s="46" t="s">
        <v>115</v>
      </c>
    </row>
    <row r="505">
      <c r="A505" s="251" t="s">
        <v>3689</v>
      </c>
      <c r="B505" s="252">
        <f>IF(A505="", "", IF(IFERROR(VLOOKUP(A505, 'Base 3F'!$B:$C, 2, FALSE),"")="", "SIN CUIT", VLOOKUP(A505, 'Base 3F'!$B:$C, 2, FALSE)))</f>
        <v>30719130662</v>
      </c>
      <c r="C505" s="253" t="str">
        <f>IF(A505="", "", IF(IFERROR(VLOOKUP(A505, 'Base 3F'!$B:$J, 9, FALSE),"")="", "SIN RUBRO", VLOOKUP(A505, 'Base 3F'!$B:$J, 9, FALSE)))</f>
        <v>Alimenticia</v>
      </c>
      <c r="D505" s="249" t="s">
        <v>774</v>
      </c>
      <c r="E505" s="10" t="s">
        <v>2392</v>
      </c>
      <c r="F505" s="46" t="s">
        <v>115</v>
      </c>
    </row>
    <row r="506">
      <c r="A506" s="251" t="s">
        <v>3695</v>
      </c>
      <c r="B506" s="252">
        <f>IF(A506="", "", IF(IFERROR(VLOOKUP(A506, 'Base 3F'!$B:$C, 2, FALSE),"")="", "SIN CUIT", VLOOKUP(A506, 'Base 3F'!$B:$C, 2, FALSE)))</f>
        <v>30718530608</v>
      </c>
      <c r="C506" s="253" t="str">
        <f>IF(A506="", "", IF(IFERROR(VLOOKUP(A506, 'Base 3F'!$B:$J, 9, FALSE),"")="", "SIN RUBRO", VLOOKUP(A506, 'Base 3F'!$B:$J, 9, FALSE)))</f>
        <v>Química</v>
      </c>
      <c r="D506" s="249" t="s">
        <v>775</v>
      </c>
      <c r="E506" s="10" t="s">
        <v>2392</v>
      </c>
      <c r="F506" s="46" t="s">
        <v>115</v>
      </c>
    </row>
    <row r="507">
      <c r="A507" s="251" t="s">
        <v>3700</v>
      </c>
      <c r="B507" s="252">
        <f>IF(A507="", "", IF(IFERROR(VLOOKUP(A507, 'Base 3F'!$B:$C, 2, FALSE),"")="", "SIN CUIT", VLOOKUP(A507, 'Base 3F'!$B:$C, 2, FALSE)))</f>
        <v>20253302721</v>
      </c>
      <c r="C507" s="253" t="str">
        <f>IF(A507="", "", IF(IFERROR(VLOOKUP(A507, 'Base 3F'!$B:$J, 9, FALSE),"")="", "SIN RUBRO", VLOOKUP(A507, 'Base 3F'!$B:$J, 9, FALSE)))</f>
        <v>Textil</v>
      </c>
      <c r="D507" s="249" t="s">
        <v>776</v>
      </c>
      <c r="E507" s="10" t="s">
        <v>2392</v>
      </c>
      <c r="F507" s="46" t="s">
        <v>115</v>
      </c>
    </row>
    <row r="508">
      <c r="A508" s="251" t="s">
        <v>3706</v>
      </c>
      <c r="B508" s="252">
        <f>IF(A508="", "", IF(IFERROR(VLOOKUP(A508, 'Base 3F'!$B:$C, 2, FALSE),"")="", "SIN CUIT", VLOOKUP(A508, 'Base 3F'!$B:$C, 2, FALSE)))</f>
        <v>30522982225</v>
      </c>
      <c r="C508" s="253" t="str">
        <f>IF(A508="", "", IF(IFERROR(VLOOKUP(A508, 'Base 3F'!$B:$J, 9, FALSE),"")="", "SIN RUBRO", VLOOKUP(A508, 'Base 3F'!$B:$J, 9, FALSE)))</f>
        <v>Textil</v>
      </c>
      <c r="D508" s="249" t="s">
        <v>777</v>
      </c>
      <c r="E508" s="10" t="s">
        <v>2392</v>
      </c>
      <c r="F508" s="46" t="s">
        <v>115</v>
      </c>
    </row>
    <row r="509">
      <c r="A509" s="251" t="s">
        <v>3711</v>
      </c>
      <c r="B509" s="252">
        <f>IF(A509="", "", IF(IFERROR(VLOOKUP(A509, 'Base 3F'!$B:$C, 2, FALSE),"")="", "SIN CUIT", VLOOKUP(A509, 'Base 3F'!$B:$C, 2, FALSE)))</f>
        <v>30717790460</v>
      </c>
      <c r="C509" s="253" t="str">
        <f>IF(A509="", "", IF(IFERROR(VLOOKUP(A509, 'Base 3F'!$B:$J, 9, FALSE),"")="", "SIN RUBRO", VLOOKUP(A509, 'Base 3F'!$B:$J, 9, FALSE)))</f>
        <v>Metalúrgica</v>
      </c>
      <c r="D509" s="249" t="s">
        <v>779</v>
      </c>
      <c r="E509" s="10" t="s">
        <v>2392</v>
      </c>
      <c r="F509" s="46" t="s">
        <v>115</v>
      </c>
    </row>
    <row r="510">
      <c r="A510" s="251" t="s">
        <v>3433</v>
      </c>
      <c r="B510" s="252">
        <f>IF(A510="", "", IF(IFERROR(VLOOKUP(A510, 'Base 3F'!$B:$C, 2, FALSE),"")="", "SIN CUIT", VLOOKUP(A510, 'Base 3F'!$B:$C, 2, FALSE)))</f>
        <v>20288577553</v>
      </c>
      <c r="C510" s="253" t="str">
        <f>IF(A510="", "", IF(IFERROR(VLOOKUP(A510, 'Base 3F'!$B:$J, 9, FALSE),"")="", "SIN RUBRO", VLOOKUP(A510, 'Base 3F'!$B:$J, 9, FALSE)))</f>
        <v>Alimenticia</v>
      </c>
      <c r="D510" s="249" t="s">
        <v>780</v>
      </c>
      <c r="E510" s="10" t="s">
        <v>2392</v>
      </c>
      <c r="F510" s="46" t="s">
        <v>115</v>
      </c>
    </row>
    <row r="511">
      <c r="A511" s="251" t="s">
        <v>3717</v>
      </c>
      <c r="B511" s="252">
        <f>IF(A511="", "", IF(IFERROR(VLOOKUP(A511, 'Base 3F'!$B:$C, 2, FALSE),"")="", "SIN CUIT", VLOOKUP(A511, 'Base 3F'!$B:$C, 2, FALSE)))</f>
        <v>30715995936</v>
      </c>
      <c r="C511" s="253" t="str">
        <f>IF(A511="", "", IF(IFERROR(VLOOKUP(A511, 'Base 3F'!$B:$J, 9, FALSE),"")="", "SIN RUBRO", VLOOKUP(A511, 'Base 3F'!$B:$J, 9, FALSE)))</f>
        <v>Alimenticia</v>
      </c>
      <c r="D511" s="249" t="s">
        <v>781</v>
      </c>
      <c r="E511" s="10" t="s">
        <v>2392</v>
      </c>
      <c r="F511" s="46" t="s">
        <v>115</v>
      </c>
    </row>
    <row r="512">
      <c r="A512" s="251" t="s">
        <v>3724</v>
      </c>
      <c r="B512" s="252">
        <f>IF(A512="", "", IF(IFERROR(VLOOKUP(A512, 'Base 3F'!$B:$C, 2, FALSE),"")="", "SIN CUIT", VLOOKUP(A512, 'Base 3F'!$B:$C, 2, FALSE)))</f>
        <v>20347228002</v>
      </c>
      <c r="C512" s="253" t="str">
        <f>IF(A512="", "", IF(IFERROR(VLOOKUP(A512, 'Base 3F'!$B:$J, 9, FALSE),"")="", "SIN RUBRO", VLOOKUP(A512, 'Base 3F'!$B:$J, 9, FALSE)))</f>
        <v>Insumos medicos</v>
      </c>
      <c r="D512" s="249" t="s">
        <v>782</v>
      </c>
      <c r="E512" s="10" t="s">
        <v>2392</v>
      </c>
      <c r="F512" s="46" t="s">
        <v>115</v>
      </c>
    </row>
    <row r="513">
      <c r="A513" s="251" t="s">
        <v>3730</v>
      </c>
      <c r="B513" s="252">
        <f>IF(A513="", "", IF(IFERROR(VLOOKUP(A513, 'Base 3F'!$B:$C, 2, FALSE),"")="", "SIN CUIT", VLOOKUP(A513, 'Base 3F'!$B:$C, 2, FALSE)))</f>
        <v>30717736555</v>
      </c>
      <c r="C513" s="253" t="str">
        <f>IF(A513="", "", IF(IFERROR(VLOOKUP(A513, 'Base 3F'!$B:$J, 9, FALSE),"")="", "SIN RUBRO", VLOOKUP(A513, 'Base 3F'!$B:$J, 9, FALSE)))</f>
        <v>Plástica</v>
      </c>
      <c r="D513" s="249" t="s">
        <v>783</v>
      </c>
      <c r="E513" s="10" t="s">
        <v>2392</v>
      </c>
      <c r="F513" s="46" t="s">
        <v>115</v>
      </c>
    </row>
    <row r="514">
      <c r="A514" s="251" t="s">
        <v>3734</v>
      </c>
      <c r="B514" s="252">
        <f>IF(A514="", "", IF(IFERROR(VLOOKUP(A514, 'Base 3F'!$B:$C, 2, FALSE),"")="", "SIN CUIT", VLOOKUP(A514, 'Base 3F'!$B:$C, 2, FALSE)))</f>
        <v>30718608946</v>
      </c>
      <c r="C514" s="253" t="str">
        <f>IF(A514="", "", IF(IFERROR(VLOOKUP(A514, 'Base 3F'!$B:$J, 9, FALSE),"")="", "SIN RUBRO", VLOOKUP(A514, 'Base 3F'!$B:$J, 9, FALSE)))</f>
        <v>Alimenticia</v>
      </c>
      <c r="D514" s="249" t="s">
        <v>785</v>
      </c>
      <c r="E514" s="10" t="s">
        <v>2392</v>
      </c>
      <c r="F514" s="46" t="s">
        <v>115</v>
      </c>
    </row>
    <row r="515">
      <c r="A515" s="251" t="s">
        <v>3737</v>
      </c>
      <c r="B515" s="252">
        <f>IF(A515="", "", IF(IFERROR(VLOOKUP(A515, 'Base 3F'!$B:$C, 2, FALSE),"")="", "SIN CUIT", VLOOKUP(A515, 'Base 3F'!$B:$C, 2, FALSE)))</f>
        <v>30716637081</v>
      </c>
      <c r="C515" s="253" t="str">
        <f>IF(A515="", "", IF(IFERROR(VLOOKUP(A515, 'Base 3F'!$B:$J, 9, FALSE),"")="", "SIN RUBRO", VLOOKUP(A515, 'Base 3F'!$B:$J, 9, FALSE)))</f>
        <v>Madera</v>
      </c>
      <c r="D515" s="249" t="s">
        <v>786</v>
      </c>
      <c r="E515" s="10" t="s">
        <v>2392</v>
      </c>
      <c r="F515" s="46" t="s">
        <v>115</v>
      </c>
    </row>
    <row r="516">
      <c r="A516" s="251" t="s">
        <v>3746</v>
      </c>
      <c r="B516" s="252">
        <f>IF(A516="", "", IF(IFERROR(VLOOKUP(A516, 'Base 3F'!$B:$C, 2, FALSE),"")="", "SIN CUIT", VLOOKUP(A516, 'Base 3F'!$B:$C, 2, FALSE)))</f>
        <v>27381508639</v>
      </c>
      <c r="C516" s="253" t="str">
        <f>IF(A516="", "", IF(IFERROR(VLOOKUP(A516, 'Base 3F'!$B:$J, 9, FALSE),"")="", "SIN RUBRO", VLOOKUP(A516, 'Base 3F'!$B:$J, 9, FALSE)))</f>
        <v>Plástica</v>
      </c>
      <c r="D516" s="249" t="s">
        <v>788</v>
      </c>
      <c r="E516" s="10" t="s">
        <v>2392</v>
      </c>
      <c r="F516" s="46" t="s">
        <v>115</v>
      </c>
    </row>
    <row r="517">
      <c r="A517" s="251" t="s">
        <v>3748</v>
      </c>
      <c r="B517" s="252">
        <f>IF(A517="", "", IF(IFERROR(VLOOKUP(A517, 'Base 3F'!$B:$C, 2, FALSE),"")="", "SIN CUIT", VLOOKUP(A517, 'Base 3F'!$B:$C, 2, FALSE)))</f>
        <v>30718020693</v>
      </c>
      <c r="C517" s="253" t="str">
        <f>IF(A517="", "", IF(IFERROR(VLOOKUP(A517, 'Base 3F'!$B:$J, 9, FALSE),"")="", "SIN RUBRO", VLOOKUP(A517, 'Base 3F'!$B:$J, 9, FALSE)))</f>
        <v>Metalúrgica</v>
      </c>
      <c r="D517" s="249" t="s">
        <v>790</v>
      </c>
      <c r="E517" s="10" t="s">
        <v>2392</v>
      </c>
      <c r="F517" s="46" t="s">
        <v>115</v>
      </c>
    </row>
    <row r="518">
      <c r="A518" s="251" t="s">
        <v>3752</v>
      </c>
      <c r="B518" s="252">
        <f>IF(A518="", "", IF(IFERROR(VLOOKUP(A518, 'Base 3F'!$B:$C, 2, FALSE),"")="", "SIN CUIT", VLOOKUP(A518, 'Base 3F'!$B:$C, 2, FALSE)))</f>
        <v>27377020605</v>
      </c>
      <c r="C518" s="253" t="str">
        <f>IF(A518="", "", IF(IFERROR(VLOOKUP(A518, 'Base 3F'!$B:$J, 9, FALSE),"")="", "SIN RUBRO", VLOOKUP(A518, 'Base 3F'!$B:$J, 9, FALSE)))</f>
        <v>Alimenticia</v>
      </c>
      <c r="D518" s="250" t="s">
        <v>791</v>
      </c>
      <c r="E518" s="10" t="s">
        <v>2392</v>
      </c>
      <c r="F518" s="46" t="s">
        <v>115</v>
      </c>
    </row>
    <row r="519">
      <c r="A519" s="251" t="s">
        <v>3756</v>
      </c>
      <c r="B519" s="252">
        <f>IF(A519="", "", IF(IFERROR(VLOOKUP(A519, 'Base 3F'!$B:$C, 2, FALSE),"")="", "SIN CUIT", VLOOKUP(A519, 'Base 3F'!$B:$C, 2, FALSE)))</f>
        <v>30714778680</v>
      </c>
      <c r="C519" s="253" t="str">
        <f>IF(A519="", "", IF(IFERROR(VLOOKUP(A519, 'Base 3F'!$B:$J, 9, FALSE),"")="", "SIN RUBRO", VLOOKUP(A519, 'Base 3F'!$B:$J, 9, FALSE)))</f>
        <v>Plástica</v>
      </c>
      <c r="D519" s="250" t="s">
        <v>793</v>
      </c>
      <c r="E519" s="10" t="s">
        <v>2392</v>
      </c>
      <c r="F519" s="46" t="s">
        <v>115</v>
      </c>
    </row>
    <row r="520">
      <c r="A520" s="251" t="s">
        <v>3759</v>
      </c>
      <c r="B520" s="252">
        <f>IF(A520="", "", IF(IFERROR(VLOOKUP(A520, 'Base 3F'!$B:$C, 2, FALSE),"")="", "SIN CUIT", VLOOKUP(A520, 'Base 3F'!$B:$C, 2, FALSE)))</f>
        <v>33715672079</v>
      </c>
      <c r="C520" s="253" t="str">
        <f>IF(A520="", "", IF(IFERROR(VLOOKUP(A520, 'Base 3F'!$B:$J, 9, FALSE),"")="", "SIN RUBRO", VLOOKUP(A520, 'Base 3F'!$B:$J, 9, FALSE)))</f>
        <v>Alimenticia</v>
      </c>
      <c r="D520" s="249" t="s">
        <v>794</v>
      </c>
      <c r="E520" s="10" t="s">
        <v>2392</v>
      </c>
      <c r="F520" s="46" t="s">
        <v>115</v>
      </c>
    </row>
    <row r="521">
      <c r="A521" s="251" t="s">
        <v>3763</v>
      </c>
      <c r="B521" s="252">
        <f>IF(A521="", "", IF(IFERROR(VLOOKUP(A521, 'Base 3F'!$B:$C, 2, FALSE),"")="", "SIN CUIT", VLOOKUP(A521, 'Base 3F'!$B:$C, 2, FALSE)))</f>
        <v>33718739999</v>
      </c>
      <c r="C521" s="253" t="str">
        <f>IF(A521="", "", IF(IFERROR(VLOOKUP(A521, 'Base 3F'!$B:$J, 9, FALSE),"")="", "SIN RUBRO", VLOOKUP(A521, 'Base 3F'!$B:$J, 9, FALSE)))</f>
        <v>Textil</v>
      </c>
      <c r="D521" s="250" t="s">
        <v>795</v>
      </c>
      <c r="E521" s="10" t="s">
        <v>2392</v>
      </c>
      <c r="F521" s="46" t="s">
        <v>115</v>
      </c>
    </row>
    <row r="522">
      <c r="A522" s="251" t="s">
        <v>3767</v>
      </c>
      <c r="B522" s="252">
        <f>IF(A522="", "", IF(IFERROR(VLOOKUP(A522, 'Base 3F'!$B:$C, 2, FALSE),"")="", "SIN CUIT", VLOOKUP(A522, 'Base 3F'!$B:$C, 2, FALSE)))</f>
        <v>30701150119</v>
      </c>
      <c r="C522" s="253" t="str">
        <f>IF(A522="", "", IF(IFERROR(VLOOKUP(A522, 'Base 3F'!$B:$J, 9, FALSE),"")="", "SIN RUBRO", VLOOKUP(A522, 'Base 3F'!$B:$J, 9, FALSE)))</f>
        <v>Plástica</v>
      </c>
      <c r="D522" s="257" t="s">
        <v>1012</v>
      </c>
      <c r="E522" s="10" t="s">
        <v>2392</v>
      </c>
      <c r="F522" s="46" t="s">
        <v>115</v>
      </c>
    </row>
    <row r="523">
      <c r="A523" s="258" t="s">
        <v>3770</v>
      </c>
      <c r="B523" s="252">
        <f>IF(A523="", "", IF(IFERROR(VLOOKUP(A523, 'Base 3F'!$B:$C, 2, FALSE),"")="", "SIN CUIT", VLOOKUP(A523, 'Base 3F'!$B:$C, 2, FALSE)))</f>
        <v>20308332323</v>
      </c>
      <c r="C523" s="253" t="str">
        <f>IF(A523="", "", IF(IFERROR(VLOOKUP(A523, 'Base 3F'!$B:$J, 9, FALSE),"")="", "SIN RUBRO", VLOOKUP(A523, 'Base 3F'!$B:$J, 9, FALSE)))</f>
        <v>Metalúrgica</v>
      </c>
      <c r="D523" s="259" t="s">
        <v>1013</v>
      </c>
      <c r="E523" s="10" t="s">
        <v>2392</v>
      </c>
      <c r="F523" s="46" t="s">
        <v>115</v>
      </c>
    </row>
    <row r="524">
      <c r="A524" s="251" t="s">
        <v>3778</v>
      </c>
      <c r="B524" s="252">
        <f>IF(A524="", "", IF(IFERROR(VLOOKUP(A524, 'Base 3F'!$B:$C, 2, FALSE),"")="", "SIN CUIT", VLOOKUP(A524, 'Base 3F'!$B:$C, 2, FALSE)))</f>
        <v>30504173409</v>
      </c>
      <c r="C524" s="253" t="str">
        <f>IF(A524="", "", IF(IFERROR(VLOOKUP(A524, 'Base 3F'!$B:$J, 9, FALSE),"")="", "SIN RUBRO", VLOOKUP(A524, 'Base 3F'!$B:$J, 9, FALSE)))</f>
        <v>Textil</v>
      </c>
      <c r="D524" s="259" t="s">
        <v>1015</v>
      </c>
      <c r="E524" s="10" t="s">
        <v>2392</v>
      </c>
      <c r="F524" s="46" t="s">
        <v>115</v>
      </c>
    </row>
    <row r="525">
      <c r="A525" s="251" t="s">
        <v>3782</v>
      </c>
      <c r="B525" s="252">
        <f>IF(A525="", "", IF(IFERROR(VLOOKUP(A525, 'Base 3F'!$B:$C, 2, FALSE),"")="", "SIN CUIT", VLOOKUP(A525, 'Base 3F'!$B:$C, 2, FALSE)))</f>
        <v>33717121169</v>
      </c>
      <c r="C525" s="253" t="str">
        <f>IF(A525="", "", IF(IFERROR(VLOOKUP(A525, 'Base 3F'!$B:$J, 9, FALSE),"")="", "SIN RUBRO", VLOOKUP(A525, 'Base 3F'!$B:$J, 9, FALSE)))</f>
        <v>Alimenticia</v>
      </c>
      <c r="D525" s="260" t="s">
        <v>1016</v>
      </c>
      <c r="E525" s="10" t="s">
        <v>2392</v>
      </c>
      <c r="F525" s="46" t="s">
        <v>115</v>
      </c>
    </row>
    <row r="526">
      <c r="A526" s="251" t="s">
        <v>3788</v>
      </c>
      <c r="B526" s="252">
        <f>IF(A526="", "", IF(IFERROR(VLOOKUP(A526, 'Base 3F'!$B:$C, 2, FALSE),"")="", "SIN CUIT", VLOOKUP(A526, 'Base 3F'!$B:$C, 2, FALSE)))</f>
        <v>27290406876</v>
      </c>
      <c r="C526" s="253" t="str">
        <f>IF(A526="", "", IF(IFERROR(VLOOKUP(A526, 'Base 3F'!$B:$J, 9, FALSE),"")="", "SIN RUBRO", VLOOKUP(A526, 'Base 3F'!$B:$J, 9, FALSE)))</f>
        <v>Química</v>
      </c>
      <c r="D526" s="260" t="s">
        <v>1018</v>
      </c>
      <c r="E526" s="10" t="s">
        <v>2392</v>
      </c>
      <c r="F526" s="46" t="s">
        <v>115</v>
      </c>
    </row>
    <row r="527">
      <c r="A527" s="251" t="s">
        <v>3794</v>
      </c>
      <c r="B527" s="252">
        <f>IF(A527="", "", IF(IFERROR(VLOOKUP(A527, 'Base 3F'!$B:$C, 2, FALSE),"")="", "SIN CUIT", VLOOKUP(A527, 'Base 3F'!$B:$C, 2, FALSE)))</f>
        <v>30716216442</v>
      </c>
      <c r="C527" s="253" t="str">
        <f>IF(A527="", "", IF(IFERROR(VLOOKUP(A527, 'Base 3F'!$B:$J, 9, FALSE),"")="", "SIN RUBRO", VLOOKUP(A527, 'Base 3F'!$B:$J, 9, FALSE)))</f>
        <v>Vidrio</v>
      </c>
      <c r="D527" s="260" t="s">
        <v>1020</v>
      </c>
      <c r="E527" s="10" t="s">
        <v>2392</v>
      </c>
      <c r="F527" s="46" t="s">
        <v>115</v>
      </c>
    </row>
    <row r="528">
      <c r="A528" s="251" t="s">
        <v>3797</v>
      </c>
      <c r="B528" s="252">
        <f>IF(A528="", "", IF(IFERROR(VLOOKUP(A528, 'Base 3F'!$B:$C, 2, FALSE),"")="", "SIN CUIT", VLOOKUP(A528, 'Base 3F'!$B:$C, 2, FALSE)))</f>
        <v>23173048599</v>
      </c>
      <c r="C528" s="253" t="str">
        <f>IF(A528="", "", IF(IFERROR(VLOOKUP(A528, 'Base 3F'!$B:$J, 9, FALSE),"")="", "SIN RUBRO", VLOOKUP(A528, 'Base 3F'!$B:$J, 9, FALSE)))</f>
        <v>Madera</v>
      </c>
      <c r="D528" s="260" t="s">
        <v>1023</v>
      </c>
      <c r="E528" s="10" t="s">
        <v>2392</v>
      </c>
      <c r="F528" s="46" t="s">
        <v>115</v>
      </c>
    </row>
    <row r="529">
      <c r="A529" s="251" t="s">
        <v>3799</v>
      </c>
      <c r="B529" s="252">
        <f>IF(A529="", "", IF(IFERROR(VLOOKUP(A529, 'Base 3F'!$B:$C, 2, FALSE),"")="", "SIN CUIT", VLOOKUP(A529, 'Base 3F'!$B:$C, 2, FALSE)))</f>
        <v>20112933876</v>
      </c>
      <c r="C529" s="253" t="str">
        <f>IF(A529="", "", IF(IFERROR(VLOOKUP(A529, 'Base 3F'!$B:$J, 9, FALSE),"")="", "SIN RUBRO", VLOOKUP(A529, 'Base 3F'!$B:$J, 9, FALSE)))</f>
        <v>Plástica</v>
      </c>
      <c r="D529" s="260" t="s">
        <v>1026</v>
      </c>
      <c r="E529" s="10" t="s">
        <v>2392</v>
      </c>
      <c r="F529" s="46" t="s">
        <v>115</v>
      </c>
    </row>
    <row r="530">
      <c r="A530" s="251" t="s">
        <v>3803</v>
      </c>
      <c r="B530" s="252">
        <f>IF(A530="", "", IF(IFERROR(VLOOKUP(A530, 'Base 3F'!$B:$C, 2, FALSE),"")="", "SIN CUIT", VLOOKUP(A530, 'Base 3F'!$B:$C, 2, FALSE)))</f>
        <v>30717903931</v>
      </c>
      <c r="C530" s="253" t="str">
        <f>IF(A530="", "", IF(IFERROR(VLOOKUP(A530, 'Base 3F'!$B:$J, 9, FALSE),"")="", "SIN RUBRO", VLOOKUP(A530, 'Base 3F'!$B:$J, 9, FALSE)))</f>
        <v>-</v>
      </c>
      <c r="D530" s="260" t="s">
        <v>1028</v>
      </c>
      <c r="E530" s="10" t="s">
        <v>2392</v>
      </c>
      <c r="F530" s="46" t="s">
        <v>115</v>
      </c>
    </row>
    <row r="531">
      <c r="A531" s="251" t="s">
        <v>3805</v>
      </c>
      <c r="B531" s="252">
        <f>IF(A531="", "", IF(IFERROR(VLOOKUP(A531, 'Base 3F'!$B:$C, 2, FALSE),"")="", "SIN CUIT", VLOOKUP(A531, 'Base 3F'!$B:$C, 2, FALSE)))</f>
        <v>30714549711</v>
      </c>
      <c r="C531" s="253" t="str">
        <f>IF(A531="", "", IF(IFERROR(VLOOKUP(A531, 'Base 3F'!$B:$J, 9, FALSE),"")="", "SIN RUBRO", VLOOKUP(A531, 'Base 3F'!$B:$J, 9, FALSE)))</f>
        <v>Alimenticia</v>
      </c>
      <c r="D531" s="260" t="s">
        <v>1029</v>
      </c>
      <c r="E531" s="10" t="s">
        <v>2392</v>
      </c>
      <c r="F531" s="46" t="s">
        <v>115</v>
      </c>
    </row>
    <row r="532">
      <c r="A532" s="251" t="s">
        <v>3808</v>
      </c>
      <c r="B532" s="252">
        <f>IF(A532="", "", IF(IFERROR(VLOOKUP(A532, 'Base 3F'!$B:$C, 2, FALSE),"")="", "SIN CUIT", VLOOKUP(A532, 'Base 3F'!$B:$C, 2, FALSE)))</f>
        <v>30714790907</v>
      </c>
      <c r="C532" s="253" t="str">
        <f>IF(A532="", "", IF(IFERROR(VLOOKUP(A532, 'Base 3F'!$B:$J, 9, FALSE),"")="", "SIN RUBRO", VLOOKUP(A532, 'Base 3F'!$B:$J, 9, FALSE)))</f>
        <v>Alimenticia</v>
      </c>
      <c r="D532" s="260" t="s">
        <v>1031</v>
      </c>
      <c r="E532" s="10" t="s">
        <v>2392</v>
      </c>
      <c r="F532" s="46" t="s">
        <v>115</v>
      </c>
    </row>
    <row r="533">
      <c r="A533" s="251" t="s">
        <v>3814</v>
      </c>
      <c r="B533" s="252">
        <f>IF(A533="", "", IF(IFERROR(VLOOKUP(A533, 'Base 3F'!$B:$C, 2, FALSE),"")="", "SIN CUIT", VLOOKUP(A533, 'Base 3F'!$B:$C, 2, FALSE)))</f>
        <v>30714721360</v>
      </c>
      <c r="C533" s="253" t="str">
        <f>IF(A533="", "", IF(IFERROR(VLOOKUP(A533, 'Base 3F'!$B:$J, 9, FALSE),"")="", "SIN RUBRO", VLOOKUP(A533, 'Base 3F'!$B:$J, 9, FALSE)))</f>
        <v>Metalúrgica</v>
      </c>
      <c r="D533" s="260" t="s">
        <v>1034</v>
      </c>
      <c r="E533" s="10" t="s">
        <v>2392</v>
      </c>
      <c r="F533" s="46" t="s">
        <v>115</v>
      </c>
    </row>
    <row r="534">
      <c r="A534" s="251" t="s">
        <v>3816</v>
      </c>
      <c r="B534" s="252">
        <f>IF(A534="", "", IF(IFERROR(VLOOKUP(A534, 'Base 3F'!$B:$C, 2, FALSE),"")="", "SIN CUIT", VLOOKUP(A534, 'Base 3F'!$B:$C, 2, FALSE)))</f>
        <v>30708070994</v>
      </c>
      <c r="C534" s="253" t="str">
        <f>IF(A534="", "", IF(IFERROR(VLOOKUP(A534, 'Base 3F'!$B:$J, 9, FALSE),"")="", "SIN RUBRO", VLOOKUP(A534, 'Base 3F'!$B:$J, 9, FALSE)))</f>
        <v>Servicios</v>
      </c>
      <c r="D534" s="260" t="s">
        <v>1035</v>
      </c>
      <c r="E534" s="10" t="s">
        <v>2392</v>
      </c>
      <c r="F534" s="46" t="s">
        <v>115</v>
      </c>
    </row>
    <row r="535">
      <c r="A535" s="251" t="s">
        <v>3819</v>
      </c>
      <c r="B535" s="252">
        <f>IF(A535="", "", IF(IFERROR(VLOOKUP(A535, 'Base 3F'!$B:$C, 2, FALSE),"")="", "SIN CUIT", VLOOKUP(A535, 'Base 3F'!$B:$C, 2, FALSE)))</f>
        <v>30714419362</v>
      </c>
      <c r="C535" s="253" t="str">
        <f>IF(A535="", "", IF(IFERROR(VLOOKUP(A535, 'Base 3F'!$B:$J, 9, FALSE),"")="", "SIN RUBRO", VLOOKUP(A535, 'Base 3F'!$B:$J, 9, FALSE)))</f>
        <v>Metalúrgica</v>
      </c>
      <c r="D535" s="260" t="s">
        <v>1036</v>
      </c>
      <c r="E535" s="10" t="s">
        <v>2392</v>
      </c>
      <c r="F535" s="46" t="s">
        <v>115</v>
      </c>
      <c r="G535" s="10" t="s">
        <v>3824</v>
      </c>
    </row>
    <row r="536">
      <c r="A536" s="261" t="s">
        <v>257</v>
      </c>
      <c r="B536" s="252">
        <f>IF(A536="", "", IF(IFERROR(VLOOKUP(A536, 'Base 3F'!$B:$C, 2, FALSE),"")="", "SIN CUIT", VLOOKUP(A536, 'Base 3F'!$B:$C, 2, FALSE)))</f>
        <v>30707576444</v>
      </c>
      <c r="C536" s="253" t="str">
        <f>IF(A536="", "", IF(IFERROR(VLOOKUP(A536, 'Base 3F'!$B:$J, 9, FALSE),"")="", "SIN RUBRO", VLOOKUP(A536, 'Base 3F'!$B:$J, 9, FALSE)))</f>
        <v>Metalúrgica</v>
      </c>
      <c r="D536" s="262" t="s">
        <v>797</v>
      </c>
      <c r="E536" s="10" t="s">
        <v>2392</v>
      </c>
      <c r="F536" s="46" t="s">
        <v>115</v>
      </c>
    </row>
    <row r="537">
      <c r="A537" s="261" t="s">
        <v>339</v>
      </c>
      <c r="B537" s="252">
        <f>IF(A537="", "", IF(IFERROR(VLOOKUP(A537, 'Base 3F'!$B:$C, 2, FALSE),"")="", "SIN CUIT", VLOOKUP(A537, 'Base 3F'!$B:$C, 2, FALSE)))</f>
        <v>30584398694</v>
      </c>
      <c r="C537" s="253" t="str">
        <f>IF(A537="", "", IF(IFERROR(VLOOKUP(A537, 'Base 3F'!$B:$J, 9, FALSE),"")="", "SIN RUBRO", VLOOKUP(A537, 'Base 3F'!$B:$J, 9, FALSE)))</f>
        <v>Metalúrgica</v>
      </c>
      <c r="D537" s="263" t="s">
        <v>798</v>
      </c>
      <c r="E537" s="10" t="s">
        <v>2392</v>
      </c>
      <c r="F537" s="46" t="s">
        <v>115</v>
      </c>
    </row>
    <row r="538">
      <c r="A538" s="261" t="s">
        <v>1094</v>
      </c>
      <c r="B538" s="252">
        <f>IF(A538="", "", IF(IFERROR(VLOOKUP(A538, 'Base 3F'!$B:$C, 2, FALSE),"")="", "SIN CUIT", VLOOKUP(A538, 'Base 3F'!$B:$C, 2, FALSE)))</f>
        <v>30647516366</v>
      </c>
      <c r="C538" s="253" t="str">
        <f>IF(A538="", "", IF(IFERROR(VLOOKUP(A538, 'Base 3F'!$B:$J, 9, FALSE),"")="", "SIN RUBRO", VLOOKUP(A538, 'Base 3F'!$B:$J, 9, FALSE)))</f>
        <v>Plástica</v>
      </c>
      <c r="D538" s="263" t="s">
        <v>799</v>
      </c>
      <c r="E538" s="10" t="s">
        <v>2392</v>
      </c>
      <c r="F538" s="46" t="s">
        <v>115</v>
      </c>
    </row>
    <row r="539">
      <c r="A539" s="261" t="s">
        <v>1117</v>
      </c>
      <c r="B539" s="252">
        <f>IF(A539="", "", IF(IFERROR(VLOOKUP(A539, 'Base 3F'!$B:$C, 2, FALSE),"")="", "SIN CUIT", VLOOKUP(A539, 'Base 3F'!$B:$C, 2, FALSE)))</f>
        <v>30502185787</v>
      </c>
      <c r="C539" s="253" t="str">
        <f>IF(A539="", "", IF(IFERROR(VLOOKUP(A539, 'Base 3F'!$B:$J, 9, FALSE),"")="", "SIN RUBRO", VLOOKUP(A539, 'Base 3F'!$B:$J, 9, FALSE)))</f>
        <v>Metalúrgica</v>
      </c>
      <c r="D539" s="263" t="s">
        <v>800</v>
      </c>
      <c r="E539" s="10" t="s">
        <v>2392</v>
      </c>
      <c r="F539" s="46" t="s">
        <v>115</v>
      </c>
    </row>
    <row r="540">
      <c r="A540" s="261" t="s">
        <v>417</v>
      </c>
      <c r="B540" s="252">
        <f>IF(A540="", "", IF(IFERROR(VLOOKUP(A540, 'Base 3F'!$B:$C, 2, FALSE),"")="", "SIN CUIT", VLOOKUP(A540, 'Base 3F'!$B:$C, 2, FALSE)))</f>
        <v>20262813720</v>
      </c>
      <c r="C540" s="253" t="str">
        <f>IF(A540="", "", IF(IFERROR(VLOOKUP(A540, 'Base 3F'!$B:$J, 9, FALSE),"")="", "SIN RUBRO", VLOOKUP(A540, 'Base 3F'!$B:$J, 9, FALSE)))</f>
        <v>Plástica</v>
      </c>
      <c r="D540" s="263" t="s">
        <v>801</v>
      </c>
      <c r="E540" s="10" t="s">
        <v>2392</v>
      </c>
      <c r="F540" s="46" t="s">
        <v>115</v>
      </c>
    </row>
    <row r="541">
      <c r="A541" s="261" t="s">
        <v>1184</v>
      </c>
      <c r="B541" s="252">
        <f>IF(A541="", "", IF(IFERROR(VLOOKUP(A541, 'Base 3F'!$B:$C, 2, FALSE),"")="", "SIN CUIT", VLOOKUP(A541, 'Base 3F'!$B:$C, 2, FALSE)))</f>
        <v>33708183909</v>
      </c>
      <c r="C541" s="253" t="str">
        <f>IF(A541="", "", IF(IFERROR(VLOOKUP(A541, 'Base 3F'!$B:$J, 9, FALSE),"")="", "SIN RUBRO", VLOOKUP(A541, 'Base 3F'!$B:$J, 9, FALSE)))</f>
        <v>Caucho</v>
      </c>
      <c r="D541" s="264" t="s">
        <v>803</v>
      </c>
      <c r="E541" s="10" t="s">
        <v>2392</v>
      </c>
      <c r="F541" s="46" t="s">
        <v>115</v>
      </c>
    </row>
    <row r="542">
      <c r="A542" s="261" t="s">
        <v>494</v>
      </c>
      <c r="B542" s="252">
        <f>IF(A542="", "", IF(IFERROR(VLOOKUP(A542, 'Base 3F'!$B:$C, 2, FALSE),"")="", "SIN CUIT", VLOOKUP(A542, 'Base 3F'!$B:$C, 2, FALSE)))</f>
        <v>30647279909</v>
      </c>
      <c r="C542" s="253" t="str">
        <f>IF(A542="", "", IF(IFERROR(VLOOKUP(A542, 'Base 3F'!$B:$J, 9, FALSE),"")="", "SIN RUBRO", VLOOKUP(A542, 'Base 3F'!$B:$J, 9, FALSE)))</f>
        <v>Metalúrgica</v>
      </c>
      <c r="D542" s="263" t="s">
        <v>804</v>
      </c>
      <c r="E542" s="10" t="s">
        <v>2392</v>
      </c>
      <c r="F542" s="46" t="s">
        <v>115</v>
      </c>
    </row>
    <row r="543">
      <c r="A543" s="261" t="s">
        <v>511</v>
      </c>
      <c r="B543" s="252">
        <f>IF(A543="", "", IF(IFERROR(VLOOKUP(A543, 'Base 3F'!$B:$C, 2, FALSE),"")="", "SIN CUIT", VLOOKUP(A543, 'Base 3F'!$B:$C, 2, FALSE)))</f>
        <v>30595286189</v>
      </c>
      <c r="C543" s="253" t="str">
        <f>IF(A543="", "", IF(IFERROR(VLOOKUP(A543, 'Base 3F'!$B:$J, 9, FALSE),"")="", "SIN RUBRO", VLOOKUP(A543, 'Base 3F'!$B:$J, 9, FALSE)))</f>
        <v>Textil</v>
      </c>
      <c r="D543" s="263" t="s">
        <v>805</v>
      </c>
      <c r="E543" s="10" t="s">
        <v>2392</v>
      </c>
      <c r="F543" s="46" t="s">
        <v>115</v>
      </c>
    </row>
    <row r="544">
      <c r="A544" s="261" t="s">
        <v>529</v>
      </c>
      <c r="B544" s="252">
        <f>IF(A544="", "", IF(IFERROR(VLOOKUP(A544, 'Base 3F'!$B:$C, 2, FALSE),"")="", "SIN CUIT", VLOOKUP(A544, 'Base 3F'!$B:$C, 2, FALSE)))</f>
        <v>30709636991</v>
      </c>
      <c r="C544" s="253" t="str">
        <f>IF(A544="", "", IF(IFERROR(VLOOKUP(A544, 'Base 3F'!$B:$J, 9, FALSE),"")="", "SIN RUBRO", VLOOKUP(A544, 'Base 3F'!$B:$J, 9, FALSE)))</f>
        <v>Metalúrgica</v>
      </c>
      <c r="D544" s="265" t="s">
        <v>806</v>
      </c>
      <c r="E544" s="10" t="s">
        <v>2392</v>
      </c>
      <c r="F544" s="46" t="s">
        <v>115</v>
      </c>
    </row>
    <row r="545">
      <c r="A545" s="261" t="s">
        <v>643</v>
      </c>
      <c r="B545" s="252">
        <f>IF(A545="", "", IF(IFERROR(VLOOKUP(A545, 'Base 3F'!$B:$C, 2, FALSE),"")="", "SIN CUIT", VLOOKUP(A545, 'Base 3F'!$B:$C, 2, FALSE)))</f>
        <v>30583370028</v>
      </c>
      <c r="C545" s="253" t="str">
        <f>IF(A545="", "", IF(IFERROR(VLOOKUP(A545, 'Base 3F'!$B:$J, 9, FALSE),"")="", "SIN RUBRO", VLOOKUP(A545, 'Base 3F'!$B:$J, 9, FALSE)))</f>
        <v>Alimenticia</v>
      </c>
      <c r="D545" s="263" t="s">
        <v>807</v>
      </c>
      <c r="E545" s="10" t="s">
        <v>2392</v>
      </c>
      <c r="F545" s="46" t="s">
        <v>115</v>
      </c>
    </row>
    <row r="546">
      <c r="A546" s="261" t="s">
        <v>1402</v>
      </c>
      <c r="B546" s="252">
        <f>IF(A546="", "", IF(IFERROR(VLOOKUP(A546, 'Base 3F'!$B:$C, 2, FALSE),"")="", "SIN CUIT", VLOOKUP(A546, 'Base 3F'!$B:$C, 2, FALSE)))</f>
        <v>30710162669</v>
      </c>
      <c r="C546" s="253" t="str">
        <f>IF(A546="", "", IF(IFERROR(VLOOKUP(A546, 'Base 3F'!$B:$J, 9, FALSE),"")="", "SIN RUBRO", VLOOKUP(A546, 'Base 3F'!$B:$J, 9, FALSE)))</f>
        <v>Alimenticia</v>
      </c>
      <c r="D546" s="263" t="s">
        <v>808</v>
      </c>
      <c r="E546" s="10" t="s">
        <v>2392</v>
      </c>
      <c r="F546" s="46" t="s">
        <v>115</v>
      </c>
    </row>
    <row r="547">
      <c r="A547" s="261" t="s">
        <v>1568</v>
      </c>
      <c r="B547" s="252">
        <f>IF(A547="", "", IF(IFERROR(VLOOKUP(A547, 'Base 3F'!$B:$C, 2, FALSE),"")="", "SIN CUIT", VLOOKUP(A547, 'Base 3F'!$B:$C, 2, FALSE)))</f>
        <v>30691156377</v>
      </c>
      <c r="C547" s="253" t="str">
        <f>IF(A547="", "", IF(IFERROR(VLOOKUP(A547, 'Base 3F'!$B:$J, 9, FALSE),"")="", "SIN RUBRO", VLOOKUP(A547, 'Base 3F'!$B:$J, 9, FALSE)))</f>
        <v>Alimenticia</v>
      </c>
      <c r="D547" s="58" t="s">
        <v>810</v>
      </c>
      <c r="E547" s="10" t="s">
        <v>2392</v>
      </c>
      <c r="F547" s="46" t="s">
        <v>115</v>
      </c>
    </row>
    <row r="548">
      <c r="A548" s="261" t="s">
        <v>880</v>
      </c>
      <c r="B548" s="252">
        <f>IF(A548="", "", IF(IFERROR(VLOOKUP(A548, 'Base 3F'!$B:$C, 2, FALSE),"")="", "SIN CUIT", VLOOKUP(A548, 'Base 3F'!$B:$C, 2, FALSE)))</f>
        <v>30505166414</v>
      </c>
      <c r="C548" s="253" t="str">
        <f>IF(A548="", "", IF(IFERROR(VLOOKUP(A548, 'Base 3F'!$B:$J, 9, FALSE),"")="", "SIN RUBRO", VLOOKUP(A548, 'Base 3F'!$B:$J, 9, FALSE)))</f>
        <v>Metalúrgica</v>
      </c>
      <c r="D548" s="58" t="s">
        <v>811</v>
      </c>
      <c r="E548" s="10" t="s">
        <v>2392</v>
      </c>
      <c r="F548" s="46" t="s">
        <v>115</v>
      </c>
      <c r="G548" s="266"/>
    </row>
    <row r="549">
      <c r="A549" s="261" t="s">
        <v>1889</v>
      </c>
      <c r="B549" s="252">
        <f>IF(A549="", "", IF(IFERROR(VLOOKUP(A549, 'Base 3F'!$B:$C, 2, FALSE),"")="", "SIN CUIT", VLOOKUP(A549, 'Base 3F'!$B:$C, 2, FALSE)))</f>
        <v>30711468699</v>
      </c>
      <c r="C549" s="253" t="str">
        <f>IF(A549="", "", IF(IFERROR(VLOOKUP(A549, 'Base 3F'!$B:$J, 9, FALSE),"")="", "SIN RUBRO", VLOOKUP(A549, 'Base 3F'!$B:$J, 9, FALSE)))</f>
        <v>Metalúrgica</v>
      </c>
      <c r="D549" s="58" t="s">
        <v>812</v>
      </c>
      <c r="E549" s="10" t="s">
        <v>2392</v>
      </c>
      <c r="F549" s="46" t="s">
        <v>115</v>
      </c>
    </row>
    <row r="550">
      <c r="A550" s="261" t="s">
        <v>1021</v>
      </c>
      <c r="B550" s="252">
        <f>IF(A550="", "", IF(IFERROR(VLOOKUP(A550, 'Base 3F'!$B:$C, 2, FALSE),"")="", "SIN CUIT", VLOOKUP(A550, 'Base 3F'!$B:$C, 2, FALSE)))</f>
        <v>30685317040</v>
      </c>
      <c r="C550" s="253" t="str">
        <f>IF(A550="", "", IF(IFERROR(VLOOKUP(A550, 'Base 3F'!$B:$J, 9, FALSE),"")="", "SIN RUBRO", VLOOKUP(A550, 'Base 3F'!$B:$J, 9, FALSE)))</f>
        <v>Calzado</v>
      </c>
      <c r="D550" s="58" t="s">
        <v>813</v>
      </c>
      <c r="E550" s="10" t="s">
        <v>2392</v>
      </c>
      <c r="F550" s="46" t="s">
        <v>115</v>
      </c>
    </row>
    <row r="551">
      <c r="A551" s="261" t="s">
        <v>1048</v>
      </c>
      <c r="B551" s="252">
        <f>IF(A551="", "", IF(IFERROR(VLOOKUP(A551, 'Base 3F'!$B:$C, 2, FALSE),"")="", "SIN CUIT", VLOOKUP(A551, 'Base 3F'!$B:$C, 2, FALSE)))</f>
        <v>30715206583</v>
      </c>
      <c r="C551" s="253" t="str">
        <f>IF(A551="", "", IF(IFERROR(VLOOKUP(A551, 'Base 3F'!$B:$J, 9, FALSE),"")="", "SIN RUBRO", VLOOKUP(A551, 'Base 3F'!$B:$J, 9, FALSE)))</f>
        <v>Metalúrgica</v>
      </c>
      <c r="D551" s="142" t="s">
        <v>814</v>
      </c>
      <c r="E551" s="10" t="s">
        <v>2392</v>
      </c>
      <c r="F551" s="46" t="s">
        <v>115</v>
      </c>
    </row>
    <row r="552">
      <c r="A552" s="261" t="s">
        <v>1063</v>
      </c>
      <c r="B552" s="252">
        <f>IF(A552="", "", IF(IFERROR(VLOOKUP(A552, 'Base 3F'!$B:$C, 2, FALSE),"")="", "SIN CUIT", VLOOKUP(A552, 'Base 3F'!$B:$C, 2, FALSE)))</f>
        <v>30687219127</v>
      </c>
      <c r="C552" s="253" t="str">
        <f>IF(A552="", "", IF(IFERROR(VLOOKUP(A552, 'Base 3F'!$B:$J, 9, FALSE),"")="", "SIN RUBRO", VLOOKUP(A552, 'Base 3F'!$B:$J, 9, FALSE)))</f>
        <v>Alimenticia</v>
      </c>
      <c r="D552" s="58" t="s">
        <v>815</v>
      </c>
      <c r="E552" s="10" t="s">
        <v>2392</v>
      </c>
      <c r="F552" s="46" t="s">
        <v>115</v>
      </c>
    </row>
    <row r="553">
      <c r="A553" s="261" t="s">
        <v>2047</v>
      </c>
      <c r="B553" s="252">
        <f>IF(A553="", "", IF(IFERROR(VLOOKUP(A553, 'Base 3F'!$B:$C, 2, FALSE),"")="", "SIN CUIT", VLOOKUP(A553, 'Base 3F'!$B:$C, 2, FALSE)))</f>
        <v>30644537788</v>
      </c>
      <c r="C553" s="253" t="str">
        <f>IF(A553="", "", IF(IFERROR(VLOOKUP(A553, 'Base 3F'!$B:$J, 9, FALSE),"")="", "SIN RUBRO", VLOOKUP(A553, 'Base 3F'!$B:$J, 9, FALSE)))</f>
        <v>Metalúrgica</v>
      </c>
      <c r="D553" s="58" t="s">
        <v>816</v>
      </c>
      <c r="E553" s="10" t="s">
        <v>2392</v>
      </c>
      <c r="F553" s="46" t="s">
        <v>115</v>
      </c>
    </row>
    <row r="554">
      <c r="A554" s="261" t="s">
        <v>1083</v>
      </c>
      <c r="B554" s="252">
        <f>IF(A554="", "", IF(IFERROR(VLOOKUP(A554, 'Base 3F'!$B:$C, 2, FALSE),"")="", "SIN CUIT", VLOOKUP(A554, 'Base 3F'!$B:$C, 2, FALSE)))</f>
        <v>30710081111</v>
      </c>
      <c r="C554" s="253" t="str">
        <f>IF(A554="", "", IF(IFERROR(VLOOKUP(A554, 'Base 3F'!$B:$J, 9, FALSE),"")="", "SIN RUBRO", VLOOKUP(A554, 'Base 3F'!$B:$J, 9, FALSE)))</f>
        <v>Metalúrgica</v>
      </c>
      <c r="D554" s="58" t="s">
        <v>817</v>
      </c>
      <c r="E554" s="10" t="s">
        <v>2392</v>
      </c>
      <c r="F554" s="46" t="s">
        <v>115</v>
      </c>
    </row>
    <row r="555">
      <c r="A555" s="261" t="s">
        <v>1090</v>
      </c>
      <c r="B555" s="252">
        <f>IF(A555="", "", IF(IFERROR(VLOOKUP(A555, 'Base 3F'!$B:$C, 2, FALSE),"")="", "SIN CUIT", VLOOKUP(A555, 'Base 3F'!$B:$C, 2, FALSE)))</f>
        <v>30574349334</v>
      </c>
      <c r="C555" s="253" t="str">
        <f>IF(A555="", "", IF(IFERROR(VLOOKUP(A555, 'Base 3F'!$B:$J, 9, FALSE),"")="", "SIN RUBRO", VLOOKUP(A555, 'Base 3F'!$B:$J, 9, FALSE)))</f>
        <v>Servicios</v>
      </c>
      <c r="D555" s="58" t="s">
        <v>818</v>
      </c>
      <c r="E555" s="10" t="s">
        <v>2392</v>
      </c>
      <c r="F555" s="46" t="s">
        <v>115</v>
      </c>
    </row>
    <row r="556">
      <c r="A556" s="261" t="s">
        <v>1110</v>
      </c>
      <c r="B556" s="252">
        <f>IF(A556="", "", IF(IFERROR(VLOOKUP(A556, 'Base 3F'!$B:$C, 2, FALSE),"")="", "SIN CUIT", VLOOKUP(A556, 'Base 3F'!$B:$C, 2, FALSE)))</f>
        <v>30708135425</v>
      </c>
      <c r="C556" s="253" t="str">
        <f>IF(A556="", "", IF(IFERROR(VLOOKUP(A556, 'Base 3F'!$B:$J, 9, FALSE),"")="", "SIN RUBRO", VLOOKUP(A556, 'Base 3F'!$B:$J, 9, FALSE)))</f>
        <v>Metalúrgica</v>
      </c>
      <c r="D556" s="58" t="s">
        <v>819</v>
      </c>
      <c r="E556" s="10" t="s">
        <v>2392</v>
      </c>
      <c r="F556" s="46" t="s">
        <v>115</v>
      </c>
    </row>
    <row r="557">
      <c r="A557" s="261" t="s">
        <v>2300</v>
      </c>
      <c r="B557" s="252">
        <f>IF(A557="", "", IF(IFERROR(VLOOKUP(A557, 'Base 3F'!$B:$C, 2, FALSE),"")="", "SIN CUIT", VLOOKUP(A557, 'Base 3F'!$B:$C, 2, FALSE)))</f>
        <v>30660723958</v>
      </c>
      <c r="C557" s="253" t="str">
        <f>IF(A557="", "", IF(IFERROR(VLOOKUP(A557, 'Base 3F'!$B:$J, 9, FALSE),"")="", "SIN RUBRO", VLOOKUP(A557, 'Base 3F'!$B:$J, 9, FALSE)))</f>
        <v>Plástica</v>
      </c>
      <c r="D557" s="58" t="s">
        <v>820</v>
      </c>
      <c r="E557" s="10" t="s">
        <v>2392</v>
      </c>
      <c r="F557" s="46" t="s">
        <v>115</v>
      </c>
    </row>
    <row r="558">
      <c r="A558" s="267" t="s">
        <v>1119</v>
      </c>
      <c r="B558" s="252">
        <f>IF(A558="", "", IF(IFERROR(VLOOKUP(A558, 'Base 3F'!$B:$C, 2, FALSE),"")="", "SIN CUIT", VLOOKUP(A558, 'Base 3F'!$B:$C, 2, FALSE)))</f>
        <v>33717273929</v>
      </c>
      <c r="C558" s="253" t="str">
        <f>IF(A558="", "", IF(IFERROR(VLOOKUP(A558, 'Base 3F'!$B:$J, 9, FALSE),"")="", "SIN RUBRO", VLOOKUP(A558, 'Base 3F'!$B:$J, 9, FALSE)))</f>
        <v>Metalmecánica</v>
      </c>
      <c r="D558" s="58" t="s">
        <v>3896</v>
      </c>
      <c r="E558" s="10" t="s">
        <v>2392</v>
      </c>
      <c r="F558" s="46" t="s">
        <v>115</v>
      </c>
    </row>
    <row r="559">
      <c r="A559" s="261" t="s">
        <v>1144</v>
      </c>
      <c r="B559" s="252">
        <f>IF(A559="", "", IF(IFERROR(VLOOKUP(A559, 'Base 3F'!$B:$C, 2, FALSE),"")="", "SIN CUIT", VLOOKUP(A559, 'Base 3F'!$B:$C, 2, FALSE)))</f>
        <v>30646362675</v>
      </c>
      <c r="C559" s="253" t="str">
        <f>IF(A559="", "", IF(IFERROR(VLOOKUP(A559, 'Base 3F'!$B:$J, 9, FALSE),"")="", "SIN RUBRO", VLOOKUP(A559, 'Base 3F'!$B:$J, 9, FALSE)))</f>
        <v>Gráfica</v>
      </c>
      <c r="D559" s="199" t="s">
        <v>821</v>
      </c>
      <c r="E559" s="10" t="s">
        <v>2392</v>
      </c>
      <c r="F559" s="46" t="s">
        <v>115</v>
      </c>
    </row>
    <row r="560">
      <c r="A560" s="261" t="s">
        <v>1150</v>
      </c>
      <c r="B560" s="252">
        <f>IF(A560="", "", IF(IFERROR(VLOOKUP(A560, 'Base 3F'!$B:$C, 2, FALSE),"")="", "SIN CUIT", VLOOKUP(A560, 'Base 3F'!$B:$C, 2, FALSE)))</f>
        <v>30709003018</v>
      </c>
      <c r="C560" s="253" t="str">
        <f>IF(A560="", "", IF(IFERROR(VLOOKUP(A560, 'Base 3F'!$B:$J, 9, FALSE),"")="", "SIN RUBRO", VLOOKUP(A560, 'Base 3F'!$B:$J, 9, FALSE)))</f>
        <v>Metalmecánica</v>
      </c>
      <c r="D560" s="58" t="s">
        <v>822</v>
      </c>
      <c r="E560" s="10" t="s">
        <v>2392</v>
      </c>
      <c r="F560" s="46" t="s">
        <v>115</v>
      </c>
    </row>
    <row r="561">
      <c r="A561" s="261" t="s">
        <v>2576</v>
      </c>
      <c r="B561" s="252">
        <f>IF(A561="", "", IF(IFERROR(VLOOKUP(A561, 'Base 3F'!$B:$C, 2, FALSE),"")="", "SIN CUIT", VLOOKUP(A561, 'Base 3F'!$B:$C, 2, FALSE)))</f>
        <v>30707589309</v>
      </c>
      <c r="C561" s="253" t="str">
        <f>IF(A561="", "", IF(IFERROR(VLOOKUP(A561, 'Base 3F'!$B:$J, 9, FALSE),"")="", "SIN RUBRO", VLOOKUP(A561, 'Base 3F'!$B:$J, 9, FALSE)))</f>
        <v>Madera</v>
      </c>
      <c r="D561" s="58" t="s">
        <v>824</v>
      </c>
      <c r="E561" s="10" t="s">
        <v>2392</v>
      </c>
      <c r="F561" s="46" t="s">
        <v>115</v>
      </c>
    </row>
    <row r="562">
      <c r="A562" s="261" t="s">
        <v>2612</v>
      </c>
      <c r="B562" s="252">
        <f>IF(A562="", "", IF(IFERROR(VLOOKUP(A562, 'Base 3F'!$B:$C, 2, FALSE),"")="", "SIN CUIT", VLOOKUP(A562, 'Base 3F'!$B:$C, 2, FALSE)))</f>
        <v>30711915369</v>
      </c>
      <c r="C562" s="253" t="str">
        <f>IF(A562="", "", IF(IFERROR(VLOOKUP(A562, 'Base 3F'!$B:$J, 9, FALSE),"")="", "SIN RUBRO", VLOOKUP(A562, 'Base 3F'!$B:$J, 9, FALSE)))</f>
        <v>Metalúrgica</v>
      </c>
      <c r="D562" s="58" t="s">
        <v>825</v>
      </c>
      <c r="E562" s="10" t="s">
        <v>2392</v>
      </c>
      <c r="F562" s="46" t="s">
        <v>115</v>
      </c>
    </row>
    <row r="563">
      <c r="A563" s="261" t="s">
        <v>1197</v>
      </c>
      <c r="B563" s="252">
        <f>IF(A563="", "", IF(IFERROR(VLOOKUP(A563, 'Base 3F'!$B:$C, 2, FALSE),"")="", "SIN CUIT", VLOOKUP(A563, 'Base 3F'!$B:$C, 2, FALSE)))</f>
        <v>30679115274</v>
      </c>
      <c r="C563" s="253" t="str">
        <f>IF(A563="", "", IF(IFERROR(VLOOKUP(A563, 'Base 3F'!$B:$J, 9, FALSE),"")="", "SIN RUBRO", VLOOKUP(A563, 'Base 3F'!$B:$J, 9, FALSE)))</f>
        <v>Textil</v>
      </c>
      <c r="D563" s="58" t="s">
        <v>827</v>
      </c>
      <c r="E563" s="10" t="s">
        <v>2392</v>
      </c>
      <c r="F563" s="46" t="s">
        <v>115</v>
      </c>
    </row>
    <row r="564">
      <c r="A564" s="261" t="s">
        <v>1227</v>
      </c>
      <c r="B564" s="252">
        <f>IF(A564="", "", IF(IFERROR(VLOOKUP(A564, 'Base 3F'!$B:$C, 2, FALSE),"")="", "SIN CUIT", VLOOKUP(A564, 'Base 3F'!$B:$C, 2, FALSE)))</f>
        <v>30715721305</v>
      </c>
      <c r="C564" s="253" t="str">
        <f>IF(A564="", "", IF(IFERROR(VLOOKUP(A564, 'Base 3F'!$B:$J, 9, FALSE),"")="", "SIN RUBRO", VLOOKUP(A564, 'Base 3F'!$B:$J, 9, FALSE)))</f>
        <v>Servicios</v>
      </c>
      <c r="D564" s="58" t="s">
        <v>828</v>
      </c>
      <c r="E564" s="10" t="s">
        <v>2392</v>
      </c>
      <c r="F564" s="46" t="s">
        <v>115</v>
      </c>
    </row>
    <row r="565">
      <c r="A565" s="261" t="s">
        <v>1234</v>
      </c>
      <c r="B565" s="252">
        <f>IF(A565="", "", IF(IFERROR(VLOOKUP(A565, 'Base 3F'!$B:$C, 2, FALSE),"")="", "SIN CUIT", VLOOKUP(A565, 'Base 3F'!$B:$C, 2, FALSE)))</f>
        <v>30685810995</v>
      </c>
      <c r="C565" s="253" t="str">
        <f>IF(A565="", "", IF(IFERROR(VLOOKUP(A565, 'Base 3F'!$B:$J, 9, FALSE),"")="", "SIN RUBRO", VLOOKUP(A565, 'Base 3F'!$B:$J, 9, FALSE)))</f>
        <v>Metalmecánica</v>
      </c>
      <c r="D565" s="58" t="s">
        <v>829</v>
      </c>
      <c r="E565" s="10" t="s">
        <v>2392</v>
      </c>
      <c r="F565" s="46" t="s">
        <v>115</v>
      </c>
    </row>
    <row r="566">
      <c r="A566" s="261" t="s">
        <v>1256</v>
      </c>
      <c r="B566" s="252">
        <f>IF(A566="", "", IF(IFERROR(VLOOKUP(A566, 'Base 3F'!$B:$C, 2, FALSE),"")="", "SIN CUIT", VLOOKUP(A566, 'Base 3F'!$B:$C, 2, FALSE)))</f>
        <v>30604118197</v>
      </c>
      <c r="C566" s="253" t="str">
        <f>IF(A566="", "", IF(IFERROR(VLOOKUP(A566, 'Base 3F'!$B:$J, 9, FALSE),"")="", "SIN RUBRO", VLOOKUP(A566, 'Base 3F'!$B:$J, 9, FALSE)))</f>
        <v>Metalúrgica</v>
      </c>
      <c r="D566" s="58" t="s">
        <v>830</v>
      </c>
      <c r="E566" s="10" t="s">
        <v>2392</v>
      </c>
      <c r="F566" s="46" t="s">
        <v>115</v>
      </c>
    </row>
    <row r="567">
      <c r="A567" s="261" t="s">
        <v>3003</v>
      </c>
      <c r="B567" s="252">
        <f>IF(A567="", "", IF(IFERROR(VLOOKUP(A567, 'Base 3F'!$B:$C, 2, FALSE),"")="", "SIN CUIT", VLOOKUP(A567, 'Base 3F'!$B:$C, 2, FALSE)))</f>
        <v>30708570946</v>
      </c>
      <c r="C567" s="253" t="str">
        <f>IF(A567="", "", IF(IFERROR(VLOOKUP(A567, 'Base 3F'!$B:$J, 9, FALSE),"")="", "SIN RUBRO", VLOOKUP(A567, 'Base 3F'!$B:$J, 9, FALSE)))</f>
        <v>Servicios</v>
      </c>
      <c r="D567" s="58" t="s">
        <v>831</v>
      </c>
      <c r="E567" s="10" t="s">
        <v>2392</v>
      </c>
      <c r="F567" s="46" t="s">
        <v>115</v>
      </c>
    </row>
    <row r="568">
      <c r="A568" s="261" t="s">
        <v>1275</v>
      </c>
      <c r="B568" s="252">
        <f>IF(A568="", "", IF(IFERROR(VLOOKUP(A568, 'Base 3F'!$B:$C, 2, FALSE),"")="", "SIN CUIT", VLOOKUP(A568, 'Base 3F'!$B:$C, 2, FALSE)))</f>
        <v>30502893188</v>
      </c>
      <c r="C568" s="253" t="str">
        <f>IF(A568="", "", IF(IFERROR(VLOOKUP(A568, 'Base 3F'!$B:$J, 9, FALSE),"")="", "SIN RUBRO", VLOOKUP(A568, 'Base 3F'!$B:$J, 9, FALSE)))</f>
        <v>Metalúrgica</v>
      </c>
      <c r="D568" s="58" t="s">
        <v>833</v>
      </c>
      <c r="E568" s="10" t="s">
        <v>2392</v>
      </c>
      <c r="F568" s="46" t="s">
        <v>115</v>
      </c>
    </row>
    <row r="569">
      <c r="A569" s="261" t="s">
        <v>1282</v>
      </c>
      <c r="B569" s="252">
        <f>IF(A569="", "", IF(IFERROR(VLOOKUP(A569, 'Base 3F'!$B:$C, 2, FALSE),"")="", "SIN CUIT", VLOOKUP(A569, 'Base 3F'!$B:$C, 2, FALSE)))</f>
        <v>30638285335</v>
      </c>
      <c r="C569" s="253" t="str">
        <f>IF(A569="", "", IF(IFERROR(VLOOKUP(A569, 'Base 3F'!$B:$J, 9, FALSE),"")="", "SIN RUBRO", VLOOKUP(A569, 'Base 3F'!$B:$J, 9, FALSE)))</f>
        <v>Alimenticia</v>
      </c>
      <c r="D569" s="58" t="s">
        <v>834</v>
      </c>
      <c r="E569" s="10" t="s">
        <v>2392</v>
      </c>
      <c r="F569" s="46" t="s">
        <v>115</v>
      </c>
    </row>
    <row r="570">
      <c r="A570" s="261" t="s">
        <v>3245</v>
      </c>
      <c r="B570" s="252">
        <f>IF(A570="", "", IF(IFERROR(VLOOKUP(A570, 'Base 3F'!$B:$C, 2, FALSE),"")="", "SIN CUIT", VLOOKUP(A570, 'Base 3F'!$B:$C, 2, FALSE)))</f>
        <v>30716270382</v>
      </c>
      <c r="C570" s="253" t="str">
        <f>IF(A570="", "", IF(IFERROR(VLOOKUP(A570, 'Base 3F'!$B:$J, 9, FALSE),"")="", "SIN RUBRO", VLOOKUP(A570, 'Base 3F'!$B:$J, 9, FALSE)))</f>
        <v>Textil</v>
      </c>
      <c r="D570" s="58" t="s">
        <v>3936</v>
      </c>
      <c r="E570" s="10" t="s">
        <v>2392</v>
      </c>
      <c r="F570" s="46" t="s">
        <v>115</v>
      </c>
    </row>
    <row r="571">
      <c r="A571" s="269" t="s">
        <v>1308</v>
      </c>
      <c r="B571" s="252">
        <f>IF(A571="", "", IF(IFERROR(VLOOKUP(A571, 'Base 3F'!$B:$C, 2, FALSE),"")="", "SIN CUIT", VLOOKUP(A571, 'Base 3F'!$B:$C, 2, FALSE)))</f>
        <v>30711691479</v>
      </c>
      <c r="C571" s="253" t="str">
        <f>IF(A571="", "", IF(IFERROR(VLOOKUP(A571, 'Base 3F'!$B:$J, 9, FALSE),"")="", "SIN RUBRO", VLOOKUP(A571, 'Base 3F'!$B:$J, 9, FALSE)))</f>
        <v>Textil</v>
      </c>
      <c r="D571" s="58" t="s">
        <v>835</v>
      </c>
      <c r="E571" s="10" t="s">
        <v>2392</v>
      </c>
      <c r="F571" s="46" t="s">
        <v>115</v>
      </c>
    </row>
    <row r="572">
      <c r="A572" s="261" t="s">
        <v>3363</v>
      </c>
      <c r="B572" s="252">
        <f>IF(A572="", "", IF(IFERROR(VLOOKUP(A572, 'Base 3F'!$B:$C, 2, FALSE),"")="", "SIN CUIT", VLOOKUP(A572, 'Base 3F'!$B:$C, 2, FALSE)))</f>
        <v>30503891863</v>
      </c>
      <c r="C572" s="253" t="str">
        <f>IF(A572="", "", IF(IFERROR(VLOOKUP(A572, 'Base 3F'!$B:$J, 9, FALSE),"")="", "SIN RUBRO", VLOOKUP(A572, 'Base 3F'!$B:$J, 9, FALSE)))</f>
        <v>Alimenticia</v>
      </c>
      <c r="D572" s="58" t="s">
        <v>836</v>
      </c>
      <c r="E572" s="10" t="s">
        <v>2392</v>
      </c>
      <c r="F572" s="46" t="s">
        <v>115</v>
      </c>
    </row>
    <row r="573">
      <c r="A573" s="261" t="s">
        <v>1345</v>
      </c>
      <c r="B573" s="252">
        <f>IF(A573="", "", IF(IFERROR(VLOOKUP(A573, 'Base 3F'!$B:$C, 2, FALSE),"")="", "SIN CUIT", VLOOKUP(A573, 'Base 3F'!$B:$C, 2, FALSE)))</f>
        <v>30591408093</v>
      </c>
      <c r="C573" s="253" t="str">
        <f>IF(A573="", "", IF(IFERROR(VLOOKUP(A573, 'Base 3F'!$B:$J, 9, FALSE),"")="", "SIN RUBRO", VLOOKUP(A573, 'Base 3F'!$B:$J, 9, FALSE)))</f>
        <v>Textil</v>
      </c>
      <c r="D573" s="58" t="s">
        <v>837</v>
      </c>
      <c r="E573" s="10" t="s">
        <v>2392</v>
      </c>
      <c r="F573" s="46" t="s">
        <v>115</v>
      </c>
    </row>
    <row r="574">
      <c r="A574" s="261" t="s">
        <v>3559</v>
      </c>
      <c r="B574" s="252">
        <f>IF(A574="", "", IF(IFERROR(VLOOKUP(A574, 'Base 3F'!$B:$C, 2, FALSE),"")="", "SIN CUIT", VLOOKUP(A574, 'Base 3F'!$B:$C, 2, FALSE)))</f>
        <v>30709522066</v>
      </c>
      <c r="C574" s="253" t="str">
        <f>IF(A574="", "", IF(IFERROR(VLOOKUP(A574, 'Base 3F'!$B:$J, 9, FALSE),"")="", "SIN RUBRO", VLOOKUP(A574, 'Base 3F'!$B:$J, 9, FALSE)))</f>
        <v>Química</v>
      </c>
      <c r="D574" s="133" t="s">
        <v>838</v>
      </c>
      <c r="E574" s="10" t="s">
        <v>2392</v>
      </c>
      <c r="F574" s="46" t="s">
        <v>115</v>
      </c>
    </row>
    <row r="575">
      <c r="A575" s="261" t="s">
        <v>1366</v>
      </c>
      <c r="B575" s="252">
        <f>IF(A575="", "", IF(IFERROR(VLOOKUP(A575, 'Base 3F'!$B:$C, 2, FALSE),"")="", "SIN CUIT", VLOOKUP(A575, 'Base 3F'!$B:$C, 2, FALSE)))</f>
        <v>33710516249</v>
      </c>
      <c r="C575" s="253" t="str">
        <f>IF(A575="", "", IF(IFERROR(VLOOKUP(A575, 'Base 3F'!$B:$J, 9, FALSE),"")="", "SIN RUBRO", VLOOKUP(A575, 'Base 3F'!$B:$J, 9, FALSE)))</f>
        <v>Construcción</v>
      </c>
      <c r="D575" s="199" t="s">
        <v>841</v>
      </c>
      <c r="E575" s="10" t="s">
        <v>2392</v>
      </c>
      <c r="F575" s="46" t="s">
        <v>115</v>
      </c>
    </row>
    <row r="576">
      <c r="A576" s="261" t="s">
        <v>1398</v>
      </c>
      <c r="B576" s="252" t="str">
        <f>IF(A576="", "", IF(IFERROR(VLOOKUP(A576, 'Base 3F'!$B:$C, 2, FALSE),"")="", "SIN CUIT", VLOOKUP(A576, 'Base 3F'!$B:$C, 2, FALSE)))</f>
        <v>Averiguar</v>
      </c>
      <c r="C576" s="253" t="str">
        <f>IF(A576="", "", IF(IFERROR(VLOOKUP(A576, 'Base 3F'!$B:$J, 9, FALSE),"")="", "SIN RUBRO", VLOOKUP(A576, 'Base 3F'!$B:$J, 9, FALSE)))</f>
        <v>Servicios</v>
      </c>
      <c r="D576" s="58" t="s">
        <v>842</v>
      </c>
      <c r="E576" s="10" t="s">
        <v>2392</v>
      </c>
      <c r="F576" s="46" t="s">
        <v>115</v>
      </c>
    </row>
    <row r="577">
      <c r="A577" s="261" t="s">
        <v>1405</v>
      </c>
      <c r="B577" s="252">
        <f>IF(A577="", "", IF(IFERROR(VLOOKUP(A577, 'Base 3F'!$B:$C, 2, FALSE),"")="", "SIN CUIT", VLOOKUP(A577, 'Base 3F'!$B:$C, 2, FALSE)))</f>
        <v>30707967958</v>
      </c>
      <c r="C577" s="253" t="str">
        <f>IF(A577="", "", IF(IFERROR(VLOOKUP(A577, 'Base 3F'!$B:$J, 9, FALSE),"")="", "SIN RUBRO", VLOOKUP(A577, 'Base 3F'!$B:$J, 9, FALSE)))</f>
        <v>Gráfica</v>
      </c>
      <c r="D577" s="58" t="s">
        <v>843</v>
      </c>
      <c r="E577" s="10" t="s">
        <v>2392</v>
      </c>
      <c r="F577" s="46" t="s">
        <v>115</v>
      </c>
    </row>
    <row r="578">
      <c r="A578" s="261" t="s">
        <v>1440</v>
      </c>
      <c r="B578" s="252">
        <f>IF(A578="", "", IF(IFERROR(VLOOKUP(A578, 'Base 3F'!$B:$C, 2, FALSE),"")="", "SIN CUIT", VLOOKUP(A578, 'Base 3F'!$B:$C, 2, FALSE)))</f>
        <v>30709244961</v>
      </c>
      <c r="C578" s="253" t="str">
        <f>IF(A578="", "", IF(IFERROR(VLOOKUP(A578, 'Base 3F'!$B:$J, 9, FALSE),"")="", "SIN RUBRO", VLOOKUP(A578, 'Base 3F'!$B:$J, 9, FALSE)))</f>
        <v>Metalúrgica</v>
      </c>
      <c r="D578" s="58" t="s">
        <v>1041</v>
      </c>
      <c r="E578" s="10" t="s">
        <v>2392</v>
      </c>
      <c r="F578" s="46" t="s">
        <v>115</v>
      </c>
    </row>
    <row r="579">
      <c r="A579" s="261" t="s">
        <v>1452</v>
      </c>
      <c r="B579" s="252">
        <f>IF(A579="", "", IF(IFERROR(VLOOKUP(A579, 'Base 3F'!$B:$C, 2, FALSE),"")="", "SIN CUIT", VLOOKUP(A579, 'Base 3F'!$B:$C, 2, FALSE)))</f>
        <v>30658781851</v>
      </c>
      <c r="C579" s="253" t="str">
        <f>IF(A579="", "", IF(IFERROR(VLOOKUP(A579, 'Base 3F'!$B:$J, 9, FALSE),"")="", "SIN RUBRO", VLOOKUP(A579, 'Base 3F'!$B:$J, 9, FALSE)))</f>
        <v>Textil</v>
      </c>
      <c r="D579" s="58" t="s">
        <v>845</v>
      </c>
      <c r="E579" s="10" t="s">
        <v>2392</v>
      </c>
      <c r="F579" s="46" t="s">
        <v>115</v>
      </c>
    </row>
    <row r="580">
      <c r="A580" s="261" t="s">
        <v>3963</v>
      </c>
      <c r="B580" s="252">
        <f>IF(A580="", "", IF(IFERROR(VLOOKUP(A580, 'Base 3F'!$B:$C, 2, FALSE),"")="", "SIN CUIT", VLOOKUP(A580, 'Base 3F'!$B:$C, 2, FALSE)))</f>
        <v>30707735291</v>
      </c>
      <c r="C580" s="253" t="str">
        <f>IF(A580="", "", IF(IFERROR(VLOOKUP(A580, 'Base 3F'!$B:$J, 9, FALSE),"")="", "SIN RUBRO", VLOOKUP(A580, 'Base 3F'!$B:$J, 9, FALSE)))</f>
        <v>Metalúrgica</v>
      </c>
      <c r="D580" s="58" t="s">
        <v>846</v>
      </c>
      <c r="E580" s="10" t="s">
        <v>2392</v>
      </c>
      <c r="F580" s="46" t="s">
        <v>115</v>
      </c>
    </row>
    <row r="581">
      <c r="A581" s="261" t="s">
        <v>3967</v>
      </c>
      <c r="B581" s="252">
        <f>IF(A581="", "", IF(IFERROR(VLOOKUP(A581, 'Base 3F'!$B:$C, 2, FALSE),"")="", "SIN CUIT", VLOOKUP(A581, 'Base 3F'!$B:$C, 2, FALSE)))</f>
        <v>30711557071</v>
      </c>
      <c r="C581" s="253" t="str">
        <f>IF(A581="", "", IF(IFERROR(VLOOKUP(A581, 'Base 3F'!$B:$J, 9, FALSE),"")="", "SIN RUBRO", VLOOKUP(A581, 'Base 3F'!$B:$J, 9, FALSE)))</f>
        <v>Servicios</v>
      </c>
      <c r="D581" s="58" t="s">
        <v>848</v>
      </c>
      <c r="E581" s="10" t="s">
        <v>2392</v>
      </c>
      <c r="F581" s="46" t="s">
        <v>115</v>
      </c>
    </row>
    <row r="582">
      <c r="A582" s="261" t="s">
        <v>1470</v>
      </c>
      <c r="B582" s="252">
        <f>IF(A582="", "", IF(IFERROR(VLOOKUP(A582, 'Base 3F'!$B:$C, 2, FALSE),"")="", "SIN CUIT", VLOOKUP(A582, 'Base 3F'!$B:$C, 2, FALSE)))</f>
        <v>30629358788</v>
      </c>
      <c r="C582" s="253" t="str">
        <f>IF(A582="", "", IF(IFERROR(VLOOKUP(A582, 'Base 3F'!$B:$J, 9, FALSE),"")="", "SIN RUBRO", VLOOKUP(A582, 'Base 3F'!$B:$J, 9, FALSE)))</f>
        <v>Metalúrgica</v>
      </c>
      <c r="D582" s="58" t="s">
        <v>849</v>
      </c>
      <c r="E582" s="10" t="s">
        <v>2392</v>
      </c>
      <c r="F582" s="46" t="s">
        <v>115</v>
      </c>
    </row>
    <row r="583">
      <c r="A583" s="261" t="s">
        <v>1473</v>
      </c>
      <c r="B583" s="252">
        <f>IF(A583="", "", IF(IFERROR(VLOOKUP(A583, 'Base 3F'!$B:$C, 2, FALSE),"")="", "SIN CUIT", VLOOKUP(A583, 'Base 3F'!$B:$C, 2, FALSE)))</f>
        <v>30714825263</v>
      </c>
      <c r="C583" s="253" t="str">
        <f>IF(A583="", "", IF(IFERROR(VLOOKUP(A583, 'Base 3F'!$B:$J, 9, FALSE),"")="", "SIN RUBRO", VLOOKUP(A583, 'Base 3F'!$B:$J, 9, FALSE)))</f>
        <v>Alimenticia</v>
      </c>
      <c r="D583" s="58" t="s">
        <v>850</v>
      </c>
      <c r="E583" s="10" t="s">
        <v>2392</v>
      </c>
      <c r="F583" s="46" t="s">
        <v>115</v>
      </c>
    </row>
    <row r="584">
      <c r="A584" s="261" t="s">
        <v>1478</v>
      </c>
      <c r="B584" s="252">
        <f>IF(A584="", "", IF(IFERROR(VLOOKUP(A584, 'Base 3F'!$B:$C, 2, FALSE),"")="", "SIN CUIT", VLOOKUP(A584, 'Base 3F'!$B:$C, 2, FALSE)))</f>
        <v>30709011940</v>
      </c>
      <c r="C584" s="253" t="str">
        <f>IF(A584="", "", IF(IFERROR(VLOOKUP(A584, 'Base 3F'!$B:$J, 9, FALSE),"")="", "SIN RUBRO", VLOOKUP(A584, 'Base 3F'!$B:$J, 9, FALSE)))</f>
        <v>Química</v>
      </c>
      <c r="D584" s="58" t="s">
        <v>852</v>
      </c>
      <c r="E584" s="10" t="s">
        <v>2392</v>
      </c>
      <c r="F584" s="46" t="s">
        <v>115</v>
      </c>
    </row>
    <row r="585">
      <c r="A585" s="261" t="s">
        <v>1484</v>
      </c>
      <c r="B585" s="252">
        <f>IF(A585="", "", IF(IFERROR(VLOOKUP(A585, 'Base 3F'!$B:$C, 2, FALSE),"")="", "SIN CUIT", VLOOKUP(A585, 'Base 3F'!$B:$C, 2, FALSE)))</f>
        <v>30711288674</v>
      </c>
      <c r="C585" s="253" t="str">
        <f>IF(A585="", "", IF(IFERROR(VLOOKUP(A585, 'Base 3F'!$B:$J, 9, FALSE),"")="", "SIN RUBRO", VLOOKUP(A585, 'Base 3F'!$B:$J, 9, FALSE)))</f>
        <v>Metalúrgica</v>
      </c>
      <c r="D585" s="142" t="s">
        <v>855</v>
      </c>
      <c r="E585" s="10" t="s">
        <v>2392</v>
      </c>
      <c r="F585" s="46" t="s">
        <v>115</v>
      </c>
    </row>
    <row r="586">
      <c r="A586" s="261" t="s">
        <v>1493</v>
      </c>
      <c r="B586" s="252">
        <f>IF(A586="", "", IF(IFERROR(VLOOKUP(A586, 'Base 3F'!$B:$C, 2, FALSE),"")="", "SIN CUIT", VLOOKUP(A586, 'Base 3F'!$B:$C, 2, FALSE)))</f>
        <v>30716969491</v>
      </c>
      <c r="C586" s="253" t="str">
        <f>IF(A586="", "", IF(IFERROR(VLOOKUP(A586, 'Base 3F'!$B:$J, 9, FALSE),"")="", "SIN RUBRO", VLOOKUP(A586, 'Base 3F'!$B:$J, 9, FALSE)))</f>
        <v>Alimenticia</v>
      </c>
      <c r="D586" s="58" t="s">
        <v>3985</v>
      </c>
      <c r="E586" s="10" t="s">
        <v>2392</v>
      </c>
      <c r="F586" s="46" t="s">
        <v>115</v>
      </c>
    </row>
    <row r="587">
      <c r="A587" s="261" t="s">
        <v>1538</v>
      </c>
      <c r="B587" s="252">
        <f>IF(A587="", "", IF(IFERROR(VLOOKUP(A587, 'Base 3F'!$B:$C, 2, FALSE),"")="", "SIN CUIT", VLOOKUP(A587, 'Base 3F'!$B:$C, 2, FALSE)))</f>
        <v>30666522032</v>
      </c>
      <c r="C587" s="253" t="str">
        <f>IF(A587="", "", IF(IFERROR(VLOOKUP(A587, 'Base 3F'!$B:$J, 9, FALSE),"")="", "SIN RUBRO", VLOOKUP(A587, 'Base 3F'!$B:$J, 9, FALSE)))</f>
        <v>Metalúrgica</v>
      </c>
      <c r="D587" s="142" t="s">
        <v>858</v>
      </c>
      <c r="E587" s="10" t="s">
        <v>2392</v>
      </c>
      <c r="F587" s="46" t="s">
        <v>115</v>
      </c>
    </row>
    <row r="588">
      <c r="A588" s="261" t="s">
        <v>1558</v>
      </c>
      <c r="B588" s="252">
        <f>IF(A588="", "", IF(IFERROR(VLOOKUP(A588, 'Base 3F'!$B:$C, 2, FALSE),"")="", "SIN CUIT", VLOOKUP(A588, 'Base 3F'!$B:$C, 2, FALSE)))</f>
        <v>30694748534</v>
      </c>
      <c r="C588" s="253" t="str">
        <f>IF(A588="", "", IF(IFERROR(VLOOKUP(A588, 'Base 3F'!$B:$J, 9, FALSE),"")="", "SIN RUBRO", VLOOKUP(A588, 'Base 3F'!$B:$J, 9, FALSE)))</f>
        <v>Electrónica</v>
      </c>
      <c r="D588" s="58" t="s">
        <v>863</v>
      </c>
      <c r="E588" s="10" t="s">
        <v>2392</v>
      </c>
      <c r="F588" s="46" t="s">
        <v>115</v>
      </c>
    </row>
    <row r="589">
      <c r="A589" s="261" t="s">
        <v>1562</v>
      </c>
      <c r="B589" s="252">
        <f>IF(A589="", "", IF(IFERROR(VLOOKUP(A589, 'Base 3F'!$B:$C, 2, FALSE),"")="", "SIN CUIT", VLOOKUP(A589, 'Base 3F'!$B:$C, 2, FALSE)))</f>
        <v>30707109714</v>
      </c>
      <c r="C589" s="253" t="str">
        <f>IF(A589="", "", IF(IFERROR(VLOOKUP(A589, 'Base 3F'!$B:$J, 9, FALSE),"")="", "SIN RUBRO", VLOOKUP(A589, 'Base 3F'!$B:$J, 9, FALSE)))</f>
        <v>Servicios</v>
      </c>
      <c r="D589" s="142" t="s">
        <v>865</v>
      </c>
      <c r="E589" s="10" t="s">
        <v>2392</v>
      </c>
      <c r="F589" s="46" t="s">
        <v>115</v>
      </c>
    </row>
    <row r="590">
      <c r="A590" s="261" t="s">
        <v>1567</v>
      </c>
      <c r="B590" s="252">
        <f>IF(A590="", "", IF(IFERROR(VLOOKUP(A590, 'Base 3F'!$B:$C, 2, FALSE),"")="", "SIN CUIT", VLOOKUP(A590, 'Base 3F'!$B:$C, 2, FALSE)))</f>
        <v>30708933593</v>
      </c>
      <c r="C590" s="253" t="str">
        <f>IF(A590="", "", IF(IFERROR(VLOOKUP(A590, 'Base 3F'!$B:$J, 9, FALSE),"")="", "SIN RUBRO", VLOOKUP(A590, 'Base 3F'!$B:$J, 9, FALSE)))</f>
        <v>Química</v>
      </c>
      <c r="D590" s="58" t="s">
        <v>867</v>
      </c>
      <c r="E590" s="10" t="s">
        <v>2392</v>
      </c>
      <c r="F590" s="46" t="s">
        <v>115</v>
      </c>
    </row>
    <row r="591">
      <c r="A591" s="261" t="s">
        <v>1585</v>
      </c>
      <c r="B591" s="252">
        <f>IF(A591="", "", IF(IFERROR(VLOOKUP(A591, 'Base 3F'!$B:$C, 2, FALSE),"")="", "SIN CUIT", VLOOKUP(A591, 'Base 3F'!$B:$C, 2, FALSE)))</f>
        <v>30537882871</v>
      </c>
      <c r="C591" s="253" t="str">
        <f>IF(A591="", "", IF(IFERROR(VLOOKUP(A591, 'Base 3F'!$B:$J, 9, FALSE),"")="", "SIN RUBRO", VLOOKUP(A591, 'Base 3F'!$B:$J, 9, FALSE)))</f>
        <v>Bebidas</v>
      </c>
      <c r="D591" s="236" t="s">
        <v>868</v>
      </c>
      <c r="E591" s="10" t="s">
        <v>2392</v>
      </c>
      <c r="F591" s="46" t="s">
        <v>115</v>
      </c>
    </row>
    <row r="592">
      <c r="A592" s="261" t="s">
        <v>1597</v>
      </c>
      <c r="B592" s="252">
        <f>IF(A592="", "", IF(IFERROR(VLOOKUP(A592, 'Base 3F'!$B:$C, 2, FALSE),"")="", "SIN CUIT", VLOOKUP(A592, 'Base 3F'!$B:$C, 2, FALSE)))</f>
        <v>30662022175</v>
      </c>
      <c r="C592" s="253" t="str">
        <f>IF(A592="", "", IF(IFERROR(VLOOKUP(A592, 'Base 3F'!$B:$J, 9, FALSE),"")="", "SIN RUBRO", VLOOKUP(A592, 'Base 3F'!$B:$J, 9, FALSE)))</f>
        <v>Metalúrgica</v>
      </c>
      <c r="D592" s="58" t="s">
        <v>869</v>
      </c>
      <c r="E592" s="10" t="s">
        <v>2392</v>
      </c>
      <c r="F592" s="46" t="s">
        <v>115</v>
      </c>
    </row>
    <row r="593">
      <c r="A593" s="261" t="s">
        <v>1614</v>
      </c>
      <c r="B593" s="252">
        <f>IF(A593="", "", IF(IFERROR(VLOOKUP(A593, 'Base 3F'!$B:$C, 2, FALSE),"")="", "SIN CUIT", VLOOKUP(A593, 'Base 3F'!$B:$C, 2, FALSE)))</f>
        <v>30709748579</v>
      </c>
      <c r="C593" s="253" t="str">
        <f>IF(A593="", "", IF(IFERROR(VLOOKUP(A593, 'Base 3F'!$B:$J, 9, FALSE),"")="", "SIN RUBRO", VLOOKUP(A593, 'Base 3F'!$B:$J, 9, FALSE)))</f>
        <v>Alimenticia</v>
      </c>
      <c r="D593" s="58" t="s">
        <v>870</v>
      </c>
      <c r="E593" s="10" t="s">
        <v>2392</v>
      </c>
      <c r="F593" s="46" t="s">
        <v>115</v>
      </c>
    </row>
    <row r="594">
      <c r="A594" s="261" t="s">
        <v>1637</v>
      </c>
      <c r="B594" s="252">
        <f>IF(A594="", "", IF(IFERROR(VLOOKUP(A594, 'Base 3F'!$B:$C, 2, FALSE),"")="", "SIN CUIT", VLOOKUP(A594, 'Base 3F'!$B:$C, 2, FALSE)))</f>
        <v>30715926683</v>
      </c>
      <c r="C594" s="253" t="str">
        <f>IF(A594="", "", IF(IFERROR(VLOOKUP(A594, 'Base 3F'!$B:$J, 9, FALSE),"")="", "SIN RUBRO", VLOOKUP(A594, 'Base 3F'!$B:$J, 9, FALSE)))</f>
        <v>Metalmecánica</v>
      </c>
      <c r="D594" s="58" t="s">
        <v>871</v>
      </c>
      <c r="E594" s="10" t="s">
        <v>2392</v>
      </c>
      <c r="F594" s="46" t="s">
        <v>115</v>
      </c>
    </row>
    <row r="595">
      <c r="A595" s="261" t="s">
        <v>1642</v>
      </c>
      <c r="B595" s="252">
        <f>IF(A595="", "", IF(IFERROR(VLOOKUP(A595, 'Base 3F'!$B:$C, 2, FALSE),"")="", "SIN CUIT", VLOOKUP(A595, 'Base 3F'!$B:$C, 2, FALSE)))</f>
        <v>30708246790</v>
      </c>
      <c r="C595" s="253" t="str">
        <f>IF(A595="", "", IF(IFERROR(VLOOKUP(A595, 'Base 3F'!$B:$J, 9, FALSE),"")="", "SIN RUBRO", VLOOKUP(A595, 'Base 3F'!$B:$J, 9, FALSE)))</f>
        <v>Metalúrgica</v>
      </c>
      <c r="D595" s="142" t="s">
        <v>872</v>
      </c>
      <c r="E595" s="10" t="s">
        <v>2392</v>
      </c>
      <c r="F595" s="46" t="s">
        <v>115</v>
      </c>
    </row>
    <row r="596">
      <c r="A596" s="261" t="s">
        <v>4017</v>
      </c>
      <c r="B596" s="252">
        <f>IF(A596="", "", IF(IFERROR(VLOOKUP(A596, 'Base 3F'!$B:$C, 2, FALSE),"")="", "SIN CUIT", VLOOKUP(A596, 'Base 3F'!$B:$C, 2, FALSE)))</f>
        <v>30707143467</v>
      </c>
      <c r="C596" s="253" t="str">
        <f>IF(A596="", "", IF(IFERROR(VLOOKUP(A596, 'Base 3F'!$B:$J, 9, FALSE),"")="", "SIN RUBRO", VLOOKUP(A596, 'Base 3F'!$B:$J, 9, FALSE)))</f>
        <v>Textil</v>
      </c>
      <c r="D596" s="58" t="s">
        <v>873</v>
      </c>
      <c r="E596" s="10" t="s">
        <v>2392</v>
      </c>
      <c r="F596" s="46" t="s">
        <v>115</v>
      </c>
    </row>
    <row r="597">
      <c r="A597" s="261" t="s">
        <v>4023</v>
      </c>
      <c r="B597" s="252">
        <f>IF(A597="", "", IF(IFERROR(VLOOKUP(A597, 'Base 3F'!$B:$C, 2, FALSE),"")="", "SIN CUIT", VLOOKUP(A597, 'Base 3F'!$B:$C, 2, FALSE)))</f>
        <v>30500926976</v>
      </c>
      <c r="C597" s="253" t="str">
        <f>IF(A597="", "", IF(IFERROR(VLOOKUP(A597, 'Base 3F'!$B:$J, 9, FALSE),"")="", "SIN RUBRO", VLOOKUP(A597, 'Base 3F'!$B:$J, 9, FALSE)))</f>
        <v>Metalúrgica</v>
      </c>
      <c r="D597" s="58" t="s">
        <v>874</v>
      </c>
      <c r="E597" s="10" t="s">
        <v>2392</v>
      </c>
      <c r="F597" s="46" t="s">
        <v>115</v>
      </c>
    </row>
    <row r="598">
      <c r="A598" s="261" t="s">
        <v>1658</v>
      </c>
      <c r="B598" s="252">
        <f>IF(A598="", "", IF(IFERROR(VLOOKUP(A598, 'Base 3F'!$B:$C, 2, FALSE),"")="", "SIN CUIT", VLOOKUP(A598, 'Base 3F'!$B:$C, 2, FALSE)))</f>
        <v>33644120479</v>
      </c>
      <c r="C598" s="253" t="str">
        <f>IF(A598="", "", IF(IFERROR(VLOOKUP(A598, 'Base 3F'!$B:$J, 9, FALSE),"")="", "SIN RUBRO", VLOOKUP(A598, 'Base 3F'!$B:$J, 9, FALSE)))</f>
        <v>Metalúrgica</v>
      </c>
      <c r="D598" s="58" t="s">
        <v>875</v>
      </c>
      <c r="E598" s="10" t="s">
        <v>2392</v>
      </c>
      <c r="F598" s="46" t="s">
        <v>115</v>
      </c>
    </row>
    <row r="599">
      <c r="A599" s="82" t="s">
        <v>4028</v>
      </c>
      <c r="B599" s="272">
        <v>3.0708856653E10</v>
      </c>
      <c r="C599" s="253" t="str">
        <f>IF(A599="", "", IF(IFERROR(VLOOKUP(A599, 'Base 3F'!$B:$J, 9, FALSE),"")="", "SIN RUBRO", VLOOKUP(A599, 'Base 3F'!$B:$J, 9, FALSE)))</f>
        <v>Servicios</v>
      </c>
      <c r="D599" s="242" t="s">
        <v>876</v>
      </c>
      <c r="E599" s="10" t="s">
        <v>2392</v>
      </c>
      <c r="F599" s="46" t="s">
        <v>310</v>
      </c>
    </row>
    <row r="600">
      <c r="A600" s="261" t="s">
        <v>1688</v>
      </c>
      <c r="B600" s="252">
        <f>IF(A600="", "", IF(IFERROR(VLOOKUP(A600, 'Base 3F'!$B:$C, 2, FALSE),"")="", "SIN CUIT", VLOOKUP(A600, 'Base 3F'!$B:$C, 2, FALSE)))</f>
        <v>30677077596</v>
      </c>
      <c r="C600" s="253" t="str">
        <f>IF(A600="", "", IF(IFERROR(VLOOKUP(A600, 'Base 3F'!$B:$J, 9, FALSE),"")="", "SIN RUBRO", VLOOKUP(A600, 'Base 3F'!$B:$J, 9, FALSE)))</f>
        <v>Metalúrgica</v>
      </c>
      <c r="D600" s="58" t="s">
        <v>877</v>
      </c>
      <c r="E600" s="10" t="s">
        <v>2392</v>
      </c>
      <c r="F600" s="46" t="s">
        <v>115</v>
      </c>
    </row>
    <row r="601">
      <c r="A601" s="261" t="s">
        <v>1692</v>
      </c>
      <c r="B601" s="252">
        <f>IF(A601="", "", IF(IFERROR(VLOOKUP(A601, 'Base 3F'!$B:$C, 2, FALSE),"")="", "SIN CUIT", VLOOKUP(A601, 'Base 3F'!$B:$C, 2, FALSE)))</f>
        <v>30710218486</v>
      </c>
      <c r="C601" s="253" t="str">
        <f>IF(A601="", "", IF(IFERROR(VLOOKUP(A601, 'Base 3F'!$B:$J, 9, FALSE),"")="", "SIN RUBRO", VLOOKUP(A601, 'Base 3F'!$B:$J, 9, FALSE)))</f>
        <v>Gráfica</v>
      </c>
      <c r="D601" s="58" t="s">
        <v>881</v>
      </c>
      <c r="E601" s="10" t="s">
        <v>2392</v>
      </c>
      <c r="F601" s="46" t="s">
        <v>115</v>
      </c>
    </row>
    <row r="602">
      <c r="A602" s="261" t="s">
        <v>1698</v>
      </c>
      <c r="B602" s="252">
        <f>IF(A602="", "", IF(IFERROR(VLOOKUP(A602, 'Base 3F'!$B:$C, 2, FALSE),"")="", "SIN CUIT", VLOOKUP(A602, 'Base 3F'!$B:$C, 2, FALSE)))</f>
        <v>30709190713</v>
      </c>
      <c r="C602" s="253" t="str">
        <f>IF(A602="", "", IF(IFERROR(VLOOKUP(A602, 'Base 3F'!$B:$J, 9, FALSE),"")="", "SIN RUBRO", VLOOKUP(A602, 'Base 3F'!$B:$J, 9, FALSE)))</f>
        <v>Metalúrgica</v>
      </c>
      <c r="D602" s="58" t="s">
        <v>882</v>
      </c>
      <c r="E602" s="10" t="s">
        <v>2392</v>
      </c>
      <c r="F602" s="46" t="s">
        <v>115</v>
      </c>
    </row>
    <row r="603">
      <c r="A603" s="261" t="s">
        <v>4037</v>
      </c>
      <c r="B603" s="252">
        <f>IF(A603="", "", IF(IFERROR(VLOOKUP(A603, 'Base 3F'!$B:$C, 2, FALSE),"")="", "SIN CUIT", VLOOKUP(A603, 'Base 3F'!$B:$C, 2, FALSE)))</f>
        <v>30685329502</v>
      </c>
      <c r="C603" s="253" t="str">
        <f>IF(A603="", "", IF(IFERROR(VLOOKUP(A603, 'Base 3F'!$B:$J, 9, FALSE),"")="", "SIN RUBRO", VLOOKUP(A603, 'Base 3F'!$B:$J, 9, FALSE)))</f>
        <v>Manufactura</v>
      </c>
      <c r="D603" s="58" t="s">
        <v>883</v>
      </c>
      <c r="E603" s="10" t="s">
        <v>2392</v>
      </c>
      <c r="F603" s="46" t="s">
        <v>115</v>
      </c>
    </row>
    <row r="604">
      <c r="A604" s="261" t="s">
        <v>4047</v>
      </c>
      <c r="B604" s="252">
        <f>IF(A604="", "", IF(IFERROR(VLOOKUP(A604, 'Base 3F'!$B:$C, 2, FALSE),"")="", "SIN CUIT", VLOOKUP(A604, 'Base 3F'!$B:$C, 2, FALSE)))</f>
        <v>30709052442</v>
      </c>
      <c r="C604" s="253" t="str">
        <f>IF(A604="", "", IF(IFERROR(VLOOKUP(A604, 'Base 3F'!$B:$J, 9, FALSE),"")="", "SIN RUBRO", VLOOKUP(A604, 'Base 3F'!$B:$J, 9, FALSE)))</f>
        <v>Metalmecánica</v>
      </c>
      <c r="D604" s="58" t="s">
        <v>884</v>
      </c>
      <c r="E604" s="10" t="s">
        <v>2392</v>
      </c>
      <c r="F604" s="46" t="s">
        <v>115</v>
      </c>
    </row>
    <row r="605">
      <c r="A605" s="261" t="s">
        <v>4050</v>
      </c>
      <c r="B605" s="252">
        <f>IF(A605="", "", IF(IFERROR(VLOOKUP(A605, 'Base 3F'!$B:$C, 2, FALSE),"")="", "SIN CUIT", VLOOKUP(A605, 'Base 3F'!$B:$C, 2, FALSE)))</f>
        <v>30707422099</v>
      </c>
      <c r="C605" s="253" t="str">
        <f>IF(A605="", "", IF(IFERROR(VLOOKUP(A605, 'Base 3F'!$B:$J, 9, FALSE),"")="", "SIN RUBRO", VLOOKUP(A605, 'Base 3F'!$B:$J, 9, FALSE)))</f>
        <v>Alimenticia</v>
      </c>
      <c r="D605" s="58" t="s">
        <v>885</v>
      </c>
      <c r="E605" s="10" t="s">
        <v>2392</v>
      </c>
      <c r="F605" s="46" t="s">
        <v>115</v>
      </c>
    </row>
    <row r="606">
      <c r="A606" s="261" t="s">
        <v>4053</v>
      </c>
      <c r="B606" s="252">
        <f>IF(A606="", "", IF(IFERROR(VLOOKUP(A606, 'Base 3F'!$B:$C, 2, FALSE),"")="", "SIN CUIT", VLOOKUP(A606, 'Base 3F'!$B:$C, 2, FALSE)))</f>
        <v>30708866608</v>
      </c>
      <c r="C606" s="253" t="str">
        <f>IF(A606="", "", IF(IFERROR(VLOOKUP(A606, 'Base 3F'!$B:$J, 9, FALSE),"")="", "SIN RUBRO", VLOOKUP(A606, 'Base 3F'!$B:$J, 9, FALSE)))</f>
        <v>Textil</v>
      </c>
      <c r="D606" s="58" t="s">
        <v>886</v>
      </c>
      <c r="E606" s="10" t="s">
        <v>2392</v>
      </c>
      <c r="F606" s="46" t="s">
        <v>115</v>
      </c>
    </row>
    <row r="607">
      <c r="A607" s="261" t="s">
        <v>1743</v>
      </c>
      <c r="B607" s="252">
        <f>IF(A607="", "", IF(IFERROR(VLOOKUP(A607, 'Base 3F'!$B:$C, 2, FALSE),"")="", "SIN CUIT", VLOOKUP(A607, 'Base 3F'!$B:$C, 2, FALSE)))</f>
        <v>30709239305</v>
      </c>
      <c r="C607" s="253" t="str">
        <f>IF(A607="", "", IF(IFERROR(VLOOKUP(A607, 'Base 3F'!$B:$J, 9, FALSE),"")="", "SIN RUBRO", VLOOKUP(A607, 'Base 3F'!$B:$J, 9, FALSE)))</f>
        <v>Plástica</v>
      </c>
      <c r="D607" s="142" t="s">
        <v>887</v>
      </c>
      <c r="E607" s="10" t="s">
        <v>2392</v>
      </c>
      <c r="F607" s="46" t="s">
        <v>115</v>
      </c>
    </row>
    <row r="608">
      <c r="A608" s="261" t="s">
        <v>1745</v>
      </c>
      <c r="B608" s="252">
        <f>IF(A608="", "", IF(IFERROR(VLOOKUP(A608, 'Base 3F'!$B:$C, 2, FALSE),"")="", "SIN CUIT", VLOOKUP(A608, 'Base 3F'!$B:$C, 2, FALSE)))</f>
        <v>30628418329</v>
      </c>
      <c r="C608" s="253" t="str">
        <f>IF(A608="", "", IF(IFERROR(VLOOKUP(A608, 'Base 3F'!$B:$J, 9, FALSE),"")="", "SIN RUBRO", VLOOKUP(A608, 'Base 3F'!$B:$J, 9, FALSE)))</f>
        <v>Metalúrgica</v>
      </c>
      <c r="D608" s="58" t="s">
        <v>889</v>
      </c>
      <c r="E608" s="10" t="s">
        <v>2392</v>
      </c>
      <c r="F608" s="46" t="s">
        <v>115</v>
      </c>
    </row>
    <row r="609">
      <c r="A609" s="261" t="s">
        <v>1754</v>
      </c>
      <c r="B609" s="252">
        <f>IF(A609="", "", IF(IFERROR(VLOOKUP(A609, 'Base 3F'!$B:$C, 2, FALSE),"")="", "SIN CUIT", VLOOKUP(A609, 'Base 3F'!$B:$C, 2, FALSE)))</f>
        <v>30701149579</v>
      </c>
      <c r="C609" s="253" t="str">
        <f>IF(A609="", "", IF(IFERROR(VLOOKUP(A609, 'Base 3F'!$B:$J, 9, FALSE),"")="", "SIN RUBRO", VLOOKUP(A609, 'Base 3F'!$B:$J, 9, FALSE)))</f>
        <v>Metalúrgica</v>
      </c>
      <c r="D609" s="58" t="s">
        <v>890</v>
      </c>
      <c r="E609" s="10" t="s">
        <v>2392</v>
      </c>
      <c r="F609" s="46" t="s">
        <v>115</v>
      </c>
    </row>
    <row r="610">
      <c r="A610" s="261" t="s">
        <v>4064</v>
      </c>
      <c r="B610" s="252">
        <f>IF(A610="", "", IF(IFERROR(VLOOKUP(A610, 'Base 3F'!$B:$C, 2, FALSE),"")="", "SIN CUIT", VLOOKUP(A610, 'Base 3F'!$B:$C, 2, FALSE)))</f>
        <v>30714743062</v>
      </c>
      <c r="C610" s="253" t="str">
        <f>IF(A610="", "", IF(IFERROR(VLOOKUP(A610, 'Base 3F'!$B:$J, 9, FALSE),"")="", "SIN RUBRO", VLOOKUP(A610, 'Base 3F'!$B:$J, 9, FALSE)))</f>
        <v>Metalúrgica</v>
      </c>
      <c r="D610" s="58" t="s">
        <v>892</v>
      </c>
      <c r="E610" s="10" t="s">
        <v>2392</v>
      </c>
      <c r="F610" s="46" t="s">
        <v>115</v>
      </c>
    </row>
    <row r="611">
      <c r="A611" s="261" t="s">
        <v>4073</v>
      </c>
      <c r="B611" s="252">
        <f>IF(A611="", "", IF(IFERROR(VLOOKUP(A611, 'Base 3F'!$B:$C, 2, FALSE),"")="", "SIN CUIT", VLOOKUP(A611, 'Base 3F'!$B:$C, 2, FALSE)))</f>
        <v>30691261677</v>
      </c>
      <c r="C611" s="253" t="str">
        <f>IF(A611="", "", IF(IFERROR(VLOOKUP(A611, 'Base 3F'!$B:$J, 9, FALSE),"")="", "SIN RUBRO", VLOOKUP(A611, 'Base 3F'!$B:$J, 9, FALSE)))</f>
        <v>Servicios</v>
      </c>
      <c r="D611" s="58" t="s">
        <v>4075</v>
      </c>
      <c r="E611" s="10" t="s">
        <v>2392</v>
      </c>
      <c r="F611" s="46" t="s">
        <v>115</v>
      </c>
    </row>
    <row r="612">
      <c r="A612" s="261" t="s">
        <v>4076</v>
      </c>
      <c r="B612" s="252">
        <f>IF(A612="", "", IF(IFERROR(VLOOKUP(A612, 'Base 3F'!$B:$C, 2, FALSE),"")="", "SIN CUIT", VLOOKUP(A612, 'Base 3F'!$B:$C, 2, FALSE)))</f>
        <v>30709593184</v>
      </c>
      <c r="C612" s="253" t="str">
        <f>IF(A612="", "", IF(IFERROR(VLOOKUP(A612, 'Base 3F'!$B:$J, 9, FALSE),"")="", "SIN RUBRO", VLOOKUP(A612, 'Base 3F'!$B:$J, 9, FALSE)))</f>
        <v>Servicios</v>
      </c>
      <c r="D612" s="58" t="s">
        <v>895</v>
      </c>
      <c r="E612" s="10" t="s">
        <v>2392</v>
      </c>
      <c r="F612" s="46" t="s">
        <v>115</v>
      </c>
    </row>
    <row r="613">
      <c r="A613" s="261" t="s">
        <v>1784</v>
      </c>
      <c r="B613" s="252">
        <f>IF(A613="", "", IF(IFERROR(VLOOKUP(A613, 'Base 3F'!$B:$C, 2, FALSE),"")="", "SIN CUIT", VLOOKUP(A613, 'Base 3F'!$B:$C, 2, FALSE)))</f>
        <v>30711313822</v>
      </c>
      <c r="C613" s="253" t="str">
        <f>IF(A613="", "", IF(IFERROR(VLOOKUP(A613, 'Base 3F'!$B:$J, 9, FALSE),"")="", "SIN RUBRO", VLOOKUP(A613, 'Base 3F'!$B:$J, 9, FALSE)))</f>
        <v>Alimenticia</v>
      </c>
      <c r="D613" s="273" t="s">
        <v>896</v>
      </c>
      <c r="E613" s="10" t="s">
        <v>2392</v>
      </c>
      <c r="F613" s="46" t="s">
        <v>1625</v>
      </c>
    </row>
    <row r="614">
      <c r="A614" s="261" t="s">
        <v>4081</v>
      </c>
      <c r="B614" s="252">
        <f>IF(A614="", "", IF(IFERROR(VLOOKUP(A614, 'Base 3F'!$B:$C, 2, FALSE),"")="", "SIN CUIT", VLOOKUP(A614, 'Base 3F'!$B:$C, 2, FALSE)))</f>
        <v>20058773310</v>
      </c>
      <c r="C614" s="253" t="str">
        <f>IF(A614="", "", IF(IFERROR(VLOOKUP(A614, 'Base 3F'!$B:$J, 9, FALSE),"")="", "SIN RUBRO", VLOOKUP(A614, 'Base 3F'!$B:$J, 9, FALSE)))</f>
        <v>Química</v>
      </c>
      <c r="D614" s="142" t="s">
        <v>897</v>
      </c>
      <c r="E614" s="10" t="s">
        <v>2392</v>
      </c>
      <c r="F614" s="46" t="s">
        <v>115</v>
      </c>
    </row>
    <row r="615">
      <c r="A615" s="261" t="s">
        <v>1808</v>
      </c>
      <c r="B615" s="252">
        <f>IF(A615="", "", IF(IFERROR(VLOOKUP(A615, 'Base 3F'!$B:$C, 2, FALSE),"")="", "SIN CUIT", VLOOKUP(A615, 'Base 3F'!$B:$C, 2, FALSE)))</f>
        <v>33624658529</v>
      </c>
      <c r="C615" s="253" t="str">
        <f>IF(A615="", "", IF(IFERROR(VLOOKUP(A615, 'Base 3F'!$B:$J, 9, FALSE),"")="", "SIN RUBRO", VLOOKUP(A615, 'Base 3F'!$B:$J, 9, FALSE)))</f>
        <v>Gráfica</v>
      </c>
      <c r="D615" s="58" t="s">
        <v>899</v>
      </c>
      <c r="E615" s="10" t="s">
        <v>2392</v>
      </c>
      <c r="F615" s="46" t="s">
        <v>115</v>
      </c>
    </row>
    <row r="616">
      <c r="A616" s="261" t="s">
        <v>1845</v>
      </c>
      <c r="B616" s="252">
        <f>IF(A616="", "", IF(IFERROR(VLOOKUP(A616, 'Base 3F'!$B:$C, 2, FALSE),"")="", "SIN CUIT", VLOOKUP(A616, 'Base 3F'!$B:$C, 2, FALSE)))</f>
        <v>30708471670</v>
      </c>
      <c r="C616" s="253" t="str">
        <f>IF(A616="", "", IF(IFERROR(VLOOKUP(A616, 'Base 3F'!$B:$J, 9, FALSE),"")="", "SIN RUBRO", VLOOKUP(A616, 'Base 3F'!$B:$J, 9, FALSE)))</f>
        <v>Alimenticia</v>
      </c>
      <c r="D616" s="58" t="s">
        <v>900</v>
      </c>
      <c r="E616" s="10" t="s">
        <v>2392</v>
      </c>
      <c r="F616" s="46" t="s">
        <v>115</v>
      </c>
    </row>
    <row r="617">
      <c r="A617" s="261" t="s">
        <v>1853</v>
      </c>
      <c r="B617" s="252">
        <f>IF(A617="", "", IF(IFERROR(VLOOKUP(A617, 'Base 3F'!$B:$C, 2, FALSE),"")="", "SIN CUIT", VLOOKUP(A617, 'Base 3F'!$B:$C, 2, FALSE)))</f>
        <v>30701170179</v>
      </c>
      <c r="C617" s="253" t="str">
        <f>IF(A617="", "", IF(IFERROR(VLOOKUP(A617, 'Base 3F'!$B:$J, 9, FALSE),"")="", "SIN RUBRO", VLOOKUP(A617, 'Base 3F'!$B:$J, 9, FALSE)))</f>
        <v>Calzado</v>
      </c>
      <c r="D617" s="142" t="s">
        <v>901</v>
      </c>
      <c r="E617" s="10" t="s">
        <v>2392</v>
      </c>
      <c r="F617" s="46" t="s">
        <v>115</v>
      </c>
    </row>
    <row r="618">
      <c r="A618" s="261" t="s">
        <v>4090</v>
      </c>
      <c r="B618" s="252">
        <f>IF(A618="", "", IF(IFERROR(VLOOKUP(A618, 'Base 3F'!$B:$C, 2, FALSE),"")="", "SIN CUIT", VLOOKUP(A618, 'Base 3F'!$B:$C, 2, FALSE)))</f>
        <v>30707986324</v>
      </c>
      <c r="C618" s="253" t="str">
        <f>IF(A618="", "", IF(IFERROR(VLOOKUP(A618, 'Base 3F'!$B:$J, 9, FALSE),"")="", "SIN RUBRO", VLOOKUP(A618, 'Base 3F'!$B:$J, 9, FALSE)))</f>
        <v>Química</v>
      </c>
      <c r="D618" s="142" t="s">
        <v>902</v>
      </c>
      <c r="E618" s="10" t="s">
        <v>2392</v>
      </c>
      <c r="F618" s="46" t="s">
        <v>115</v>
      </c>
    </row>
    <row r="619">
      <c r="A619" s="261" t="s">
        <v>4094</v>
      </c>
      <c r="B619" s="252">
        <f>IF(A619="", "", IF(IFERROR(VLOOKUP(A619, 'Base 3F'!$B:$C, 2, FALSE),"")="", "SIN CUIT", VLOOKUP(A619, 'Base 3F'!$B:$C, 2, FALSE)))</f>
        <v>30636752211</v>
      </c>
      <c r="C619" s="253" t="str">
        <f>IF(A619="", "", IF(IFERROR(VLOOKUP(A619, 'Base 3F'!$B:$J, 9, FALSE),"")="", "SIN RUBRO", VLOOKUP(A619, 'Base 3F'!$B:$J, 9, FALSE)))</f>
        <v>Gráfica</v>
      </c>
      <c r="D619" s="136" t="s">
        <v>903</v>
      </c>
      <c r="E619" s="10" t="s">
        <v>2392</v>
      </c>
      <c r="F619" s="46" t="s">
        <v>115</v>
      </c>
    </row>
    <row r="620">
      <c r="A620" s="261" t="s">
        <v>4102</v>
      </c>
      <c r="B620" s="252">
        <f>IF(A620="", "", IF(IFERROR(VLOOKUP(A620, 'Base 3F'!$B:$C, 2, FALSE),"")="", "SIN CUIT", VLOOKUP(A620, 'Base 3F'!$B:$C, 2, FALSE)))</f>
        <v>33708635419</v>
      </c>
      <c r="C620" s="253" t="str">
        <f>IF(A620="", "", IF(IFERROR(VLOOKUP(A620, 'Base 3F'!$B:$J, 9, FALSE),"")="", "SIN RUBRO", VLOOKUP(A620, 'Base 3F'!$B:$J, 9, FALSE)))</f>
        <v>Metalúrgica</v>
      </c>
      <c r="D620" s="58" t="s">
        <v>904</v>
      </c>
      <c r="E620" s="10" t="s">
        <v>2392</v>
      </c>
      <c r="F620" s="46" t="s">
        <v>115</v>
      </c>
    </row>
    <row r="621">
      <c r="A621" s="261" t="s">
        <v>1890</v>
      </c>
      <c r="B621" s="252">
        <f>IF(A621="", "", IF(IFERROR(VLOOKUP(A621, 'Base 3F'!$B:$C, 2, FALSE),"")="", "SIN CUIT", VLOOKUP(A621, 'Base 3F'!$B:$C, 2, FALSE)))</f>
        <v>30709987867</v>
      </c>
      <c r="C621" s="253" t="str">
        <f>IF(A621="", "", IF(IFERROR(VLOOKUP(A621, 'Base 3F'!$B:$J, 9, FALSE),"")="", "SIN RUBRO", VLOOKUP(A621, 'Base 3F'!$B:$J, 9, FALSE)))</f>
        <v>Metalmecánica</v>
      </c>
      <c r="D621" s="58" t="s">
        <v>906</v>
      </c>
      <c r="E621" s="10" t="s">
        <v>2392</v>
      </c>
      <c r="F621" s="46" t="s">
        <v>115</v>
      </c>
    </row>
    <row r="622">
      <c r="A622" s="261" t="s">
        <v>4113</v>
      </c>
      <c r="B622" s="252">
        <f>IF(A622="", "", IF(IFERROR(VLOOKUP(A622, 'Base 3F'!$B:$C, 2, FALSE),"")="", "SIN CUIT", VLOOKUP(A622, 'Base 3F'!$B:$C, 2, FALSE)))</f>
        <v>30715089498</v>
      </c>
      <c r="C622" s="253" t="str">
        <f>IF(A622="", "", IF(IFERROR(VLOOKUP(A622, 'Base 3F'!$B:$J, 9, FALSE),"")="", "SIN RUBRO", VLOOKUP(A622, 'Base 3F'!$B:$J, 9, FALSE)))</f>
        <v>Metalúrgica</v>
      </c>
      <c r="D622" s="58" t="s">
        <v>4120</v>
      </c>
      <c r="E622" s="10" t="s">
        <v>2392</v>
      </c>
      <c r="F622" s="46" t="s">
        <v>115</v>
      </c>
    </row>
    <row r="623">
      <c r="A623" s="261" t="s">
        <v>1912</v>
      </c>
      <c r="B623" s="252">
        <f>IF(A623="", "", IF(IFERROR(VLOOKUP(A623, 'Base 3F'!$B:$C, 2, FALSE),"")="", "SIN CUIT", VLOOKUP(A623, 'Base 3F'!$B:$C, 2, FALSE)))</f>
        <v>30701152022</v>
      </c>
      <c r="C623" s="253" t="str">
        <f>IF(A623="", "", IF(IFERROR(VLOOKUP(A623, 'Base 3F'!$B:$J, 9, FALSE),"")="", "SIN RUBRO", VLOOKUP(A623, 'Base 3F'!$B:$J, 9, FALSE)))</f>
        <v>Metalúrgica</v>
      </c>
      <c r="D623" s="96" t="s">
        <v>907</v>
      </c>
      <c r="E623" s="10" t="s">
        <v>2392</v>
      </c>
      <c r="F623" s="46" t="s">
        <v>115</v>
      </c>
    </row>
    <row r="624">
      <c r="A624" s="261" t="s">
        <v>1917</v>
      </c>
      <c r="B624" s="252">
        <f>IF(A624="", "", IF(IFERROR(VLOOKUP(A624, 'Base 3F'!$B:$C, 2, FALSE),"")="", "SIN CUIT", VLOOKUP(A624, 'Base 3F'!$B:$C, 2, FALSE)))</f>
        <v>33515957133</v>
      </c>
      <c r="C624" s="253" t="str">
        <f>IF(A624="", "", IF(IFERROR(VLOOKUP(A624, 'Base 3F'!$B:$J, 9, FALSE),"")="", "SIN RUBRO", VLOOKUP(A624, 'Base 3F'!$B:$J, 9, FALSE)))</f>
        <v>Química</v>
      </c>
      <c r="D624" s="58" t="s">
        <v>908</v>
      </c>
      <c r="E624" s="10" t="s">
        <v>2392</v>
      </c>
      <c r="F624" s="46" t="s">
        <v>115</v>
      </c>
    </row>
    <row r="625">
      <c r="A625" s="261" t="s">
        <v>4131</v>
      </c>
      <c r="B625" s="252">
        <f>IF(A625="", "", IF(IFERROR(VLOOKUP(A625, 'Base 3F'!$B:$C, 2, FALSE),"")="", "SIN CUIT", VLOOKUP(A625, 'Base 3F'!$B:$C, 2, FALSE)))</f>
        <v>30677127240</v>
      </c>
      <c r="C625" s="253" t="str">
        <f>IF(A625="", "", IF(IFERROR(VLOOKUP(A625, 'Base 3F'!$B:$J, 9, FALSE),"")="", "SIN RUBRO", VLOOKUP(A625, 'Base 3F'!$B:$J, 9, FALSE)))</f>
        <v>Metalúrgica</v>
      </c>
      <c r="D625" s="58" t="s">
        <v>4135</v>
      </c>
      <c r="E625" s="10" t="s">
        <v>2392</v>
      </c>
      <c r="F625" s="46" t="s">
        <v>115</v>
      </c>
    </row>
    <row r="626">
      <c r="A626" s="261" t="s">
        <v>1926</v>
      </c>
      <c r="B626" s="252">
        <f>IF(A626="", "", IF(IFERROR(VLOOKUP(A626, 'Base 3F'!$B:$C, 2, FALSE),"")="", "SIN CUIT", VLOOKUP(A626, 'Base 3F'!$B:$C, 2, FALSE)))</f>
        <v>30716798778</v>
      </c>
      <c r="C626" s="253" t="str">
        <f>IF(A626="", "", IF(IFERROR(VLOOKUP(A626, 'Base 3F'!$B:$J, 9, FALSE),"")="", "SIN RUBRO", VLOOKUP(A626, 'Base 3F'!$B:$J, 9, FALSE)))</f>
        <v>Metalúrgica</v>
      </c>
      <c r="D626" s="58" t="s">
        <v>912</v>
      </c>
      <c r="E626" s="10" t="s">
        <v>2392</v>
      </c>
      <c r="F626" s="46" t="s">
        <v>115</v>
      </c>
    </row>
    <row r="627">
      <c r="A627" s="261" t="s">
        <v>4139</v>
      </c>
      <c r="B627" s="252">
        <f>IF(A627="", "", IF(IFERROR(VLOOKUP(A627, 'Base 3F'!$B:$C, 2, FALSE),"")="", "SIN CUIT", VLOOKUP(A627, 'Base 3F'!$B:$C, 2, FALSE)))</f>
        <v>30562175861</v>
      </c>
      <c r="C627" s="253" t="str">
        <f>IF(A627="", "", IF(IFERROR(VLOOKUP(A627, 'Base 3F'!$B:$J, 9, FALSE),"")="", "SIN RUBRO", VLOOKUP(A627, 'Base 3F'!$B:$J, 9, FALSE)))</f>
        <v>Plástica</v>
      </c>
      <c r="D627" s="58" t="s">
        <v>913</v>
      </c>
      <c r="E627" s="10" t="s">
        <v>2392</v>
      </c>
      <c r="F627" s="46" t="s">
        <v>115</v>
      </c>
    </row>
    <row r="628">
      <c r="A628" s="261" t="s">
        <v>1950</v>
      </c>
      <c r="B628" s="252">
        <f>IF(A628="", "", IF(IFERROR(VLOOKUP(A628, 'Base 3F'!$B:$C, 2, FALSE),"")="", "SIN CUIT", VLOOKUP(A628, 'Base 3F'!$B:$C, 2, FALSE)))</f>
        <v>30715761668</v>
      </c>
      <c r="C628" s="253" t="str">
        <f>IF(A628="", "", IF(IFERROR(VLOOKUP(A628, 'Base 3F'!$B:$J, 9, FALSE),"")="", "SIN RUBRO", VLOOKUP(A628, 'Base 3F'!$B:$J, 9, FALSE)))</f>
        <v>Textil</v>
      </c>
      <c r="D628" s="58" t="s">
        <v>915</v>
      </c>
      <c r="E628" s="10" t="s">
        <v>2392</v>
      </c>
      <c r="F628" s="46" t="s">
        <v>115</v>
      </c>
    </row>
    <row r="629">
      <c r="A629" s="261" t="s">
        <v>4145</v>
      </c>
      <c r="B629" s="252">
        <f>IF(A629="", "", IF(IFERROR(VLOOKUP(A629, 'Base 3F'!$B:$C, 2, FALSE),"")="", "SIN CUIT", VLOOKUP(A629, 'Base 3F'!$B:$C, 2, FALSE)))</f>
        <v>33580452979</v>
      </c>
      <c r="C629" s="253" t="str">
        <f>IF(A629="", "", IF(IFERROR(VLOOKUP(A629, 'Base 3F'!$B:$J, 9, FALSE),"")="", "SIN RUBRO", VLOOKUP(A629, 'Base 3F'!$B:$J, 9, FALSE)))</f>
        <v>Caucho</v>
      </c>
      <c r="D629" s="58" t="s">
        <v>916</v>
      </c>
      <c r="E629" s="10" t="s">
        <v>2392</v>
      </c>
      <c r="F629" s="46" t="s">
        <v>115</v>
      </c>
    </row>
    <row r="630">
      <c r="A630" s="274" t="s">
        <v>1970</v>
      </c>
      <c r="B630" s="252">
        <f>IF(A630="", "", IF(IFERROR(VLOOKUP(A630, 'Base 3F'!$B:$C, 2, FALSE),"")="", "SIN CUIT", VLOOKUP(A630, 'Base 3F'!$B:$C, 2, FALSE)))</f>
        <v>30708068477</v>
      </c>
      <c r="C630" s="253" t="str">
        <f>IF(A630="", "", IF(IFERROR(VLOOKUP(A630, 'Base 3F'!$B:$J, 9, FALSE),"")="", "SIN RUBRO", VLOOKUP(A630, 'Base 3F'!$B:$J, 9, FALSE)))</f>
        <v>Química</v>
      </c>
      <c r="D630" s="120" t="s">
        <v>4152</v>
      </c>
      <c r="E630" s="10" t="s">
        <v>2392</v>
      </c>
      <c r="F630" s="46" t="s">
        <v>115</v>
      </c>
    </row>
    <row r="631">
      <c r="A631" s="261" t="s">
        <v>1979</v>
      </c>
      <c r="B631" s="252">
        <f>IF(A631="", "", IF(IFERROR(VLOOKUP(A631, 'Base 3F'!$B:$C, 2, FALSE),"")="", "SIN CUIT", VLOOKUP(A631, 'Base 3F'!$B:$C, 2, FALSE)))</f>
        <v>33709433089</v>
      </c>
      <c r="C631" s="253" t="str">
        <f>IF(A631="", "", IF(IFERROR(VLOOKUP(A631, 'Base 3F'!$B:$J, 9, FALSE),"")="", "SIN RUBRO", VLOOKUP(A631, 'Base 3F'!$B:$J, 9, FALSE)))</f>
        <v>Plástica</v>
      </c>
      <c r="D631" s="58" t="s">
        <v>918</v>
      </c>
      <c r="E631" s="10" t="s">
        <v>2392</v>
      </c>
      <c r="F631" s="46" t="s">
        <v>115</v>
      </c>
    </row>
    <row r="632">
      <c r="A632" s="261" t="s">
        <v>1994</v>
      </c>
      <c r="B632" s="252">
        <f>IF(A632="", "", IF(IFERROR(VLOOKUP(A632, 'Base 3F'!$B:$C, 2, FALSE),"")="", "SIN CUIT", VLOOKUP(A632, 'Base 3F'!$B:$C, 2, FALSE)))</f>
        <v>33714742189</v>
      </c>
      <c r="C632" s="253" t="str">
        <f>IF(A632="", "", IF(IFERROR(VLOOKUP(A632, 'Base 3F'!$B:$J, 9, FALSE),"")="", "SIN RUBRO", VLOOKUP(A632, 'Base 3F'!$B:$J, 9, FALSE)))</f>
        <v>Química</v>
      </c>
      <c r="D632" s="58" t="s">
        <v>919</v>
      </c>
      <c r="E632" s="10" t="s">
        <v>2392</v>
      </c>
      <c r="F632" s="46" t="s">
        <v>115</v>
      </c>
    </row>
    <row r="633">
      <c r="A633" s="261" t="s">
        <v>4163</v>
      </c>
      <c r="B633" s="252">
        <f>IF(A633="", "", IF(IFERROR(VLOOKUP(A633, 'Base 3F'!$B:$C, 2, FALSE),"")="", "SIN CUIT", VLOOKUP(A633, 'Base 3F'!$B:$C, 2, FALSE)))</f>
        <v>30711624372</v>
      </c>
      <c r="C633" s="253" t="str">
        <f>IF(A633="", "", IF(IFERROR(VLOOKUP(A633, 'Base 3F'!$B:$J, 9, FALSE),"")="", "SIN RUBRO", VLOOKUP(A633, 'Base 3F'!$B:$J, 9, FALSE)))</f>
        <v>Metalúrgica</v>
      </c>
      <c r="D633" s="96" t="s">
        <v>920</v>
      </c>
      <c r="E633" s="10" t="s">
        <v>2392</v>
      </c>
      <c r="F633" s="46" t="s">
        <v>115</v>
      </c>
    </row>
    <row r="634">
      <c r="A634" s="261" t="s">
        <v>2008</v>
      </c>
      <c r="B634" s="252">
        <f>IF(A634="", "", IF(IFERROR(VLOOKUP(A634, 'Base 3F'!$B:$C, 2, FALSE),"")="", "SIN CUIT", VLOOKUP(A634, 'Base 3F'!$B:$C, 2, FALSE)))</f>
        <v>30637443832</v>
      </c>
      <c r="C634" s="253" t="str">
        <f>IF(A634="", "", IF(IFERROR(VLOOKUP(A634, 'Base 3F'!$B:$J, 9, FALSE),"")="", "SIN RUBRO", VLOOKUP(A634, 'Base 3F'!$B:$J, 9, FALSE)))</f>
        <v>Piedra</v>
      </c>
      <c r="D634" s="58" t="s">
        <v>921</v>
      </c>
      <c r="E634" s="10" t="s">
        <v>2392</v>
      </c>
      <c r="F634" s="46" t="s">
        <v>115</v>
      </c>
    </row>
    <row r="635">
      <c r="A635" s="261" t="s">
        <v>2014</v>
      </c>
      <c r="B635" s="252">
        <f>IF(A635="", "", IF(IFERROR(VLOOKUP(A635, 'Base 3F'!$B:$C, 2, FALSE),"")="", "SIN CUIT", VLOOKUP(A635, 'Base 3F'!$B:$C, 2, FALSE)))</f>
        <v>30710911602</v>
      </c>
      <c r="C635" s="253" t="str">
        <f>IF(A635="", "", IF(IFERROR(VLOOKUP(A635, 'Base 3F'!$B:$J, 9, FALSE),"")="", "SIN RUBRO", VLOOKUP(A635, 'Base 3F'!$B:$J, 9, FALSE)))</f>
        <v>Servicios</v>
      </c>
      <c r="D635" s="58" t="s">
        <v>922</v>
      </c>
      <c r="E635" s="10" t="s">
        <v>2392</v>
      </c>
      <c r="F635" s="46" t="s">
        <v>115</v>
      </c>
    </row>
    <row r="636">
      <c r="A636" s="261" t="s">
        <v>2021</v>
      </c>
      <c r="B636" s="252">
        <f>IF(A636="", "", IF(IFERROR(VLOOKUP(A636, 'Base 3F'!$B:$C, 2, FALSE),"")="", "SIN CUIT", VLOOKUP(A636, 'Base 3F'!$B:$C, 2, FALSE)))</f>
        <v>30519196928</v>
      </c>
      <c r="C636" s="253" t="str">
        <f>IF(A636="", "", IF(IFERROR(VLOOKUP(A636, 'Base 3F'!$B:$J, 9, FALSE),"")="", "SIN RUBRO", VLOOKUP(A636, 'Base 3F'!$B:$J, 9, FALSE)))</f>
        <v>Metalmecánica</v>
      </c>
      <c r="D636" s="58" t="s">
        <v>923</v>
      </c>
      <c r="E636" s="10" t="s">
        <v>2392</v>
      </c>
      <c r="F636" s="46" t="s">
        <v>115</v>
      </c>
    </row>
    <row r="637">
      <c r="A637" s="261" t="s">
        <v>2028</v>
      </c>
      <c r="B637" s="252">
        <f>IF(A637="", "", IF(IFERROR(VLOOKUP(A637, 'Base 3F'!$B:$C, 2, FALSE),"")="", "SIN CUIT", VLOOKUP(A637, 'Base 3F'!$B:$C, 2, FALSE)))</f>
        <v>30663753025</v>
      </c>
      <c r="C637" s="253" t="str">
        <f>IF(A637="", "", IF(IFERROR(VLOOKUP(A637, 'Base 3F'!$B:$J, 9, FALSE),"")="", "SIN RUBRO", VLOOKUP(A637, 'Base 3F'!$B:$J, 9, FALSE)))</f>
        <v>Plástica</v>
      </c>
      <c r="D637" s="133" t="s">
        <v>924</v>
      </c>
      <c r="E637" s="10" t="s">
        <v>2392</v>
      </c>
      <c r="F637" s="46" t="s">
        <v>115</v>
      </c>
    </row>
    <row r="638">
      <c r="A638" s="261" t="s">
        <v>4182</v>
      </c>
      <c r="B638" s="252">
        <f>IF(A638="", "", IF(IFERROR(VLOOKUP(A638, 'Base 3F'!$B:$C, 2, FALSE),"")="", "SIN CUIT", VLOOKUP(A638, 'Base 3F'!$B:$C, 2, FALSE)))</f>
        <v>30715385453</v>
      </c>
      <c r="C638" s="253" t="str">
        <f>IF(A638="", "", IF(IFERROR(VLOOKUP(A638, 'Base 3F'!$B:$J, 9, FALSE),"")="", "SIN RUBRO", VLOOKUP(A638, 'Base 3F'!$B:$J, 9, FALSE)))</f>
        <v>Industria</v>
      </c>
      <c r="D638" s="58" t="s">
        <v>925</v>
      </c>
      <c r="E638" s="10" t="s">
        <v>2392</v>
      </c>
      <c r="F638" s="46" t="s">
        <v>115</v>
      </c>
    </row>
    <row r="639">
      <c r="A639" s="261" t="s">
        <v>2044</v>
      </c>
      <c r="B639" s="252">
        <f>IF(A639="", "", IF(IFERROR(VLOOKUP(A639, 'Base 3F'!$B:$C, 2, FALSE),"")="", "SIN CUIT", VLOOKUP(A639, 'Base 3F'!$B:$C, 2, FALSE)))</f>
        <v>33708799209</v>
      </c>
      <c r="C639" s="253" t="str">
        <f>IF(A639="", "", IF(IFERROR(VLOOKUP(A639, 'Base 3F'!$B:$J, 9, FALSE),"")="", "SIN RUBRO", VLOOKUP(A639, 'Base 3F'!$B:$J, 9, FALSE)))</f>
        <v>Metalúrgica</v>
      </c>
      <c r="D639" s="58" t="s">
        <v>927</v>
      </c>
      <c r="E639" s="10" t="s">
        <v>2392</v>
      </c>
      <c r="F639" s="46" t="s">
        <v>115</v>
      </c>
    </row>
    <row r="640">
      <c r="A640" s="261" t="s">
        <v>4191</v>
      </c>
      <c r="B640" s="252">
        <f>IF(A640="", "", IF(IFERROR(VLOOKUP(A640, 'Base 3F'!$B:$C, 2, FALSE),"")="", "SIN CUIT", VLOOKUP(A640, 'Base 3F'!$B:$C, 2, FALSE)))</f>
        <v>27246236009</v>
      </c>
      <c r="C640" s="253" t="str">
        <f>IF(A640="", "", IF(IFERROR(VLOOKUP(A640, 'Base 3F'!$B:$J, 9, FALSE),"")="", "SIN RUBRO", VLOOKUP(A640, 'Base 3F'!$B:$J, 9, FALSE)))</f>
        <v>Textil</v>
      </c>
      <c r="D640" s="142" t="s">
        <v>928</v>
      </c>
      <c r="E640" s="10" t="s">
        <v>2392</v>
      </c>
      <c r="F640" s="46" t="s">
        <v>115</v>
      </c>
    </row>
    <row r="641">
      <c r="A641" s="261" t="s">
        <v>2091</v>
      </c>
      <c r="B641" s="252">
        <f>IF(A641="", "", IF(IFERROR(VLOOKUP(A641, 'Base 3F'!$B:$C, 2, FALSE),"")="", "SIN CUIT", VLOOKUP(A641, 'Base 3F'!$B:$C, 2, FALSE)))</f>
        <v>30559945168</v>
      </c>
      <c r="C641" s="253" t="str">
        <f>IF(A641="", "", IF(IFERROR(VLOOKUP(A641, 'Base 3F'!$B:$J, 9, FALSE),"")="", "SIN RUBRO", VLOOKUP(A641, 'Base 3F'!$B:$J, 9, FALSE)))</f>
        <v>Metalúrgica</v>
      </c>
      <c r="D641" s="58" t="s">
        <v>929</v>
      </c>
      <c r="E641" s="10" t="s">
        <v>2392</v>
      </c>
      <c r="F641" s="46" t="s">
        <v>115</v>
      </c>
    </row>
    <row r="642">
      <c r="A642" s="261" t="s">
        <v>2094</v>
      </c>
      <c r="B642" s="252">
        <f>IF(A642="", "", IF(IFERROR(VLOOKUP(A642, 'Base 3F'!$B:$C, 2, FALSE),"")="", "SIN CUIT", VLOOKUP(A642, 'Base 3F'!$B:$C, 2, FALSE)))</f>
        <v>30571855964</v>
      </c>
      <c r="C642" s="253" t="str">
        <f>IF(A642="", "", IF(IFERROR(VLOOKUP(A642, 'Base 3F'!$B:$J, 9, FALSE),"")="", "SIN RUBRO", VLOOKUP(A642, 'Base 3F'!$B:$J, 9, FALSE)))</f>
        <v>Metalúrgica</v>
      </c>
      <c r="D642" s="58" t="s">
        <v>930</v>
      </c>
      <c r="E642" s="10" t="s">
        <v>2392</v>
      </c>
      <c r="F642" s="46" t="s">
        <v>115</v>
      </c>
    </row>
    <row r="643">
      <c r="A643" s="261" t="s">
        <v>4203</v>
      </c>
      <c r="B643" s="252">
        <f>IF(A643="", "", IF(IFERROR(VLOOKUP(A643, 'Base 3F'!$B:$C, 2, FALSE),"")="", "SIN CUIT", VLOOKUP(A643, 'Base 3F'!$B:$C, 2, FALSE)))</f>
        <v>30709854298</v>
      </c>
      <c r="C643" s="253" t="str">
        <f>IF(A643="", "", IF(IFERROR(VLOOKUP(A643, 'Base 3F'!$B:$J, 9, FALSE),"")="", "SIN RUBRO", VLOOKUP(A643, 'Base 3F'!$B:$J, 9, FALSE)))</f>
        <v>Metalúrgica</v>
      </c>
      <c r="D643" s="58" t="s">
        <v>931</v>
      </c>
      <c r="E643" s="10" t="s">
        <v>2392</v>
      </c>
      <c r="F643" s="46" t="s">
        <v>115</v>
      </c>
    </row>
    <row r="644">
      <c r="A644" s="261" t="s">
        <v>2121</v>
      </c>
      <c r="B644" s="252">
        <f>IF(A644="", "", IF(IFERROR(VLOOKUP(A644, 'Base 3F'!$B:$C, 2, FALSE),"")="", "SIN CUIT", VLOOKUP(A644, 'Base 3F'!$B:$C, 2, FALSE)))</f>
        <v>30711524351</v>
      </c>
      <c r="C644" s="253" t="str">
        <f>IF(A644="", "", IF(IFERROR(VLOOKUP(A644, 'Base 3F'!$B:$J, 9, FALSE),"")="", "SIN RUBRO", VLOOKUP(A644, 'Base 3F'!$B:$J, 9, FALSE)))</f>
        <v>Metalúrgica</v>
      </c>
      <c r="D644" s="58" t="s">
        <v>932</v>
      </c>
      <c r="E644" s="10" t="s">
        <v>2392</v>
      </c>
      <c r="F644" s="46" t="s">
        <v>115</v>
      </c>
    </row>
    <row r="645">
      <c r="A645" s="261" t="s">
        <v>2125</v>
      </c>
      <c r="B645" s="252">
        <f>IF(A645="", "", IF(IFERROR(VLOOKUP(A645, 'Base 3F'!$B:$C, 2, FALSE),"")="", "SIN CUIT", VLOOKUP(A645, 'Base 3F'!$B:$C, 2, FALSE)))</f>
        <v>30504115026</v>
      </c>
      <c r="C645" s="253" t="str">
        <f>IF(A645="", "", IF(IFERROR(VLOOKUP(A645, 'Base 3F'!$B:$J, 9, FALSE),"")="", "SIN RUBRO", VLOOKUP(A645, 'Base 3F'!$B:$J, 9, FALSE)))</f>
        <v>Plástica</v>
      </c>
      <c r="D645" s="58" t="s">
        <v>933</v>
      </c>
      <c r="E645" s="10" t="s">
        <v>2392</v>
      </c>
      <c r="F645" s="46" t="s">
        <v>115</v>
      </c>
    </row>
    <row r="646">
      <c r="A646" s="261" t="s">
        <v>2134</v>
      </c>
      <c r="B646" s="252">
        <f>IF(A646="", "", IF(IFERROR(VLOOKUP(A646, 'Base 3F'!$B:$C, 2, FALSE),"")="", "SIN CUIT", VLOOKUP(A646, 'Base 3F'!$B:$C, 2, FALSE)))</f>
        <v>30708938021</v>
      </c>
      <c r="C646" s="253" t="str">
        <f>IF(A646="", "", IF(IFERROR(VLOOKUP(A646, 'Base 3F'!$B:$J, 9, FALSE),"")="", "SIN RUBRO", VLOOKUP(A646, 'Base 3F'!$B:$J, 9, FALSE)))</f>
        <v>Alimenticia</v>
      </c>
      <c r="D646" s="58" t="s">
        <v>352</v>
      </c>
      <c r="E646" s="10" t="s">
        <v>2392</v>
      </c>
      <c r="F646" s="46" t="s">
        <v>115</v>
      </c>
    </row>
    <row r="647">
      <c r="A647" s="261" t="s">
        <v>2156</v>
      </c>
      <c r="B647" s="252">
        <f>IF(A647="", "", IF(IFERROR(VLOOKUP(A647, 'Base 3F'!$B:$C, 2, FALSE),"")="", "SIN CUIT", VLOOKUP(A647, 'Base 3F'!$B:$C, 2, FALSE)))</f>
        <v>30708590602</v>
      </c>
      <c r="C647" s="253" t="str">
        <f>IF(A647="", "", IF(IFERROR(VLOOKUP(A647, 'Base 3F'!$B:$J, 9, FALSE),"")="", "SIN RUBRO", VLOOKUP(A647, 'Base 3F'!$B:$J, 9, FALSE)))</f>
        <v>Metalúrgica</v>
      </c>
      <c r="D647" s="58" t="s">
        <v>934</v>
      </c>
      <c r="E647" s="10" t="s">
        <v>2392</v>
      </c>
      <c r="F647" s="46" t="s">
        <v>115</v>
      </c>
    </row>
    <row r="648">
      <c r="A648" s="261" t="s">
        <v>2160</v>
      </c>
      <c r="B648" s="252">
        <f>IF(A648="", "", IF(IFERROR(VLOOKUP(A648, 'Base 3F'!$B:$C, 2, FALSE),"")="", "SIN CUIT", VLOOKUP(A648, 'Base 3F'!$B:$C, 2, FALSE)))</f>
        <v>30700915154</v>
      </c>
      <c r="C648" s="253" t="str">
        <f>IF(A648="", "", IF(IFERROR(VLOOKUP(A648, 'Base 3F'!$B:$J, 9, FALSE),"")="", "SIN RUBRO", VLOOKUP(A648, 'Base 3F'!$B:$J, 9, FALSE)))</f>
        <v>Madera</v>
      </c>
      <c r="D648" s="58" t="s">
        <v>935</v>
      </c>
      <c r="E648" s="10" t="s">
        <v>2392</v>
      </c>
      <c r="F648" s="46" t="s">
        <v>115</v>
      </c>
    </row>
    <row r="649">
      <c r="A649" s="261" t="s">
        <v>2168</v>
      </c>
      <c r="B649" s="252">
        <f>IF(A649="", "", IF(IFERROR(VLOOKUP(A649, 'Base 3F'!$B:$C, 2, FALSE),"")="", "SIN CUIT", VLOOKUP(A649, 'Base 3F'!$B:$C, 2, FALSE)))</f>
        <v>30500786937</v>
      </c>
      <c r="C649" s="253" t="str">
        <f>IF(A649="", "", IF(IFERROR(VLOOKUP(A649, 'Base 3F'!$B:$J, 9, FALSE),"")="", "SIN RUBRO", VLOOKUP(A649, 'Base 3F'!$B:$J, 9, FALSE)))</f>
        <v>Metalúrgica</v>
      </c>
      <c r="D649" s="142" t="s">
        <v>936</v>
      </c>
      <c r="E649" s="10" t="s">
        <v>2392</v>
      </c>
      <c r="F649" s="46" t="s">
        <v>115</v>
      </c>
    </row>
    <row r="650">
      <c r="A650" s="261" t="s">
        <v>4237</v>
      </c>
      <c r="B650" s="252">
        <f>IF(A650="", "", IF(IFERROR(VLOOKUP(A650, 'Base 3F'!$B:$C, 2, FALSE),"")="", "SIN CUIT", VLOOKUP(A650, 'Base 3F'!$B:$C, 2, FALSE)))</f>
        <v>20152209429</v>
      </c>
      <c r="C650" s="253" t="str">
        <f>IF(A650="", "", IF(IFERROR(VLOOKUP(A650, 'Base 3F'!$B:$J, 9, FALSE),"")="", "SIN RUBRO", VLOOKUP(A650, 'Base 3F'!$B:$J, 9, FALSE)))</f>
        <v>Metalúrgica</v>
      </c>
      <c r="D650" s="236" t="s">
        <v>937</v>
      </c>
      <c r="E650" s="10" t="s">
        <v>2392</v>
      </c>
      <c r="F650" s="46" t="s">
        <v>115</v>
      </c>
    </row>
    <row r="651">
      <c r="A651" s="261" t="s">
        <v>2173</v>
      </c>
      <c r="B651" s="252">
        <f>IF(A651="", "", IF(IFERROR(VLOOKUP(A651, 'Base 3F'!$B:$C, 2, FALSE),"")="", "SIN CUIT", VLOOKUP(A651, 'Base 3F'!$B:$C, 2, FALSE)))</f>
        <v>30716126451</v>
      </c>
      <c r="C651" s="253" t="str">
        <f>IF(A651="", "", IF(IFERROR(VLOOKUP(A651, 'Base 3F'!$B:$J, 9, FALSE),"")="", "SIN RUBRO", VLOOKUP(A651, 'Base 3F'!$B:$J, 9, FALSE)))</f>
        <v>Madera</v>
      </c>
      <c r="D651" s="58" t="s">
        <v>938</v>
      </c>
      <c r="E651" s="10" t="s">
        <v>2392</v>
      </c>
      <c r="F651" s="46" t="s">
        <v>115</v>
      </c>
    </row>
    <row r="652">
      <c r="A652" s="261" t="s">
        <v>2196</v>
      </c>
      <c r="B652" s="252">
        <f>IF(A652="", "", IF(IFERROR(VLOOKUP(A652, 'Base 3F'!$B:$C, 2, FALSE),"")="", "SIN CUIT", VLOOKUP(A652, 'Base 3F'!$B:$C, 2, FALSE)))</f>
        <v>30689645131</v>
      </c>
      <c r="C652" s="253" t="str">
        <f>IF(A652="", "", IF(IFERROR(VLOOKUP(A652, 'Base 3F'!$B:$J, 9, FALSE),"")="", "SIN RUBRO", VLOOKUP(A652, 'Base 3F'!$B:$J, 9, FALSE)))</f>
        <v>Madera</v>
      </c>
      <c r="D652" s="58" t="s">
        <v>4246</v>
      </c>
      <c r="E652" s="10" t="s">
        <v>2392</v>
      </c>
      <c r="F652" s="46" t="s">
        <v>115</v>
      </c>
    </row>
    <row r="653">
      <c r="A653" s="261" t="s">
        <v>2208</v>
      </c>
      <c r="B653" s="252">
        <f>IF(A653="", "", IF(IFERROR(VLOOKUP(A653, 'Base 3F'!$B:$C, 2, FALSE),"")="", "SIN CUIT", VLOOKUP(A653, 'Base 3F'!$B:$C, 2, FALSE)))</f>
        <v>30642724211</v>
      </c>
      <c r="C653" s="253" t="str">
        <f>IF(A653="", "", IF(IFERROR(VLOOKUP(A653, 'Base 3F'!$B:$J, 9, FALSE),"")="", "SIN RUBRO", VLOOKUP(A653, 'Base 3F'!$B:$J, 9, FALSE)))</f>
        <v>Electrónica</v>
      </c>
      <c r="D653" s="58" t="s">
        <v>940</v>
      </c>
      <c r="E653" s="10" t="s">
        <v>2392</v>
      </c>
      <c r="F653" s="46" t="s">
        <v>115</v>
      </c>
    </row>
    <row r="654">
      <c r="A654" s="261" t="s">
        <v>2227</v>
      </c>
      <c r="B654" s="252">
        <f>IF(A654="", "", IF(IFERROR(VLOOKUP(A654, 'Base 3F'!$B:$C, 2, FALSE),"")="", "SIN CUIT", VLOOKUP(A654, 'Base 3F'!$B:$C, 2, FALSE)))</f>
        <v>30575198348</v>
      </c>
      <c r="C654" s="253" t="str">
        <f>IF(A654="", "", IF(IFERROR(VLOOKUP(A654, 'Base 3F'!$B:$J, 9, FALSE),"")="", "SIN RUBRO", VLOOKUP(A654, 'Base 3F'!$B:$J, 9, FALSE)))</f>
        <v>Metalúrgica</v>
      </c>
      <c r="D654" s="58" t="s">
        <v>941</v>
      </c>
      <c r="E654" s="10" t="s">
        <v>2392</v>
      </c>
      <c r="F654" s="46" t="s">
        <v>115</v>
      </c>
    </row>
    <row r="655">
      <c r="A655" s="261" t="s">
        <v>4253</v>
      </c>
      <c r="B655" s="252">
        <f>IF(A655="", "", IF(IFERROR(VLOOKUP(A655, 'Base 3F'!$B:$C, 2, FALSE),"")="", "SIN CUIT", VLOOKUP(A655, 'Base 3F'!$B:$C, 2, FALSE)))</f>
        <v>30715604333</v>
      </c>
      <c r="C655" s="253" t="str">
        <f>IF(A655="", "", IF(IFERROR(VLOOKUP(A655, 'Base 3F'!$B:$J, 9, FALSE),"")="", "SIN RUBRO", VLOOKUP(A655, 'Base 3F'!$B:$J, 9, FALSE)))</f>
        <v>Industria</v>
      </c>
      <c r="D655" s="58" t="s">
        <v>944</v>
      </c>
      <c r="E655" s="10" t="s">
        <v>2392</v>
      </c>
      <c r="F655" s="46" t="s">
        <v>115</v>
      </c>
    </row>
    <row r="656">
      <c r="A656" s="253" t="s">
        <v>4257</v>
      </c>
      <c r="B656" s="252">
        <f>IF(A656="", "", IF(IFERROR(VLOOKUP(A656, 'Base 3F'!$B:$C, 2, FALSE),"")="", "SIN CUIT", VLOOKUP(A656, 'Base 3F'!$B:$C, 2, FALSE)))</f>
        <v>30707413677</v>
      </c>
      <c r="C656" s="253" t="str">
        <f>IF(A656="", "", IF(IFERROR(VLOOKUP(A656, 'Base 3F'!$B:$J, 9, FALSE),"")="", "SIN RUBRO", VLOOKUP(A656, 'Base 3F'!$B:$J, 9, FALSE)))</f>
        <v>Alimenticia</v>
      </c>
      <c r="D656" s="142" t="s">
        <v>945</v>
      </c>
      <c r="E656" s="10" t="s">
        <v>2392</v>
      </c>
      <c r="F656" s="46" t="s">
        <v>115</v>
      </c>
    </row>
    <row r="657">
      <c r="A657" s="261" t="s">
        <v>2277</v>
      </c>
      <c r="B657" s="252">
        <f>IF(A657="", "", IF(IFERROR(VLOOKUP(A657, 'Base 3F'!$B:$C, 2, FALSE),"")="", "SIN CUIT", VLOOKUP(A657, 'Base 3F'!$B:$C, 2, FALSE)))</f>
        <v>30503969358</v>
      </c>
      <c r="C657" s="253" t="str">
        <f>IF(A657="", "", IF(IFERROR(VLOOKUP(A657, 'Base 3F'!$B:$J, 9, FALSE),"")="", "SIN RUBRO", VLOOKUP(A657, 'Base 3F'!$B:$J, 9, FALSE)))</f>
        <v>Química</v>
      </c>
      <c r="D657" s="58" t="s">
        <v>946</v>
      </c>
      <c r="E657" s="10" t="s">
        <v>2392</v>
      </c>
      <c r="F657" s="46" t="s">
        <v>115</v>
      </c>
    </row>
    <row r="658">
      <c r="A658" s="261" t="s">
        <v>2281</v>
      </c>
      <c r="B658" s="252">
        <f>IF(A658="", "", IF(IFERROR(VLOOKUP(A658, 'Base 3F'!$B:$C, 2, FALSE),"")="", "SIN CUIT", VLOOKUP(A658, 'Base 3F'!$B:$C, 2, FALSE)))</f>
        <v>30708167823</v>
      </c>
      <c r="C658" s="253" t="str">
        <f>IF(A658="", "", IF(IFERROR(VLOOKUP(A658, 'Base 3F'!$B:$J, 9, FALSE),"")="", "SIN RUBRO", VLOOKUP(A658, 'Base 3F'!$B:$J, 9, FALSE)))</f>
        <v>Papel</v>
      </c>
      <c r="D658" s="58" t="s">
        <v>947</v>
      </c>
      <c r="E658" s="10" t="s">
        <v>2392</v>
      </c>
      <c r="F658" s="46" t="s">
        <v>115</v>
      </c>
    </row>
    <row r="659">
      <c r="A659" s="261" t="s">
        <v>2285</v>
      </c>
      <c r="B659" s="252">
        <f>IF(A659="", "", IF(IFERROR(VLOOKUP(A659, 'Base 3F'!$B:$C, 2, FALSE),"")="", "SIN CUIT", VLOOKUP(A659, 'Base 3F'!$B:$C, 2, FALSE)))</f>
        <v>30517046929</v>
      </c>
      <c r="C659" s="253" t="str">
        <f>IF(A659="", "", IF(IFERROR(VLOOKUP(A659, 'Base 3F'!$B:$J, 9, FALSE),"")="", "SIN RUBRO", VLOOKUP(A659, 'Base 3F'!$B:$J, 9, FALSE)))</f>
        <v>Madera</v>
      </c>
      <c r="D659" s="58" t="s">
        <v>948</v>
      </c>
      <c r="E659" s="10" t="s">
        <v>2392</v>
      </c>
      <c r="F659" s="46" t="s">
        <v>115</v>
      </c>
    </row>
    <row r="660">
      <c r="A660" s="261" t="s">
        <v>4270</v>
      </c>
      <c r="B660" s="252">
        <f>IF(A660="", "", IF(IFERROR(VLOOKUP(A660, 'Base 3F'!$B:$C, 2, FALSE),"")="", "SIN CUIT", VLOOKUP(A660, 'Base 3F'!$B:$C, 2, FALSE)))</f>
        <v>33682770649</v>
      </c>
      <c r="C660" s="253" t="str">
        <f>IF(A660="", "", IF(IFERROR(VLOOKUP(A660, 'Base 3F'!$B:$J, 9, FALSE),"")="", "SIN RUBRO", VLOOKUP(A660, 'Base 3F'!$B:$J, 9, FALSE)))</f>
        <v>Metalúrgica</v>
      </c>
      <c r="D660" s="58" t="s">
        <v>949</v>
      </c>
      <c r="E660" s="10" t="s">
        <v>2392</v>
      </c>
      <c r="F660" s="46" t="s">
        <v>115</v>
      </c>
    </row>
    <row r="661">
      <c r="A661" s="261" t="s">
        <v>2287</v>
      </c>
      <c r="B661" s="252">
        <f>IF(A661="", "", IF(IFERROR(VLOOKUP(A661, 'Base 3F'!$B:$C, 2, FALSE),"")="", "SIN CUIT", VLOOKUP(A661, 'Base 3F'!$B:$C, 2, FALSE)))</f>
        <v>30504594943</v>
      </c>
      <c r="C661" s="253" t="str">
        <f>IF(A661="", "", IF(IFERROR(VLOOKUP(A661, 'Base 3F'!$B:$J, 9, FALSE),"")="", "SIN RUBRO", VLOOKUP(A661, 'Base 3F'!$B:$J, 9, FALSE)))</f>
        <v>Bebidas</v>
      </c>
      <c r="D661" s="58" t="s">
        <v>4276</v>
      </c>
      <c r="E661" s="10" t="s">
        <v>2392</v>
      </c>
      <c r="F661" s="46" t="s">
        <v>115</v>
      </c>
    </row>
    <row r="662">
      <c r="A662" s="261" t="s">
        <v>4277</v>
      </c>
      <c r="B662" s="252">
        <f>IF(A662="", "", IF(IFERROR(VLOOKUP(A662, 'Base 3F'!$B:$C, 2, FALSE),"")="", "SIN CUIT", VLOOKUP(A662, 'Base 3F'!$B:$C, 2, FALSE)))</f>
        <v>30707732519</v>
      </c>
      <c r="C662" s="253" t="str">
        <f>IF(A662="", "", IF(IFERROR(VLOOKUP(A662, 'Base 3F'!$B:$J, 9, FALSE),"")="", "SIN RUBRO", VLOOKUP(A662, 'Base 3F'!$B:$J, 9, FALSE)))</f>
        <v>Plástica</v>
      </c>
      <c r="D662" s="58" t="s">
        <v>952</v>
      </c>
      <c r="E662" s="10" t="s">
        <v>2392</v>
      </c>
      <c r="F662" s="46" t="s">
        <v>115</v>
      </c>
    </row>
    <row r="663">
      <c r="A663" s="261" t="s">
        <v>2301</v>
      </c>
      <c r="B663" s="252">
        <f>IF(A663="", "", IF(IFERROR(VLOOKUP(A663, 'Base 3F'!$B:$C, 2, FALSE),"")="", "SIN CUIT", VLOOKUP(A663, 'Base 3F'!$B:$C, 2, FALSE)))</f>
        <v>30708397225</v>
      </c>
      <c r="C663" s="253" t="str">
        <f>IF(A663="", "", IF(IFERROR(VLOOKUP(A663, 'Base 3F'!$B:$J, 9, FALSE),"")="", "SIN RUBRO", VLOOKUP(A663, 'Base 3F'!$B:$J, 9, FALSE)))</f>
        <v>Textil</v>
      </c>
      <c r="D663" s="58" t="s">
        <v>953</v>
      </c>
      <c r="E663" s="10" t="s">
        <v>2392</v>
      </c>
      <c r="F663" s="46" t="s">
        <v>115</v>
      </c>
    </row>
    <row r="664">
      <c r="A664" s="261" t="s">
        <v>4286</v>
      </c>
      <c r="B664" s="252">
        <f>IF(A664="", "", IF(IFERROR(VLOOKUP(A664, 'Base 3F'!$B:$C, 2, FALSE),"")="", "SIN CUIT", VLOOKUP(A664, 'Base 3F'!$B:$C, 2, FALSE)))</f>
        <v>30519198386</v>
      </c>
      <c r="C664" s="253" t="str">
        <f>IF(A664="", "", IF(IFERROR(VLOOKUP(A664, 'Base 3F'!$B:$J, 9, FALSE),"")="", "SIN RUBRO", VLOOKUP(A664, 'Base 3F'!$B:$J, 9, FALSE)))</f>
        <v>Alimenticia</v>
      </c>
      <c r="D664" s="242" t="s">
        <v>955</v>
      </c>
      <c r="E664" s="10" t="s">
        <v>2392</v>
      </c>
      <c r="F664" s="46" t="s">
        <v>1625</v>
      </c>
    </row>
    <row r="665">
      <c r="A665" s="261" t="s">
        <v>2318</v>
      </c>
      <c r="B665" s="252">
        <f>IF(A665="", "", IF(IFERROR(VLOOKUP(A665, 'Base 3F'!$B:$C, 2, FALSE),"")="", "SIN CUIT", VLOOKUP(A665, 'Base 3F'!$B:$C, 2, FALSE)))</f>
        <v>30678279257</v>
      </c>
      <c r="C665" s="253" t="str">
        <f>IF(A665="", "", IF(IFERROR(VLOOKUP(A665, 'Base 3F'!$B:$J, 9, FALSE),"")="", "SIN RUBRO", VLOOKUP(A665, 'Base 3F'!$B:$J, 9, FALSE)))</f>
        <v>Metalúrgica</v>
      </c>
      <c r="D665" s="58" t="s">
        <v>956</v>
      </c>
      <c r="E665" s="10" t="s">
        <v>2392</v>
      </c>
      <c r="F665" s="46" t="s">
        <v>115</v>
      </c>
    </row>
    <row r="666">
      <c r="A666" s="261" t="s">
        <v>2326</v>
      </c>
      <c r="B666" s="252">
        <f>IF(A666="", "", IF(IFERROR(VLOOKUP(A666, 'Base 3F'!$B:$C, 2, FALSE),"")="", "SIN CUIT", VLOOKUP(A666, 'Base 3F'!$B:$C, 2, FALSE)))</f>
        <v>30714633941</v>
      </c>
      <c r="C666" s="253" t="str">
        <f>IF(A666="", "", IF(IFERROR(VLOOKUP(A666, 'Base 3F'!$B:$J, 9, FALSE),"")="", "SIN RUBRO", VLOOKUP(A666, 'Base 3F'!$B:$J, 9, FALSE)))</f>
        <v>Papel</v>
      </c>
      <c r="D666" s="58" t="s">
        <v>4294</v>
      </c>
      <c r="E666" s="10" t="s">
        <v>2392</v>
      </c>
      <c r="F666" s="46" t="s">
        <v>115</v>
      </c>
    </row>
    <row r="667">
      <c r="A667" s="261" t="s">
        <v>2334</v>
      </c>
      <c r="B667" s="252">
        <f>IF(A667="", "", IF(IFERROR(VLOOKUP(A667, 'Base 3F'!$B:$C, 2, FALSE),"")="", "SIN CUIT", VLOOKUP(A667, 'Base 3F'!$B:$C, 2, FALSE)))</f>
        <v>30709992917</v>
      </c>
      <c r="C667" s="253" t="str">
        <f>IF(A667="", "", IF(IFERROR(VLOOKUP(A667, 'Base 3F'!$B:$J, 9, FALSE),"")="", "SIN RUBRO", VLOOKUP(A667, 'Base 3F'!$B:$J, 9, FALSE)))</f>
        <v>Textil</v>
      </c>
      <c r="D667" s="58" t="s">
        <v>957</v>
      </c>
      <c r="E667" s="10" t="s">
        <v>2392</v>
      </c>
      <c r="F667" s="46" t="s">
        <v>115</v>
      </c>
    </row>
    <row r="668">
      <c r="A668" s="261" t="s">
        <v>2338</v>
      </c>
      <c r="B668" s="252">
        <f>IF(A668="", "", IF(IFERROR(VLOOKUP(A668, 'Base 3F'!$B:$C, 2, FALSE),"")="", "SIN CUIT", VLOOKUP(A668, 'Base 3F'!$B:$C, 2, FALSE)))</f>
        <v>30593166488</v>
      </c>
      <c r="C668" s="253" t="str">
        <f>IF(A668="", "", IF(IFERROR(VLOOKUP(A668, 'Base 3F'!$B:$J, 9, FALSE),"")="", "SIN RUBRO", VLOOKUP(A668, 'Base 3F'!$B:$J, 9, FALSE)))</f>
        <v>Plástica</v>
      </c>
      <c r="D668" s="58" t="s">
        <v>958</v>
      </c>
      <c r="E668" s="10" t="s">
        <v>2392</v>
      </c>
      <c r="F668" s="46" t="s">
        <v>115</v>
      </c>
    </row>
    <row r="669">
      <c r="A669" s="261" t="s">
        <v>2346</v>
      </c>
      <c r="B669" s="252">
        <f>IF(A669="", "", IF(IFERROR(VLOOKUP(A669, 'Base 3F'!$B:$C, 2, FALSE),"")="", "SIN CUIT", VLOOKUP(A669, 'Base 3F'!$B:$C, 2, FALSE)))</f>
        <v>30623356856</v>
      </c>
      <c r="C669" s="253" t="str">
        <f>IF(A669="", "", IF(IFERROR(VLOOKUP(A669, 'Base 3F'!$B:$J, 9, FALSE),"")="", "SIN RUBRO", VLOOKUP(A669, 'Base 3F'!$B:$J, 9, FALSE)))</f>
        <v>Servicios</v>
      </c>
      <c r="D669" s="58" t="s">
        <v>960</v>
      </c>
      <c r="E669" s="10" t="s">
        <v>2392</v>
      </c>
      <c r="F669" s="46" t="s">
        <v>115</v>
      </c>
    </row>
    <row r="670">
      <c r="A670" s="277" t="s">
        <v>2357</v>
      </c>
      <c r="B670" s="252">
        <f>IF(A670="", "", IF(IFERROR(VLOOKUP(A670, 'Base 3F'!$B:$C, 2, FALSE),"")="", "SIN CUIT", VLOOKUP(A670, 'Base 3F'!$B:$C, 2, FALSE)))</f>
        <v>30716120372</v>
      </c>
      <c r="C670" s="253" t="str">
        <f>IF(A670="", "", IF(IFERROR(VLOOKUP(A670, 'Base 3F'!$B:$J, 9, FALSE),"")="", "SIN RUBRO", VLOOKUP(A670, 'Base 3F'!$B:$J, 9, FALSE)))</f>
        <v>Alimenticia</v>
      </c>
      <c r="D670" s="278" t="s">
        <v>4307</v>
      </c>
      <c r="E670" s="10" t="s">
        <v>2392</v>
      </c>
      <c r="F670" s="46" t="s">
        <v>115</v>
      </c>
    </row>
    <row r="671">
      <c r="A671" s="261" t="s">
        <v>2361</v>
      </c>
      <c r="B671" s="252">
        <f>IF(A671="", "", IF(IFERROR(VLOOKUP(A671, 'Base 3F'!$B:$C, 2, FALSE),"")="", "SIN CUIT", VLOOKUP(A671, 'Base 3F'!$B:$C, 2, FALSE)))</f>
        <v>30709585890</v>
      </c>
      <c r="C671" s="253" t="str">
        <f>IF(A671="", "", IF(IFERROR(VLOOKUP(A671, 'Base 3F'!$B:$J, 9, FALSE),"")="", "SIN RUBRO", VLOOKUP(A671, 'Base 3F'!$B:$J, 9, FALSE)))</f>
        <v>Madera</v>
      </c>
      <c r="D671" s="58" t="s">
        <v>962</v>
      </c>
      <c r="E671" s="10" t="s">
        <v>2392</v>
      </c>
      <c r="F671" s="46" t="s">
        <v>115</v>
      </c>
    </row>
    <row r="672">
      <c r="A672" s="261" t="s">
        <v>2364</v>
      </c>
      <c r="B672" s="252">
        <f>IF(A672="", "", IF(IFERROR(VLOOKUP(A672, 'Base 3F'!$B:$C, 2, FALSE),"")="", "SIN CUIT", VLOOKUP(A672, 'Base 3F'!$B:$C, 2, FALSE)))</f>
        <v>30689670624</v>
      </c>
      <c r="C672" s="253" t="str">
        <f>IF(A672="", "", IF(IFERROR(VLOOKUP(A672, 'Base 3F'!$B:$J, 9, FALSE),"")="", "SIN RUBRO", VLOOKUP(A672, 'Base 3F'!$B:$J, 9, FALSE)))</f>
        <v>Papel</v>
      </c>
      <c r="D672" s="58" t="s">
        <v>963</v>
      </c>
      <c r="E672" s="10" t="s">
        <v>2392</v>
      </c>
      <c r="F672" s="46" t="s">
        <v>115</v>
      </c>
    </row>
    <row r="673">
      <c r="A673" s="274" t="s">
        <v>2372</v>
      </c>
      <c r="B673" s="252">
        <f>IF(A673="", "", IF(IFERROR(VLOOKUP(A673, 'Base 3F'!$B:$C, 2, FALSE),"")="", "SIN CUIT", VLOOKUP(A673, 'Base 3F'!$B:$C, 2, FALSE)))</f>
        <v>30631963516</v>
      </c>
      <c r="C673" s="253" t="str">
        <f>IF(A673="", "", IF(IFERROR(VLOOKUP(A673, 'Base 3F'!$B:$J, 9, FALSE),"")="", "SIN RUBRO", VLOOKUP(A673, 'Base 3F'!$B:$J, 9, FALSE)))</f>
        <v>Metalúrgica</v>
      </c>
      <c r="D673" s="122" t="s">
        <v>964</v>
      </c>
      <c r="E673" s="10" t="s">
        <v>2392</v>
      </c>
      <c r="F673" s="46" t="s">
        <v>115</v>
      </c>
    </row>
    <row r="674">
      <c r="A674" s="261" t="s">
        <v>2374</v>
      </c>
      <c r="B674" s="252">
        <f>IF(A674="", "", IF(IFERROR(VLOOKUP(A674, 'Base 3F'!$B:$C, 2, FALSE),"")="", "SIN CUIT", VLOOKUP(A674, 'Base 3F'!$B:$C, 2, FALSE)))</f>
        <v>30596296633</v>
      </c>
      <c r="C674" s="253" t="str">
        <f>IF(A674="", "", IF(IFERROR(VLOOKUP(A674, 'Base 3F'!$B:$J, 9, FALSE),"")="", "SIN RUBRO", VLOOKUP(A674, 'Base 3F'!$B:$J, 9, FALSE)))</f>
        <v>Metalúrgica</v>
      </c>
      <c r="D674" s="58" t="s">
        <v>965</v>
      </c>
      <c r="E674" s="10" t="s">
        <v>2392</v>
      </c>
      <c r="F674" s="46" t="s">
        <v>115</v>
      </c>
    </row>
    <row r="675">
      <c r="A675" s="261" t="s">
        <v>2384</v>
      </c>
      <c r="B675" s="252">
        <f>IF(A675="", "", IF(IFERROR(VLOOKUP(A675, 'Base 3F'!$B:$C, 2, FALSE),"")="", "SIN CUIT", VLOOKUP(A675, 'Base 3F'!$B:$C, 2, FALSE)))</f>
        <v>30707522557</v>
      </c>
      <c r="C675" s="253" t="str">
        <f>IF(A675="", "", IF(IFERROR(VLOOKUP(A675, 'Base 3F'!$B:$J, 9, FALSE),"")="", "SIN RUBRO", VLOOKUP(A675, 'Base 3F'!$B:$J, 9, FALSE)))</f>
        <v>Textil</v>
      </c>
      <c r="D675" s="58" t="s">
        <v>967</v>
      </c>
      <c r="E675" s="10" t="s">
        <v>2392</v>
      </c>
      <c r="F675" s="46" t="s">
        <v>115</v>
      </c>
    </row>
    <row r="676">
      <c r="A676" s="261" t="s">
        <v>2393</v>
      </c>
      <c r="B676" s="252">
        <f>IF(A676="", "", IF(IFERROR(VLOOKUP(A676, 'Base 3F'!$B:$C, 2, FALSE),"")="", "SIN CUIT", VLOOKUP(A676, 'Base 3F'!$B:$C, 2, FALSE)))</f>
        <v>30682593101</v>
      </c>
      <c r="C676" s="253" t="str">
        <f>IF(A676="", "", IF(IFERROR(VLOOKUP(A676, 'Base 3F'!$B:$J, 9, FALSE),"")="", "SIN RUBRO", VLOOKUP(A676, 'Base 3F'!$B:$J, 9, FALSE)))</f>
        <v>Química</v>
      </c>
      <c r="D676" s="58" t="s">
        <v>968</v>
      </c>
      <c r="E676" s="10" t="s">
        <v>2392</v>
      </c>
      <c r="F676" s="46" t="s">
        <v>115</v>
      </c>
    </row>
    <row r="677">
      <c r="A677" s="261" t="s">
        <v>4331</v>
      </c>
      <c r="B677" s="252">
        <f>IF(A677="", "", IF(IFERROR(VLOOKUP(A677, 'Base 3F'!$B:$C, 2, FALSE),"")="", "SIN CUIT", VLOOKUP(A677, 'Base 3F'!$B:$C, 2, FALSE)))</f>
        <v>30715222449</v>
      </c>
      <c r="C677" s="253" t="str">
        <f>IF(A677="", "", IF(IFERROR(VLOOKUP(A677, 'Base 3F'!$B:$J, 9, FALSE),"")="", "SIN RUBRO", VLOOKUP(A677, 'Base 3F'!$B:$J, 9, FALSE)))</f>
        <v>Metalúrgica</v>
      </c>
      <c r="D677" s="58" t="s">
        <v>4334</v>
      </c>
      <c r="E677" s="10" t="s">
        <v>2392</v>
      </c>
      <c r="F677" s="46" t="s">
        <v>115</v>
      </c>
    </row>
    <row r="678">
      <c r="A678" s="261" t="s">
        <v>4335</v>
      </c>
      <c r="B678" s="252">
        <f>IF(A678="", "", IF(IFERROR(VLOOKUP(A678, 'Base 3F'!$B:$C, 2, FALSE),"")="", "SIN CUIT", VLOOKUP(A678, 'Base 3F'!$B:$C, 2, FALSE)))</f>
        <v>30584722513</v>
      </c>
      <c r="C678" s="253" t="str">
        <f>IF(A678="", "", IF(IFERROR(VLOOKUP(A678, 'Base 3F'!$B:$J, 9, FALSE),"")="", "SIN RUBRO", VLOOKUP(A678, 'Base 3F'!$B:$J, 9, FALSE)))</f>
        <v>Plástica</v>
      </c>
      <c r="D678" s="58" t="s">
        <v>969</v>
      </c>
      <c r="E678" s="10" t="s">
        <v>2392</v>
      </c>
      <c r="F678" s="46" t="s">
        <v>115</v>
      </c>
    </row>
    <row r="679">
      <c r="A679" s="261" t="s">
        <v>4339</v>
      </c>
      <c r="B679" s="252">
        <f>IF(A679="", "", IF(IFERROR(VLOOKUP(A679, 'Base 3F'!$B:$C, 2, FALSE),"")="", "SIN CUIT", VLOOKUP(A679, 'Base 3F'!$B:$C, 2, FALSE)))</f>
        <v>30709702285</v>
      </c>
      <c r="C679" s="253" t="str">
        <f>IF(A679="", "", IF(IFERROR(VLOOKUP(A679, 'Base 3F'!$B:$J, 9, FALSE),"")="", "SIN RUBRO", VLOOKUP(A679, 'Base 3F'!$B:$J, 9, FALSE)))</f>
        <v>Metalúrgica</v>
      </c>
      <c r="D679" s="142" t="s">
        <v>970</v>
      </c>
      <c r="E679" s="10" t="s">
        <v>2392</v>
      </c>
      <c r="F679" s="46" t="s">
        <v>115</v>
      </c>
    </row>
    <row r="680">
      <c r="A680" s="261" t="s">
        <v>2420</v>
      </c>
      <c r="B680" s="252">
        <f>IF(A680="", "", IF(IFERROR(VLOOKUP(A680, 'Base 3F'!$B:$C, 2, FALSE),"")="", "SIN CUIT", VLOOKUP(A680, 'Base 3F'!$B:$C, 2, FALSE)))</f>
        <v>30557662320</v>
      </c>
      <c r="C680" s="253" t="str">
        <f>IF(A680="", "", IF(IFERROR(VLOOKUP(A680, 'Base 3F'!$B:$J, 9, FALSE),"")="", "SIN RUBRO", VLOOKUP(A680, 'Base 3F'!$B:$J, 9, FALSE)))</f>
        <v>Metalúrgica</v>
      </c>
      <c r="D680" s="58" t="s">
        <v>971</v>
      </c>
      <c r="E680" s="10" t="s">
        <v>2392</v>
      </c>
      <c r="F680" s="46" t="s">
        <v>115</v>
      </c>
    </row>
    <row r="681">
      <c r="A681" s="261" t="s">
        <v>2435</v>
      </c>
      <c r="B681" s="252">
        <f>IF(A681="", "", IF(IFERROR(VLOOKUP(A681, 'Base 3F'!$B:$C, 2, FALSE),"")="", "SIN CUIT", VLOOKUP(A681, 'Base 3F'!$B:$C, 2, FALSE)))</f>
        <v>30599132453</v>
      </c>
      <c r="C681" s="253" t="str">
        <f>IF(A681="", "", IF(IFERROR(VLOOKUP(A681, 'Base 3F'!$B:$J, 9, FALSE),"")="", "SIN RUBRO", VLOOKUP(A681, 'Base 3F'!$B:$J, 9, FALSE)))</f>
        <v>Metalúrgica</v>
      </c>
      <c r="D681" s="58" t="s">
        <v>973</v>
      </c>
      <c r="E681" s="10" t="s">
        <v>2392</v>
      </c>
      <c r="F681" s="46" t="s">
        <v>115</v>
      </c>
    </row>
    <row r="682">
      <c r="A682" s="261" t="s">
        <v>4357</v>
      </c>
      <c r="B682" s="252">
        <f>IF(A682="", "", IF(IFERROR(VLOOKUP(A682, 'Base 3F'!$B:$C, 2, FALSE),"")="", "SIN CUIT", VLOOKUP(A682, 'Base 3F'!$B:$C, 2, FALSE)))</f>
        <v>30705640110</v>
      </c>
      <c r="C682" s="253" t="str">
        <f>IF(A682="", "", IF(IFERROR(VLOOKUP(A682, 'Base 3F'!$B:$J, 9, FALSE),"")="", "SIN RUBRO", VLOOKUP(A682, 'Base 3F'!$B:$J, 9, FALSE)))</f>
        <v>Metalúrgica</v>
      </c>
      <c r="D682" s="58" t="s">
        <v>974</v>
      </c>
      <c r="E682" s="10" t="s">
        <v>2392</v>
      </c>
      <c r="F682" s="46" t="s">
        <v>115</v>
      </c>
    </row>
    <row r="683">
      <c r="A683" s="261" t="s">
        <v>2458</v>
      </c>
      <c r="B683" s="252">
        <f>IF(A683="", "", IF(IFERROR(VLOOKUP(A683, 'Base 3F'!$B:$C, 2, FALSE),"")="", "SIN CUIT", VLOOKUP(A683, 'Base 3F'!$B:$C, 2, FALSE)))</f>
        <v>30500719687</v>
      </c>
      <c r="C683" s="253" t="str">
        <f>IF(A683="", "", IF(IFERROR(VLOOKUP(A683, 'Base 3F'!$B:$J, 9, FALSE),"")="", "SIN RUBRO", VLOOKUP(A683, 'Base 3F'!$B:$J, 9, FALSE)))</f>
        <v>Química</v>
      </c>
      <c r="D683" s="58" t="s">
        <v>975</v>
      </c>
      <c r="E683" s="10" t="s">
        <v>2392</v>
      </c>
      <c r="F683" s="46" t="s">
        <v>115</v>
      </c>
    </row>
    <row r="684">
      <c r="A684" s="261" t="s">
        <v>2482</v>
      </c>
      <c r="B684" s="252">
        <f>IF(A684="", "", IF(IFERROR(VLOOKUP(A684, 'Base 3F'!$B:$C, 2, FALSE),"")="", "SIN CUIT", VLOOKUP(A684, 'Base 3F'!$B:$C, 2, FALSE)))</f>
        <v>30648203094</v>
      </c>
      <c r="C684" s="253" t="str">
        <f>IF(A684="", "", IF(IFERROR(VLOOKUP(A684, 'Base 3F'!$B:$J, 9, FALSE),"")="", "SIN RUBRO", VLOOKUP(A684, 'Base 3F'!$B:$J, 9, FALSE)))</f>
        <v>Metalúrgica</v>
      </c>
      <c r="D684" s="58" t="s">
        <v>977</v>
      </c>
      <c r="E684" s="10" t="s">
        <v>2392</v>
      </c>
      <c r="F684" s="46" t="s">
        <v>115</v>
      </c>
    </row>
    <row r="685">
      <c r="A685" s="261" t="s">
        <v>2486</v>
      </c>
      <c r="B685" s="252">
        <f>IF(A685="", "", IF(IFERROR(VLOOKUP(A685, 'Base 3F'!$B:$C, 2, FALSE),"")="", "SIN CUIT", VLOOKUP(A685, 'Base 3F'!$B:$C, 2, FALSE)))</f>
        <v>30643786172</v>
      </c>
      <c r="C685" s="253" t="str">
        <f>IF(A685="", "", IF(IFERROR(VLOOKUP(A685, 'Base 3F'!$B:$J, 9, FALSE),"")="", "SIN RUBRO", VLOOKUP(A685, 'Base 3F'!$B:$J, 9, FALSE)))</f>
        <v>Electrónica</v>
      </c>
      <c r="D685" s="58" t="s">
        <v>978</v>
      </c>
      <c r="E685" s="10" t="s">
        <v>2392</v>
      </c>
      <c r="F685" s="46" t="s">
        <v>115</v>
      </c>
    </row>
    <row r="686">
      <c r="A686" s="261" t="s">
        <v>2497</v>
      </c>
      <c r="B686" s="252">
        <f>IF(A686="", "", IF(IFERROR(VLOOKUP(A686, 'Base 3F'!$B:$C, 2, FALSE),"")="", "SIN CUIT", VLOOKUP(A686, 'Base 3F'!$B:$C, 2, FALSE)))</f>
        <v>30550960830</v>
      </c>
      <c r="C686" s="253" t="str">
        <f>IF(A686="", "", IF(IFERROR(VLOOKUP(A686, 'Base 3F'!$B:$J, 9, FALSE),"")="", "SIN RUBRO", VLOOKUP(A686, 'Base 3F'!$B:$J, 9, FALSE)))</f>
        <v>Alimenticia</v>
      </c>
      <c r="D686" s="58" t="s">
        <v>979</v>
      </c>
      <c r="E686" s="10" t="s">
        <v>2392</v>
      </c>
      <c r="F686" s="46" t="s">
        <v>115</v>
      </c>
    </row>
    <row r="687">
      <c r="A687" s="261" t="s">
        <v>2506</v>
      </c>
      <c r="B687" s="252">
        <f>IF(A687="", "", IF(IFERROR(VLOOKUP(A687, 'Base 3F'!$B:$C, 2, FALSE),"")="", "SIN CUIT", VLOOKUP(A687, 'Base 3F'!$B:$C, 2, FALSE)))</f>
        <v>30707227253</v>
      </c>
      <c r="C687" s="253" t="str">
        <f>IF(A687="", "", IF(IFERROR(VLOOKUP(A687, 'Base 3F'!$B:$J, 9, FALSE),"")="", "SIN RUBRO", VLOOKUP(A687, 'Base 3F'!$B:$J, 9, FALSE)))</f>
        <v>Servicios</v>
      </c>
      <c r="D687" s="58" t="s">
        <v>980</v>
      </c>
      <c r="E687" s="10" t="s">
        <v>2392</v>
      </c>
      <c r="F687" s="46" t="s">
        <v>115</v>
      </c>
    </row>
    <row r="688">
      <c r="A688" s="261" t="s">
        <v>4367</v>
      </c>
      <c r="B688" s="252">
        <f>IF(A688="", "", IF(IFERROR(VLOOKUP(A688, 'Base 3F'!$B:$C, 2, FALSE),"")="", "SIN CUIT", VLOOKUP(A688, 'Base 3F'!$B:$C, 2, FALSE)))</f>
        <v>30696282672</v>
      </c>
      <c r="C688" s="253" t="str">
        <f>IF(A688="", "", IF(IFERROR(VLOOKUP(A688, 'Base 3F'!$B:$J, 9, FALSE),"")="", "SIN RUBRO", VLOOKUP(A688, 'Base 3F'!$B:$J, 9, FALSE)))</f>
        <v>Alimenticia</v>
      </c>
      <c r="D688" s="58" t="s">
        <v>981</v>
      </c>
      <c r="E688" s="10" t="s">
        <v>2392</v>
      </c>
      <c r="F688" s="46" t="s">
        <v>115</v>
      </c>
    </row>
    <row r="689">
      <c r="A689" s="261" t="s">
        <v>2531</v>
      </c>
      <c r="B689" s="252">
        <f>IF(A689="", "", IF(IFERROR(VLOOKUP(A689, 'Base 3F'!$B:$C, 2, FALSE),"")="", "SIN CUIT", VLOOKUP(A689, 'Base 3F'!$B:$C, 2, FALSE)))</f>
        <v>30709382817</v>
      </c>
      <c r="C689" s="253" t="str">
        <f>IF(A689="", "", IF(IFERROR(VLOOKUP(A689, 'Base 3F'!$B:$J, 9, FALSE),"")="", "SIN RUBRO", VLOOKUP(A689, 'Base 3F'!$B:$J, 9, FALSE)))</f>
        <v>Metalúrgica</v>
      </c>
      <c r="D689" s="58" t="s">
        <v>982</v>
      </c>
      <c r="E689" s="10" t="s">
        <v>2392</v>
      </c>
      <c r="F689" s="46" t="s">
        <v>115</v>
      </c>
    </row>
    <row r="690">
      <c r="A690" s="261" t="s">
        <v>4375</v>
      </c>
      <c r="B690" s="252">
        <f>IF(A690="", "", IF(IFERROR(VLOOKUP(A690, 'Base 3F'!$B:$C, 2, FALSE),"")="", "SIN CUIT", VLOOKUP(A690, 'Base 3F'!$B:$C, 2, FALSE)))</f>
        <v>20045616615</v>
      </c>
      <c r="C690" s="253" t="str">
        <f>IF(A690="", "", IF(IFERROR(VLOOKUP(A690, 'Base 3F'!$B:$J, 9, FALSE),"")="", "SIN RUBRO", VLOOKUP(A690, 'Base 3F'!$B:$J, 9, FALSE)))</f>
        <v>Alimenticia</v>
      </c>
      <c r="D690" s="58" t="s">
        <v>983</v>
      </c>
      <c r="E690" s="10" t="s">
        <v>2392</v>
      </c>
      <c r="F690" s="46" t="s">
        <v>115</v>
      </c>
    </row>
    <row r="691">
      <c r="A691" s="261" t="s">
        <v>2539</v>
      </c>
      <c r="B691" s="252">
        <f>IF(A691="", "", IF(IFERROR(VLOOKUP(A691, 'Base 3F'!$B:$C, 2, FALSE),"")="", "SIN CUIT", VLOOKUP(A691, 'Base 3F'!$B:$C, 2, FALSE)))</f>
        <v>30710478720</v>
      </c>
      <c r="C691" s="253" t="str">
        <f>IF(A691="", "", IF(IFERROR(VLOOKUP(A691, 'Base 3F'!$B:$J, 9, FALSE),"")="", "SIN RUBRO", VLOOKUP(A691, 'Base 3F'!$B:$J, 9, FALSE)))</f>
        <v>Metalúrgica</v>
      </c>
      <c r="D691" s="58" t="s">
        <v>984</v>
      </c>
      <c r="E691" s="10" t="s">
        <v>2392</v>
      </c>
      <c r="F691" s="46" t="s">
        <v>115</v>
      </c>
    </row>
    <row r="692">
      <c r="A692" s="261" t="s">
        <v>2548</v>
      </c>
      <c r="B692" s="252">
        <f>IF(A692="", "", IF(IFERROR(VLOOKUP(A692, 'Base 3F'!$B:$C, 2, FALSE),"")="", "SIN CUIT", VLOOKUP(A692, 'Base 3F'!$B:$C, 2, FALSE)))</f>
        <v>30713895306</v>
      </c>
      <c r="C692" s="253" t="str">
        <f>IF(A692="", "", IF(IFERROR(VLOOKUP(A692, 'Base 3F'!$B:$J, 9, FALSE),"")="", "SIN RUBRO", VLOOKUP(A692, 'Base 3F'!$B:$J, 9, FALSE)))</f>
        <v>Electrónica</v>
      </c>
      <c r="D692" s="58" t="s">
        <v>986</v>
      </c>
      <c r="E692" s="10" t="s">
        <v>2392</v>
      </c>
      <c r="F692" s="46" t="s">
        <v>115</v>
      </c>
    </row>
    <row r="693">
      <c r="A693" s="261" t="s">
        <v>2555</v>
      </c>
      <c r="B693" s="252">
        <f>IF(A693="", "", IF(IFERROR(VLOOKUP(A693, 'Base 3F'!$B:$C, 2, FALSE),"")="", "SIN CUIT", VLOOKUP(A693, 'Base 3F'!$B:$C, 2, FALSE)))</f>
        <v>30709629901</v>
      </c>
      <c r="C693" s="253" t="str">
        <f>IF(A693="", "", IF(IFERROR(VLOOKUP(A693, 'Base 3F'!$B:$J, 9, FALSE),"")="", "SIN RUBRO", VLOOKUP(A693, 'Base 3F'!$B:$J, 9, FALSE)))</f>
        <v>Metalmecánica</v>
      </c>
      <c r="D693" s="58" t="s">
        <v>987</v>
      </c>
      <c r="E693" s="10" t="s">
        <v>2392</v>
      </c>
      <c r="F693" s="46" t="s">
        <v>115</v>
      </c>
    </row>
    <row r="694">
      <c r="A694" s="261" t="s">
        <v>2591</v>
      </c>
      <c r="B694" s="252">
        <f>IF(A694="", "", IF(IFERROR(VLOOKUP(A694, 'Base 3F'!$B:$C, 2, FALSE),"")="", "SIN CUIT", VLOOKUP(A694, 'Base 3F'!$B:$C, 2, FALSE)))</f>
        <v>30695261418</v>
      </c>
      <c r="C694" s="253" t="str">
        <f>IF(A694="", "", IF(IFERROR(VLOOKUP(A694, 'Base 3F'!$B:$J, 9, FALSE),"")="", "SIN RUBRO", VLOOKUP(A694, 'Base 3F'!$B:$J, 9, FALSE)))</f>
        <v>Electrónica</v>
      </c>
      <c r="D694" s="58" t="s">
        <v>988</v>
      </c>
      <c r="E694" s="10" t="s">
        <v>2392</v>
      </c>
      <c r="F694" s="46" t="s">
        <v>115</v>
      </c>
    </row>
    <row r="695">
      <c r="A695" s="261" t="s">
        <v>2597</v>
      </c>
      <c r="B695" s="252">
        <f>IF(A695="", "", IF(IFERROR(VLOOKUP(A695, 'Base 3F'!$B:$C, 2, FALSE),"")="", "SIN CUIT", VLOOKUP(A695, 'Base 3F'!$B:$C, 2, FALSE)))</f>
        <v>30708574224</v>
      </c>
      <c r="C695" s="253" t="str">
        <f>IF(A695="", "", IF(IFERROR(VLOOKUP(A695, 'Base 3F'!$B:$J, 9, FALSE),"")="", "SIN RUBRO", VLOOKUP(A695, 'Base 3F'!$B:$J, 9, FALSE)))</f>
        <v>Madera</v>
      </c>
      <c r="D695" s="58" t="s">
        <v>989</v>
      </c>
      <c r="E695" s="10" t="s">
        <v>2392</v>
      </c>
      <c r="F695" s="46" t="s">
        <v>115</v>
      </c>
    </row>
    <row r="696">
      <c r="A696" s="261" t="s">
        <v>2654</v>
      </c>
      <c r="B696" s="252">
        <f>IF(A696="", "", IF(IFERROR(VLOOKUP(A696, 'Base 3F'!$B:$C, 2, FALSE),"")="", "SIN CUIT", VLOOKUP(A696, 'Base 3F'!$B:$C, 2, FALSE)))</f>
        <v>30505488004</v>
      </c>
      <c r="C696" s="253" t="str">
        <f>IF(A696="", "", IF(IFERROR(VLOOKUP(A696, 'Base 3F'!$B:$J, 9, FALSE),"")="", "SIN RUBRO", VLOOKUP(A696, 'Base 3F'!$B:$J, 9, FALSE)))</f>
        <v>Plástica</v>
      </c>
      <c r="D696" s="58" t="s">
        <v>991</v>
      </c>
      <c r="E696" s="10" t="s">
        <v>2392</v>
      </c>
      <c r="F696" s="46" t="s">
        <v>115</v>
      </c>
    </row>
    <row r="697">
      <c r="A697" s="261" t="s">
        <v>2672</v>
      </c>
      <c r="B697" s="252">
        <f>IF(A697="", "", IF(IFERROR(VLOOKUP(A697, 'Base 3F'!$B:$C, 2, FALSE),"")="", "SIN CUIT", VLOOKUP(A697, 'Base 3F'!$B:$C, 2, FALSE)))</f>
        <v>30564216514</v>
      </c>
      <c r="C697" s="253" t="str">
        <f>IF(A697="", "", IF(IFERROR(VLOOKUP(A697, 'Base 3F'!$B:$J, 9, FALSE),"")="", "SIN RUBRO", VLOOKUP(A697, 'Base 3F'!$B:$J, 9, FALSE)))</f>
        <v>Textil</v>
      </c>
      <c r="D697" s="142" t="s">
        <v>995</v>
      </c>
      <c r="E697" s="10" t="s">
        <v>2392</v>
      </c>
      <c r="F697" s="46" t="s">
        <v>115</v>
      </c>
    </row>
    <row r="698">
      <c r="A698" s="261" t="s">
        <v>2700</v>
      </c>
      <c r="B698" s="252">
        <f>IF(A698="", "", IF(IFERROR(VLOOKUP(A698, 'Base 3F'!$B:$C, 2, FALSE),"")="", "SIN CUIT", VLOOKUP(A698, 'Base 3F'!$B:$C, 2, FALSE)))</f>
        <v>30714519626</v>
      </c>
      <c r="C698" s="253" t="str">
        <f>IF(A698="", "", IF(IFERROR(VLOOKUP(A698, 'Base 3F'!$B:$J, 9, FALSE),"")="", "SIN RUBRO", VLOOKUP(A698, 'Base 3F'!$B:$J, 9, FALSE)))</f>
        <v>Textil</v>
      </c>
      <c r="D698" s="58" t="s">
        <v>996</v>
      </c>
      <c r="E698" s="10" t="s">
        <v>2392</v>
      </c>
      <c r="F698" s="46" t="s">
        <v>115</v>
      </c>
    </row>
    <row r="699">
      <c r="A699" s="261" t="s">
        <v>2708</v>
      </c>
      <c r="B699" s="252">
        <f>IF(A699="", "", IF(IFERROR(VLOOKUP(A699, 'Base 3F'!$B:$C, 2, FALSE),"")="", "SIN CUIT", VLOOKUP(A699, 'Base 3F'!$B:$C, 2, FALSE)))</f>
        <v>30715155520</v>
      </c>
      <c r="C699" s="253" t="str">
        <f>IF(A699="", "", IF(IFERROR(VLOOKUP(A699, 'Base 3F'!$B:$J, 9, FALSE),"")="", "SIN RUBRO", VLOOKUP(A699, 'Base 3F'!$B:$J, 9, FALSE)))</f>
        <v>Metalúrgica</v>
      </c>
      <c r="D699" s="58" t="s">
        <v>998</v>
      </c>
      <c r="E699" s="10" t="s">
        <v>2392</v>
      </c>
      <c r="F699" s="46" t="s">
        <v>115</v>
      </c>
    </row>
    <row r="700">
      <c r="A700" s="261" t="s">
        <v>2727</v>
      </c>
      <c r="B700" s="252">
        <f>IF(A700="", "", IF(IFERROR(VLOOKUP(A700, 'Base 3F'!$B:$C, 2, FALSE),"")="", "SIN CUIT", VLOOKUP(A700, 'Base 3F'!$B:$C, 2, FALSE)))</f>
        <v>30708397896</v>
      </c>
      <c r="C700" s="253" t="str">
        <f>IF(A700="", "", IF(IFERROR(VLOOKUP(A700, 'Base 3F'!$B:$J, 9, FALSE),"")="", "SIN RUBRO", VLOOKUP(A700, 'Base 3F'!$B:$J, 9, FALSE)))</f>
        <v>Transporte</v>
      </c>
      <c r="D700" s="58" t="s">
        <v>1000</v>
      </c>
      <c r="E700" s="10" t="s">
        <v>2392</v>
      </c>
      <c r="F700" s="46" t="s">
        <v>115</v>
      </c>
    </row>
    <row r="701">
      <c r="A701" s="261" t="s">
        <v>2732</v>
      </c>
      <c r="B701" s="252">
        <f>IF(A701="", "", IF(IFERROR(VLOOKUP(A701, 'Base 3F'!$B:$C, 2, FALSE),"")="", "SIN CUIT", VLOOKUP(A701, 'Base 3F'!$B:$C, 2, FALSE)))</f>
        <v>30504359197</v>
      </c>
      <c r="C701" s="253" t="str">
        <f>IF(A701="", "", IF(IFERROR(VLOOKUP(A701, 'Base 3F'!$B:$J, 9, FALSE),"")="", "SIN RUBRO", VLOOKUP(A701, 'Base 3F'!$B:$J, 9, FALSE)))</f>
        <v>Metalúrgica</v>
      </c>
      <c r="D701" s="58" t="s">
        <v>1001</v>
      </c>
      <c r="E701" s="10" t="s">
        <v>2392</v>
      </c>
      <c r="F701" s="46" t="s">
        <v>115</v>
      </c>
    </row>
    <row r="702">
      <c r="A702" s="261" t="s">
        <v>2750</v>
      </c>
      <c r="B702" s="252">
        <f>IF(A702="", "", IF(IFERROR(VLOOKUP(A702, 'Base 3F'!$B:$C, 2, FALSE),"")="", "SIN CUIT", VLOOKUP(A702, 'Base 3F'!$B:$C, 2, FALSE)))</f>
        <v>30653678963</v>
      </c>
      <c r="C702" s="253" t="str">
        <f>IF(A702="", "", IF(IFERROR(VLOOKUP(A702, 'Base 3F'!$B:$J, 9, FALSE),"")="", "SIN RUBRO", VLOOKUP(A702, 'Base 3F'!$B:$J, 9, FALSE)))</f>
        <v>Plástica</v>
      </c>
      <c r="D702" s="142" t="s">
        <v>1003</v>
      </c>
      <c r="E702" s="10" t="s">
        <v>2392</v>
      </c>
      <c r="F702" s="46" t="s">
        <v>115</v>
      </c>
    </row>
    <row r="703">
      <c r="A703" s="261" t="s">
        <v>2784</v>
      </c>
      <c r="B703" s="252">
        <f>IF(A703="", "", IF(IFERROR(VLOOKUP(A703, 'Base 3F'!$B:$C, 2, FALSE),"")="", "SIN CUIT", VLOOKUP(A703, 'Base 3F'!$B:$C, 2, FALSE)))</f>
        <v>30697291829</v>
      </c>
      <c r="C703" s="253" t="str">
        <f>IF(A703="", "", IF(IFERROR(VLOOKUP(A703, 'Base 3F'!$B:$J, 9, FALSE),"")="", "SIN RUBRO", VLOOKUP(A703, 'Base 3F'!$B:$J, 9, FALSE)))</f>
        <v>Metalúrgica</v>
      </c>
      <c r="D703" s="58" t="s">
        <v>1004</v>
      </c>
      <c r="E703" s="10" t="s">
        <v>2392</v>
      </c>
      <c r="F703" s="46" t="s">
        <v>115</v>
      </c>
    </row>
    <row r="704">
      <c r="A704" s="261" t="s">
        <v>4420</v>
      </c>
      <c r="B704" s="252">
        <f>IF(A704="", "", IF(IFERROR(VLOOKUP(A704, 'Base 3F'!$B:$C, 2, FALSE),"")="", "SIN CUIT", VLOOKUP(A704, 'Base 3F'!$B:$C, 2, FALSE)))</f>
        <v>30709488291</v>
      </c>
      <c r="C704" s="253" t="str">
        <f>IF(A704="", "", IF(IFERROR(VLOOKUP(A704, 'Base 3F'!$B:$J, 9, FALSE),"")="", "SIN RUBRO", VLOOKUP(A704, 'Base 3F'!$B:$J, 9, FALSE)))</f>
        <v>Química</v>
      </c>
      <c r="D704" s="58" t="s">
        <v>1007</v>
      </c>
      <c r="E704" s="10" t="s">
        <v>2392</v>
      </c>
      <c r="F704" s="46" t="s">
        <v>115</v>
      </c>
    </row>
    <row r="705">
      <c r="A705" s="261" t="s">
        <v>2848</v>
      </c>
      <c r="B705" s="252">
        <f>IF(A705="", "", IF(IFERROR(VLOOKUP(A705, 'Base 3F'!$B:$C, 2, FALSE),"")="", "SIN CUIT", VLOOKUP(A705, 'Base 3F'!$B:$C, 2, FALSE)))</f>
        <v>30710479689</v>
      </c>
      <c r="C705" s="253" t="str">
        <f>IF(A705="", "", IF(IFERROR(VLOOKUP(A705, 'Base 3F'!$B:$J, 9, FALSE),"")="", "SIN RUBRO", VLOOKUP(A705, 'Base 3F'!$B:$J, 9, FALSE)))</f>
        <v>Calzado</v>
      </c>
      <c r="D705" s="58" t="s">
        <v>1008</v>
      </c>
      <c r="E705" s="10" t="s">
        <v>2392</v>
      </c>
      <c r="F705" s="46" t="s">
        <v>115</v>
      </c>
    </row>
    <row r="706">
      <c r="A706" s="261" t="s">
        <v>2990</v>
      </c>
      <c r="B706" s="252">
        <f>IF(A706="", "", IF(IFERROR(VLOOKUP(A706, 'Base 3F'!$B:$C, 2, FALSE),"")="", "SIN CUIT", VLOOKUP(A706, 'Base 3F'!$B:$C, 2, FALSE)))</f>
        <v>30715641492</v>
      </c>
      <c r="C706" s="253" t="str">
        <f>IF(A706="", "", IF(IFERROR(VLOOKUP(A706, 'Base 3F'!$B:$J, 9, FALSE),"")="", "SIN RUBRO", VLOOKUP(A706, 'Base 3F'!$B:$J, 9, FALSE)))</f>
        <v>Bebidas</v>
      </c>
      <c r="D706" s="58" t="s">
        <v>1010</v>
      </c>
      <c r="E706" s="10" t="s">
        <v>2392</v>
      </c>
      <c r="F706" s="46" t="s">
        <v>115</v>
      </c>
    </row>
    <row r="707">
      <c r="A707" s="261" t="s">
        <v>3072</v>
      </c>
      <c r="B707" s="252">
        <f>IF(A707="", "", IF(IFERROR(VLOOKUP(A707, 'Base 3F'!$B:$C, 2, FALSE),"")="", "SIN CUIT", VLOOKUP(A707, 'Base 3F'!$B:$C, 2, FALSE)))</f>
        <v>20235941156</v>
      </c>
      <c r="C707" s="253" t="str">
        <f>IF(A707="", "", IF(IFERROR(VLOOKUP(A707, 'Base 3F'!$B:$J, 9, FALSE),"")="", "SIN RUBRO", VLOOKUP(A707, 'Base 3F'!$B:$J, 9, FALSE)))</f>
        <v>Bebidas</v>
      </c>
      <c r="D707" s="58" t="s">
        <v>4434</v>
      </c>
      <c r="E707" s="10" t="s">
        <v>2392</v>
      </c>
      <c r="F707" s="46" t="s">
        <v>115</v>
      </c>
    </row>
    <row r="708">
      <c r="A708" s="261" t="s">
        <v>4437</v>
      </c>
      <c r="B708" s="252">
        <f>IF(A708="", "", IF(IFERROR(VLOOKUP(A708, 'Base 3F'!$B:$C, 2, FALSE),"")="", "SIN CUIT", VLOOKUP(A708, 'Base 3F'!$B:$C, 2, FALSE)))</f>
        <v>27322240800</v>
      </c>
      <c r="C708" s="253" t="str">
        <f>IF(A708="", "", IF(IFERROR(VLOOKUP(A708, 'Base 3F'!$B:$J, 9, FALSE),"")="", "SIN RUBRO", VLOOKUP(A708, 'Base 3F'!$B:$J, 9, FALSE)))</f>
        <v>Plástica</v>
      </c>
      <c r="D708" s="120" t="s">
        <v>4441</v>
      </c>
      <c r="E708" s="10" t="s">
        <v>2392</v>
      </c>
      <c r="F708" s="46" t="s">
        <v>115</v>
      </c>
    </row>
    <row r="709">
      <c r="A709" s="251" t="s">
        <v>3767</v>
      </c>
      <c r="B709" s="252">
        <f>IF(A709="", "", IF(IFERROR(VLOOKUP(A709, 'Base 3F'!$B:$C, 2, FALSE),"")="", "SIN CUIT", VLOOKUP(A709, 'Base 3F'!$B:$C, 2, FALSE)))</f>
        <v>30701150119</v>
      </c>
      <c r="C709" s="253" t="str">
        <f>IF(A709="", "", IF(IFERROR(VLOOKUP(A709, 'Base 3F'!$B:$J, 9, FALSE),"")="", "SIN RUBRO", VLOOKUP(A709, 'Base 3F'!$B:$J, 9, FALSE)))</f>
        <v>Plástica</v>
      </c>
      <c r="D709" s="58" t="s">
        <v>1037</v>
      </c>
      <c r="E709" s="10" t="s">
        <v>2392</v>
      </c>
      <c r="F709" s="46" t="s">
        <v>115</v>
      </c>
    </row>
    <row r="710">
      <c r="A710" s="258" t="s">
        <v>3770</v>
      </c>
      <c r="B710" s="252">
        <f>IF(A710="", "", IF(IFERROR(VLOOKUP(A710, 'Base 3F'!$B:$C, 2, FALSE),"")="", "SIN CUIT", VLOOKUP(A710, 'Base 3F'!$B:$C, 2, FALSE)))</f>
        <v>20308332323</v>
      </c>
      <c r="C710" s="253" t="str">
        <f>IF(A710="", "", IF(IFERROR(VLOOKUP(A710, 'Base 3F'!$B:$J, 9, FALSE),"")="", "SIN RUBRO", VLOOKUP(A710, 'Base 3F'!$B:$J, 9, FALSE)))</f>
        <v>Metalúrgica</v>
      </c>
      <c r="D710" s="284" t="s">
        <v>4447</v>
      </c>
      <c r="E710" s="10" t="s">
        <v>2392</v>
      </c>
      <c r="F710" s="46" t="s">
        <v>115</v>
      </c>
    </row>
    <row r="711">
      <c r="A711" s="285" t="s">
        <v>123</v>
      </c>
      <c r="B711" s="252" t="str">
        <f>IF(A711="", "", IF(IFERROR(VLOOKUP(A711, 'Base 3F'!$B:$C, 2, FALSE),"")="", "SIN CUIT", VLOOKUP(A711, 'Base 3F'!$B:$C, 2, FALSE)))</f>
        <v>30709328995 | 30710682816</v>
      </c>
      <c r="C711" s="253" t="str">
        <f>IF(A711="", "", IF(IFERROR(VLOOKUP(A711, 'Base 3F'!$B:$J, 9, FALSE),"")="", "SIN RUBRO", VLOOKUP(A711, 'Base 3F'!$B:$J, 9, FALSE)))</f>
        <v>Papel</v>
      </c>
      <c r="D711" s="58" t="s">
        <v>4454</v>
      </c>
      <c r="E711" s="10" t="s">
        <v>2392</v>
      </c>
      <c r="F711" s="46" t="s">
        <v>115</v>
      </c>
      <c r="G711" s="10" t="s">
        <v>4455</v>
      </c>
    </row>
    <row r="712">
      <c r="A712" s="285" t="s">
        <v>312</v>
      </c>
      <c r="B712" s="252">
        <f>IF(A712="", "", IF(IFERROR(VLOOKUP(A712, 'Base 3F'!$B:$C, 2, FALSE),"")="", "SIN CUIT", VLOOKUP(A712, 'Base 3F'!$B:$C, 2, FALSE)))</f>
        <v>30714815179</v>
      </c>
      <c r="C712" s="253" t="str">
        <f>IF(A712="", "", IF(IFERROR(VLOOKUP(A712, 'Base 3F'!$B:$J, 9, FALSE),"")="", "SIN RUBRO", VLOOKUP(A712, 'Base 3F'!$B:$J, 9, FALSE)))</f>
        <v>Química</v>
      </c>
      <c r="D712" s="58" t="s">
        <v>4461</v>
      </c>
      <c r="E712" s="10" t="s">
        <v>2392</v>
      </c>
      <c r="F712" s="46" t="s">
        <v>115</v>
      </c>
    </row>
    <row r="713">
      <c r="A713" s="285" t="s">
        <v>173</v>
      </c>
      <c r="B713" s="252">
        <f>IF(A713="", "", IF(IFERROR(VLOOKUP(A713, 'Base 3F'!$B:$C, 2, FALSE),"")="", "SIN CUIT", VLOOKUP(A713, 'Base 3F'!$B:$C, 2, FALSE)))</f>
        <v>30710393725</v>
      </c>
      <c r="C713" s="253" t="str">
        <f>IF(A713="", "", IF(IFERROR(VLOOKUP(A713, 'Base 3F'!$B:$J, 9, FALSE),"")="", "SIN RUBRO", VLOOKUP(A713, 'Base 3F'!$B:$J, 9, FALSE)))</f>
        <v>Metalúrgica</v>
      </c>
      <c r="D713" s="58" t="s">
        <v>4463</v>
      </c>
      <c r="E713" s="10" t="s">
        <v>2392</v>
      </c>
      <c r="F713" s="46" t="s">
        <v>115</v>
      </c>
    </row>
    <row r="714">
      <c r="A714" s="285" t="s">
        <v>393</v>
      </c>
      <c r="B714" s="252">
        <f>IF(A714="", "", IF(IFERROR(VLOOKUP(A714, 'Base 3F'!$B:$C, 2, FALSE),"")="", "SIN CUIT", VLOOKUP(A714, 'Base 3F'!$B:$C, 2, FALSE)))</f>
        <v>30518263834</v>
      </c>
      <c r="C714" s="253" t="str">
        <f>IF(A714="", "", IF(IFERROR(VLOOKUP(A714, 'Base 3F'!$B:$J, 9, FALSE),"")="", "SIN RUBRO", VLOOKUP(A714, 'Base 3F'!$B:$J, 9, FALSE)))</f>
        <v>Metalúrgica</v>
      </c>
      <c r="D714" s="58" t="s">
        <v>4469</v>
      </c>
      <c r="E714" s="10" t="s">
        <v>2392</v>
      </c>
      <c r="F714" s="46" t="s">
        <v>115</v>
      </c>
    </row>
    <row r="715">
      <c r="A715" s="285" t="s">
        <v>527</v>
      </c>
      <c r="B715" s="252">
        <f>IF(A715="", "", IF(IFERROR(VLOOKUP(A715, 'Base 3F'!$B:$C, 2, FALSE),"")="", "SIN CUIT", VLOOKUP(A715, 'Base 3F'!$B:$C, 2, FALSE)))</f>
        <v>30709992178</v>
      </c>
      <c r="C715" s="253" t="str">
        <f>IF(A715="", "", IF(IFERROR(VLOOKUP(A715, 'Base 3F'!$B:$J, 9, FALSE),"")="", "SIN RUBRO", VLOOKUP(A715, 'Base 3F'!$B:$J, 9, FALSE)))</f>
        <v>Textil</v>
      </c>
      <c r="D715" s="58" t="s">
        <v>4473</v>
      </c>
      <c r="E715" s="10" t="s">
        <v>2392</v>
      </c>
      <c r="F715" s="46" t="s">
        <v>115</v>
      </c>
    </row>
    <row r="716">
      <c r="A716" s="285" t="s">
        <v>561</v>
      </c>
      <c r="B716" s="252">
        <f>IF(A716="", "", IF(IFERROR(VLOOKUP(A716, 'Base 3F'!$B:$C, 2, FALSE),"")="", "SIN CUIT", VLOOKUP(A716, 'Base 3F'!$B:$C, 2, FALSE)))</f>
        <v>30597429130</v>
      </c>
      <c r="C716" s="253" t="str">
        <f>IF(A716="", "", IF(IFERROR(VLOOKUP(A716, 'Base 3F'!$B:$J, 9, FALSE),"")="", "SIN RUBRO", VLOOKUP(A716, 'Base 3F'!$B:$J, 9, FALSE)))</f>
        <v>Plástica</v>
      </c>
      <c r="D716" s="58" t="s">
        <v>4480</v>
      </c>
      <c r="E716" s="10" t="s">
        <v>2392</v>
      </c>
      <c r="F716" s="46" t="s">
        <v>115</v>
      </c>
    </row>
    <row r="717">
      <c r="A717" s="285" t="s">
        <v>605</v>
      </c>
      <c r="B717" s="252">
        <f>IF(A717="", "", IF(IFERROR(VLOOKUP(A717, 'Base 3F'!$B:$C, 2, FALSE),"")="", "SIN CUIT", VLOOKUP(A717, 'Base 3F'!$B:$C, 2, FALSE)))</f>
        <v>30710802552</v>
      </c>
      <c r="C717" s="253" t="str">
        <f>IF(A717="", "", IF(IFERROR(VLOOKUP(A717, 'Base 3F'!$B:$J, 9, FALSE),"")="", "SIN RUBRO", VLOOKUP(A717, 'Base 3F'!$B:$J, 9, FALSE)))</f>
        <v>Construcción</v>
      </c>
      <c r="D717" s="58" t="s">
        <v>4487</v>
      </c>
      <c r="E717" s="10" t="s">
        <v>2392</v>
      </c>
      <c r="F717" s="46" t="s">
        <v>115</v>
      </c>
    </row>
    <row r="718">
      <c r="A718" s="285" t="s">
        <v>216</v>
      </c>
      <c r="B718" s="252">
        <f>IF(A718="", "", IF(IFERROR(VLOOKUP(A718, 'Base 3F'!$B:$C, 2, FALSE),"")="", "SIN CUIT", VLOOKUP(A718, 'Base 3F'!$B:$C, 2, FALSE)))</f>
        <v>20105339330</v>
      </c>
      <c r="C718" s="253" t="str">
        <f>IF(A718="", "", IF(IFERROR(VLOOKUP(A718, 'Base 3F'!$B:$J, 9, FALSE),"")="", "SIN RUBRO", VLOOKUP(A718, 'Base 3F'!$B:$J, 9, FALSE)))</f>
        <v>Metalúrgica</v>
      </c>
      <c r="D718" s="142" t="s">
        <v>4491</v>
      </c>
      <c r="E718" s="10" t="s">
        <v>2392</v>
      </c>
      <c r="F718" s="46" t="s">
        <v>115</v>
      </c>
    </row>
    <row r="719">
      <c r="A719" s="285" t="s">
        <v>659</v>
      </c>
      <c r="B719" s="252">
        <f>IF(A719="", "", IF(IFERROR(VLOOKUP(A719, 'Base 3F'!$B:$C, 2, FALSE),"")="", "SIN CUIT", VLOOKUP(A719, 'Base 3F'!$B:$C, 2, FALSE)))</f>
        <v>30707243844</v>
      </c>
      <c r="C719" s="253" t="str">
        <f>IF(A719="", "", IF(IFERROR(VLOOKUP(A719, 'Base 3F'!$B:$J, 9, FALSE),"")="", "SIN RUBRO", VLOOKUP(A719, 'Base 3F'!$B:$J, 9, FALSE)))</f>
        <v>Metalúrgica</v>
      </c>
      <c r="D719" s="58" t="s">
        <v>4495</v>
      </c>
      <c r="E719" s="10" t="s">
        <v>2392</v>
      </c>
      <c r="F719" s="46" t="s">
        <v>115</v>
      </c>
    </row>
    <row r="720">
      <c r="A720" s="285" t="s">
        <v>693</v>
      </c>
      <c r="B720" s="252">
        <f>IF(A720="", "", IF(IFERROR(VLOOKUP(A720, 'Base 3F'!$B:$C, 2, FALSE),"")="", "SIN CUIT", VLOOKUP(A720, 'Base 3F'!$B:$C, 2, FALSE)))</f>
        <v>33625752499</v>
      </c>
      <c r="C720" s="253" t="str">
        <f>IF(A720="", "", IF(IFERROR(VLOOKUP(A720, 'Base 3F'!$B:$J, 9, FALSE),"")="", "SIN RUBRO", VLOOKUP(A720, 'Base 3F'!$B:$J, 9, FALSE)))</f>
        <v>Química</v>
      </c>
      <c r="D720" s="58" t="s">
        <v>4499</v>
      </c>
      <c r="E720" s="10" t="s">
        <v>2392</v>
      </c>
      <c r="F720" s="46" t="s">
        <v>115</v>
      </c>
    </row>
    <row r="721">
      <c r="A721" s="285" t="s">
        <v>738</v>
      </c>
      <c r="B721" s="252">
        <f>IF(A721="", "", IF(IFERROR(VLOOKUP(A721, 'Base 3F'!$B:$C, 2, FALSE),"")="", "SIN CUIT", VLOOKUP(A721, 'Base 3F'!$B:$C, 2, FALSE)))</f>
        <v>30632566448</v>
      </c>
      <c r="C721" s="253" t="str">
        <f>IF(A721="", "", IF(IFERROR(VLOOKUP(A721, 'Base 3F'!$B:$J, 9, FALSE),"")="", "SIN RUBRO", VLOOKUP(A721, 'Base 3F'!$B:$J, 9, FALSE)))</f>
        <v>Cuero</v>
      </c>
      <c r="D721" s="58" t="s">
        <v>4507</v>
      </c>
      <c r="E721" s="10" t="s">
        <v>2392</v>
      </c>
      <c r="F721" s="46" t="s">
        <v>115</v>
      </c>
    </row>
    <row r="722">
      <c r="A722" s="285" t="s">
        <v>765</v>
      </c>
      <c r="B722" s="252">
        <f>IF(A722="", "", IF(IFERROR(VLOOKUP(A722, 'Base 3F'!$B:$C, 2, FALSE),"")="", "SIN CUIT", VLOOKUP(A722, 'Base 3F'!$B:$C, 2, FALSE)))</f>
        <v>27162030618</v>
      </c>
      <c r="C722" s="253" t="str">
        <f>IF(A722="", "", IF(IFERROR(VLOOKUP(A722, 'Base 3F'!$B:$J, 9, FALSE),"")="", "SIN RUBRO", VLOOKUP(A722, 'Base 3F'!$B:$J, 9, FALSE)))</f>
        <v>Construcción</v>
      </c>
      <c r="D722" s="142" t="s">
        <v>4510</v>
      </c>
      <c r="E722" s="10" t="s">
        <v>2392</v>
      </c>
      <c r="F722" s="46" t="s">
        <v>115</v>
      </c>
    </row>
    <row r="723">
      <c r="A723" s="285" t="s">
        <v>257</v>
      </c>
      <c r="B723" s="252">
        <f>IF(A723="", "", IF(IFERROR(VLOOKUP(A723, 'Base 3F'!$B:$C, 2, FALSE),"")="", "SIN CUIT", VLOOKUP(A723, 'Base 3F'!$B:$C, 2, FALSE)))</f>
        <v>30707576444</v>
      </c>
      <c r="C723" s="253" t="str">
        <f>IF(A723="", "", IF(IFERROR(VLOOKUP(A723, 'Base 3F'!$B:$J, 9, FALSE),"")="", "SIN RUBRO", VLOOKUP(A723, 'Base 3F'!$B:$J, 9, FALSE)))</f>
        <v>Metalúrgica</v>
      </c>
      <c r="D723" s="58" t="s">
        <v>4514</v>
      </c>
      <c r="E723" s="10" t="s">
        <v>2392</v>
      </c>
      <c r="F723" s="46" t="s">
        <v>115</v>
      </c>
    </row>
    <row r="724">
      <c r="A724" s="285" t="s">
        <v>891</v>
      </c>
      <c r="B724" s="252">
        <f>IF(A724="", "", IF(IFERROR(VLOOKUP(A724, 'Base 3F'!$B:$C, 2, FALSE),"")="", "SIN CUIT", VLOOKUP(A724, 'Base 3F'!$B:$C, 2, FALSE)))</f>
        <v>30711724997</v>
      </c>
      <c r="C724" s="253" t="str">
        <f>IF(A724="", "", IF(IFERROR(VLOOKUP(A724, 'Base 3F'!$B:$J, 9, FALSE),"")="", "SIN RUBRO", VLOOKUP(A724, 'Base 3F'!$B:$J, 9, FALSE)))</f>
        <v>Metalúrgica</v>
      </c>
      <c r="D724" s="58" t="s">
        <v>4521</v>
      </c>
      <c r="E724" s="10" t="s">
        <v>2392</v>
      </c>
      <c r="F724" s="46" t="s">
        <v>115</v>
      </c>
    </row>
    <row r="725">
      <c r="A725" s="285" t="s">
        <v>311</v>
      </c>
      <c r="B725" s="252">
        <f>IF(A725="", "", IF(IFERROR(VLOOKUP(A725, 'Base 3F'!$B:$C, 2, FALSE),"")="", "SIN CUIT", VLOOKUP(A725, 'Base 3F'!$B:$C, 2, FALSE)))</f>
        <v>30708161272</v>
      </c>
      <c r="C725" s="253" t="str">
        <f>IF(A725="", "", IF(IFERROR(VLOOKUP(A725, 'Base 3F'!$B:$J, 9, FALSE),"")="", "SIN RUBRO", VLOOKUP(A725, 'Base 3F'!$B:$J, 9, FALSE)))</f>
        <v>Metalúrgica</v>
      </c>
      <c r="D725" s="58" t="s">
        <v>4522</v>
      </c>
      <c r="E725" s="10" t="s">
        <v>2392</v>
      </c>
      <c r="F725" s="46" t="s">
        <v>115</v>
      </c>
    </row>
    <row r="726">
      <c r="A726" s="285" t="s">
        <v>339</v>
      </c>
      <c r="B726" s="252">
        <f>IF(A726="", "", IF(IFERROR(VLOOKUP(A726, 'Base 3F'!$B:$C, 2, FALSE),"")="", "SIN CUIT", VLOOKUP(A726, 'Base 3F'!$B:$C, 2, FALSE)))</f>
        <v>30584398694</v>
      </c>
      <c r="C726" s="253" t="str">
        <f>IF(A726="", "", IF(IFERROR(VLOOKUP(A726, 'Base 3F'!$B:$J, 9, FALSE),"")="", "SIN RUBRO", VLOOKUP(A726, 'Base 3F'!$B:$J, 9, FALSE)))</f>
        <v>Metalúrgica</v>
      </c>
      <c r="D726" s="58" t="s">
        <v>4529</v>
      </c>
      <c r="E726" s="10" t="s">
        <v>2392</v>
      </c>
      <c r="F726" s="46" t="s">
        <v>115</v>
      </c>
    </row>
    <row r="727">
      <c r="A727" s="285" t="s">
        <v>365</v>
      </c>
      <c r="B727" s="252">
        <f>IF(A727="", "", IF(IFERROR(VLOOKUP(A727, 'Base 3F'!$B:$C, 2, FALSE),"")="", "SIN CUIT", VLOOKUP(A727, 'Base 3F'!$B:$C, 2, FALSE)))</f>
        <v>33708320159</v>
      </c>
      <c r="C727" s="253" t="str">
        <f>IF(A727="", "", IF(IFERROR(VLOOKUP(A727, 'Base 3F'!$B:$J, 9, FALSE),"")="", "SIN RUBRO", VLOOKUP(A727, 'Base 3F'!$B:$J, 9, FALSE)))</f>
        <v>Alimenticia</v>
      </c>
      <c r="D727" s="58" t="s">
        <v>4531</v>
      </c>
      <c r="E727" s="10" t="s">
        <v>2392</v>
      </c>
      <c r="F727" s="46" t="s">
        <v>115</v>
      </c>
    </row>
    <row r="728">
      <c r="A728" s="285" t="s">
        <v>1117</v>
      </c>
      <c r="B728" s="252">
        <f>IF(A728="", "", IF(IFERROR(VLOOKUP(A728, 'Base 3F'!$B:$C, 2, FALSE),"")="", "SIN CUIT", VLOOKUP(A728, 'Base 3F'!$B:$C, 2, FALSE)))</f>
        <v>30502185787</v>
      </c>
      <c r="C728" s="253" t="str">
        <f>IF(A728="", "", IF(IFERROR(VLOOKUP(A728, 'Base 3F'!$B:$J, 9, FALSE),"")="", "SIN RUBRO", VLOOKUP(A728, 'Base 3F'!$B:$J, 9, FALSE)))</f>
        <v>Metalúrgica</v>
      </c>
      <c r="D728" s="58" t="s">
        <v>4538</v>
      </c>
      <c r="E728" s="10" t="s">
        <v>2392</v>
      </c>
      <c r="F728" s="46" t="s">
        <v>115</v>
      </c>
    </row>
    <row r="729">
      <c r="A729" s="285" t="s">
        <v>1141</v>
      </c>
      <c r="B729" s="252">
        <f>IF(A729="", "", IF(IFERROR(VLOOKUP(A729, 'Base 3F'!$B:$C, 2, FALSE),"")="", "SIN CUIT", VLOOKUP(A729, 'Base 3F'!$B:$C, 2, FALSE)))</f>
        <v>30714362409</v>
      </c>
      <c r="C729" s="253" t="str">
        <f>IF(A729="", "", IF(IFERROR(VLOOKUP(A729, 'Base 3F'!$B:$J, 9, FALSE),"")="", "SIN RUBRO", VLOOKUP(A729, 'Base 3F'!$B:$J, 9, FALSE)))</f>
        <v>Plástica</v>
      </c>
      <c r="D729" s="58" t="s">
        <v>4542</v>
      </c>
      <c r="E729" s="10" t="s">
        <v>2392</v>
      </c>
      <c r="F729" s="46" t="s">
        <v>115</v>
      </c>
    </row>
    <row r="730">
      <c r="A730" s="285" t="s">
        <v>390</v>
      </c>
      <c r="B730" s="252">
        <f>IF(A730="", "", IF(IFERROR(VLOOKUP(A730, 'Base 3F'!$B:$C, 2, FALSE),"")="", "SIN CUIT", VLOOKUP(A730, 'Base 3F'!$B:$C, 2, FALSE)))</f>
        <v>30708354011</v>
      </c>
      <c r="C730" s="253" t="str">
        <f>IF(A730="", "", IF(IFERROR(VLOOKUP(A730, 'Base 3F'!$B:$J, 9, FALSE),"")="", "SIN RUBRO", VLOOKUP(A730, 'Base 3F'!$B:$J, 9, FALSE)))</f>
        <v>Química</v>
      </c>
      <c r="D730" s="58" t="s">
        <v>4544</v>
      </c>
      <c r="E730" s="10" t="s">
        <v>2392</v>
      </c>
      <c r="F730" s="46" t="s">
        <v>115</v>
      </c>
    </row>
    <row r="731">
      <c r="A731" s="285" t="s">
        <v>1168</v>
      </c>
      <c r="B731" s="252">
        <f>IF(A731="", "", IF(IFERROR(VLOOKUP(A731, 'Base 3F'!$B:$C, 2, FALSE),"")="", "SIN CUIT", VLOOKUP(A731, 'Base 3F'!$B:$C, 2, FALSE)))</f>
        <v>30715841106</v>
      </c>
      <c r="C731" s="253" t="str">
        <f>IF(A731="", "", IF(IFERROR(VLOOKUP(A731, 'Base 3F'!$B:$J, 9, FALSE),"")="", "SIN RUBRO", VLOOKUP(A731, 'Base 3F'!$B:$J, 9, FALSE)))</f>
        <v>Plástica</v>
      </c>
      <c r="D731" s="58" t="s">
        <v>4549</v>
      </c>
      <c r="E731" s="10" t="s">
        <v>2392</v>
      </c>
      <c r="F731" s="46" t="s">
        <v>115</v>
      </c>
    </row>
    <row r="732">
      <c r="A732" s="285" t="s">
        <v>417</v>
      </c>
      <c r="B732" s="252">
        <f>IF(A732="", "", IF(IFERROR(VLOOKUP(A732, 'Base 3F'!$B:$C, 2, FALSE),"")="", "SIN CUIT", VLOOKUP(A732, 'Base 3F'!$B:$C, 2, FALSE)))</f>
        <v>20262813720</v>
      </c>
      <c r="C732" s="253" t="str">
        <f>IF(A732="", "", IF(IFERROR(VLOOKUP(A732, 'Base 3F'!$B:$J, 9, FALSE),"")="", "SIN RUBRO", VLOOKUP(A732, 'Base 3F'!$B:$J, 9, FALSE)))</f>
        <v>Plástica</v>
      </c>
      <c r="D732" s="58" t="s">
        <v>4553</v>
      </c>
      <c r="E732" s="10" t="s">
        <v>2392</v>
      </c>
      <c r="F732" s="46" t="s">
        <v>115</v>
      </c>
    </row>
    <row r="733">
      <c r="A733" s="285" t="s">
        <v>1184</v>
      </c>
      <c r="B733" s="252">
        <f>IF(A733="", "", IF(IFERROR(VLOOKUP(A733, 'Base 3F'!$B:$C, 2, FALSE),"")="", "SIN CUIT", VLOOKUP(A733, 'Base 3F'!$B:$C, 2, FALSE)))</f>
        <v>33708183909</v>
      </c>
      <c r="C733" s="253" t="str">
        <f>IF(A733="", "", IF(IFERROR(VLOOKUP(A733, 'Base 3F'!$B:$J, 9, FALSE),"")="", "SIN RUBRO", VLOOKUP(A733, 'Base 3F'!$B:$J, 9, FALSE)))</f>
        <v>Caucho</v>
      </c>
      <c r="D733" s="58" t="s">
        <v>4562</v>
      </c>
      <c r="E733" s="10" t="s">
        <v>2392</v>
      </c>
      <c r="F733" s="46" t="s">
        <v>115</v>
      </c>
    </row>
    <row r="734">
      <c r="A734" s="285" t="s">
        <v>444</v>
      </c>
      <c r="B734" s="252">
        <f>IF(A734="", "", IF(IFERROR(VLOOKUP(A734, 'Base 3F'!$B:$C, 2, FALSE),"")="", "SIN CUIT", VLOOKUP(A734, 'Base 3F'!$B:$C, 2, FALSE)))</f>
        <v>30712300023</v>
      </c>
      <c r="C734" s="253" t="str">
        <f>IF(A734="", "", IF(IFERROR(VLOOKUP(A734, 'Base 3F'!$B:$J, 9, FALSE),"")="", "SIN RUBRO", VLOOKUP(A734, 'Base 3F'!$B:$J, 9, FALSE)))</f>
        <v>Metalmecánica</v>
      </c>
      <c r="D734" s="58" t="s">
        <v>814</v>
      </c>
      <c r="E734" s="10" t="s">
        <v>2392</v>
      </c>
      <c r="F734" s="46" t="s">
        <v>115</v>
      </c>
    </row>
    <row r="735">
      <c r="A735" s="285" t="s">
        <v>1209</v>
      </c>
      <c r="B735" s="252">
        <f>IF(A735="", "", IF(IFERROR(VLOOKUP(A735, 'Base 3F'!$B:$C, 2, FALSE),"")="", "SIN CUIT", VLOOKUP(A735, 'Base 3F'!$B:$C, 2, FALSE)))</f>
        <v>23229314629</v>
      </c>
      <c r="C735" s="253" t="str">
        <f>IF(A735="", "", IF(IFERROR(VLOOKUP(A735, 'Base 3F'!$B:$J, 9, FALSE),"")="", "SIN RUBRO", VLOOKUP(A735, 'Base 3F'!$B:$J, 9, FALSE)))</f>
        <v>Metalúrgica</v>
      </c>
      <c r="D735" s="58" t="s">
        <v>4570</v>
      </c>
      <c r="E735" s="10" t="s">
        <v>2392</v>
      </c>
      <c r="F735" s="46" t="s">
        <v>115</v>
      </c>
    </row>
    <row r="736">
      <c r="A736" s="285" t="s">
        <v>1211</v>
      </c>
      <c r="B736" s="252">
        <f>IF(A736="", "", IF(IFERROR(VLOOKUP(A736, 'Base 3F'!$B:$C, 2, FALSE),"")="", "SIN CUIT", VLOOKUP(A736, 'Base 3F'!$B:$C, 2, FALSE)))</f>
        <v>30548270622</v>
      </c>
      <c r="C736" s="253" t="str">
        <f>IF(A736="", "", IF(IFERROR(VLOOKUP(A736, 'Base 3F'!$B:$J, 9, FALSE),"")="", "SIN RUBRO", VLOOKUP(A736, 'Base 3F'!$B:$J, 9, FALSE)))</f>
        <v>Papel</v>
      </c>
      <c r="D736" s="58" t="s">
        <v>4576</v>
      </c>
      <c r="E736" s="10" t="s">
        <v>2392</v>
      </c>
      <c r="F736" s="46" t="s">
        <v>115</v>
      </c>
    </row>
    <row r="737">
      <c r="A737" s="285" t="s">
        <v>470</v>
      </c>
      <c r="B737" s="252">
        <f>IF(A737="", "", IF(IFERROR(VLOOKUP(A737, 'Base 3F'!$B:$C, 2, FALSE),"")="", "SIN CUIT", VLOOKUP(A737, 'Base 3F'!$B:$C, 2, FALSE)))</f>
        <v>33646972979</v>
      </c>
      <c r="C737" s="253" t="str">
        <f>IF(A737="", "", IF(IFERROR(VLOOKUP(A737, 'Base 3F'!$B:$J, 9, FALSE),"")="", "SIN RUBRO", VLOOKUP(A737, 'Base 3F'!$B:$J, 9, FALSE)))</f>
        <v>Textil</v>
      </c>
      <c r="D737" s="58" t="s">
        <v>4582</v>
      </c>
      <c r="E737" s="10" t="s">
        <v>2392</v>
      </c>
      <c r="F737" s="46" t="s">
        <v>115</v>
      </c>
    </row>
    <row r="738">
      <c r="A738" s="285" t="s">
        <v>1254</v>
      </c>
      <c r="B738" s="252">
        <f>IF(A738="", "", IF(IFERROR(VLOOKUP(A738, 'Base 3F'!$B:$C, 2, FALSE),"")="", "SIN CUIT", VLOOKUP(A738, 'Base 3F'!$B:$C, 2, FALSE)))</f>
        <v>30595980425</v>
      </c>
      <c r="C738" s="253" t="str">
        <f>IF(A738="", "", IF(IFERROR(VLOOKUP(A738, 'Base 3F'!$B:$J, 9, FALSE),"")="", "SIN RUBRO", VLOOKUP(A738, 'Base 3F'!$B:$J, 9, FALSE)))</f>
        <v>Metalúrgica</v>
      </c>
      <c r="D738" s="58" t="s">
        <v>4586</v>
      </c>
      <c r="E738" s="10" t="s">
        <v>2392</v>
      </c>
      <c r="F738" s="46" t="s">
        <v>115</v>
      </c>
    </row>
    <row r="739">
      <c r="A739" s="285" t="s">
        <v>1263</v>
      </c>
      <c r="B739" s="252">
        <f>IF(A739="", "", IF(IFERROR(VLOOKUP(A739, 'Base 3F'!$B:$C, 2, FALSE),"")="", "SIN CUIT", VLOOKUP(A739, 'Base 3F'!$B:$C, 2, FALSE)))</f>
        <v>30711925100</v>
      </c>
      <c r="C739" s="253" t="str">
        <f>IF(A739="", "", IF(IFERROR(VLOOKUP(A739, 'Base 3F'!$B:$J, 9, FALSE),"")="", "SIN RUBRO", VLOOKUP(A739, 'Base 3F'!$B:$J, 9, FALSE)))</f>
        <v>Construcción</v>
      </c>
      <c r="D739" s="58" t="s">
        <v>4588</v>
      </c>
      <c r="E739" s="10" t="s">
        <v>2392</v>
      </c>
      <c r="F739" s="46" t="s">
        <v>115</v>
      </c>
    </row>
    <row r="740">
      <c r="A740" s="285" t="s">
        <v>1268</v>
      </c>
      <c r="B740" s="252">
        <f>IF(A740="", "", IF(IFERROR(VLOOKUP(A740, 'Base 3F'!$B:$C, 2, FALSE),"")="", "SIN CUIT", VLOOKUP(A740, 'Base 3F'!$B:$C, 2, FALSE)))</f>
        <v>33709956669</v>
      </c>
      <c r="C740" s="253" t="str">
        <f>IF(A740="", "", IF(IFERROR(VLOOKUP(A740, 'Base 3F'!$B:$J, 9, FALSE),"")="", "SIN RUBRO", VLOOKUP(A740, 'Base 3F'!$B:$J, 9, FALSE)))</f>
        <v>Metalúrgica</v>
      </c>
      <c r="D740" s="58" t="s">
        <v>4593</v>
      </c>
      <c r="E740" s="10" t="s">
        <v>2392</v>
      </c>
      <c r="F740" s="46" t="s">
        <v>115</v>
      </c>
    </row>
    <row r="741">
      <c r="A741" s="285" t="s">
        <v>1276</v>
      </c>
      <c r="B741" s="252">
        <f>IF(A741="", "", IF(IFERROR(VLOOKUP(A741, 'Base 3F'!$B:$C, 2, FALSE),"")="", "SIN CUIT", VLOOKUP(A741, 'Base 3F'!$B:$C, 2, FALSE)))</f>
        <v>30710612214</v>
      </c>
      <c r="C741" s="253" t="str">
        <f>IF(A741="", "", IF(IFERROR(VLOOKUP(A741, 'Base 3F'!$B:$J, 9, FALSE),"")="", "SIN RUBRO", VLOOKUP(A741, 'Base 3F'!$B:$J, 9, FALSE)))</f>
        <v>Metalúrgica</v>
      </c>
      <c r="D741" s="58" t="s">
        <v>4596</v>
      </c>
      <c r="E741" s="10" t="s">
        <v>2392</v>
      </c>
      <c r="F741" s="46" t="s">
        <v>115</v>
      </c>
    </row>
    <row r="742">
      <c r="A742" s="285" t="s">
        <v>494</v>
      </c>
      <c r="B742" s="252">
        <f>IF(A742="", "", IF(IFERROR(VLOOKUP(A742, 'Base 3F'!$B:$C, 2, FALSE),"")="", "SIN CUIT", VLOOKUP(A742, 'Base 3F'!$B:$C, 2, FALSE)))</f>
        <v>30647279909</v>
      </c>
      <c r="C742" s="253" t="str">
        <f>IF(A742="", "", IF(IFERROR(VLOOKUP(A742, 'Base 3F'!$B:$J, 9, FALSE),"")="", "SIN RUBRO", VLOOKUP(A742, 'Base 3F'!$B:$J, 9, FALSE)))</f>
        <v>Metalúrgica</v>
      </c>
      <c r="D742" s="58" t="s">
        <v>4600</v>
      </c>
      <c r="E742" s="10" t="s">
        <v>2392</v>
      </c>
      <c r="F742" s="46" t="s">
        <v>115</v>
      </c>
    </row>
    <row r="743">
      <c r="A743" s="285" t="s">
        <v>1306</v>
      </c>
      <c r="B743" s="252">
        <f>IF(A743="", "", IF(IFERROR(VLOOKUP(A743, 'Base 3F'!$B:$C, 2, FALSE),"")="", "SIN CUIT", VLOOKUP(A743, 'Base 3F'!$B:$C, 2, FALSE)))</f>
        <v>30663767700</v>
      </c>
      <c r="C743" s="253" t="str">
        <f>IF(A743="", "", IF(IFERROR(VLOOKUP(A743, 'Base 3F'!$B:$J, 9, FALSE),"")="", "SIN RUBRO", VLOOKUP(A743, 'Base 3F'!$B:$J, 9, FALSE)))</f>
        <v>Metalúrgica</v>
      </c>
      <c r="D743" s="58" t="s">
        <v>4607</v>
      </c>
      <c r="E743" s="10" t="s">
        <v>2392</v>
      </c>
      <c r="F743" s="46" t="s">
        <v>115</v>
      </c>
    </row>
    <row r="744">
      <c r="A744" s="285" t="s">
        <v>1313</v>
      </c>
      <c r="B744" s="252">
        <f>IF(A744="", "", IF(IFERROR(VLOOKUP(A744, 'Base 3F'!$B:$C, 2, FALSE),"")="", "SIN CUIT", VLOOKUP(A744, 'Base 3F'!$B:$C, 2, FALSE)))</f>
        <v>33712087949</v>
      </c>
      <c r="C744" s="253" t="str">
        <f>IF(A744="", "", IF(IFERROR(VLOOKUP(A744, 'Base 3F'!$B:$J, 9, FALSE),"")="", "SIN RUBRO", VLOOKUP(A744, 'Base 3F'!$B:$J, 9, FALSE)))</f>
        <v>Alimenticia</v>
      </c>
      <c r="D744" s="58" t="s">
        <v>4612</v>
      </c>
      <c r="E744" s="10" t="s">
        <v>2392</v>
      </c>
      <c r="F744" s="46" t="s">
        <v>115</v>
      </c>
    </row>
    <row r="745">
      <c r="A745" s="285" t="s">
        <v>1322</v>
      </c>
      <c r="B745" s="252">
        <f>IF(A745="", "", IF(IFERROR(VLOOKUP(A745, 'Base 3F'!$B:$C, 2, FALSE),"")="", "SIN CUIT", VLOOKUP(A745, 'Base 3F'!$B:$C, 2, FALSE)))</f>
        <v>30712203338</v>
      </c>
      <c r="C745" s="253" t="str">
        <f>IF(A745="", "", IF(IFERROR(VLOOKUP(A745, 'Base 3F'!$B:$J, 9, FALSE),"")="", "SIN RUBRO", VLOOKUP(A745, 'Base 3F'!$B:$J, 9, FALSE)))</f>
        <v>Metalúrgica</v>
      </c>
      <c r="D745" s="58" t="s">
        <v>4617</v>
      </c>
      <c r="E745" s="10" t="s">
        <v>2392</v>
      </c>
      <c r="F745" s="46" t="s">
        <v>115</v>
      </c>
    </row>
    <row r="746">
      <c r="A746" s="285" t="s">
        <v>529</v>
      </c>
      <c r="B746" s="252">
        <f>IF(A746="", "", IF(IFERROR(VLOOKUP(A746, 'Base 3F'!$B:$C, 2, FALSE),"")="", "SIN CUIT", VLOOKUP(A746, 'Base 3F'!$B:$C, 2, FALSE)))</f>
        <v>30709636991</v>
      </c>
      <c r="C746" s="253" t="str">
        <f>IF(A746="", "", IF(IFERROR(VLOOKUP(A746, 'Base 3F'!$B:$J, 9, FALSE),"")="", "SIN RUBRO", VLOOKUP(A746, 'Base 3F'!$B:$J, 9, FALSE)))</f>
        <v>Metalúrgica</v>
      </c>
      <c r="D746" s="58" t="s">
        <v>4624</v>
      </c>
      <c r="E746" s="10" t="s">
        <v>2392</v>
      </c>
      <c r="F746" s="46" t="s">
        <v>115</v>
      </c>
    </row>
    <row r="747">
      <c r="A747" s="285" t="s">
        <v>585</v>
      </c>
      <c r="B747" s="252">
        <f>IF(A747="", "", IF(IFERROR(VLOOKUP(A747, 'Base 3F'!$B:$C, 2, FALSE),"")="", "SIN CUIT", VLOOKUP(A747, 'Base 3F'!$B:$C, 2, FALSE)))</f>
        <v>30714502367</v>
      </c>
      <c r="C747" s="253" t="str">
        <f>IF(A747="", "", IF(IFERROR(VLOOKUP(A747, 'Base 3F'!$B:$J, 9, FALSE),"")="", "SIN RUBRO", VLOOKUP(A747, 'Base 3F'!$B:$J, 9, FALSE)))</f>
        <v>Alimenticia</v>
      </c>
      <c r="D747" s="58" t="s">
        <v>4627</v>
      </c>
      <c r="E747" s="10" t="s">
        <v>2392</v>
      </c>
      <c r="F747" s="46" t="s">
        <v>115</v>
      </c>
    </row>
    <row r="748">
      <c r="A748" s="285" t="s">
        <v>1375</v>
      </c>
      <c r="B748" s="252">
        <f>IF(A748="", "", IF(IFERROR(VLOOKUP(A748, 'Base 3F'!$B:$C, 2, FALSE),"")="", "SIN CUIT", VLOOKUP(A748, 'Base 3F'!$B:$C, 2, FALSE)))</f>
        <v>30708664762</v>
      </c>
      <c r="C748" s="253" t="str">
        <f>IF(A748="", "", IF(IFERROR(VLOOKUP(A748, 'Base 3F'!$B:$J, 9, FALSE),"")="", "SIN RUBRO", VLOOKUP(A748, 'Base 3F'!$B:$J, 9, FALSE)))</f>
        <v>Alimenticia</v>
      </c>
      <c r="D748" s="58" t="s">
        <v>4636</v>
      </c>
      <c r="E748" s="10" t="s">
        <v>2392</v>
      </c>
      <c r="F748" s="46" t="s">
        <v>115</v>
      </c>
    </row>
    <row r="749">
      <c r="A749" s="285" t="s">
        <v>616</v>
      </c>
      <c r="B749" s="252">
        <f>IF(A749="", "", IF(IFERROR(VLOOKUP(A749, 'Base 3F'!$B:$C, 2, FALSE),"")="", "SIN CUIT", VLOOKUP(A749, 'Base 3F'!$B:$C, 2, FALSE)))</f>
        <v>30661450602</v>
      </c>
      <c r="C749" s="253" t="str">
        <f>IF(A749="", "", IF(IFERROR(VLOOKUP(A749, 'Base 3F'!$B:$J, 9, FALSE),"")="", "SIN RUBRO", VLOOKUP(A749, 'Base 3F'!$B:$J, 9, FALSE)))</f>
        <v>Alimenticia</v>
      </c>
      <c r="D749" s="58" t="s">
        <v>4644</v>
      </c>
      <c r="E749" s="10" t="s">
        <v>2392</v>
      </c>
      <c r="F749" s="46" t="s">
        <v>115</v>
      </c>
    </row>
    <row r="750">
      <c r="A750" s="285" t="s">
        <v>643</v>
      </c>
      <c r="B750" s="252">
        <f>IF(A750="", "", IF(IFERROR(VLOOKUP(A750, 'Base 3F'!$B:$C, 2, FALSE),"")="", "SIN CUIT", VLOOKUP(A750, 'Base 3F'!$B:$C, 2, FALSE)))</f>
        <v>30583370028</v>
      </c>
      <c r="C750" s="253" t="str">
        <f>IF(A750="", "", IF(IFERROR(VLOOKUP(A750, 'Base 3F'!$B:$J, 9, FALSE),"")="", "SIN RUBRO", VLOOKUP(A750, 'Base 3F'!$B:$J, 9, FALSE)))</f>
        <v>Alimenticia</v>
      </c>
      <c r="D750" s="58" t="s">
        <v>4645</v>
      </c>
      <c r="E750" s="10" t="s">
        <v>2392</v>
      </c>
      <c r="F750" s="46" t="s">
        <v>115</v>
      </c>
    </row>
    <row r="751">
      <c r="A751" s="285" t="s">
        <v>1402</v>
      </c>
      <c r="B751" s="252">
        <f>IF(A751="", "", IF(IFERROR(VLOOKUP(A751, 'Base 3F'!$B:$C, 2, FALSE),"")="", "SIN CUIT", VLOOKUP(A751, 'Base 3F'!$B:$C, 2, FALSE)))</f>
        <v>30710162669</v>
      </c>
      <c r="C751" s="253" t="str">
        <f>IF(A751="", "", IF(IFERROR(VLOOKUP(A751, 'Base 3F'!$B:$J, 9, FALSE),"")="", "SIN RUBRO", VLOOKUP(A751, 'Base 3F'!$B:$J, 9, FALSE)))</f>
        <v>Alimenticia</v>
      </c>
      <c r="D751" s="58" t="s">
        <v>4653</v>
      </c>
      <c r="E751" s="10" t="s">
        <v>2392</v>
      </c>
      <c r="F751" s="46" t="s">
        <v>115</v>
      </c>
    </row>
    <row r="752">
      <c r="A752" s="285" t="s">
        <v>1413</v>
      </c>
      <c r="B752" s="252">
        <f>IF(A752="", "", IF(IFERROR(VLOOKUP(A752, 'Base 3F'!$B:$C, 2, FALSE),"")="", "SIN CUIT", VLOOKUP(A752, 'Base 3F'!$B:$C, 2, FALSE)))</f>
        <v>30711417776</v>
      </c>
      <c r="C752" s="253" t="str">
        <f>IF(A752="", "", IF(IFERROR(VLOOKUP(A752, 'Base 3F'!$B:$J, 9, FALSE),"")="", "SIN RUBRO", VLOOKUP(A752, 'Base 3F'!$B:$J, 9, FALSE)))</f>
        <v>Papel</v>
      </c>
      <c r="D752" s="58" t="s">
        <v>4657</v>
      </c>
      <c r="E752" s="10" t="s">
        <v>2392</v>
      </c>
      <c r="F752" s="46" t="s">
        <v>115</v>
      </c>
    </row>
    <row r="753">
      <c r="A753" s="285" t="s">
        <v>672</v>
      </c>
      <c r="B753" s="252">
        <f>IF(A753="", "", IF(IFERROR(VLOOKUP(A753, 'Base 3F'!$B:$C, 2, FALSE),"")="", "SIN CUIT", VLOOKUP(A753, 'Base 3F'!$B:$C, 2, FALSE)))</f>
        <v>30711181551</v>
      </c>
      <c r="C753" s="253" t="str">
        <f>IF(A753="", "", IF(IFERROR(VLOOKUP(A753, 'Base 3F'!$B:$J, 9, FALSE),"")="", "SIN RUBRO", VLOOKUP(A753, 'Base 3F'!$B:$J, 9, FALSE)))</f>
        <v>Metalúrgica</v>
      </c>
      <c r="D753" s="58" t="s">
        <v>4662</v>
      </c>
      <c r="E753" s="10" t="s">
        <v>2392</v>
      </c>
      <c r="F753" s="46" t="s">
        <v>115</v>
      </c>
    </row>
    <row r="754">
      <c r="A754" s="285" t="s">
        <v>1448</v>
      </c>
      <c r="B754" s="252">
        <f>IF(A754="", "", IF(IFERROR(VLOOKUP(A754, 'Base 3F'!$B:$C, 2, FALSE),"")="", "SIN CUIT", VLOOKUP(A754, 'Base 3F'!$B:$C, 2, FALSE)))</f>
        <v>20253587718</v>
      </c>
      <c r="C754" s="253" t="str">
        <f>IF(A754="", "", IF(IFERROR(VLOOKUP(A754, 'Base 3F'!$B:$J, 9, FALSE),"")="", "SIN RUBRO", VLOOKUP(A754, 'Base 3F'!$B:$J, 9, FALSE)))</f>
        <v>Metalmecánica</v>
      </c>
      <c r="D754" s="58" t="s">
        <v>4664</v>
      </c>
      <c r="E754" s="10" t="s">
        <v>2392</v>
      </c>
      <c r="F754" s="46" t="s">
        <v>115</v>
      </c>
    </row>
    <row r="755">
      <c r="A755" s="285" t="s">
        <v>1453</v>
      </c>
      <c r="B755" s="252">
        <f>IF(A755="", "", IF(IFERROR(VLOOKUP(A755, 'Base 3F'!$B:$C, 2, FALSE),"")="", "SIN CUIT", VLOOKUP(A755, 'Base 3F'!$B:$C, 2, FALSE)))</f>
        <v>30503248405</v>
      </c>
      <c r="C755" s="253" t="str">
        <f>IF(A755="", "", IF(IFERROR(VLOOKUP(A755, 'Base 3F'!$B:$J, 9, FALSE),"")="", "SIN RUBRO", VLOOKUP(A755, 'Base 3F'!$B:$J, 9, FALSE)))</f>
        <v>Metalúrgica</v>
      </c>
      <c r="D755" s="58" t="s">
        <v>4668</v>
      </c>
      <c r="E755" s="10" t="s">
        <v>2392</v>
      </c>
      <c r="F755" s="46" t="s">
        <v>115</v>
      </c>
    </row>
    <row r="756">
      <c r="A756" s="285" t="s">
        <v>1479</v>
      </c>
      <c r="B756" s="252">
        <f>IF(A756="", "", IF(IFERROR(VLOOKUP(A756, 'Base 3F'!$B:$C, 2, FALSE),"")="", "SIN CUIT", VLOOKUP(A756, 'Base 3F'!$B:$C, 2, FALSE)))</f>
        <v>30568774783</v>
      </c>
      <c r="C756" s="253" t="str">
        <f>IF(A756="", "", IF(IFERROR(VLOOKUP(A756, 'Base 3F'!$B:$J, 9, FALSE),"")="", "SIN RUBRO", VLOOKUP(A756, 'Base 3F'!$B:$J, 9, FALSE)))</f>
        <v>Metalúrgica</v>
      </c>
      <c r="D756" s="58" t="s">
        <v>4671</v>
      </c>
      <c r="E756" s="10" t="s">
        <v>2392</v>
      </c>
      <c r="F756" s="46" t="s">
        <v>115</v>
      </c>
    </row>
    <row r="757">
      <c r="A757" s="285" t="s">
        <v>739</v>
      </c>
      <c r="B757" s="252">
        <f>IF(A757="", "", IF(IFERROR(VLOOKUP(A757, 'Base 3F'!$B:$C, 2, FALSE),"")="", "SIN CUIT", VLOOKUP(A757, 'Base 3F'!$B:$C, 2, FALSE)))</f>
        <v>30701152715</v>
      </c>
      <c r="C757" s="253" t="str">
        <f>IF(A757="", "", IF(IFERROR(VLOOKUP(A757, 'Base 3F'!$B:$J, 9, FALSE),"")="", "SIN RUBRO", VLOOKUP(A757, 'Base 3F'!$B:$J, 9, FALSE)))</f>
        <v>Metalúrgica</v>
      </c>
      <c r="D757" s="58" t="s">
        <v>4672</v>
      </c>
      <c r="E757" s="10" t="s">
        <v>2392</v>
      </c>
      <c r="F757" s="46" t="s">
        <v>115</v>
      </c>
    </row>
    <row r="758">
      <c r="A758" s="285" t="s">
        <v>4674</v>
      </c>
      <c r="B758" s="252" t="str">
        <f>IF(A758="", "", IF(IFERROR(VLOOKUP(A758, 'Base 3F'!$B:$C, 2, FALSE),"")="", "SIN CUIT", VLOOKUP(A758, 'Base 3F'!$B:$C, 2, FALSE)))</f>
        <v>SIN CUIT</v>
      </c>
      <c r="C758" s="253" t="str">
        <f>IF(A758="", "", IF(IFERROR(VLOOKUP(A758, 'Base 3F'!$B:$J, 9, FALSE),"")="", "SIN RUBRO", VLOOKUP(A758, 'Base 3F'!$B:$J, 9, FALSE)))</f>
        <v>SIN RUBRO</v>
      </c>
      <c r="D758" s="58" t="s">
        <v>4677</v>
      </c>
      <c r="E758" s="10" t="s">
        <v>2392</v>
      </c>
      <c r="F758" s="46" t="s">
        <v>115</v>
      </c>
    </row>
    <row r="759">
      <c r="A759" s="285" t="s">
        <v>1503</v>
      </c>
      <c r="B759" s="252">
        <f>IF(A759="", "", IF(IFERROR(VLOOKUP(A759, 'Base 3F'!$B:$C, 2, FALSE),"")="", "SIN CUIT", VLOOKUP(A759, 'Base 3F'!$B:$C, 2, FALSE)))</f>
        <v>30556285965</v>
      </c>
      <c r="C759" s="253" t="str">
        <f>IF(A759="", "", IF(IFERROR(VLOOKUP(A759, 'Base 3F'!$B:$J, 9, FALSE),"")="", "SIN RUBRO", VLOOKUP(A759, 'Base 3F'!$B:$J, 9, FALSE)))</f>
        <v>Metalúrgica</v>
      </c>
      <c r="D759" s="58" t="s">
        <v>4680</v>
      </c>
      <c r="E759" s="10" t="s">
        <v>2392</v>
      </c>
      <c r="F759" s="46" t="s">
        <v>115</v>
      </c>
    </row>
    <row r="760">
      <c r="A760" s="285" t="s">
        <v>1524</v>
      </c>
      <c r="B760" s="252">
        <f>IF(A760="", "", IF(IFERROR(VLOOKUP(A760, 'Base 3F'!$B:$C, 2, FALSE),"")="", "SIN CUIT", VLOOKUP(A760, 'Base 3F'!$B:$C, 2, FALSE)))</f>
        <v>30625688651</v>
      </c>
      <c r="C760" s="253" t="str">
        <f>IF(A760="", "", IF(IFERROR(VLOOKUP(A760, 'Base 3F'!$B:$J, 9, FALSE),"")="", "SIN RUBRO", VLOOKUP(A760, 'Base 3F'!$B:$J, 9, FALSE)))</f>
        <v>Metalmecánica</v>
      </c>
      <c r="D760" s="58" t="s">
        <v>4684</v>
      </c>
      <c r="E760" s="10" t="s">
        <v>2392</v>
      </c>
      <c r="F760" s="46" t="s">
        <v>115</v>
      </c>
    </row>
    <row r="761">
      <c r="A761" s="285" t="s">
        <v>802</v>
      </c>
      <c r="B761" s="252">
        <f>IF(A761="", "", IF(IFERROR(VLOOKUP(A761, 'Base 3F'!$B:$C, 2, FALSE),"")="", "SIN CUIT", VLOOKUP(A761, 'Base 3F'!$B:$C, 2, FALSE)))</f>
        <v>30654784082</v>
      </c>
      <c r="C761" s="253" t="str">
        <f>IF(A761="", "", IF(IFERROR(VLOOKUP(A761, 'Base 3F'!$B:$J, 9, FALSE),"")="", "SIN RUBRO", VLOOKUP(A761, 'Base 3F'!$B:$J, 9, FALSE)))</f>
        <v>Gráfica</v>
      </c>
      <c r="D761" s="142" t="s">
        <v>4686</v>
      </c>
      <c r="E761" s="10" t="s">
        <v>2392</v>
      </c>
      <c r="F761" s="46" t="s">
        <v>115</v>
      </c>
    </row>
    <row r="762">
      <c r="A762" s="285" t="s">
        <v>1561</v>
      </c>
      <c r="B762" s="252">
        <f>IF(A762="", "", IF(IFERROR(VLOOKUP(A762, 'Base 3F'!$B:$C, 2, FALSE),"")="", "SIN CUIT", VLOOKUP(A762, 'Base 3F'!$B:$C, 2, FALSE)))</f>
        <v>27925199759</v>
      </c>
      <c r="C762" s="253" t="str">
        <f>IF(A762="", "", IF(IFERROR(VLOOKUP(A762, 'Base 3F'!$B:$J, 9, FALSE),"")="", "SIN RUBRO", VLOOKUP(A762, 'Base 3F'!$B:$J, 9, FALSE)))</f>
        <v>Madera</v>
      </c>
      <c r="D762" s="58" t="s">
        <v>4692</v>
      </c>
      <c r="E762" s="10" t="s">
        <v>2392</v>
      </c>
      <c r="F762" s="46" t="s">
        <v>115</v>
      </c>
    </row>
    <row r="763">
      <c r="A763" s="285" t="s">
        <v>1568</v>
      </c>
      <c r="B763" s="252">
        <f>IF(A763="", "", IF(IFERROR(VLOOKUP(A763, 'Base 3F'!$B:$C, 2, FALSE),"")="", "SIN CUIT", VLOOKUP(A763, 'Base 3F'!$B:$C, 2, FALSE)))</f>
        <v>30691156377</v>
      </c>
      <c r="C763" s="253" t="str">
        <f>IF(A763="", "", IF(IFERROR(VLOOKUP(A763, 'Base 3F'!$B:$J, 9, FALSE),"")="", "SIN RUBRO", VLOOKUP(A763, 'Base 3F'!$B:$J, 9, FALSE)))</f>
        <v>Alimenticia</v>
      </c>
      <c r="D763" s="58" t="s">
        <v>4695</v>
      </c>
      <c r="E763" s="10" t="s">
        <v>2392</v>
      </c>
      <c r="F763" s="46" t="s">
        <v>115</v>
      </c>
    </row>
    <row r="764">
      <c r="A764" s="285" t="s">
        <v>1577</v>
      </c>
      <c r="B764" s="252">
        <f>IF(A764="", "", IF(IFERROR(VLOOKUP(A764, 'Base 3F'!$B:$C, 2, FALSE),"")="", "SIN CUIT", VLOOKUP(A764, 'Base 3F'!$B:$C, 2, FALSE)))</f>
        <v>30715720244</v>
      </c>
      <c r="C764" s="253" t="str">
        <f>IF(A764="", "", IF(IFERROR(VLOOKUP(A764, 'Base 3F'!$B:$J, 9, FALSE),"")="", "SIN RUBRO", VLOOKUP(A764, 'Base 3F'!$B:$J, 9, FALSE)))</f>
        <v>Madera</v>
      </c>
      <c r="D764" s="58" t="s">
        <v>4697</v>
      </c>
      <c r="E764" s="10" t="s">
        <v>2392</v>
      </c>
      <c r="F764" s="46" t="s">
        <v>115</v>
      </c>
    </row>
    <row r="765">
      <c r="A765" s="285" t="s">
        <v>1586</v>
      </c>
      <c r="B765" s="252">
        <f>IF(A765="", "", IF(IFERROR(VLOOKUP(A765, 'Base 3F'!$B:$C, 2, FALSE),"")="", "SIN CUIT", VLOOKUP(A765, 'Base 3F'!$B:$C, 2, FALSE)))</f>
        <v>30708976101</v>
      </c>
      <c r="C765" s="253" t="str">
        <f>IF(A765="", "", IF(IFERROR(VLOOKUP(A765, 'Base 3F'!$B:$J, 9, FALSE),"")="", "SIN RUBRO", VLOOKUP(A765, 'Base 3F'!$B:$J, 9, FALSE)))</f>
        <v>Madera</v>
      </c>
      <c r="D765" s="58" t="s">
        <v>4701</v>
      </c>
      <c r="E765" s="10" t="s">
        <v>2392</v>
      </c>
      <c r="F765" s="46" t="s">
        <v>115</v>
      </c>
    </row>
    <row r="766">
      <c r="A766" s="285" t="s">
        <v>1595</v>
      </c>
      <c r="B766" s="252">
        <f>IF(A766="", "", IF(IFERROR(VLOOKUP(A766, 'Base 3F'!$B:$C, 2, FALSE),"")="", "SIN CUIT", VLOOKUP(A766, 'Base 3F'!$B:$C, 2, FALSE)))</f>
        <v>30685268767</v>
      </c>
      <c r="C766" s="253" t="str">
        <f>IF(A766="", "", IF(IFERROR(VLOOKUP(A766, 'Base 3F'!$B:$J, 9, FALSE),"")="", "SIN RUBRO", VLOOKUP(A766, 'Base 3F'!$B:$J, 9, FALSE)))</f>
        <v>Madera</v>
      </c>
      <c r="D766" s="58" t="s">
        <v>4704</v>
      </c>
      <c r="E766" s="10" t="s">
        <v>2392</v>
      </c>
      <c r="F766" s="46" t="s">
        <v>115</v>
      </c>
    </row>
    <row r="767">
      <c r="A767" s="285" t="s">
        <v>844</v>
      </c>
      <c r="B767" s="252">
        <f>IF(A767="", "", IF(IFERROR(VLOOKUP(A767, 'Base 3F'!$B:$C, 2, FALSE),"")="", "SIN CUIT", VLOOKUP(A767, 'Base 3F'!$B:$C, 2, FALSE)))</f>
        <v>30707831002</v>
      </c>
      <c r="C767" s="253" t="str">
        <f>IF(A767="", "", IF(IFERROR(VLOOKUP(A767, 'Base 3F'!$B:$J, 9, FALSE),"")="", "SIN RUBRO", VLOOKUP(A767, 'Base 3F'!$B:$J, 9, FALSE)))</f>
        <v>Metalúrgica</v>
      </c>
      <c r="D767" s="58" t="s">
        <v>4707</v>
      </c>
      <c r="E767" s="10" t="s">
        <v>2392</v>
      </c>
      <c r="F767" s="46" t="s">
        <v>115</v>
      </c>
    </row>
    <row r="768">
      <c r="A768" s="285" t="s">
        <v>1628</v>
      </c>
      <c r="B768" s="252">
        <f>IF(A768="", "", IF(IFERROR(VLOOKUP(A768, 'Base 3F'!$B:$C, 2, FALSE),"")="", "SIN CUIT", VLOOKUP(A768, 'Base 3F'!$B:$C, 2, FALSE)))</f>
        <v>30516414169</v>
      </c>
      <c r="C768" s="253" t="str">
        <f>IF(A768="", "", IF(IFERROR(VLOOKUP(A768, 'Base 3F'!$B:$J, 9, FALSE),"")="", "SIN RUBRO", VLOOKUP(A768, 'Base 3F'!$B:$J, 9, FALSE)))</f>
        <v>Alimenticia</v>
      </c>
      <c r="D768" s="58" t="s">
        <v>4712</v>
      </c>
      <c r="E768" s="10" t="s">
        <v>2392</v>
      </c>
      <c r="F768" s="46" t="s">
        <v>115</v>
      </c>
    </row>
    <row r="769">
      <c r="A769" s="285" t="s">
        <v>1647</v>
      </c>
      <c r="B769" s="252">
        <f>IF(A769="", "", IF(IFERROR(VLOOKUP(A769, 'Base 3F'!$B:$C, 2, FALSE),"")="", "SIN CUIT", VLOOKUP(A769, 'Base 3F'!$B:$C, 2, FALSE)))</f>
        <v>30708268565</v>
      </c>
      <c r="C769" s="253" t="str">
        <f>IF(A769="", "", IF(IFERROR(VLOOKUP(A769, 'Base 3F'!$B:$J, 9, FALSE),"")="", "SIN RUBRO", VLOOKUP(A769, 'Base 3F'!$B:$J, 9, FALSE)))</f>
        <v>Construcción</v>
      </c>
      <c r="D769" s="58" t="s">
        <v>4716</v>
      </c>
      <c r="E769" s="10" t="s">
        <v>2392</v>
      </c>
      <c r="F769" s="46" t="s">
        <v>115</v>
      </c>
    </row>
    <row r="770">
      <c r="A770" s="285" t="s">
        <v>1665</v>
      </c>
      <c r="B770" s="252">
        <f>IF(A770="", "", IF(IFERROR(VLOOKUP(A770, 'Base 3F'!$B:$C, 2, FALSE),"")="", "SIN CUIT", VLOOKUP(A770, 'Base 3F'!$B:$C, 2, FALSE)))</f>
        <v>30685308629</v>
      </c>
      <c r="C770" s="253" t="str">
        <f>IF(A770="", "", IF(IFERROR(VLOOKUP(A770, 'Base 3F'!$B:$J, 9, FALSE),"")="", "SIN RUBRO", VLOOKUP(A770, 'Base 3F'!$B:$J, 9, FALSE)))</f>
        <v>Metalúrgica</v>
      </c>
      <c r="D770" s="58" t="s">
        <v>4719</v>
      </c>
      <c r="E770" s="10" t="s">
        <v>2392</v>
      </c>
      <c r="F770" s="46" t="s">
        <v>115</v>
      </c>
    </row>
    <row r="771">
      <c r="A771" s="285" t="s">
        <v>1670</v>
      </c>
      <c r="B771" s="252">
        <f>IF(A771="", "", IF(IFERROR(VLOOKUP(A771, 'Base 3F'!$B:$C, 2, FALSE),"")="", "SIN CUIT", VLOOKUP(A771, 'Base 3F'!$B:$C, 2, FALSE)))</f>
        <v>30712372733</v>
      </c>
      <c r="C771" s="253" t="str">
        <f>IF(A771="", "", IF(IFERROR(VLOOKUP(A771, 'Base 3F'!$B:$J, 9, FALSE),"")="", "SIN RUBRO", VLOOKUP(A771, 'Base 3F'!$B:$J, 9, FALSE)))</f>
        <v>Metalúrgica</v>
      </c>
      <c r="D771" s="58" t="s">
        <v>4722</v>
      </c>
      <c r="E771" s="10" t="s">
        <v>2392</v>
      </c>
      <c r="F771" s="46" t="s">
        <v>115</v>
      </c>
    </row>
    <row r="772">
      <c r="A772" s="285" t="s">
        <v>1676</v>
      </c>
      <c r="B772" s="252">
        <f>IF(A772="", "", IF(IFERROR(VLOOKUP(A772, 'Base 3F'!$B:$C, 2, FALSE),"")="", "SIN CUIT", VLOOKUP(A772, 'Base 3F'!$B:$C, 2, FALSE)))</f>
        <v>30710111428</v>
      </c>
      <c r="C772" s="253" t="str">
        <f>IF(A772="", "", IF(IFERROR(VLOOKUP(A772, 'Base 3F'!$B:$J, 9, FALSE),"")="", "SIN RUBRO", VLOOKUP(A772, 'Base 3F'!$B:$J, 9, FALSE)))</f>
        <v>Metalúrgica</v>
      </c>
      <c r="D772" s="58" t="s">
        <v>4728</v>
      </c>
      <c r="E772" s="10" t="s">
        <v>2392</v>
      </c>
      <c r="F772" s="46" t="s">
        <v>115</v>
      </c>
    </row>
    <row r="773">
      <c r="A773" s="285" t="s">
        <v>4730</v>
      </c>
      <c r="B773" s="252" t="str">
        <f>IF(A773="", "", IF(IFERROR(VLOOKUP(A773, 'Base 3F'!$B:$C, 2, FALSE),"")="", "SIN CUIT", VLOOKUP(A773, 'Base 3F'!$B:$C, 2, FALSE)))</f>
        <v>SIN CUIT</v>
      </c>
      <c r="C773" s="253" t="str">
        <f>IF(A773="", "", IF(IFERROR(VLOOKUP(A773, 'Base 3F'!$B:$J, 9, FALSE),"")="", "SIN RUBRO", VLOOKUP(A773, 'Base 3F'!$B:$J, 9, FALSE)))</f>
        <v>SIN RUBRO</v>
      </c>
      <c r="D773" s="58" t="s">
        <v>4732</v>
      </c>
      <c r="E773" s="10" t="s">
        <v>2392</v>
      </c>
      <c r="F773" s="46" t="s">
        <v>115</v>
      </c>
    </row>
    <row r="774">
      <c r="A774" s="285" t="s">
        <v>1744</v>
      </c>
      <c r="B774" s="252">
        <f>IF(A774="", "", IF(IFERROR(VLOOKUP(A774, 'Base 3F'!$B:$C, 2, FALSE),"")="", "SIN CUIT", VLOOKUP(A774, 'Base 3F'!$B:$C, 2, FALSE)))</f>
        <v>30707082301</v>
      </c>
      <c r="C774" s="253" t="str">
        <f>IF(A774="", "", IF(IFERROR(VLOOKUP(A774, 'Base 3F'!$B:$J, 9, FALSE),"")="", "SIN RUBRO", VLOOKUP(A774, 'Base 3F'!$B:$J, 9, FALSE)))</f>
        <v>Metalúrgica</v>
      </c>
      <c r="D774" s="58" t="s">
        <v>4735</v>
      </c>
      <c r="E774" s="10" t="s">
        <v>2392</v>
      </c>
      <c r="F774" s="46" t="s">
        <v>115</v>
      </c>
    </row>
    <row r="775">
      <c r="A775" s="285" t="s">
        <v>905</v>
      </c>
      <c r="B775" s="252">
        <f>IF(A775="", "", IF(IFERROR(VLOOKUP(A775, 'Base 3F'!$B:$C, 2, FALSE),"")="", "SIN CUIT", VLOOKUP(A775, 'Base 3F'!$B:$C, 2, FALSE)))</f>
        <v>30711603340</v>
      </c>
      <c r="C775" s="253" t="str">
        <f>IF(A775="", "", IF(IFERROR(VLOOKUP(A775, 'Base 3F'!$B:$J, 9, FALSE),"")="", "SIN RUBRO", VLOOKUP(A775, 'Base 3F'!$B:$J, 9, FALSE)))</f>
        <v>Textil</v>
      </c>
      <c r="D775" s="58" t="s">
        <v>4743</v>
      </c>
      <c r="E775" s="10" t="s">
        <v>2392</v>
      </c>
      <c r="F775" s="46" t="s">
        <v>115</v>
      </c>
    </row>
    <row r="776">
      <c r="A776" s="285" t="s">
        <v>1780</v>
      </c>
      <c r="B776" s="252">
        <f>IF(A776="", "", IF(IFERROR(VLOOKUP(A776, 'Base 3F'!$B:$C, 2, FALSE),"")="", "SIN CUIT", VLOOKUP(A776, 'Base 3F'!$B:$C, 2, FALSE)))</f>
        <v>30708913142</v>
      </c>
      <c r="C776" s="253" t="str">
        <f>IF(A776="", "", IF(IFERROR(VLOOKUP(A776, 'Base 3F'!$B:$J, 9, FALSE),"")="", "SIN RUBRO", VLOOKUP(A776, 'Base 3F'!$B:$J, 9, FALSE)))</f>
        <v>Plástica</v>
      </c>
      <c r="D776" s="58" t="s">
        <v>4746</v>
      </c>
      <c r="E776" s="10" t="s">
        <v>2392</v>
      </c>
      <c r="F776" s="46" t="s">
        <v>115</v>
      </c>
    </row>
    <row r="777">
      <c r="A777" s="285" t="s">
        <v>942</v>
      </c>
      <c r="B777" s="252">
        <f>IF(A777="", "", IF(IFERROR(VLOOKUP(A777, 'Base 3F'!$B:$C, 2, FALSE),"")="", "SIN CUIT", VLOOKUP(A777, 'Base 3F'!$B:$C, 2, FALSE)))</f>
        <v>30663821993</v>
      </c>
      <c r="C777" s="253" t="str">
        <f>IF(A777="", "", IF(IFERROR(VLOOKUP(A777, 'Base 3F'!$B:$J, 9, FALSE),"")="", "SIN RUBRO", VLOOKUP(A777, 'Base 3F'!$B:$J, 9, FALSE)))</f>
        <v>Construcción</v>
      </c>
      <c r="D777" s="58" t="s">
        <v>4750</v>
      </c>
      <c r="E777" s="10" t="s">
        <v>2392</v>
      </c>
      <c r="F777" s="46" t="s">
        <v>115</v>
      </c>
    </row>
    <row r="778">
      <c r="A778" s="285" t="s">
        <v>976</v>
      </c>
      <c r="B778" s="252">
        <f>IF(A778="", "", IF(IFERROR(VLOOKUP(A778, 'Base 3F'!$B:$C, 2, FALSE),"")="", "SIN CUIT", VLOOKUP(A778, 'Base 3F'!$B:$C, 2, FALSE)))</f>
        <v>30703245184</v>
      </c>
      <c r="C778" s="253" t="str">
        <f>IF(A778="", "", IF(IFERROR(VLOOKUP(A778, 'Base 3F'!$B:$J, 9, FALSE),"")="", "SIN RUBRO", VLOOKUP(A778, 'Base 3F'!$B:$J, 9, FALSE)))</f>
        <v>Alimenticia</v>
      </c>
      <c r="D778" s="58" t="s">
        <v>4754</v>
      </c>
      <c r="E778" s="10" t="s">
        <v>2392</v>
      </c>
      <c r="F778" s="46" t="s">
        <v>115</v>
      </c>
    </row>
    <row r="779">
      <c r="A779" s="285" t="s">
        <v>1809</v>
      </c>
      <c r="B779" s="252">
        <f>IF(A779="", "", IF(IFERROR(VLOOKUP(A779, 'Base 3F'!$B:$C, 2, FALSE),"")="", "SIN CUIT", VLOOKUP(A779, 'Base 3F'!$B:$C, 2, FALSE)))</f>
        <v>30519195484</v>
      </c>
      <c r="C779" s="253" t="str">
        <f>IF(A779="", "", IF(IFERROR(VLOOKUP(A779, 'Base 3F'!$B:$J, 9, FALSE),"")="", "SIN RUBRO", VLOOKUP(A779, 'Base 3F'!$B:$J, 9, FALSE)))</f>
        <v>Química</v>
      </c>
      <c r="D779" s="120" t="s">
        <v>4761</v>
      </c>
      <c r="E779" s="10" t="s">
        <v>2392</v>
      </c>
      <c r="F779" s="46" t="s">
        <v>115</v>
      </c>
    </row>
    <row r="780">
      <c r="A780" s="285" t="s">
        <v>1818</v>
      </c>
      <c r="B780" s="252">
        <f>IF(A780="", "", IF(IFERROR(VLOOKUP(A780, 'Base 3F'!$B:$C, 2, FALSE),"")="", "SIN CUIT", VLOOKUP(A780, 'Base 3F'!$B:$C, 2, FALSE)))</f>
        <v>20253662639</v>
      </c>
      <c r="C780" s="253" t="str">
        <f>IF(A780="", "", IF(IFERROR(VLOOKUP(A780, 'Base 3F'!$B:$J, 9, FALSE),"")="", "SIN RUBRO", VLOOKUP(A780, 'Base 3F'!$B:$J, 9, FALSE)))</f>
        <v>Metalmecánica</v>
      </c>
      <c r="D780" s="58" t="s">
        <v>4763</v>
      </c>
      <c r="E780" s="10" t="s">
        <v>2392</v>
      </c>
      <c r="F780" s="46" t="s">
        <v>115</v>
      </c>
    </row>
    <row r="781">
      <c r="A781" s="285" t="s">
        <v>1831</v>
      </c>
      <c r="B781" s="252">
        <f>IF(A781="", "", IF(IFERROR(VLOOKUP(A781, 'Base 3F'!$B:$C, 2, FALSE),"")="", "SIN CUIT", VLOOKUP(A781, 'Base 3F'!$B:$C, 2, FALSE)))</f>
        <v>20150276129</v>
      </c>
      <c r="C781" s="253" t="str">
        <f>IF(A781="", "", IF(IFERROR(VLOOKUP(A781, 'Base 3F'!$B:$J, 9, FALSE),"")="", "SIN RUBRO", VLOOKUP(A781, 'Base 3F'!$B:$J, 9, FALSE)))</f>
        <v>Servicios</v>
      </c>
      <c r="D781" s="58" t="s">
        <v>4768</v>
      </c>
      <c r="E781" s="10" t="s">
        <v>2392</v>
      </c>
      <c r="F781" s="46" t="s">
        <v>115</v>
      </c>
    </row>
    <row r="782">
      <c r="A782" s="285" t="s">
        <v>1846</v>
      </c>
      <c r="B782" s="252">
        <f>IF(A782="", "", IF(IFERROR(VLOOKUP(A782, 'Base 3F'!$B:$C, 2, FALSE),"")="", "SIN CUIT", VLOOKUP(A782, 'Base 3F'!$B:$C, 2, FALSE)))</f>
        <v>30709023728</v>
      </c>
      <c r="C782" s="253" t="str">
        <f>IF(A782="", "", IF(IFERROR(VLOOKUP(A782, 'Base 3F'!$B:$J, 9, FALSE),"")="", "SIN RUBRO", VLOOKUP(A782, 'Base 3F'!$B:$J, 9, FALSE)))</f>
        <v>Metalúrgica</v>
      </c>
      <c r="D782" s="58" t="s">
        <v>4772</v>
      </c>
      <c r="E782" s="10" t="s">
        <v>2392</v>
      </c>
      <c r="F782" s="46" t="s">
        <v>115</v>
      </c>
    </row>
    <row r="783">
      <c r="A783" s="285" t="s">
        <v>1852</v>
      </c>
      <c r="B783" s="252">
        <f>IF(A783="", "", IF(IFERROR(VLOOKUP(A783, 'Base 3F'!$B:$C, 2, FALSE),"")="", "SIN CUIT", VLOOKUP(A783, 'Base 3F'!$B:$C, 2, FALSE)))</f>
        <v>30708732946</v>
      </c>
      <c r="C783" s="253" t="str">
        <f>IF(A783="", "", IF(IFERROR(VLOOKUP(A783, 'Base 3F'!$B:$J, 9, FALSE),"")="", "SIN RUBRO", VLOOKUP(A783, 'Base 3F'!$B:$J, 9, FALSE)))</f>
        <v>Química</v>
      </c>
      <c r="D783" s="58" t="s">
        <v>4776</v>
      </c>
      <c r="E783" s="10" t="s">
        <v>2392</v>
      </c>
      <c r="F783" s="46" t="s">
        <v>115</v>
      </c>
    </row>
    <row r="784">
      <c r="A784" s="285" t="s">
        <v>1865</v>
      </c>
      <c r="B784" s="252">
        <f>IF(A784="", "", IF(IFERROR(VLOOKUP(A784, 'Base 3F'!$B:$C, 2, FALSE),"")="", "SIN CUIT", VLOOKUP(A784, 'Base 3F'!$B:$C, 2, FALSE)))</f>
        <v>30680721021</v>
      </c>
      <c r="C784" s="253" t="str">
        <f>IF(A784="", "", IF(IFERROR(VLOOKUP(A784, 'Base 3F'!$B:$J, 9, FALSE),"")="", "SIN RUBRO", VLOOKUP(A784, 'Base 3F'!$B:$J, 9, FALSE)))</f>
        <v>Alimenticia</v>
      </c>
      <c r="D784" s="58" t="s">
        <v>4778</v>
      </c>
      <c r="E784" s="10" t="s">
        <v>2392</v>
      </c>
      <c r="F784" s="46" t="s">
        <v>115</v>
      </c>
    </row>
    <row r="785">
      <c r="A785" s="285" t="s">
        <v>1006</v>
      </c>
      <c r="B785" s="252">
        <f>IF(A785="", "", IF(IFERROR(VLOOKUP(A785, 'Base 3F'!$B:$C, 2, FALSE),"")="", "SIN CUIT", VLOOKUP(A785, 'Base 3F'!$B:$C, 2, FALSE)))</f>
        <v>30690604562</v>
      </c>
      <c r="C785" s="253" t="str">
        <f>IF(A785="", "", IF(IFERROR(VLOOKUP(A785, 'Base 3F'!$B:$J, 9, FALSE),"")="", "SIN RUBRO", VLOOKUP(A785, 'Base 3F'!$B:$J, 9, FALSE)))</f>
        <v>Química</v>
      </c>
      <c r="D785" s="58" t="s">
        <v>4783</v>
      </c>
      <c r="E785" s="10" t="s">
        <v>2392</v>
      </c>
      <c r="F785" s="46" t="s">
        <v>115</v>
      </c>
    </row>
    <row r="786">
      <c r="A786" s="285" t="s">
        <v>1889</v>
      </c>
      <c r="B786" s="252">
        <f>IF(A786="", "", IF(IFERROR(VLOOKUP(A786, 'Base 3F'!$B:$C, 2, FALSE),"")="", "SIN CUIT", VLOOKUP(A786, 'Base 3F'!$B:$C, 2, FALSE)))</f>
        <v>30711468699</v>
      </c>
      <c r="C786" s="253" t="str">
        <f>IF(A786="", "", IF(IFERROR(VLOOKUP(A786, 'Base 3F'!$B:$J, 9, FALSE),"")="", "SIN RUBRO", VLOOKUP(A786, 'Base 3F'!$B:$J, 9, FALSE)))</f>
        <v>Metalúrgica</v>
      </c>
      <c r="D786" s="58" t="s">
        <v>4789</v>
      </c>
      <c r="E786" s="10" t="s">
        <v>2392</v>
      </c>
      <c r="F786" s="46" t="s">
        <v>115</v>
      </c>
    </row>
    <row r="787">
      <c r="A787" s="285" t="s">
        <v>1894</v>
      </c>
      <c r="B787" s="252">
        <f>IF(A787="", "", IF(IFERROR(VLOOKUP(A787, 'Base 3F'!$B:$C, 2, FALSE),"")="", "SIN CUIT", VLOOKUP(A787, 'Base 3F'!$B:$C, 2, FALSE)))</f>
        <v>23265661939</v>
      </c>
      <c r="C787" s="253" t="str">
        <f>IF(A787="", "", IF(IFERROR(VLOOKUP(A787, 'Base 3F'!$B:$J, 9, FALSE),"")="", "SIN RUBRO", VLOOKUP(A787, 'Base 3F'!$B:$J, 9, FALSE)))</f>
        <v>Construcción</v>
      </c>
      <c r="D787" s="58" t="s">
        <v>4794</v>
      </c>
      <c r="E787" s="10" t="s">
        <v>2392</v>
      </c>
      <c r="F787" s="46" t="s">
        <v>115</v>
      </c>
    </row>
    <row r="788">
      <c r="A788" s="285" t="s">
        <v>4795</v>
      </c>
      <c r="B788" s="252" t="str">
        <f>IF(A788="", "", IF(IFERROR(VLOOKUP(A788, 'Base 3F'!$B:$C, 2, FALSE),"")="", "SIN CUIT", VLOOKUP(A788, 'Base 3F'!$B:$C, 2, FALSE)))</f>
        <v>SIN CUIT</v>
      </c>
      <c r="C788" s="253" t="str">
        <f>IF(A788="", "", IF(IFERROR(VLOOKUP(A788, 'Base 3F'!$B:$J, 9, FALSE),"")="", "SIN RUBRO", VLOOKUP(A788, 'Base 3F'!$B:$J, 9, FALSE)))</f>
        <v>SIN RUBRO</v>
      </c>
      <c r="D788" s="58" t="s">
        <v>4799</v>
      </c>
      <c r="E788" s="10" t="s">
        <v>2392</v>
      </c>
      <c r="F788" s="46" t="s">
        <v>115</v>
      </c>
    </row>
    <row r="789">
      <c r="A789" s="285" t="s">
        <v>1040</v>
      </c>
      <c r="B789" s="252">
        <f>IF(A789="", "", IF(IFERROR(VLOOKUP(A789, 'Base 3F'!$B:$C, 2, FALSE),"")="", "SIN CUIT", VLOOKUP(A789, 'Base 3F'!$B:$C, 2, FALSE)))</f>
        <v>33707830889</v>
      </c>
      <c r="C789" s="253" t="str">
        <f>IF(A789="", "", IF(IFERROR(VLOOKUP(A789, 'Base 3F'!$B:$J, 9, FALSE),"")="", "SIN RUBRO", VLOOKUP(A789, 'Base 3F'!$B:$J, 9, FALSE)))</f>
        <v>Servicios</v>
      </c>
      <c r="D789" s="58" t="s">
        <v>4802</v>
      </c>
      <c r="E789" s="10" t="s">
        <v>2392</v>
      </c>
      <c r="F789" s="46" t="s">
        <v>115</v>
      </c>
    </row>
    <row r="790">
      <c r="A790" s="285" t="s">
        <v>1935</v>
      </c>
      <c r="B790" s="252">
        <f>IF(A790="", "", IF(IFERROR(VLOOKUP(A790, 'Base 3F'!$B:$C, 2, FALSE),"")="", "SIN CUIT", VLOOKUP(A790, 'Base 3F'!$B:$C, 2, FALSE)))</f>
        <v>30500513930</v>
      </c>
      <c r="C790" s="253" t="str">
        <f>IF(A790="", "", IF(IFERROR(VLOOKUP(A790, 'Base 3F'!$B:$J, 9, FALSE),"")="", "SIN RUBRO", VLOOKUP(A790, 'Base 3F'!$B:$J, 9, FALSE)))</f>
        <v>Metalúrgica</v>
      </c>
      <c r="D790" s="58" t="s">
        <v>4806</v>
      </c>
      <c r="E790" s="10" t="s">
        <v>2392</v>
      </c>
      <c r="F790" s="46" t="s">
        <v>115</v>
      </c>
    </row>
    <row r="791">
      <c r="A791" s="285" t="s">
        <v>1943</v>
      </c>
      <c r="B791" s="252">
        <f>IF(A791="", "", IF(IFERROR(VLOOKUP(A791, 'Base 3F'!$B:$C, 2, FALSE),"")="", "SIN CUIT", VLOOKUP(A791, 'Base 3F'!$B:$C, 2, FALSE)))</f>
        <v>30707030468</v>
      </c>
      <c r="C791" s="253" t="str">
        <f>IF(A791="", "", IF(IFERROR(VLOOKUP(A791, 'Base 3F'!$B:$J, 9, FALSE),"")="", "SIN RUBRO", VLOOKUP(A791, 'Base 3F'!$B:$J, 9, FALSE)))</f>
        <v>Metalúrgica</v>
      </c>
      <c r="D791" s="58" t="s">
        <v>4808</v>
      </c>
      <c r="E791" s="10" t="s">
        <v>2392</v>
      </c>
      <c r="F791" s="46" t="s">
        <v>115</v>
      </c>
    </row>
    <row r="792">
      <c r="A792" s="285" t="s">
        <v>1048</v>
      </c>
      <c r="B792" s="252">
        <f>IF(A792="", "", IF(IFERROR(VLOOKUP(A792, 'Base 3F'!$B:$C, 2, FALSE),"")="", "SIN CUIT", VLOOKUP(A792, 'Base 3F'!$B:$C, 2, FALSE)))</f>
        <v>30715206583</v>
      </c>
      <c r="C792" s="253" t="str">
        <f>IF(A792="", "", IF(IFERROR(VLOOKUP(A792, 'Base 3F'!$B:$J, 9, FALSE),"")="", "SIN RUBRO", VLOOKUP(A792, 'Base 3F'!$B:$J, 9, FALSE)))</f>
        <v>Metalúrgica</v>
      </c>
      <c r="D792" s="58" t="s">
        <v>4814</v>
      </c>
      <c r="E792" s="10" t="s">
        <v>2392</v>
      </c>
      <c r="F792" s="46" t="s">
        <v>115</v>
      </c>
    </row>
    <row r="793">
      <c r="A793" s="285" t="s">
        <v>1057</v>
      </c>
      <c r="B793" s="252">
        <f>IF(A793="", "", IF(IFERROR(VLOOKUP(A793, 'Base 3F'!$B:$C, 2, FALSE),"")="", "SIN CUIT", VLOOKUP(A793, 'Base 3F'!$B:$C, 2, FALSE)))</f>
        <v>30652774942</v>
      </c>
      <c r="C793" s="253" t="str">
        <f>IF(A793="", "", IF(IFERROR(VLOOKUP(A793, 'Base 3F'!$B:$J, 9, FALSE),"")="", "SIN RUBRO", VLOOKUP(A793, 'Base 3F'!$B:$J, 9, FALSE)))</f>
        <v>Química</v>
      </c>
      <c r="D793" s="58" t="s">
        <v>4817</v>
      </c>
      <c r="E793" s="10" t="s">
        <v>2392</v>
      </c>
      <c r="F793" s="46" t="s">
        <v>115</v>
      </c>
    </row>
    <row r="794">
      <c r="A794" s="285" t="s">
        <v>1964</v>
      </c>
      <c r="B794" s="252">
        <f>IF(A794="", "", IF(IFERROR(VLOOKUP(A794, 'Base 3F'!$B:$C, 2, FALSE),"")="", "SIN CUIT", VLOOKUP(A794, 'Base 3F'!$B:$C, 2, FALSE)))</f>
        <v>30708579889</v>
      </c>
      <c r="C794" s="253" t="str">
        <f>IF(A794="", "", IF(IFERROR(VLOOKUP(A794, 'Base 3F'!$B:$J, 9, FALSE),"")="", "SIN RUBRO", VLOOKUP(A794, 'Base 3F'!$B:$J, 9, FALSE)))</f>
        <v>Madera</v>
      </c>
      <c r="D794" s="58" t="s">
        <v>4820</v>
      </c>
      <c r="E794" s="10" t="s">
        <v>2392</v>
      </c>
      <c r="F794" s="46" t="s">
        <v>115</v>
      </c>
    </row>
    <row r="795">
      <c r="A795" s="285" t="s">
        <v>1969</v>
      </c>
      <c r="B795" s="252">
        <f>IF(A795="", "", IF(IFERROR(VLOOKUP(A795, 'Base 3F'!$B:$C, 2, FALSE),"")="", "SIN CUIT", VLOOKUP(A795, 'Base 3F'!$B:$C, 2, FALSE)))</f>
        <v>30711387524</v>
      </c>
      <c r="C795" s="253" t="str">
        <f>IF(A795="", "", IF(IFERROR(VLOOKUP(A795, 'Base 3F'!$B:$J, 9, FALSE),"")="", "SIN RUBRO", VLOOKUP(A795, 'Base 3F'!$B:$J, 9, FALSE)))</f>
        <v>Construcción</v>
      </c>
      <c r="D795" s="58" t="s">
        <v>4823</v>
      </c>
      <c r="E795" s="10" t="s">
        <v>2392</v>
      </c>
      <c r="F795" s="46" t="s">
        <v>115</v>
      </c>
    </row>
    <row r="796">
      <c r="A796" s="285" t="s">
        <v>1063</v>
      </c>
      <c r="B796" s="252">
        <f>IF(A796="", "", IF(IFERROR(VLOOKUP(A796, 'Base 3F'!$B:$C, 2, FALSE),"")="", "SIN CUIT", VLOOKUP(A796, 'Base 3F'!$B:$C, 2, FALSE)))</f>
        <v>30687219127</v>
      </c>
      <c r="C796" s="253" t="str">
        <f>IF(A796="", "", IF(IFERROR(VLOOKUP(A796, 'Base 3F'!$B:$J, 9, FALSE),"")="", "SIN RUBRO", VLOOKUP(A796, 'Base 3F'!$B:$J, 9, FALSE)))</f>
        <v>Alimenticia</v>
      </c>
      <c r="D796" s="58" t="s">
        <v>4827</v>
      </c>
      <c r="E796" s="10" t="s">
        <v>2392</v>
      </c>
      <c r="F796" s="46" t="s">
        <v>115</v>
      </c>
    </row>
    <row r="797">
      <c r="A797" s="285" t="s">
        <v>1067</v>
      </c>
      <c r="B797" s="252">
        <f>IF(A797="", "", IF(IFERROR(VLOOKUP(A797, 'Base 3F'!$B:$C, 2, FALSE),"")="", "SIN CUIT", VLOOKUP(A797, 'Base 3F'!$B:$C, 2, FALSE)))</f>
        <v>30626740142</v>
      </c>
      <c r="C797" s="253" t="str">
        <f>IF(A797="", "", IF(IFERROR(VLOOKUP(A797, 'Base 3F'!$B:$J, 9, FALSE),"")="", "SIN RUBRO", VLOOKUP(A797, 'Base 3F'!$B:$J, 9, FALSE)))</f>
        <v>Orfebrería</v>
      </c>
      <c r="D797" s="58" t="s">
        <v>4831</v>
      </c>
      <c r="E797" s="10" t="s">
        <v>2392</v>
      </c>
      <c r="F797" s="46" t="s">
        <v>115</v>
      </c>
    </row>
    <row r="798">
      <c r="A798" s="285" t="s">
        <v>2006</v>
      </c>
      <c r="B798" s="252">
        <f>IF(A798="", "", IF(IFERROR(VLOOKUP(A798, 'Base 3F'!$B:$C, 2, FALSE),"")="", "SIN CUIT", VLOOKUP(A798, 'Base 3F'!$B:$C, 2, FALSE)))</f>
        <v>30707121560</v>
      </c>
      <c r="C798" s="253" t="str">
        <f>IF(A798="", "", IF(IFERROR(VLOOKUP(A798, 'Base 3F'!$B:$J, 9, FALSE),"")="", "SIN RUBRO", VLOOKUP(A798, 'Base 3F'!$B:$J, 9, FALSE)))</f>
        <v>Metalúrgica</v>
      </c>
      <c r="D798" s="58" t="s">
        <v>4835</v>
      </c>
      <c r="E798" s="10" t="s">
        <v>2392</v>
      </c>
      <c r="F798" s="46" t="s">
        <v>115</v>
      </c>
    </row>
    <row r="799">
      <c r="A799" s="285" t="s">
        <v>2012</v>
      </c>
      <c r="B799" s="252">
        <f>IF(A799="", "", IF(IFERROR(VLOOKUP(A799, 'Base 3F'!$B:$C, 2, FALSE),"")="", "SIN CUIT", VLOOKUP(A799, 'Base 3F'!$B:$C, 2, FALSE)))</f>
        <v>30711362467</v>
      </c>
      <c r="C799" s="253" t="str">
        <f>IF(A799="", "", IF(IFERROR(VLOOKUP(A799, 'Base 3F'!$B:$J, 9, FALSE),"")="", "SIN RUBRO", VLOOKUP(A799, 'Base 3F'!$B:$J, 9, FALSE)))</f>
        <v>Construcción</v>
      </c>
      <c r="D799" s="58" t="s">
        <v>4841</v>
      </c>
      <c r="E799" s="10" t="s">
        <v>2392</v>
      </c>
      <c r="F799" s="46" t="s">
        <v>115</v>
      </c>
    </row>
    <row r="800">
      <c r="A800" s="285" t="s">
        <v>2018</v>
      </c>
      <c r="B800" s="252">
        <f>IF(A800="", "", IF(IFERROR(VLOOKUP(A800, 'Base 3F'!$B:$C, 2, FALSE),"")="", "SIN CUIT", VLOOKUP(A800, 'Base 3F'!$B:$C, 2, FALSE)))</f>
        <v>30708408219</v>
      </c>
      <c r="C800" s="253" t="str">
        <f>IF(A800="", "", IF(IFERROR(VLOOKUP(A800, 'Base 3F'!$B:$J, 9, FALSE),"")="", "SIN RUBRO", VLOOKUP(A800, 'Base 3F'!$B:$J, 9, FALSE)))</f>
        <v>Cuero</v>
      </c>
      <c r="D800" s="58" t="s">
        <v>4852</v>
      </c>
      <c r="E800" s="10" t="s">
        <v>2392</v>
      </c>
      <c r="F800" s="46" t="s">
        <v>115</v>
      </c>
    </row>
    <row r="801">
      <c r="A801" s="285" t="s">
        <v>2031</v>
      </c>
      <c r="B801" s="252">
        <f>IF(A801="", "", IF(IFERROR(VLOOKUP(A801, 'Base 3F'!$B:$C, 2, FALSE),"")="", "SIN CUIT", VLOOKUP(A801, 'Base 3F'!$B:$C, 2, FALSE)))</f>
        <v>30693447786</v>
      </c>
      <c r="C801" s="253" t="str">
        <f>IF(A801="", "", IF(IFERROR(VLOOKUP(A801, 'Base 3F'!$B:$J, 9, FALSE),"")="", "SIN RUBRO", VLOOKUP(A801, 'Base 3F'!$B:$J, 9, FALSE)))</f>
        <v>Metalúrgica</v>
      </c>
      <c r="D801" s="58" t="s">
        <v>4854</v>
      </c>
      <c r="E801" s="10" t="s">
        <v>2392</v>
      </c>
      <c r="F801" s="46" t="s">
        <v>115</v>
      </c>
    </row>
    <row r="802">
      <c r="A802" s="285" t="s">
        <v>2047</v>
      </c>
      <c r="B802" s="252">
        <f>IF(A802="", "", IF(IFERROR(VLOOKUP(A802, 'Base 3F'!$B:$C, 2, FALSE),"")="", "SIN CUIT", VLOOKUP(A802, 'Base 3F'!$B:$C, 2, FALSE)))</f>
        <v>30644537788</v>
      </c>
      <c r="C802" s="253" t="str">
        <f>IF(A802="", "", IF(IFERROR(VLOOKUP(A802, 'Base 3F'!$B:$J, 9, FALSE),"")="", "SIN RUBRO", VLOOKUP(A802, 'Base 3F'!$B:$J, 9, FALSE)))</f>
        <v>Metalúrgica</v>
      </c>
      <c r="D802" s="58" t="s">
        <v>4858</v>
      </c>
      <c r="E802" s="10" t="s">
        <v>2392</v>
      </c>
      <c r="F802" s="46" t="s">
        <v>115</v>
      </c>
    </row>
    <row r="803">
      <c r="A803" s="285" t="s">
        <v>2055</v>
      </c>
      <c r="B803" s="252">
        <f>IF(A803="", "", IF(IFERROR(VLOOKUP(A803, 'Base 3F'!$B:$C, 2, FALSE),"")="", "SIN CUIT", VLOOKUP(A803, 'Base 3F'!$B:$C, 2, FALSE)))</f>
        <v>30701134113</v>
      </c>
      <c r="C803" s="253" t="str">
        <f>IF(A803="", "", IF(IFERROR(VLOOKUP(A803, 'Base 3F'!$B:$J, 9, FALSE),"")="", "SIN RUBRO", VLOOKUP(A803, 'Base 3F'!$B:$J, 9, FALSE)))</f>
        <v>Construcción</v>
      </c>
      <c r="D803" s="58" t="s">
        <v>4869</v>
      </c>
      <c r="E803" s="10" t="s">
        <v>2392</v>
      </c>
      <c r="F803" s="46" t="s">
        <v>115</v>
      </c>
    </row>
    <row r="804">
      <c r="A804" s="285" t="s">
        <v>2073</v>
      </c>
      <c r="B804" s="252">
        <f>IF(A804="", "", IF(IFERROR(VLOOKUP(A804, 'Base 3F'!$B:$C, 2, FALSE),"")="", "SIN CUIT", VLOOKUP(A804, 'Base 3F'!$B:$C, 2, FALSE)))</f>
        <v>30701756661</v>
      </c>
      <c r="C804" s="253" t="str">
        <f>IF(A804="", "", IF(IFERROR(VLOOKUP(A804, 'Base 3F'!$B:$J, 9, FALSE),"")="", "SIN RUBRO", VLOOKUP(A804, 'Base 3F'!$B:$J, 9, FALSE)))</f>
        <v>Plástica</v>
      </c>
      <c r="D804" s="58" t="s">
        <v>4872</v>
      </c>
      <c r="E804" s="10" t="s">
        <v>2392</v>
      </c>
      <c r="F804" s="46" t="s">
        <v>115</v>
      </c>
    </row>
    <row r="805">
      <c r="A805" s="285" t="s">
        <v>2109</v>
      </c>
      <c r="B805" s="252">
        <f>IF(A805="", "", IF(IFERROR(VLOOKUP(A805, 'Base 3F'!$B:$C, 2, FALSE),"")="", "SIN CUIT", VLOOKUP(A805, 'Base 3F'!$B:$C, 2, FALSE)))</f>
        <v>30690376764</v>
      </c>
      <c r="C805" s="253" t="str">
        <f>IF(A805="", "", IF(IFERROR(VLOOKUP(A805, 'Base 3F'!$B:$J, 9, FALSE),"")="", "SIN RUBRO", VLOOKUP(A805, 'Base 3F'!$B:$J, 9, FALSE)))</f>
        <v>Metalúrgica</v>
      </c>
      <c r="D805" s="58" t="s">
        <v>4877</v>
      </c>
      <c r="E805" s="10" t="s">
        <v>2392</v>
      </c>
      <c r="F805" s="46" t="s">
        <v>115</v>
      </c>
    </row>
    <row r="806">
      <c r="A806" s="285" t="s">
        <v>2114</v>
      </c>
      <c r="B806" s="252">
        <f>IF(A806="", "", IF(IFERROR(VLOOKUP(A806, 'Base 3F'!$B:$C, 2, FALSE),"")="", "SIN CUIT", VLOOKUP(A806, 'Base 3F'!$B:$C, 2, FALSE)))</f>
        <v>30517727470</v>
      </c>
      <c r="C806" s="253" t="str">
        <f>IF(A806="", "", IF(IFERROR(VLOOKUP(A806, 'Base 3F'!$B:$J, 9, FALSE),"")="", "SIN RUBRO", VLOOKUP(A806, 'Base 3F'!$B:$J, 9, FALSE)))</f>
        <v>Metalúrgica</v>
      </c>
      <c r="D806" s="58" t="s">
        <v>4883</v>
      </c>
      <c r="E806" s="10" t="s">
        <v>2392</v>
      </c>
      <c r="F806" s="46" t="s">
        <v>115</v>
      </c>
    </row>
    <row r="807">
      <c r="A807" s="285" t="s">
        <v>2126</v>
      </c>
      <c r="B807" s="252">
        <f>IF(A807="", "", IF(IFERROR(VLOOKUP(A807, 'Base 3F'!$B:$C, 2, FALSE),"")="", "SIN CUIT", VLOOKUP(A807, 'Base 3F'!$B:$C, 2, FALSE)))</f>
        <v>30503658093</v>
      </c>
      <c r="C807" s="253" t="str">
        <f>IF(A807="", "", IF(IFERROR(VLOOKUP(A807, 'Base 3F'!$B:$J, 9, FALSE),"")="", "SIN RUBRO", VLOOKUP(A807, 'Base 3F'!$B:$J, 9, FALSE)))</f>
        <v>Madera</v>
      </c>
      <c r="D807" s="58" t="s">
        <v>4888</v>
      </c>
      <c r="E807" s="10" t="s">
        <v>2392</v>
      </c>
      <c r="F807" s="46" t="s">
        <v>115</v>
      </c>
    </row>
    <row r="808">
      <c r="A808" s="285" t="s">
        <v>2147</v>
      </c>
      <c r="B808" s="252">
        <f>IF(A808="", "", IF(IFERROR(VLOOKUP(A808, 'Base 3F'!$B:$C, 2, FALSE),"")="", "SIN CUIT", VLOOKUP(A808, 'Base 3F'!$B:$C, 2, FALSE)))</f>
        <v>33709136149</v>
      </c>
      <c r="C808" s="253" t="str">
        <f>IF(A808="", "", IF(IFERROR(VLOOKUP(A808, 'Base 3F'!$B:$J, 9, FALSE),"")="", "SIN RUBRO", VLOOKUP(A808, 'Base 3F'!$B:$J, 9, FALSE)))</f>
        <v>Servicios</v>
      </c>
      <c r="D808" s="58" t="s">
        <v>4891</v>
      </c>
      <c r="E808" s="10" t="s">
        <v>2392</v>
      </c>
      <c r="F808" s="46" t="s">
        <v>115</v>
      </c>
    </row>
    <row r="809">
      <c r="A809" s="285" t="s">
        <v>2163</v>
      </c>
      <c r="B809" s="252">
        <f>IF(A809="", "", IF(IFERROR(VLOOKUP(A809, 'Base 3F'!$B:$C, 2, FALSE),"")="", "SIN CUIT", VLOOKUP(A809, 'Base 3F'!$B:$C, 2, FALSE)))</f>
        <v>30714021334</v>
      </c>
      <c r="C809" s="253" t="str">
        <f>IF(A809="", "", IF(IFERROR(VLOOKUP(A809, 'Base 3F'!$B:$J, 9, FALSE),"")="", "SIN RUBRO", VLOOKUP(A809, 'Base 3F'!$B:$J, 9, FALSE)))</f>
        <v>Metalúrgica</v>
      </c>
      <c r="D809" s="58" t="s">
        <v>4898</v>
      </c>
      <c r="E809" s="10" t="s">
        <v>2392</v>
      </c>
      <c r="F809" s="46" t="s">
        <v>115</v>
      </c>
    </row>
    <row r="810">
      <c r="A810" s="285" t="s">
        <v>2167</v>
      </c>
      <c r="B810" s="252">
        <f>IF(A810="", "", IF(IFERROR(VLOOKUP(A810, 'Base 3F'!$B:$C, 2, FALSE),"")="", "SIN CUIT", VLOOKUP(A810, 'Base 3F'!$B:$C, 2, FALSE)))</f>
        <v>30621411477</v>
      </c>
      <c r="C810" s="253" t="str">
        <f>IF(A810="", "", IF(IFERROR(VLOOKUP(A810, 'Base 3F'!$B:$J, 9, FALSE),"")="", "SIN RUBRO", VLOOKUP(A810, 'Base 3F'!$B:$J, 9, FALSE)))</f>
        <v>Plástica</v>
      </c>
      <c r="D810" s="58" t="s">
        <v>4903</v>
      </c>
      <c r="E810" s="10" t="s">
        <v>2392</v>
      </c>
      <c r="F810" s="46" t="s">
        <v>115</v>
      </c>
    </row>
    <row r="811">
      <c r="A811" s="285" t="s">
        <v>2175</v>
      </c>
      <c r="B811" s="252">
        <f>IF(A811="", "", IF(IFERROR(VLOOKUP(A811, 'Base 3F'!$B:$C, 2, FALSE),"")="", "SIN CUIT", VLOOKUP(A811, 'Base 3F'!$B:$C, 2, FALSE)))</f>
        <v>20086080525</v>
      </c>
      <c r="C811" s="253" t="str">
        <f>IF(A811="", "", IF(IFERROR(VLOOKUP(A811, 'Base 3F'!$B:$J, 9, FALSE),"")="", "SIN RUBRO", VLOOKUP(A811, 'Base 3F'!$B:$J, 9, FALSE)))</f>
        <v>Plástica</v>
      </c>
      <c r="D811" s="58" t="s">
        <v>4906</v>
      </c>
      <c r="E811" s="10" t="s">
        <v>2392</v>
      </c>
      <c r="F811" s="46" t="s">
        <v>115</v>
      </c>
    </row>
    <row r="812">
      <c r="A812" s="285" t="s">
        <v>2190</v>
      </c>
      <c r="B812" s="252">
        <f>IF(A812="", "", IF(IFERROR(VLOOKUP(A812, 'Base 3F'!$B:$C, 2, FALSE),"")="", "SIN CUIT", VLOOKUP(A812, 'Base 3F'!$B:$C, 2, FALSE)))</f>
        <v>30701159051</v>
      </c>
      <c r="C812" s="253" t="str">
        <f>IF(A812="", "", IF(IFERROR(VLOOKUP(A812, 'Base 3F'!$B:$J, 9, FALSE),"")="", "SIN RUBRO", VLOOKUP(A812, 'Base 3F'!$B:$J, 9, FALSE)))</f>
        <v>Metalúrgica</v>
      </c>
      <c r="D812" s="58" t="s">
        <v>4916</v>
      </c>
      <c r="E812" s="10" t="s">
        <v>2392</v>
      </c>
      <c r="F812" s="46" t="s">
        <v>115</v>
      </c>
    </row>
    <row r="813">
      <c r="A813" s="285" t="s">
        <v>2197</v>
      </c>
      <c r="B813" s="252">
        <f>IF(A813="", "", IF(IFERROR(VLOOKUP(A813, 'Base 3F'!$B:$C, 2, FALSE),"")="", "SIN CUIT", VLOOKUP(A813, 'Base 3F'!$B:$C, 2, FALSE)))</f>
        <v>30643537199</v>
      </c>
      <c r="C813" s="253" t="str">
        <f>IF(A813="", "", IF(IFERROR(VLOOKUP(A813, 'Base 3F'!$B:$J, 9, FALSE),"")="", "SIN RUBRO", VLOOKUP(A813, 'Base 3F'!$B:$J, 9, FALSE)))</f>
        <v>Metalúrgica</v>
      </c>
      <c r="D813" s="58" t="s">
        <v>4920</v>
      </c>
      <c r="E813" s="10" t="s">
        <v>2392</v>
      </c>
      <c r="F813" s="46" t="s">
        <v>115</v>
      </c>
    </row>
    <row r="814">
      <c r="A814" s="285" t="s">
        <v>2209</v>
      </c>
      <c r="B814" s="252">
        <f>IF(A814="", "", IF(IFERROR(VLOOKUP(A814, 'Base 3F'!$B:$C, 2, FALSE),"")="", "SIN CUIT", VLOOKUP(A814, 'Base 3F'!$B:$C, 2, FALSE)))</f>
        <v>30663738948</v>
      </c>
      <c r="C814" s="253" t="str">
        <f>IF(A814="", "", IF(IFERROR(VLOOKUP(A814, 'Base 3F'!$B:$J, 9, FALSE),"")="", "SIN RUBRO", VLOOKUP(A814, 'Base 3F'!$B:$J, 9, FALSE)))</f>
        <v>Metalúrgica</v>
      </c>
      <c r="D814" s="58" t="s">
        <v>4923</v>
      </c>
      <c r="E814" s="10" t="s">
        <v>2392</v>
      </c>
      <c r="F814" s="46" t="s">
        <v>115</v>
      </c>
    </row>
    <row r="815">
      <c r="A815" s="285" t="s">
        <v>1083</v>
      </c>
      <c r="B815" s="252">
        <f>IF(A815="", "", IF(IFERROR(VLOOKUP(A815, 'Base 3F'!$B:$C, 2, FALSE),"")="", "SIN CUIT", VLOOKUP(A815, 'Base 3F'!$B:$C, 2, FALSE)))</f>
        <v>30710081111</v>
      </c>
      <c r="C815" s="253" t="str">
        <f>IF(A815="", "", IF(IFERROR(VLOOKUP(A815, 'Base 3F'!$B:$J, 9, FALSE),"")="", "SIN RUBRO", VLOOKUP(A815, 'Base 3F'!$B:$J, 9, FALSE)))</f>
        <v>Metalúrgica</v>
      </c>
      <c r="D815" s="58" t="s">
        <v>4926</v>
      </c>
      <c r="E815" s="10" t="s">
        <v>2392</v>
      </c>
      <c r="F815" s="46" t="s">
        <v>115</v>
      </c>
    </row>
    <row r="816">
      <c r="A816" s="285" t="s">
        <v>2225</v>
      </c>
      <c r="B816" s="252">
        <f>IF(A816="", "", IF(IFERROR(VLOOKUP(A816, 'Base 3F'!$B:$C, 2, FALSE),"")="", "SIN CUIT", VLOOKUP(A816, 'Base 3F'!$B:$C, 2, FALSE)))</f>
        <v>30650849805</v>
      </c>
      <c r="C816" s="253" t="str">
        <f>IF(A816="", "", IF(IFERROR(VLOOKUP(A816, 'Base 3F'!$B:$J, 9, FALSE),"")="", "SIN RUBRO", VLOOKUP(A816, 'Base 3F'!$B:$J, 9, FALSE)))</f>
        <v>Alimenticia</v>
      </c>
      <c r="D816" s="242" t="s">
        <v>4934</v>
      </c>
      <c r="E816" s="10" t="s">
        <v>2392</v>
      </c>
      <c r="F816" s="46" t="s">
        <v>1625</v>
      </c>
    </row>
    <row r="817">
      <c r="A817" s="285" t="s">
        <v>1090</v>
      </c>
      <c r="B817" s="252">
        <f>IF(A817="", "", IF(IFERROR(VLOOKUP(A817, 'Base 3F'!$B:$C, 2, FALSE),"")="", "SIN CUIT", VLOOKUP(A817, 'Base 3F'!$B:$C, 2, FALSE)))</f>
        <v>30574349334</v>
      </c>
      <c r="C817" s="253" t="str">
        <f>IF(A817="", "", IF(IFERROR(VLOOKUP(A817, 'Base 3F'!$B:$J, 9, FALSE),"")="", "SIN RUBRO", VLOOKUP(A817, 'Base 3F'!$B:$J, 9, FALSE)))</f>
        <v>Servicios</v>
      </c>
      <c r="D817" s="58" t="s">
        <v>4936</v>
      </c>
      <c r="E817" s="10" t="s">
        <v>2392</v>
      </c>
      <c r="F817" s="46" t="s">
        <v>115</v>
      </c>
    </row>
    <row r="818">
      <c r="A818" s="285" t="s">
        <v>2245</v>
      </c>
      <c r="B818" s="252">
        <f>IF(A818="", "", IF(IFERROR(VLOOKUP(A818, 'Base 3F'!$B:$C, 2, FALSE),"")="", "SIN CUIT", VLOOKUP(A818, 'Base 3F'!$B:$C, 2, FALSE)))</f>
        <v>23131328974</v>
      </c>
      <c r="C818" s="253" t="str">
        <f>IF(A818="", "", IF(IFERROR(VLOOKUP(A818, 'Base 3F'!$B:$J, 9, FALSE),"")="", "SIN RUBRO", VLOOKUP(A818, 'Base 3F'!$B:$J, 9, FALSE)))</f>
        <v>Textil</v>
      </c>
      <c r="D818" s="58" t="s">
        <v>4940</v>
      </c>
      <c r="E818" s="10" t="s">
        <v>2392</v>
      </c>
      <c r="F818" s="46" t="s">
        <v>115</v>
      </c>
    </row>
    <row r="819">
      <c r="A819" s="285" t="s">
        <v>2258</v>
      </c>
      <c r="B819" s="252">
        <f>IF(A819="", "", IF(IFERROR(VLOOKUP(A819, 'Base 3F'!$B:$C, 2, FALSE),"")="", "SIN CUIT", VLOOKUP(A819, 'Base 3F'!$B:$C, 2, FALSE)))</f>
        <v>30709905259</v>
      </c>
      <c r="C819" s="253" t="str">
        <f>IF(A819="", "", IF(IFERROR(VLOOKUP(A819, 'Base 3F'!$B:$J, 9, FALSE),"")="", "SIN RUBRO", VLOOKUP(A819, 'Base 3F'!$B:$J, 9, FALSE)))</f>
        <v>Metalúrgica</v>
      </c>
      <c r="D819" s="58" t="s">
        <v>4942</v>
      </c>
      <c r="E819" s="10" t="s">
        <v>2392</v>
      </c>
      <c r="F819" s="46" t="s">
        <v>115</v>
      </c>
    </row>
    <row r="820">
      <c r="A820" s="285" t="s">
        <v>1100</v>
      </c>
      <c r="B820" s="252">
        <f>IF(A820="", "", IF(IFERROR(VLOOKUP(A820, 'Base 3F'!$B:$C, 2, FALSE),"")="", "SIN CUIT", VLOOKUP(A820, 'Base 3F'!$B:$C, 2, FALSE)))</f>
        <v>30701165191</v>
      </c>
      <c r="C820" s="253" t="str">
        <f>IF(A820="", "", IF(IFERROR(VLOOKUP(A820, 'Base 3F'!$B:$J, 9, FALSE),"")="", "SIN RUBRO", VLOOKUP(A820, 'Base 3F'!$B:$J, 9, FALSE)))</f>
        <v>Metalúrgica</v>
      </c>
      <c r="D820" s="58" t="s">
        <v>4945</v>
      </c>
      <c r="E820" s="10" t="s">
        <v>2392</v>
      </c>
      <c r="F820" s="46" t="s">
        <v>115</v>
      </c>
    </row>
    <row r="821">
      <c r="A821" s="285" t="s">
        <v>1110</v>
      </c>
      <c r="B821" s="252">
        <f>IF(A821="", "", IF(IFERROR(VLOOKUP(A821, 'Base 3F'!$B:$C, 2, FALSE),"")="", "SIN CUIT", VLOOKUP(A821, 'Base 3F'!$B:$C, 2, FALSE)))</f>
        <v>30708135425</v>
      </c>
      <c r="C821" s="253" t="str">
        <f>IF(A821="", "", IF(IFERROR(VLOOKUP(A821, 'Base 3F'!$B:$J, 9, FALSE),"")="", "SIN RUBRO", VLOOKUP(A821, 'Base 3F'!$B:$J, 9, FALSE)))</f>
        <v>Metalúrgica</v>
      </c>
      <c r="D821" s="58" t="s">
        <v>4949</v>
      </c>
      <c r="E821" s="10" t="s">
        <v>2392</v>
      </c>
      <c r="F821" s="46" t="s">
        <v>115</v>
      </c>
    </row>
    <row r="822">
      <c r="A822" s="285" t="s">
        <v>2286</v>
      </c>
      <c r="B822" s="252">
        <f>IF(A822="", "", IF(IFERROR(VLOOKUP(A822, 'Base 3F'!$B:$C, 2, FALSE),"")="", "SIN CUIT", VLOOKUP(A822, 'Base 3F'!$B:$C, 2, FALSE)))</f>
        <v>23257714934</v>
      </c>
      <c r="C822" s="253" t="str">
        <f>IF(A822="", "", IF(IFERROR(VLOOKUP(A822, 'Base 3F'!$B:$J, 9, FALSE),"")="", "SIN RUBRO", VLOOKUP(A822, 'Base 3F'!$B:$J, 9, FALSE)))</f>
        <v>Textil</v>
      </c>
      <c r="D822" s="58" t="s">
        <v>4959</v>
      </c>
      <c r="E822" s="10" t="s">
        <v>2392</v>
      </c>
      <c r="F822" s="46" t="s">
        <v>115</v>
      </c>
    </row>
    <row r="823">
      <c r="A823" s="285" t="s">
        <v>2300</v>
      </c>
      <c r="B823" s="252">
        <f>IF(A823="", "", IF(IFERROR(VLOOKUP(A823, 'Base 3F'!$B:$C, 2, FALSE),"")="", "SIN CUIT", VLOOKUP(A823, 'Base 3F'!$B:$C, 2, FALSE)))</f>
        <v>30660723958</v>
      </c>
      <c r="C823" s="253" t="str">
        <f>IF(A823="", "", IF(IFERROR(VLOOKUP(A823, 'Base 3F'!$B:$J, 9, FALSE),"")="", "SIN RUBRO", VLOOKUP(A823, 'Base 3F'!$B:$J, 9, FALSE)))</f>
        <v>Plástica</v>
      </c>
      <c r="D823" s="58" t="s">
        <v>4964</v>
      </c>
      <c r="E823" s="10" t="s">
        <v>2392</v>
      </c>
      <c r="F823" s="46" t="s">
        <v>115</v>
      </c>
    </row>
    <row r="824">
      <c r="A824" s="285" t="s">
        <v>2311</v>
      </c>
      <c r="B824" s="252">
        <f>IF(A824="", "", IF(IFERROR(VLOOKUP(A824, 'Base 3F'!$B:$C, 2, FALSE),"")="", "SIN CUIT", VLOOKUP(A824, 'Base 3F'!$B:$C, 2, FALSE)))</f>
        <v>30683119063</v>
      </c>
      <c r="C824" s="253" t="str">
        <f>IF(A824="", "", IF(IFERROR(VLOOKUP(A824, 'Base 3F'!$B:$J, 9, FALSE),"")="", "SIN RUBRO", VLOOKUP(A824, 'Base 3F'!$B:$J, 9, FALSE)))</f>
        <v>Construcción</v>
      </c>
      <c r="D824" s="58" t="s">
        <v>4968</v>
      </c>
      <c r="E824" s="10" t="s">
        <v>2392</v>
      </c>
      <c r="F824" s="46" t="s">
        <v>115</v>
      </c>
    </row>
    <row r="825">
      <c r="A825" s="285" t="s">
        <v>2323</v>
      </c>
      <c r="B825" s="252">
        <f>IF(A825="", "", IF(IFERROR(VLOOKUP(A825, 'Base 3F'!$B:$C, 2, FALSE),"")="", "SIN CUIT", VLOOKUP(A825, 'Base 3F'!$B:$C, 2, FALSE)))</f>
        <v>33653970809</v>
      </c>
      <c r="C825" s="253" t="str">
        <f>IF(A825="", "", IF(IFERROR(VLOOKUP(A825, 'Base 3F'!$B:$J, 9, FALSE),"")="", "SIN RUBRO", VLOOKUP(A825, 'Base 3F'!$B:$J, 9, FALSE)))</f>
        <v>Servicios</v>
      </c>
      <c r="D825" s="96" t="s">
        <v>4971</v>
      </c>
      <c r="E825" s="10" t="s">
        <v>2392</v>
      </c>
      <c r="F825" s="46" t="s">
        <v>115</v>
      </c>
    </row>
    <row r="826">
      <c r="A826" s="285" t="s">
        <v>2356</v>
      </c>
      <c r="B826" s="252">
        <f>IF(A826="", "", IF(IFERROR(VLOOKUP(A826, 'Base 3F'!$B:$C, 2, FALSE),"")="", "SIN CUIT", VLOOKUP(A826, 'Base 3F'!$B:$C, 2, FALSE)))</f>
        <v>33709770379</v>
      </c>
      <c r="C826" s="253" t="str">
        <f>IF(A826="", "", IF(IFERROR(VLOOKUP(A826, 'Base 3F'!$B:$J, 9, FALSE),"")="", "SIN RUBRO", VLOOKUP(A826, 'Base 3F'!$B:$J, 9, FALSE)))</f>
        <v>Metalúrgica</v>
      </c>
      <c r="D826" s="58" t="s">
        <v>4974</v>
      </c>
      <c r="E826" s="10" t="s">
        <v>2392</v>
      </c>
      <c r="F826" s="46" t="s">
        <v>115</v>
      </c>
    </row>
    <row r="827">
      <c r="A827" s="285" t="s">
        <v>1135</v>
      </c>
      <c r="B827" s="252">
        <f>IF(A827="", "", IF(IFERROR(VLOOKUP(A827, 'Base 3F'!$B:$C, 2, FALSE),"")="", "SIN CUIT", VLOOKUP(A827, 'Base 3F'!$B:$C, 2, FALSE)))</f>
        <v>30663746827</v>
      </c>
      <c r="C827" s="253" t="str">
        <f>IF(A827="", "", IF(IFERROR(VLOOKUP(A827, 'Base 3F'!$B:$J, 9, FALSE),"")="", "SIN RUBRO", VLOOKUP(A827, 'Base 3F'!$B:$J, 9, FALSE)))</f>
        <v>Plástica</v>
      </c>
      <c r="D827" s="58" t="s">
        <v>4978</v>
      </c>
      <c r="E827" s="10" t="s">
        <v>2392</v>
      </c>
      <c r="F827" s="46" t="s">
        <v>115</v>
      </c>
    </row>
    <row r="828">
      <c r="A828" s="285" t="s">
        <v>2376</v>
      </c>
      <c r="B828" s="252">
        <f>IF(A828="", "", IF(IFERROR(VLOOKUP(A828, 'Base 3F'!$B:$C, 2, FALSE),"")="", "SIN CUIT", VLOOKUP(A828, 'Base 3F'!$B:$C, 2, FALSE)))</f>
        <v>27202018942</v>
      </c>
      <c r="C828" s="253" t="str">
        <f>IF(A828="", "", IF(IFERROR(VLOOKUP(A828, 'Base 3F'!$B:$J, 9, FALSE),"")="", "SIN RUBRO", VLOOKUP(A828, 'Base 3F'!$B:$J, 9, FALSE)))</f>
        <v>Metalmecánica</v>
      </c>
      <c r="D828" s="58" t="s">
        <v>4980</v>
      </c>
      <c r="E828" s="10" t="s">
        <v>2392</v>
      </c>
      <c r="F828" s="46" t="s">
        <v>115</v>
      </c>
    </row>
    <row r="829">
      <c r="A829" s="285" t="s">
        <v>2409</v>
      </c>
      <c r="B829" s="252">
        <f>IF(A829="", "", IF(IFERROR(VLOOKUP(A829, 'Base 3F'!$B:$C, 2, FALSE),"")="", "SIN CUIT", VLOOKUP(A829, 'Base 3F'!$B:$C, 2, FALSE)))</f>
        <v>30629646708</v>
      </c>
      <c r="C829" s="253" t="str">
        <f>IF(A829="", "", IF(IFERROR(VLOOKUP(A829, 'Base 3F'!$B:$J, 9, FALSE),"")="", "SIN RUBRO", VLOOKUP(A829, 'Base 3F'!$B:$J, 9, FALSE)))</f>
        <v>Servicios</v>
      </c>
      <c r="D829" s="122" t="s">
        <v>4983</v>
      </c>
      <c r="E829" s="10" t="s">
        <v>2392</v>
      </c>
      <c r="F829" s="46" t="s">
        <v>115</v>
      </c>
    </row>
    <row r="830">
      <c r="A830" s="285" t="s">
        <v>1150</v>
      </c>
      <c r="B830" s="252">
        <f>IF(A830="", "", IF(IFERROR(VLOOKUP(A830, 'Base 3F'!$B:$C, 2, FALSE),"")="", "SIN CUIT", VLOOKUP(A830, 'Base 3F'!$B:$C, 2, FALSE)))</f>
        <v>30709003018</v>
      </c>
      <c r="C830" s="253" t="str">
        <f>IF(A830="", "", IF(IFERROR(VLOOKUP(A830, 'Base 3F'!$B:$J, 9, FALSE),"")="", "SIN RUBRO", VLOOKUP(A830, 'Base 3F'!$B:$J, 9, FALSE)))</f>
        <v>Metalmecánica</v>
      </c>
      <c r="D830" s="58" t="s">
        <v>4988</v>
      </c>
      <c r="E830" s="10" t="s">
        <v>2392</v>
      </c>
      <c r="F830" s="46" t="s">
        <v>115</v>
      </c>
    </row>
    <row r="831">
      <c r="A831" s="285" t="s">
        <v>2431</v>
      </c>
      <c r="B831" s="252">
        <f>IF(A831="", "", IF(IFERROR(VLOOKUP(A831, 'Base 3F'!$B:$C, 2, FALSE),"")="", "SIN CUIT", VLOOKUP(A831, 'Base 3F'!$B:$C, 2, FALSE)))</f>
        <v>30708740019</v>
      </c>
      <c r="C831" s="253" t="str">
        <f>IF(A831="", "", IF(IFERROR(VLOOKUP(A831, 'Base 3F'!$B:$J, 9, FALSE),"")="", "SIN RUBRO", VLOOKUP(A831, 'Base 3F'!$B:$J, 9, FALSE)))</f>
        <v>Metalúrgica</v>
      </c>
      <c r="D831" s="58" t="s">
        <v>4991</v>
      </c>
      <c r="E831" s="10" t="s">
        <v>2392</v>
      </c>
      <c r="F831" s="46" t="s">
        <v>115</v>
      </c>
    </row>
    <row r="832">
      <c r="A832" s="285" t="s">
        <v>2442</v>
      </c>
      <c r="B832" s="252">
        <f>IF(A832="", "", IF(IFERROR(VLOOKUP(A832, 'Base 3F'!$B:$C, 2, FALSE),"")="", "SIN CUIT", VLOOKUP(A832, 'Base 3F'!$B:$C, 2, FALSE)))</f>
        <v>30707472835</v>
      </c>
      <c r="C832" s="253" t="str">
        <f>IF(A832="", "", IF(IFERROR(VLOOKUP(A832, 'Base 3F'!$B:$J, 9, FALSE),"")="", "SIN RUBRO", VLOOKUP(A832, 'Base 3F'!$B:$J, 9, FALSE)))</f>
        <v>Plástica</v>
      </c>
      <c r="D832" s="58" t="s">
        <v>4995</v>
      </c>
      <c r="E832" s="10" t="s">
        <v>2392</v>
      </c>
      <c r="F832" s="46" t="s">
        <v>115</v>
      </c>
    </row>
    <row r="833">
      <c r="A833" s="285" t="s">
        <v>2453</v>
      </c>
      <c r="B833" s="252">
        <f>IF(A833="", "", IF(IFERROR(VLOOKUP(A833, 'Base 3F'!$B:$C, 2, FALSE),"")="", "SIN CUIT", VLOOKUP(A833, 'Base 3F'!$B:$C, 2, FALSE)))</f>
        <v>30708154527</v>
      </c>
      <c r="C833" s="253" t="str">
        <f>IF(A833="", "", IF(IFERROR(VLOOKUP(A833, 'Base 3F'!$B:$J, 9, FALSE),"")="", "SIN RUBRO", VLOOKUP(A833, 'Base 3F'!$B:$J, 9, FALSE)))</f>
        <v>Metalúrgica</v>
      </c>
      <c r="D833" s="58" t="s">
        <v>5004</v>
      </c>
      <c r="E833" s="10" t="s">
        <v>2392</v>
      </c>
      <c r="F833" s="46" t="s">
        <v>115</v>
      </c>
    </row>
    <row r="834">
      <c r="A834" s="285" t="s">
        <v>2462</v>
      </c>
      <c r="B834" s="252">
        <f>IF(A834="", "", IF(IFERROR(VLOOKUP(A834, 'Base 3F'!$B:$C, 2, FALSE),"")="", "SIN CUIT", VLOOKUP(A834, 'Base 3F'!$B:$C, 2, FALSE)))</f>
        <v>30581164161</v>
      </c>
      <c r="C834" s="253" t="str">
        <f>IF(A834="", "", IF(IFERROR(VLOOKUP(A834, 'Base 3F'!$B:$J, 9, FALSE),"")="", "SIN RUBRO", VLOOKUP(A834, 'Base 3F'!$B:$J, 9, FALSE)))</f>
        <v>Manufactura</v>
      </c>
      <c r="D834" s="58" t="s">
        <v>5008</v>
      </c>
      <c r="E834" s="10" t="s">
        <v>2392</v>
      </c>
      <c r="F834" s="46" t="s">
        <v>115</v>
      </c>
    </row>
    <row r="835">
      <c r="A835" s="285" t="s">
        <v>2467</v>
      </c>
      <c r="B835" s="252">
        <f>IF(A835="", "", IF(IFERROR(VLOOKUP(A835, 'Base 3F'!$B:$C, 2, FALSE),"")="", "SIN CUIT", VLOOKUP(A835, 'Base 3F'!$B:$C, 2, FALSE)))</f>
        <v>30709596523</v>
      </c>
      <c r="C835" s="253" t="str">
        <f>IF(A835="", "", IF(IFERROR(VLOOKUP(A835, 'Base 3F'!$B:$J, 9, FALSE),"")="", "SIN RUBRO", VLOOKUP(A835, 'Base 3F'!$B:$J, 9, FALSE)))</f>
        <v>Metalmecánica</v>
      </c>
      <c r="D835" s="58" t="s">
        <v>5012</v>
      </c>
      <c r="E835" s="10" t="s">
        <v>2392</v>
      </c>
      <c r="F835" s="46" t="s">
        <v>115</v>
      </c>
    </row>
    <row r="836">
      <c r="A836" s="285" t="s">
        <v>2476</v>
      </c>
      <c r="B836" s="252">
        <f>IF(A836="", "", IF(IFERROR(VLOOKUP(A836, 'Base 3F'!$B:$C, 2, FALSE),"")="", "SIN CUIT", VLOOKUP(A836, 'Base 3F'!$B:$C, 2, FALSE)))</f>
        <v>30712202102</v>
      </c>
      <c r="C836" s="253" t="str">
        <f>IF(A836="", "", IF(IFERROR(VLOOKUP(A836, 'Base 3F'!$B:$J, 9, FALSE),"")="", "SIN RUBRO", VLOOKUP(A836, 'Base 3F'!$B:$J, 9, FALSE)))</f>
        <v>Vidrio</v>
      </c>
      <c r="D836" s="58" t="s">
        <v>5018</v>
      </c>
      <c r="E836" s="10" t="s">
        <v>2392</v>
      </c>
      <c r="F836" s="46" t="s">
        <v>115</v>
      </c>
    </row>
    <row r="837">
      <c r="A837" s="285" t="s">
        <v>2483</v>
      </c>
      <c r="B837" s="252">
        <f>IF(A837="", "", IF(IFERROR(VLOOKUP(A837, 'Base 3F'!$B:$C, 2, FALSE),"")="", "SIN CUIT", VLOOKUP(A837, 'Base 3F'!$B:$C, 2, FALSE)))</f>
        <v>30709335258</v>
      </c>
      <c r="C837" s="253" t="str">
        <f>IF(A837="", "", IF(IFERROR(VLOOKUP(A837, 'Base 3F'!$B:$J, 9, FALSE),"")="", "SIN RUBRO", VLOOKUP(A837, 'Base 3F'!$B:$J, 9, FALSE)))</f>
        <v>Metalmecánica</v>
      </c>
      <c r="D837" s="58" t="s">
        <v>5021</v>
      </c>
      <c r="E837" s="10" t="s">
        <v>2392</v>
      </c>
      <c r="F837" s="46" t="s">
        <v>115</v>
      </c>
    </row>
    <row r="838">
      <c r="A838" s="285" t="s">
        <v>2490</v>
      </c>
      <c r="B838" s="252">
        <f>IF(A838="", "", IF(IFERROR(VLOOKUP(A838, 'Base 3F'!$B:$C, 2, FALSE),"")="", "SIN CUIT", VLOOKUP(A838, 'Base 3F'!$B:$C, 2, FALSE)))</f>
        <v>20267606405</v>
      </c>
      <c r="C838" s="253" t="str">
        <f>IF(A838="", "", IF(IFERROR(VLOOKUP(A838, 'Base 3F'!$B:$J, 9, FALSE),"")="", "SIN RUBRO", VLOOKUP(A838, 'Base 3F'!$B:$J, 9, FALSE)))</f>
        <v>Metalúrgica</v>
      </c>
      <c r="D838" s="58" t="s">
        <v>5025</v>
      </c>
      <c r="E838" s="10" t="s">
        <v>2392</v>
      </c>
      <c r="F838" s="46" t="s">
        <v>115</v>
      </c>
    </row>
    <row r="839">
      <c r="A839" s="285" t="s">
        <v>2505</v>
      </c>
      <c r="B839" s="252">
        <f>IF(A839="", "", IF(IFERROR(VLOOKUP(A839, 'Base 3F'!$B:$C, 2, FALSE),"")="", "SIN CUIT", VLOOKUP(A839, 'Base 3F'!$B:$C, 2, FALSE)))</f>
        <v>30515910871</v>
      </c>
      <c r="C839" s="253" t="str">
        <f>IF(A839="", "", IF(IFERROR(VLOOKUP(A839, 'Base 3F'!$B:$J, 9, FALSE),"")="", "SIN RUBRO", VLOOKUP(A839, 'Base 3F'!$B:$J, 9, FALSE)))</f>
        <v>Metalúrgica</v>
      </c>
      <c r="D839" s="122" t="s">
        <v>5029</v>
      </c>
      <c r="E839" s="10" t="s">
        <v>2392</v>
      </c>
      <c r="F839" s="46" t="s">
        <v>115</v>
      </c>
    </row>
    <row r="840">
      <c r="A840" s="285" t="s">
        <v>2516</v>
      </c>
      <c r="B840" s="252" t="str">
        <f>IF(A840="", "", IF(IFERROR(VLOOKUP(A840, 'Base 3F'!$B:$C, 2, FALSE),"")="", "SIN CUIT", VLOOKUP(A840, 'Base 3F'!$B:$C, 2, FALSE)))</f>
        <v>Averiguar</v>
      </c>
      <c r="C840" s="253" t="str">
        <f>IF(A840="", "", IF(IFERROR(VLOOKUP(A840, 'Base 3F'!$B:$J, 9, FALSE),"")="", "SIN RUBRO", VLOOKUP(A840, 'Base 3F'!$B:$J, 9, FALSE)))</f>
        <v>Plástica</v>
      </c>
      <c r="D840" s="96" t="s">
        <v>5032</v>
      </c>
      <c r="E840" s="10" t="s">
        <v>2392</v>
      </c>
      <c r="F840" s="46" t="s">
        <v>115</v>
      </c>
    </row>
    <row r="841">
      <c r="A841" s="285" t="s">
        <v>1167</v>
      </c>
      <c r="B841" s="252">
        <f>IF(A841="", "", IF(IFERROR(VLOOKUP(A841, 'Base 3F'!$B:$C, 2, FALSE),"")="", "SIN CUIT", VLOOKUP(A841, 'Base 3F'!$B:$C, 2, FALSE)))</f>
        <v>30701135039</v>
      </c>
      <c r="C841" s="253" t="str">
        <f>IF(A841="", "", IF(IFERROR(VLOOKUP(A841, 'Base 3F'!$B:$J, 9, FALSE),"")="", "SIN RUBRO", VLOOKUP(A841, 'Base 3F'!$B:$J, 9, FALSE)))</f>
        <v>Servicios</v>
      </c>
      <c r="D841" s="58" t="s">
        <v>5035</v>
      </c>
      <c r="E841" s="10" t="s">
        <v>2392</v>
      </c>
      <c r="F841" s="46" t="s">
        <v>115</v>
      </c>
    </row>
    <row r="842">
      <c r="A842" s="285" t="s">
        <v>2556</v>
      </c>
      <c r="B842" s="252">
        <f>IF(A842="", "", IF(IFERROR(VLOOKUP(A842, 'Base 3F'!$B:$C, 2, FALSE),"")="", "SIN CUIT", VLOOKUP(A842, 'Base 3F'!$B:$C, 2, FALSE)))</f>
        <v>30582152981</v>
      </c>
      <c r="C842" s="253" t="str">
        <f>IF(A842="", "", IF(IFERROR(VLOOKUP(A842, 'Base 3F'!$B:$J, 9, FALSE),"")="", "SIN RUBRO", VLOOKUP(A842, 'Base 3F'!$B:$J, 9, FALSE)))</f>
        <v>Calzado</v>
      </c>
      <c r="D842" s="58" t="s">
        <v>5042</v>
      </c>
      <c r="E842" s="10" t="s">
        <v>2392</v>
      </c>
      <c r="F842" s="46" t="s">
        <v>115</v>
      </c>
    </row>
    <row r="843">
      <c r="A843" s="285" t="s">
        <v>1175</v>
      </c>
      <c r="B843" s="252">
        <f>IF(A843="", "", IF(IFERROR(VLOOKUP(A843, 'Base 3F'!$B:$C, 2, FALSE),"")="", "SIN CUIT", VLOOKUP(A843, 'Base 3F'!$B:$C, 2, FALSE)))</f>
        <v>30709969575</v>
      </c>
      <c r="C843" s="253" t="str">
        <f>IF(A843="", "", IF(IFERROR(VLOOKUP(A843, 'Base 3F'!$B:$J, 9, FALSE),"")="", "SIN RUBRO", VLOOKUP(A843, 'Base 3F'!$B:$J, 9, FALSE)))</f>
        <v>Textil</v>
      </c>
      <c r="D843" s="58" t="s">
        <v>5048</v>
      </c>
      <c r="E843" s="10" t="s">
        <v>2392</v>
      </c>
      <c r="F843" s="46" t="s">
        <v>115</v>
      </c>
    </row>
    <row r="844">
      <c r="A844" s="285" t="s">
        <v>2576</v>
      </c>
      <c r="B844" s="252">
        <f>IF(A844="", "", IF(IFERROR(VLOOKUP(A844, 'Base 3F'!$B:$C, 2, FALSE),"")="", "SIN CUIT", VLOOKUP(A844, 'Base 3F'!$B:$C, 2, FALSE)))</f>
        <v>30707589309</v>
      </c>
      <c r="C844" s="253" t="str">
        <f>IF(A844="", "", IF(IFERROR(VLOOKUP(A844, 'Base 3F'!$B:$J, 9, FALSE),"")="", "SIN RUBRO", VLOOKUP(A844, 'Base 3F'!$B:$J, 9, FALSE)))</f>
        <v>Madera</v>
      </c>
      <c r="D844" s="58" t="s">
        <v>5051</v>
      </c>
      <c r="E844" s="10" t="s">
        <v>2392</v>
      </c>
      <c r="F844" s="46" t="s">
        <v>115</v>
      </c>
    </row>
    <row r="845">
      <c r="A845" s="285" t="s">
        <v>2590</v>
      </c>
      <c r="B845" s="252">
        <f>IF(A845="", "", IF(IFERROR(VLOOKUP(A845, 'Base 3F'!$B:$C, 2, FALSE),"")="", "SIN CUIT", VLOOKUP(A845, 'Base 3F'!$B:$C, 2, FALSE)))</f>
        <v>20299507816</v>
      </c>
      <c r="C845" s="253" t="str">
        <f>IF(A845="", "", IF(IFERROR(VLOOKUP(A845, 'Base 3F'!$B:$J, 9, FALSE),"")="", "SIN RUBRO", VLOOKUP(A845, 'Base 3F'!$B:$J, 9, FALSE)))</f>
        <v>Madera</v>
      </c>
      <c r="D845" s="58" t="s">
        <v>5056</v>
      </c>
      <c r="E845" s="10" t="s">
        <v>2392</v>
      </c>
      <c r="F845" s="46" t="s">
        <v>115</v>
      </c>
    </row>
    <row r="846">
      <c r="A846" s="285" t="s">
        <v>2596</v>
      </c>
      <c r="B846" s="252">
        <f>IF(A846="", "", IF(IFERROR(VLOOKUP(A846, 'Base 3F'!$B:$C, 2, FALSE),"")="", "SIN CUIT", VLOOKUP(A846, 'Base 3F'!$B:$C, 2, FALSE)))</f>
        <v>30712238190</v>
      </c>
      <c r="C846" s="253" t="str">
        <f>IF(A846="", "", IF(IFERROR(VLOOKUP(A846, 'Base 3F'!$B:$J, 9, FALSE),"")="", "SIN RUBRO", VLOOKUP(A846, 'Base 3F'!$B:$J, 9, FALSE)))</f>
        <v>Cosmética</v>
      </c>
      <c r="D846" s="58" t="s">
        <v>5059</v>
      </c>
      <c r="E846" s="10" t="s">
        <v>2392</v>
      </c>
      <c r="F846" s="46" t="s">
        <v>115</v>
      </c>
    </row>
    <row r="847">
      <c r="A847" s="285" t="s">
        <v>2612</v>
      </c>
      <c r="B847" s="252">
        <f>IF(A847="", "", IF(IFERROR(VLOOKUP(A847, 'Base 3F'!$B:$C, 2, FALSE),"")="", "SIN CUIT", VLOOKUP(A847, 'Base 3F'!$B:$C, 2, FALSE)))</f>
        <v>30711915369</v>
      </c>
      <c r="C847" s="253" t="str">
        <f>IF(A847="", "", IF(IFERROR(VLOOKUP(A847, 'Base 3F'!$B:$J, 9, FALSE),"")="", "SIN RUBRO", VLOOKUP(A847, 'Base 3F'!$B:$J, 9, FALSE)))</f>
        <v>Metalúrgica</v>
      </c>
      <c r="D847" s="58" t="s">
        <v>5061</v>
      </c>
      <c r="E847" s="10" t="s">
        <v>2392</v>
      </c>
      <c r="F847" s="46" t="s">
        <v>115</v>
      </c>
    </row>
    <row r="848">
      <c r="A848" s="285" t="s">
        <v>2634</v>
      </c>
      <c r="B848" s="252">
        <f>IF(A848="", "", IF(IFERROR(VLOOKUP(A848, 'Base 3F'!$B:$C, 2, FALSE),"")="", "SIN CUIT", VLOOKUP(A848, 'Base 3F'!$B:$C, 2, FALSE)))</f>
        <v>33594291269</v>
      </c>
      <c r="C848" s="253" t="str">
        <f>IF(A848="", "", IF(IFERROR(VLOOKUP(A848, 'Base 3F'!$B:$J, 9, FALSE),"")="", "SIN RUBRO", VLOOKUP(A848, 'Base 3F'!$B:$J, 9, FALSE)))</f>
        <v>Química</v>
      </c>
      <c r="D848" s="58" t="s">
        <v>5071</v>
      </c>
      <c r="E848" s="10" t="s">
        <v>2392</v>
      </c>
      <c r="F848" s="46" t="s">
        <v>115</v>
      </c>
    </row>
    <row r="849">
      <c r="A849" s="285" t="s">
        <v>2639</v>
      </c>
      <c r="B849" s="252">
        <f>IF(A849="", "", IF(IFERROR(VLOOKUP(A849, 'Base 3F'!$B:$C, 2, FALSE),"")="", "SIN CUIT", VLOOKUP(A849, 'Base 3F'!$B:$C, 2, FALSE)))</f>
        <v>20936966757</v>
      </c>
      <c r="C849" s="253" t="str">
        <f>IF(A849="", "", IF(IFERROR(VLOOKUP(A849, 'Base 3F'!$B:$J, 9, FALSE),"")="", "SIN RUBRO", VLOOKUP(A849, 'Base 3F'!$B:$J, 9, FALSE)))</f>
        <v>Metalúrgica</v>
      </c>
      <c r="D849" s="58" t="s">
        <v>5074</v>
      </c>
      <c r="E849" s="10" t="s">
        <v>2392</v>
      </c>
      <c r="F849" s="46" t="s">
        <v>115</v>
      </c>
    </row>
    <row r="850">
      <c r="A850" s="285" t="s">
        <v>2645</v>
      </c>
      <c r="B850" s="252">
        <f>IF(A850="", "", IF(IFERROR(VLOOKUP(A850, 'Base 3F'!$B:$C, 2, FALSE),"")="", "SIN CUIT", VLOOKUP(A850, 'Base 3F'!$B:$C, 2, FALSE)))</f>
        <v>33685315519</v>
      </c>
      <c r="C850" s="253" t="str">
        <f>IF(A850="", "", IF(IFERROR(VLOOKUP(A850, 'Base 3F'!$B:$J, 9, FALSE),"")="", "SIN RUBRO", VLOOKUP(A850, 'Base 3F'!$B:$J, 9, FALSE)))</f>
        <v>Automotor</v>
      </c>
      <c r="D850" s="58" t="s">
        <v>5077</v>
      </c>
      <c r="E850" s="10" t="s">
        <v>2392</v>
      </c>
      <c r="F850" s="46" t="s">
        <v>115</v>
      </c>
    </row>
    <row r="851">
      <c r="A851" s="285" t="s">
        <v>2656</v>
      </c>
      <c r="B851" s="252">
        <f>IF(A851="", "", IF(IFERROR(VLOOKUP(A851, 'Base 3F'!$B:$C, 2, FALSE),"")="", "SIN CUIT", VLOOKUP(A851, 'Base 3F'!$B:$C, 2, FALSE)))</f>
        <v>30710271794</v>
      </c>
      <c r="C851" s="253" t="str">
        <f>IF(A851="", "", IF(IFERROR(VLOOKUP(A851, 'Base 3F'!$B:$J, 9, FALSE),"")="", "SIN RUBRO", VLOOKUP(A851, 'Base 3F'!$B:$J, 9, FALSE)))</f>
        <v>Metalúrgica</v>
      </c>
      <c r="D851" s="58" t="s">
        <v>5081</v>
      </c>
      <c r="E851" s="10" t="s">
        <v>2392</v>
      </c>
      <c r="F851" s="46" t="s">
        <v>115</v>
      </c>
    </row>
    <row r="852">
      <c r="A852" s="285" t="s">
        <v>1185</v>
      </c>
      <c r="B852" s="252">
        <f>IF(A852="", "", IF(IFERROR(VLOOKUP(A852, 'Base 3F'!$B:$C, 2, FALSE),"")="", "SIN CUIT", VLOOKUP(A852, 'Base 3F'!$B:$C, 2, FALSE)))</f>
        <v>20149336959</v>
      </c>
      <c r="C852" s="253" t="str">
        <f>IF(A852="", "", IF(IFERROR(VLOOKUP(A852, 'Base 3F'!$B:$J, 9, FALSE),"")="", "SIN RUBRO", VLOOKUP(A852, 'Base 3F'!$B:$J, 9, FALSE)))</f>
        <v>Industria</v>
      </c>
      <c r="D852" s="58" t="s">
        <v>5082</v>
      </c>
      <c r="E852" s="10" t="s">
        <v>2392</v>
      </c>
      <c r="F852" s="46" t="s">
        <v>115</v>
      </c>
    </row>
    <row r="853">
      <c r="A853" s="285" t="s">
        <v>1197</v>
      </c>
      <c r="B853" s="252">
        <f>IF(A853="", "", IF(IFERROR(VLOOKUP(A853, 'Base 3F'!$B:$C, 2, FALSE),"")="", "SIN CUIT", VLOOKUP(A853, 'Base 3F'!$B:$C, 2, FALSE)))</f>
        <v>30679115274</v>
      </c>
      <c r="C853" s="253" t="str">
        <f>IF(A853="", "", IF(IFERROR(VLOOKUP(A853, 'Base 3F'!$B:$J, 9, FALSE),"")="", "SIN RUBRO", VLOOKUP(A853, 'Base 3F'!$B:$J, 9, FALSE)))</f>
        <v>Textil</v>
      </c>
      <c r="D853" s="58" t="s">
        <v>5090</v>
      </c>
      <c r="E853" s="10" t="s">
        <v>2392</v>
      </c>
      <c r="F853" s="46" t="s">
        <v>115</v>
      </c>
    </row>
    <row r="854">
      <c r="A854" s="285" t="s">
        <v>2691</v>
      </c>
      <c r="B854" s="252">
        <f>IF(A854="", "", IF(IFERROR(VLOOKUP(A854, 'Base 3F'!$B:$C, 2, FALSE),"")="", "SIN CUIT", VLOOKUP(A854, 'Base 3F'!$B:$C, 2, FALSE)))</f>
        <v>30717476383</v>
      </c>
      <c r="C854" s="253" t="str">
        <f>IF(A854="", "", IF(IFERROR(VLOOKUP(A854, 'Base 3F'!$B:$J, 9, FALSE),"")="", "SIN RUBRO", VLOOKUP(A854, 'Base 3F'!$B:$J, 9, FALSE)))</f>
        <v>Textil</v>
      </c>
      <c r="D854" s="58" t="s">
        <v>5092</v>
      </c>
      <c r="E854" s="10" t="s">
        <v>2392</v>
      </c>
      <c r="F854" s="46" t="s">
        <v>115</v>
      </c>
    </row>
    <row r="855">
      <c r="A855" s="285" t="s">
        <v>2701</v>
      </c>
      <c r="B855" s="252">
        <f>IF(A855="", "", IF(IFERROR(VLOOKUP(A855, 'Base 3F'!$B:$C, 2, FALSE),"")="", "SIN CUIT", VLOOKUP(A855, 'Base 3F'!$B:$C, 2, FALSE)))</f>
        <v>30707018034</v>
      </c>
      <c r="C855" s="253" t="str">
        <f>IF(A855="", "", IF(IFERROR(VLOOKUP(A855, 'Base 3F'!$B:$J, 9, FALSE),"")="", "SIN RUBRO", VLOOKUP(A855, 'Base 3F'!$B:$J, 9, FALSE)))</f>
        <v>Madera</v>
      </c>
      <c r="D855" s="58" t="s">
        <v>5096</v>
      </c>
      <c r="E855" s="10" t="s">
        <v>2392</v>
      </c>
      <c r="F855" s="46" t="s">
        <v>115</v>
      </c>
    </row>
    <row r="856">
      <c r="A856" s="285" t="s">
        <v>2751</v>
      </c>
      <c r="B856" s="252">
        <f>IF(A856="", "", IF(IFERROR(VLOOKUP(A856, 'Base 3F'!$B:$C, 2, FALSE),"")="", "SIN CUIT", VLOOKUP(A856, 'Base 3F'!$B:$C, 2, FALSE)))</f>
        <v>30708449403</v>
      </c>
      <c r="C856" s="253" t="str">
        <f>IF(A856="", "", IF(IFERROR(VLOOKUP(A856, 'Base 3F'!$B:$J, 9, FALSE),"")="", "SIN RUBRO", VLOOKUP(A856, 'Base 3F'!$B:$J, 9, FALSE)))</f>
        <v>Metalúrgica</v>
      </c>
      <c r="D856" s="58" t="s">
        <v>5101</v>
      </c>
      <c r="E856" s="10" t="s">
        <v>2392</v>
      </c>
      <c r="F856" s="46" t="s">
        <v>115</v>
      </c>
    </row>
    <row r="857">
      <c r="A857" s="285" t="s">
        <v>1227</v>
      </c>
      <c r="B857" s="252">
        <f>IF(A857="", "", IF(IFERROR(VLOOKUP(A857, 'Base 3F'!$B:$C, 2, FALSE),"")="", "SIN CUIT", VLOOKUP(A857, 'Base 3F'!$B:$C, 2, FALSE)))</f>
        <v>30715721305</v>
      </c>
      <c r="C857" s="253" t="str">
        <f>IF(A857="", "", IF(IFERROR(VLOOKUP(A857, 'Base 3F'!$B:$J, 9, FALSE),"")="", "SIN RUBRO", VLOOKUP(A857, 'Base 3F'!$B:$J, 9, FALSE)))</f>
        <v>Servicios</v>
      </c>
      <c r="D857" s="58" t="s">
        <v>5104</v>
      </c>
      <c r="E857" s="10" t="s">
        <v>2392</v>
      </c>
      <c r="F857" s="46" t="s">
        <v>115</v>
      </c>
    </row>
    <row r="858">
      <c r="A858" s="285" t="s">
        <v>2764</v>
      </c>
      <c r="B858" s="252">
        <f>IF(A858="", "", IF(IFERROR(VLOOKUP(A858, 'Base 3F'!$B:$C, 2, FALSE),"")="", "SIN CUIT", VLOOKUP(A858, 'Base 3F'!$B:$C, 2, FALSE)))</f>
        <v>30712054146</v>
      </c>
      <c r="C858" s="253" t="str">
        <f>IF(A858="", "", IF(IFERROR(VLOOKUP(A858, 'Base 3F'!$B:$J, 9, FALSE),"")="", "SIN RUBRO", VLOOKUP(A858, 'Base 3F'!$B:$J, 9, FALSE)))</f>
        <v>Textil</v>
      </c>
      <c r="D858" s="58" t="s">
        <v>5107</v>
      </c>
      <c r="E858" s="10" t="s">
        <v>2392</v>
      </c>
      <c r="F858" s="46" t="s">
        <v>115</v>
      </c>
    </row>
    <row r="859">
      <c r="A859" s="285" t="s">
        <v>2769</v>
      </c>
      <c r="B859" s="252">
        <f>IF(A859="", "", IF(IFERROR(VLOOKUP(A859, 'Base 3F'!$B:$C, 2, FALSE),"")="", "SIN CUIT", VLOOKUP(A859, 'Base 3F'!$B:$C, 2, FALSE)))</f>
        <v>20341795878</v>
      </c>
      <c r="C859" s="253" t="str">
        <f>IF(A859="", "", IF(IFERROR(VLOOKUP(A859, 'Base 3F'!$B:$J, 9, FALSE),"")="", "SIN RUBRO", VLOOKUP(A859, 'Base 3F'!$B:$J, 9, FALSE)))</f>
        <v>Textil</v>
      </c>
      <c r="D859" s="58" t="s">
        <v>5111</v>
      </c>
      <c r="E859" s="10" t="s">
        <v>2392</v>
      </c>
      <c r="F859" s="46" t="s">
        <v>115</v>
      </c>
    </row>
    <row r="860">
      <c r="A860" s="285" t="s">
        <v>2773</v>
      </c>
      <c r="B860" s="252">
        <f>IF(A860="", "", IF(IFERROR(VLOOKUP(A860, 'Base 3F'!$B:$C, 2, FALSE),"")="", "SIN CUIT", VLOOKUP(A860, 'Base 3F'!$B:$C, 2, FALSE)))</f>
        <v>20126680776</v>
      </c>
      <c r="C860" s="253" t="str">
        <f>IF(A860="", "", IF(IFERROR(VLOOKUP(A860, 'Base 3F'!$B:$J, 9, FALSE),"")="", "SIN RUBRO", VLOOKUP(A860, 'Base 3F'!$B:$J, 9, FALSE)))</f>
        <v>Gráfica</v>
      </c>
      <c r="D860" s="58" t="s">
        <v>5118</v>
      </c>
      <c r="E860" s="10" t="s">
        <v>2392</v>
      </c>
      <c r="F860" s="46" t="s">
        <v>115</v>
      </c>
    </row>
    <row r="861">
      <c r="A861" s="285" t="s">
        <v>1234</v>
      </c>
      <c r="B861" s="252">
        <f>IF(A861="", "", IF(IFERROR(VLOOKUP(A861, 'Base 3F'!$B:$C, 2, FALSE),"")="", "SIN CUIT", VLOOKUP(A861, 'Base 3F'!$B:$C, 2, FALSE)))</f>
        <v>30685810995</v>
      </c>
      <c r="C861" s="253" t="str">
        <f>IF(A861="", "", IF(IFERROR(VLOOKUP(A861, 'Base 3F'!$B:$J, 9, FALSE),"")="", "SIN RUBRO", VLOOKUP(A861, 'Base 3F'!$B:$J, 9, FALSE)))</f>
        <v>Metalmecánica</v>
      </c>
      <c r="D861" s="58" t="s">
        <v>5121</v>
      </c>
      <c r="E861" s="10" t="s">
        <v>2392</v>
      </c>
      <c r="F861" s="46" t="s">
        <v>115</v>
      </c>
    </row>
    <row r="862">
      <c r="A862" s="285" t="s">
        <v>2793</v>
      </c>
      <c r="B862" s="252">
        <f>IF(A862="", "", IF(IFERROR(VLOOKUP(A862, 'Base 3F'!$B:$C, 2, FALSE),"")="", "SIN CUIT", VLOOKUP(A862, 'Base 3F'!$B:$C, 2, FALSE)))</f>
        <v>30708849193</v>
      </c>
      <c r="C862" s="253" t="str">
        <f>IF(A862="", "", IF(IFERROR(VLOOKUP(A862, 'Base 3F'!$B:$J, 9, FALSE),"")="", "SIN RUBRO", VLOOKUP(A862, 'Base 3F'!$B:$J, 9, FALSE)))</f>
        <v>Electrónica</v>
      </c>
      <c r="D862" s="58" t="s">
        <v>1066</v>
      </c>
      <c r="E862" s="10" t="s">
        <v>2392</v>
      </c>
      <c r="F862" s="46" t="s">
        <v>115</v>
      </c>
    </row>
    <row r="863">
      <c r="A863" s="285" t="s">
        <v>2803</v>
      </c>
      <c r="B863" s="252">
        <f>IF(A863="", "", IF(IFERROR(VLOOKUP(A863, 'Base 3F'!$B:$C, 2, FALSE),"")="", "SIN CUIT", VLOOKUP(A863, 'Base 3F'!$B:$C, 2, FALSE)))</f>
        <v>30711731004</v>
      </c>
      <c r="C863" s="253" t="str">
        <f>IF(A863="", "", IF(IFERROR(VLOOKUP(A863, 'Base 3F'!$B:$J, 9, FALSE),"")="", "SIN RUBRO", VLOOKUP(A863, 'Base 3F'!$B:$J, 9, FALSE)))</f>
        <v>Metalúrgica</v>
      </c>
      <c r="D863" s="58" t="s">
        <v>5128</v>
      </c>
      <c r="E863" s="10" t="s">
        <v>2392</v>
      </c>
      <c r="F863" s="46" t="s">
        <v>115</v>
      </c>
    </row>
    <row r="864">
      <c r="A864" s="285" t="s">
        <v>2813</v>
      </c>
      <c r="B864" s="252">
        <f>IF(A864="", "", IF(IFERROR(VLOOKUP(A864, 'Base 3F'!$B:$C, 2, FALSE),"")="", "SIN CUIT", VLOOKUP(A864, 'Base 3F'!$B:$C, 2, FALSE)))</f>
        <v>30709694339</v>
      </c>
      <c r="C864" s="253" t="str">
        <f>IF(A864="", "", IF(IFERROR(VLOOKUP(A864, 'Base 3F'!$B:$J, 9, FALSE),"")="", "SIN RUBRO", VLOOKUP(A864, 'Base 3F'!$B:$J, 9, FALSE)))</f>
        <v>Construcción</v>
      </c>
      <c r="D864" s="58" t="s">
        <v>5132</v>
      </c>
      <c r="E864" s="10" t="s">
        <v>2392</v>
      </c>
      <c r="F864" s="46" t="s">
        <v>115</v>
      </c>
    </row>
    <row r="865">
      <c r="A865" s="285" t="s">
        <v>2823</v>
      </c>
      <c r="B865" s="252">
        <f>IF(A865="", "", IF(IFERROR(VLOOKUP(A865, 'Base 3F'!$B:$C, 2, FALSE),"")="", "SIN CUIT", VLOOKUP(A865, 'Base 3F'!$B:$C, 2, FALSE)))</f>
        <v>20085373936</v>
      </c>
      <c r="C865" s="253" t="str">
        <f>IF(A865="", "", IF(IFERROR(VLOOKUP(A865, 'Base 3F'!$B:$J, 9, FALSE),"")="", "SIN RUBRO", VLOOKUP(A865, 'Base 3F'!$B:$J, 9, FALSE)))</f>
        <v>Metalúrgica</v>
      </c>
      <c r="D865" s="58" t="s">
        <v>5139</v>
      </c>
      <c r="E865" s="10" t="s">
        <v>2392</v>
      </c>
      <c r="F865" s="46" t="s">
        <v>115</v>
      </c>
    </row>
    <row r="866">
      <c r="A866" s="285" t="s">
        <v>1245</v>
      </c>
      <c r="B866" s="252">
        <f>IF(A866="", "", IF(IFERROR(VLOOKUP(A866, 'Base 3F'!$B:$C, 2, FALSE),"")="", "SIN CUIT", VLOOKUP(A866, 'Base 3F'!$B:$C, 2, FALSE)))</f>
        <v>30709420514</v>
      </c>
      <c r="C866" s="253" t="str">
        <f>IF(A866="", "", IF(IFERROR(VLOOKUP(A866, 'Base 3F'!$B:$J, 9, FALSE),"")="", "SIN RUBRO", VLOOKUP(A866, 'Base 3F'!$B:$J, 9, FALSE)))</f>
        <v>Textil</v>
      </c>
      <c r="D866" s="58" t="s">
        <v>5142</v>
      </c>
      <c r="E866" s="10" t="s">
        <v>2392</v>
      </c>
      <c r="F866" s="46" t="s">
        <v>115</v>
      </c>
    </row>
    <row r="867">
      <c r="A867" s="285" t="s">
        <v>2846</v>
      </c>
      <c r="B867" s="252">
        <f>IF(A867="", "", IF(IFERROR(VLOOKUP(A867, 'Base 3F'!$B:$C, 2, FALSE),"")="", "SIN CUIT", VLOOKUP(A867, 'Base 3F'!$B:$C, 2, FALSE)))</f>
        <v>30714316962</v>
      </c>
      <c r="C867" s="253" t="str">
        <f>IF(A867="", "", IF(IFERROR(VLOOKUP(A867, 'Base 3F'!$B:$J, 9, FALSE),"")="", "SIN RUBRO", VLOOKUP(A867, 'Base 3F'!$B:$J, 9, FALSE)))</f>
        <v>Construcción</v>
      </c>
      <c r="D867" s="58" t="s">
        <v>5145</v>
      </c>
      <c r="E867" s="10" t="s">
        <v>2392</v>
      </c>
      <c r="F867" s="46" t="s">
        <v>115</v>
      </c>
    </row>
    <row r="868">
      <c r="A868" s="285" t="s">
        <v>2851</v>
      </c>
      <c r="B868" s="252">
        <f>IF(A868="", "", IF(IFERROR(VLOOKUP(A868, 'Base 3F'!$B:$C, 2, FALSE),"")="", "SIN CUIT", VLOOKUP(A868, 'Base 3F'!$B:$C, 2, FALSE)))</f>
        <v>30677079645</v>
      </c>
      <c r="C868" s="253" t="str">
        <f>IF(A868="", "", IF(IFERROR(VLOOKUP(A868, 'Base 3F'!$B:$J, 9, FALSE),"")="", "SIN RUBRO", VLOOKUP(A868, 'Base 3F'!$B:$J, 9, FALSE)))</f>
        <v>Metalúrgica</v>
      </c>
      <c r="D868" s="58" t="s">
        <v>5150</v>
      </c>
      <c r="E868" s="10" t="s">
        <v>2392</v>
      </c>
      <c r="F868" s="46" t="s">
        <v>115</v>
      </c>
    </row>
    <row r="869">
      <c r="A869" s="285" t="s">
        <v>2859</v>
      </c>
      <c r="B869" s="252">
        <f>IF(A869="", "", IF(IFERROR(VLOOKUP(A869, 'Base 3F'!$B:$C, 2, FALSE),"")="", "SIN CUIT", VLOOKUP(A869, 'Base 3F'!$B:$C, 2, FALSE)))</f>
        <v>30708529512</v>
      </c>
      <c r="C869" s="253" t="str">
        <f>IF(A869="", "", IF(IFERROR(VLOOKUP(A869, 'Base 3F'!$B:$J, 9, FALSE),"")="", "SIN RUBRO", VLOOKUP(A869, 'Base 3F'!$B:$J, 9, FALSE)))</f>
        <v>Construcción</v>
      </c>
      <c r="D869" s="58" t="s">
        <v>5155</v>
      </c>
      <c r="E869" s="10" t="s">
        <v>2392</v>
      </c>
      <c r="F869" s="46" t="s">
        <v>115</v>
      </c>
    </row>
    <row r="870">
      <c r="A870" s="285" t="s">
        <v>2867</v>
      </c>
      <c r="B870" s="252">
        <f>IF(A870="", "", IF(IFERROR(VLOOKUP(A870, 'Base 3F'!$B:$C, 2, FALSE),"")="", "SIN CUIT", VLOOKUP(A870, 'Base 3F'!$B:$C, 2, FALSE)))</f>
        <v>30663759066</v>
      </c>
      <c r="C870" s="253" t="str">
        <f>IF(A870="", "", IF(IFERROR(VLOOKUP(A870, 'Base 3F'!$B:$J, 9, FALSE),"")="", "SIN RUBRO", VLOOKUP(A870, 'Base 3F'!$B:$J, 9, FALSE)))</f>
        <v>Gráfica</v>
      </c>
      <c r="D870" s="58" t="s">
        <v>5158</v>
      </c>
      <c r="E870" s="10" t="s">
        <v>2392</v>
      </c>
      <c r="F870" s="46" t="s">
        <v>115</v>
      </c>
    </row>
    <row r="871">
      <c r="A871" s="285" t="s">
        <v>1256</v>
      </c>
      <c r="B871" s="252">
        <f>IF(A871="", "", IF(IFERROR(VLOOKUP(A871, 'Base 3F'!$B:$C, 2, FALSE),"")="", "SIN CUIT", VLOOKUP(A871, 'Base 3F'!$B:$C, 2, FALSE)))</f>
        <v>30604118197</v>
      </c>
      <c r="C871" s="253" t="str">
        <f>IF(A871="", "", IF(IFERROR(VLOOKUP(A871, 'Base 3F'!$B:$J, 9, FALSE),"")="", "SIN RUBRO", VLOOKUP(A871, 'Base 3F'!$B:$J, 9, FALSE)))</f>
        <v>Metalúrgica</v>
      </c>
      <c r="D871" s="58" t="s">
        <v>5161</v>
      </c>
      <c r="E871" s="10" t="s">
        <v>2392</v>
      </c>
      <c r="F871" s="46" t="s">
        <v>115</v>
      </c>
    </row>
    <row r="872">
      <c r="A872" s="285" t="s">
        <v>2901</v>
      </c>
      <c r="B872" s="252">
        <f>IF(A872="", "", IF(IFERROR(VLOOKUP(A872, 'Base 3F'!$B:$C, 2, FALSE),"")="", "SIN CUIT", VLOOKUP(A872, 'Base 3F'!$B:$C, 2, FALSE)))</f>
        <v>30714757888</v>
      </c>
      <c r="C872" s="253" t="str">
        <f>IF(A872="", "", IF(IFERROR(VLOOKUP(A872, 'Base 3F'!$B:$J, 9, FALSE),"")="", "SIN RUBRO", VLOOKUP(A872, 'Base 3F'!$B:$J, 9, FALSE)))</f>
        <v>Calzado</v>
      </c>
      <c r="D872" s="58" t="s">
        <v>5163</v>
      </c>
      <c r="E872" s="10" t="s">
        <v>2392</v>
      </c>
      <c r="F872" s="46" t="s">
        <v>115</v>
      </c>
    </row>
    <row r="873">
      <c r="A873" s="285" t="s">
        <v>1262</v>
      </c>
      <c r="B873" s="252">
        <f>IF(A873="", "", IF(IFERROR(VLOOKUP(A873, 'Base 3F'!$B:$C, 2, FALSE),"")="", "SIN CUIT", VLOOKUP(A873, 'Base 3F'!$B:$C, 2, FALSE)))</f>
        <v>33708481209</v>
      </c>
      <c r="C873" s="253" t="str">
        <f>IF(A873="", "", IF(IFERROR(VLOOKUP(A873, 'Base 3F'!$B:$J, 9, FALSE),"")="", "SIN RUBRO", VLOOKUP(A873, 'Base 3F'!$B:$J, 9, FALSE)))</f>
        <v>Calzado</v>
      </c>
      <c r="D873" s="58" t="s">
        <v>5169</v>
      </c>
      <c r="E873" s="10" t="s">
        <v>2392</v>
      </c>
      <c r="F873" s="46" t="s">
        <v>115</v>
      </c>
    </row>
    <row r="874">
      <c r="A874" s="285" t="s">
        <v>2911</v>
      </c>
      <c r="B874" s="252">
        <f>IF(A874="", "", IF(IFERROR(VLOOKUP(A874, 'Base 3F'!$B:$C, 2, FALSE),"")="", "SIN CUIT", VLOOKUP(A874, 'Base 3F'!$B:$C, 2, FALSE)))</f>
        <v>30708149698</v>
      </c>
      <c r="C874" s="253" t="str">
        <f>IF(A874="", "", IF(IFERROR(VLOOKUP(A874, 'Base 3F'!$B:$J, 9, FALSE),"")="", "SIN RUBRO", VLOOKUP(A874, 'Base 3F'!$B:$J, 9, FALSE)))</f>
        <v>Calzado</v>
      </c>
      <c r="D874" s="58" t="s">
        <v>5172</v>
      </c>
      <c r="E874" s="10" t="s">
        <v>2392</v>
      </c>
      <c r="F874" s="46" t="s">
        <v>115</v>
      </c>
    </row>
    <row r="875">
      <c r="A875" s="285" t="s">
        <v>2915</v>
      </c>
      <c r="B875" s="252">
        <f>IF(A875="", "", IF(IFERROR(VLOOKUP(A875, 'Base 3F'!$B:$C, 2, FALSE),"")="", "SIN CUIT", VLOOKUP(A875, 'Base 3F'!$B:$C, 2, FALSE)))</f>
        <v>30708362014</v>
      </c>
      <c r="C875" s="253" t="str">
        <f>IF(A875="", "", IF(IFERROR(VLOOKUP(A875, 'Base 3F'!$B:$J, 9, FALSE),"")="", "SIN RUBRO", VLOOKUP(A875, 'Base 3F'!$B:$J, 9, FALSE)))</f>
        <v>Plástica</v>
      </c>
      <c r="D875" s="58" t="s">
        <v>5177</v>
      </c>
      <c r="E875" s="10" t="s">
        <v>2392</v>
      </c>
      <c r="F875" s="46" t="s">
        <v>115</v>
      </c>
    </row>
    <row r="876">
      <c r="A876" s="285" t="s">
        <v>2929</v>
      </c>
      <c r="B876" s="252">
        <f>IF(A876="", "", IF(IFERROR(VLOOKUP(A876, 'Base 3F'!$B:$C, 2, FALSE),"")="", "SIN CUIT", VLOOKUP(A876, 'Base 3F'!$B:$C, 2, FALSE)))</f>
        <v>33663776369</v>
      </c>
      <c r="C876" s="253" t="str">
        <f>IF(A876="", "", IF(IFERROR(VLOOKUP(A876, 'Base 3F'!$B:$J, 9, FALSE),"")="", "SIN RUBRO", VLOOKUP(A876, 'Base 3F'!$B:$J, 9, FALSE)))</f>
        <v>Textil</v>
      </c>
      <c r="D876" s="58" t="s">
        <v>5180</v>
      </c>
      <c r="E876" s="10" t="s">
        <v>2392</v>
      </c>
      <c r="F876" s="46" t="s">
        <v>115</v>
      </c>
    </row>
    <row r="877">
      <c r="A877" s="285" t="s">
        <v>2931</v>
      </c>
      <c r="B877" s="252">
        <f>IF(A877="", "", IF(IFERROR(VLOOKUP(A877, 'Base 3F'!$B:$C, 2, FALSE),"")="", "SIN CUIT", VLOOKUP(A877, 'Base 3F'!$B:$C, 2, FALSE)))</f>
        <v>30712435514</v>
      </c>
      <c r="C877" s="253" t="str">
        <f>IF(A877="", "", IF(IFERROR(VLOOKUP(A877, 'Base 3F'!$B:$J, 9, FALSE),"")="", "SIN RUBRO", VLOOKUP(A877, 'Base 3F'!$B:$J, 9, FALSE)))</f>
        <v>Metalúrgica</v>
      </c>
      <c r="D877" s="58" t="s">
        <v>5182</v>
      </c>
      <c r="E877" s="10" t="s">
        <v>2392</v>
      </c>
      <c r="F877" s="46" t="s">
        <v>115</v>
      </c>
    </row>
    <row r="878">
      <c r="A878" s="285" t="s">
        <v>2937</v>
      </c>
      <c r="B878" s="252">
        <f>IF(A878="", "", IF(IFERROR(VLOOKUP(A878, 'Base 3F'!$B:$C, 2, FALSE),"")="", "SIN CUIT", VLOOKUP(A878, 'Base 3F'!$B:$C, 2, FALSE)))</f>
        <v>30653475116</v>
      </c>
      <c r="C878" s="253" t="str">
        <f>IF(A878="", "", IF(IFERROR(VLOOKUP(A878, 'Base 3F'!$B:$J, 9, FALSE),"")="", "SIN RUBRO", VLOOKUP(A878, 'Base 3F'!$B:$J, 9, FALSE)))</f>
        <v>Metalúrgica</v>
      </c>
      <c r="D878" s="58" t="s">
        <v>5187</v>
      </c>
      <c r="E878" s="10" t="s">
        <v>2392</v>
      </c>
      <c r="F878" s="46" t="s">
        <v>115</v>
      </c>
    </row>
    <row r="879">
      <c r="A879" s="285" t="s">
        <v>2941</v>
      </c>
      <c r="B879" s="252">
        <f>IF(A879="", "", IF(IFERROR(VLOOKUP(A879, 'Base 3F'!$B:$C, 2, FALSE),"")="", "SIN CUIT", VLOOKUP(A879, 'Base 3F'!$B:$C, 2, FALSE)))</f>
        <v>30712318399</v>
      </c>
      <c r="C879" s="253" t="str">
        <f>IF(A879="", "", IF(IFERROR(VLOOKUP(A879, 'Base 3F'!$B:$J, 9, FALSE),"")="", "SIN RUBRO", VLOOKUP(A879, 'Base 3F'!$B:$J, 9, FALSE)))</f>
        <v>Metalúrgica</v>
      </c>
      <c r="D879" s="58" t="s">
        <v>5192</v>
      </c>
      <c r="E879" s="10" t="s">
        <v>2392</v>
      </c>
      <c r="F879" s="46" t="s">
        <v>115</v>
      </c>
    </row>
    <row r="880">
      <c r="A880" s="285" t="s">
        <v>1265</v>
      </c>
      <c r="B880" s="252">
        <f>IF(A880="", "", IF(IFERROR(VLOOKUP(A880, 'Base 3F'!$B:$C, 2, FALSE),"")="", "SIN CUIT", VLOOKUP(A880, 'Base 3F'!$B:$C, 2, FALSE)))</f>
        <v>30570352047</v>
      </c>
      <c r="C880" s="253" t="str">
        <f>IF(A880="", "", IF(IFERROR(VLOOKUP(A880, 'Base 3F'!$B:$J, 9, FALSE),"")="", "SIN RUBRO", VLOOKUP(A880, 'Base 3F'!$B:$J, 9, FALSE)))</f>
        <v>Plástica</v>
      </c>
      <c r="D880" s="58" t="s">
        <v>5196</v>
      </c>
      <c r="E880" s="10" t="s">
        <v>2392</v>
      </c>
      <c r="F880" s="46" t="s">
        <v>115</v>
      </c>
    </row>
    <row r="881">
      <c r="A881" s="285" t="s">
        <v>2959</v>
      </c>
      <c r="B881" s="252">
        <f>IF(A881="", "", IF(IFERROR(VLOOKUP(A881, 'Base 3F'!$B:$C, 2, FALSE),"")="", "SIN CUIT", VLOOKUP(A881, 'Base 3F'!$B:$C, 2, FALSE)))</f>
        <v>30548863860</v>
      </c>
      <c r="C881" s="253" t="str">
        <f>IF(A881="", "", IF(IFERROR(VLOOKUP(A881, 'Base 3F'!$B:$J, 9, FALSE),"")="", "SIN RUBRO", VLOOKUP(A881, 'Base 3F'!$B:$J, 9, FALSE)))</f>
        <v>Metalúrgica</v>
      </c>
      <c r="D881" s="58" t="s">
        <v>5201</v>
      </c>
      <c r="E881" s="10" t="s">
        <v>2392</v>
      </c>
      <c r="F881" s="46" t="s">
        <v>115</v>
      </c>
    </row>
    <row r="882">
      <c r="A882" s="285" t="s">
        <v>2966</v>
      </c>
      <c r="B882" s="252">
        <f>IF(A882="", "", IF(IFERROR(VLOOKUP(A882, 'Base 3F'!$B:$C, 2, FALSE),"")="", "SIN CUIT", VLOOKUP(A882, 'Base 3F'!$B:$C, 2, FALSE)))</f>
        <v>30502071781</v>
      </c>
      <c r="C882" s="253" t="str">
        <f>IF(A882="", "", IF(IFERROR(VLOOKUP(A882, 'Base 3F'!$B:$J, 9, FALSE),"")="", "SIN RUBRO", VLOOKUP(A882, 'Base 3F'!$B:$J, 9, FALSE)))</f>
        <v>Metalúrgica</v>
      </c>
      <c r="D882" s="58" t="s">
        <v>5204</v>
      </c>
      <c r="E882" s="10" t="s">
        <v>2392</v>
      </c>
      <c r="F882" s="46" t="s">
        <v>115</v>
      </c>
    </row>
    <row r="883">
      <c r="A883" s="285" t="s">
        <v>2972</v>
      </c>
      <c r="B883" s="252">
        <f>IF(A883="", "", IF(IFERROR(VLOOKUP(A883, 'Base 3F'!$B:$C, 2, FALSE),"")="", "SIN CUIT", VLOOKUP(A883, 'Base 3F'!$B:$C, 2, FALSE)))</f>
        <v>30692859908</v>
      </c>
      <c r="C883" s="253" t="str">
        <f>IF(A883="", "", IF(IFERROR(VLOOKUP(A883, 'Base 3F'!$B:$J, 9, FALSE),"")="", "SIN RUBRO", VLOOKUP(A883, 'Base 3F'!$B:$J, 9, FALSE)))</f>
        <v>Metalúrgica</v>
      </c>
      <c r="D883" s="58" t="s">
        <v>5208</v>
      </c>
      <c r="E883" s="10" t="s">
        <v>2392</v>
      </c>
      <c r="F883" s="46" t="s">
        <v>115</v>
      </c>
    </row>
    <row r="884">
      <c r="A884" s="285" t="s">
        <v>2978</v>
      </c>
      <c r="B884" s="252">
        <f>IF(A884="", "", IF(IFERROR(VLOOKUP(A884, 'Base 3F'!$B:$C, 2, FALSE),"")="", "SIN CUIT", VLOOKUP(A884, 'Base 3F'!$B:$C, 2, FALSE)))</f>
        <v>30709478776</v>
      </c>
      <c r="C884" s="253" t="str">
        <f>IF(A884="", "", IF(IFERROR(VLOOKUP(A884, 'Base 3F'!$B:$J, 9, FALSE),"")="", "SIN RUBRO", VLOOKUP(A884, 'Base 3F'!$B:$J, 9, FALSE)))</f>
        <v>Servicios</v>
      </c>
      <c r="D884" s="58" t="s">
        <v>550</v>
      </c>
      <c r="E884" s="10" t="s">
        <v>2392</v>
      </c>
      <c r="F884" s="46" t="s">
        <v>115</v>
      </c>
    </row>
    <row r="885">
      <c r="A885" s="285" t="s">
        <v>2991</v>
      </c>
      <c r="B885" s="252">
        <f>IF(A885="", "", IF(IFERROR(VLOOKUP(A885, 'Base 3F'!$B:$C, 2, FALSE),"")="", "SIN CUIT", VLOOKUP(A885, 'Base 3F'!$B:$C, 2, FALSE)))</f>
        <v>20129536110</v>
      </c>
      <c r="C885" s="253" t="str">
        <f>IF(A885="", "", IF(IFERROR(VLOOKUP(A885, 'Base 3F'!$B:$J, 9, FALSE),"")="", "SIN RUBRO", VLOOKUP(A885, 'Base 3F'!$B:$J, 9, FALSE)))</f>
        <v>Metalmecánica</v>
      </c>
      <c r="D885" s="58" t="s">
        <v>5216</v>
      </c>
      <c r="E885" s="10" t="s">
        <v>2392</v>
      </c>
      <c r="F885" s="46" t="s">
        <v>115</v>
      </c>
    </row>
    <row r="886">
      <c r="A886" s="285" t="s">
        <v>3003</v>
      </c>
      <c r="B886" s="252">
        <f>IF(A886="", "", IF(IFERROR(VLOOKUP(A886, 'Base 3F'!$B:$C, 2, FALSE),"")="", "SIN CUIT", VLOOKUP(A886, 'Base 3F'!$B:$C, 2, FALSE)))</f>
        <v>30708570946</v>
      </c>
      <c r="C886" s="253" t="str">
        <f>IF(A886="", "", IF(IFERROR(VLOOKUP(A886, 'Base 3F'!$B:$J, 9, FALSE),"")="", "SIN RUBRO", VLOOKUP(A886, 'Base 3F'!$B:$J, 9, FALSE)))</f>
        <v>Servicios</v>
      </c>
      <c r="D886" s="58" t="s">
        <v>5217</v>
      </c>
      <c r="E886" s="10" t="s">
        <v>2392</v>
      </c>
      <c r="F886" s="46" t="s">
        <v>115</v>
      </c>
    </row>
    <row r="887">
      <c r="A887" s="285" t="s">
        <v>3015</v>
      </c>
      <c r="B887" s="252">
        <f>IF(A887="", "", IF(IFERROR(VLOOKUP(A887, 'Base 3F'!$B:$C, 2, FALSE),"")="", "SIN CUIT", VLOOKUP(A887, 'Base 3F'!$B:$C, 2, FALSE)))</f>
        <v>30573183017</v>
      </c>
      <c r="C887" s="253" t="str">
        <f>IF(A887="", "", IF(IFERROR(VLOOKUP(A887, 'Base 3F'!$B:$J, 9, FALSE),"")="", "SIN RUBRO", VLOOKUP(A887, 'Base 3F'!$B:$J, 9, FALSE)))</f>
        <v>Metalúrgica</v>
      </c>
      <c r="D887" s="58" t="s">
        <v>5225</v>
      </c>
      <c r="E887" s="10" t="s">
        <v>2392</v>
      </c>
      <c r="F887" s="46" t="s">
        <v>115</v>
      </c>
    </row>
    <row r="888">
      <c r="A888" s="285" t="s">
        <v>3022</v>
      </c>
      <c r="B888" s="252">
        <f>IF(A888="", "", IF(IFERROR(VLOOKUP(A888, 'Base 3F'!$B:$C, 2, FALSE),"")="", "SIN CUIT", VLOOKUP(A888, 'Base 3F'!$B:$C, 2, FALSE)))</f>
        <v>30572125358</v>
      </c>
      <c r="C888" s="253" t="str">
        <f>IF(A888="", "", IF(IFERROR(VLOOKUP(A888, 'Base 3F'!$B:$J, 9, FALSE),"")="", "SIN RUBRO", VLOOKUP(A888, 'Base 3F'!$B:$J, 9, FALSE)))</f>
        <v>Gráfica</v>
      </c>
      <c r="D888" s="58" t="s">
        <v>5230</v>
      </c>
      <c r="E888" s="10" t="s">
        <v>2392</v>
      </c>
      <c r="F888" s="46" t="s">
        <v>115</v>
      </c>
    </row>
    <row r="889">
      <c r="A889" s="285" t="s">
        <v>3033</v>
      </c>
      <c r="B889" s="252">
        <f>IF(A889="", "", IF(IFERROR(VLOOKUP(A889, 'Base 3F'!$B:$C, 2, FALSE),"")="", "SIN CUIT", VLOOKUP(A889, 'Base 3F'!$B:$C, 2, FALSE)))</f>
        <v>30715116274</v>
      </c>
      <c r="C889" s="253" t="str">
        <f>IF(A889="", "", IF(IFERROR(VLOOKUP(A889, 'Base 3F'!$B:$J, 9, FALSE),"")="", "SIN RUBRO", VLOOKUP(A889, 'Base 3F'!$B:$J, 9, FALSE)))</f>
        <v>Metalúrgica</v>
      </c>
      <c r="D889" s="58" t="s">
        <v>5232</v>
      </c>
      <c r="E889" s="10" t="s">
        <v>2392</v>
      </c>
      <c r="F889" s="46" t="s">
        <v>115</v>
      </c>
    </row>
    <row r="890">
      <c r="A890" s="285" t="s">
        <v>3051</v>
      </c>
      <c r="B890" s="252">
        <f>IF(A890="", "", IF(IFERROR(VLOOKUP(A890, 'Base 3F'!$B:$C, 2, FALSE),"")="", "SIN CUIT", VLOOKUP(A890, 'Base 3F'!$B:$C, 2, FALSE)))</f>
        <v>30691633531</v>
      </c>
      <c r="C890" s="253" t="str">
        <f>IF(A890="", "", IF(IFERROR(VLOOKUP(A890, 'Base 3F'!$B:$J, 9, FALSE),"")="", "SIN RUBRO", VLOOKUP(A890, 'Base 3F'!$B:$J, 9, FALSE)))</f>
        <v>Servicios</v>
      </c>
      <c r="D890" s="58" t="s">
        <v>5241</v>
      </c>
      <c r="E890" s="10" t="s">
        <v>2392</v>
      </c>
      <c r="F890" s="46" t="s">
        <v>115</v>
      </c>
    </row>
    <row r="891">
      <c r="A891" s="285" t="s">
        <v>3067</v>
      </c>
      <c r="B891" s="252">
        <f>IF(A891="", "", IF(IFERROR(VLOOKUP(A891, 'Base 3F'!$B:$C, 2, FALSE),"")="", "SIN CUIT", VLOOKUP(A891, 'Base 3F'!$B:$C, 2, FALSE)))</f>
        <v>30714578606</v>
      </c>
      <c r="C891" s="253" t="str">
        <f>IF(A891="", "", IF(IFERROR(VLOOKUP(A891, 'Base 3F'!$B:$J, 9, FALSE),"")="", "SIN RUBRO", VLOOKUP(A891, 'Base 3F'!$B:$J, 9, FALSE)))</f>
        <v>Metalúrgica</v>
      </c>
      <c r="D891" s="58" t="s">
        <v>5243</v>
      </c>
      <c r="E891" s="10" t="s">
        <v>2392</v>
      </c>
      <c r="F891" s="46" t="s">
        <v>115</v>
      </c>
    </row>
    <row r="892">
      <c r="A892" s="285" t="s">
        <v>3094</v>
      </c>
      <c r="B892" s="252">
        <f>IF(A892="", "", IF(IFERROR(VLOOKUP(A892, 'Base 3F'!$B:$C, 2, FALSE),"")="", "SIN CUIT", VLOOKUP(A892, 'Base 3F'!$B:$C, 2, FALSE)))</f>
        <v>30597048617</v>
      </c>
      <c r="C892" s="253" t="str">
        <f>IF(A892="", "", IF(IFERROR(VLOOKUP(A892, 'Base 3F'!$B:$J, 9, FALSE),"")="", "SIN RUBRO", VLOOKUP(A892, 'Base 3F'!$B:$J, 9, FALSE)))</f>
        <v>Papel</v>
      </c>
      <c r="D892" s="58" t="s">
        <v>5246</v>
      </c>
      <c r="E892" s="10" t="s">
        <v>2392</v>
      </c>
      <c r="F892" s="46" t="s">
        <v>115</v>
      </c>
    </row>
    <row r="893">
      <c r="A893" s="285" t="s">
        <v>3107</v>
      </c>
      <c r="B893" s="252">
        <f>IF(A893="", "", IF(IFERROR(VLOOKUP(A893, 'Base 3F'!$B:$C, 2, FALSE),"")="", "SIN CUIT", VLOOKUP(A893, 'Base 3F'!$B:$C, 2, FALSE)))</f>
        <v>30709123579</v>
      </c>
      <c r="C893" s="253" t="str">
        <f>IF(A893="", "", IF(IFERROR(VLOOKUP(A893, 'Base 3F'!$B:$J, 9, FALSE),"")="", "SIN RUBRO", VLOOKUP(A893, 'Base 3F'!$B:$J, 9, FALSE)))</f>
        <v>Electrónica</v>
      </c>
      <c r="D893" s="58" t="s">
        <v>5252</v>
      </c>
      <c r="E893" s="10" t="s">
        <v>2392</v>
      </c>
      <c r="F893" s="46" t="s">
        <v>115</v>
      </c>
    </row>
    <row r="894">
      <c r="A894" s="285" t="s">
        <v>3122</v>
      </c>
      <c r="B894" s="252">
        <f>IF(A894="", "", IF(IFERROR(VLOOKUP(A894, 'Base 3F'!$B:$C, 2, FALSE),"")="", "SIN CUIT", VLOOKUP(A894, 'Base 3F'!$B:$C, 2, FALSE)))</f>
        <v>30503958577</v>
      </c>
      <c r="C894" s="253" t="str">
        <f>IF(A894="", "", IF(IFERROR(VLOOKUP(A894, 'Base 3F'!$B:$J, 9, FALSE),"")="", "SIN RUBRO", VLOOKUP(A894, 'Base 3F'!$B:$J, 9, FALSE)))</f>
        <v>Metalúrgica</v>
      </c>
      <c r="D894" s="58" t="s">
        <v>5257</v>
      </c>
      <c r="E894" s="10" t="s">
        <v>2392</v>
      </c>
      <c r="F894" s="46" t="s">
        <v>115</v>
      </c>
    </row>
    <row r="895">
      <c r="A895" s="285" t="s">
        <v>3133</v>
      </c>
      <c r="B895" s="252">
        <f>IF(A895="", "", IF(IFERROR(VLOOKUP(A895, 'Base 3F'!$B:$C, 2, FALSE),"")="", "SIN CUIT", VLOOKUP(A895, 'Base 3F'!$B:$C, 2, FALSE)))</f>
        <v>30640602771</v>
      </c>
      <c r="C895" s="253" t="str">
        <f>IF(A895="", "", IF(IFERROR(VLOOKUP(A895, 'Base 3F'!$B:$J, 9, FALSE),"")="", "SIN RUBRO", VLOOKUP(A895, 'Base 3F'!$B:$J, 9, FALSE)))</f>
        <v>Caucho</v>
      </c>
      <c r="D895" s="58" t="s">
        <v>5260</v>
      </c>
      <c r="E895" s="10" t="s">
        <v>2392</v>
      </c>
      <c r="F895" s="46" t="s">
        <v>115</v>
      </c>
    </row>
    <row r="896">
      <c r="A896" s="285" t="s">
        <v>1275</v>
      </c>
      <c r="B896" s="252">
        <f>IF(A896="", "", IF(IFERROR(VLOOKUP(A896, 'Base 3F'!$B:$C, 2, FALSE),"")="", "SIN CUIT", VLOOKUP(A896, 'Base 3F'!$B:$C, 2, FALSE)))</f>
        <v>30502893188</v>
      </c>
      <c r="C896" s="253" t="str">
        <f>IF(A896="", "", IF(IFERROR(VLOOKUP(A896, 'Base 3F'!$B:$J, 9, FALSE),"")="", "SIN RUBRO", VLOOKUP(A896, 'Base 3F'!$B:$J, 9, FALSE)))</f>
        <v>Metalúrgica</v>
      </c>
      <c r="D896" s="58" t="s">
        <v>5263</v>
      </c>
      <c r="E896" s="10" t="s">
        <v>2392</v>
      </c>
      <c r="F896" s="46" t="s">
        <v>115</v>
      </c>
    </row>
    <row r="897">
      <c r="A897" s="285" t="s">
        <v>1282</v>
      </c>
      <c r="B897" s="252">
        <f>IF(A897="", "", IF(IFERROR(VLOOKUP(A897, 'Base 3F'!$B:$C, 2, FALSE),"")="", "SIN CUIT", VLOOKUP(A897, 'Base 3F'!$B:$C, 2, FALSE)))</f>
        <v>30638285335</v>
      </c>
      <c r="C897" s="253" t="str">
        <f>IF(A897="", "", IF(IFERROR(VLOOKUP(A897, 'Base 3F'!$B:$J, 9, FALSE),"")="", "SIN RUBRO", VLOOKUP(A897, 'Base 3F'!$B:$J, 9, FALSE)))</f>
        <v>Alimenticia</v>
      </c>
      <c r="D897" s="58" t="s">
        <v>5268</v>
      </c>
      <c r="E897" s="10" t="s">
        <v>2392</v>
      </c>
      <c r="F897" s="46" t="s">
        <v>115</v>
      </c>
    </row>
    <row r="898">
      <c r="A898" s="285" t="s">
        <v>1289</v>
      </c>
      <c r="B898" s="252">
        <f>IF(A898="", "", IF(IFERROR(VLOOKUP(A898, 'Base 3F'!$B:$C, 2, FALSE),"")="", "SIN CUIT", VLOOKUP(A898, 'Base 3F'!$B:$C, 2, FALSE)))</f>
        <v>20217307563</v>
      </c>
      <c r="C898" s="253" t="str">
        <f>IF(A898="", "", IF(IFERROR(VLOOKUP(A898, 'Base 3F'!$B:$J, 9, FALSE),"")="", "SIN RUBRO", VLOOKUP(A898, 'Base 3F'!$B:$J, 9, FALSE)))</f>
        <v>Metalúrgica</v>
      </c>
      <c r="D898" s="58" t="s">
        <v>5270</v>
      </c>
      <c r="E898" s="10" t="s">
        <v>2392</v>
      </c>
      <c r="F898" s="46" t="s">
        <v>115</v>
      </c>
    </row>
    <row r="899">
      <c r="A899" s="285" t="s">
        <v>3190</v>
      </c>
      <c r="B899" s="252">
        <f>IF(A899="", "", IF(IFERROR(VLOOKUP(A899, 'Base 3F'!$B:$C, 2, FALSE),"")="", "SIN CUIT", VLOOKUP(A899, 'Base 3F'!$B:$C, 2, FALSE)))</f>
        <v>30708300752</v>
      </c>
      <c r="C899" s="253" t="str">
        <f>IF(A899="", "", IF(IFERROR(VLOOKUP(A899, 'Base 3F'!$B:$J, 9, FALSE),"")="", "SIN RUBRO", VLOOKUP(A899, 'Base 3F'!$B:$J, 9, FALSE)))</f>
        <v>Metalúrgica</v>
      </c>
      <c r="D899" s="58" t="s">
        <v>5275</v>
      </c>
      <c r="E899" s="10" t="s">
        <v>2392</v>
      </c>
      <c r="F899" s="46" t="s">
        <v>115</v>
      </c>
    </row>
    <row r="900">
      <c r="A900" s="285" t="s">
        <v>3204</v>
      </c>
      <c r="B900" s="252">
        <f>IF(A900="", "", IF(IFERROR(VLOOKUP(A900, 'Base 3F'!$B:$C, 2, FALSE),"")="", "SIN CUIT", VLOOKUP(A900, 'Base 3F'!$B:$C, 2, FALSE)))</f>
        <v>30709599352</v>
      </c>
      <c r="C900" s="253" t="str">
        <f>IF(A900="", "", IF(IFERROR(VLOOKUP(A900, 'Base 3F'!$B:$J, 9, FALSE),"")="", "SIN RUBRO", VLOOKUP(A900, 'Base 3F'!$B:$J, 9, FALSE)))</f>
        <v>Textil</v>
      </c>
      <c r="D900" s="58" t="s">
        <v>5277</v>
      </c>
      <c r="E900" s="10" t="s">
        <v>2392</v>
      </c>
      <c r="F900" s="46" t="s">
        <v>115</v>
      </c>
    </row>
    <row r="901">
      <c r="A901" s="285" t="s">
        <v>3217</v>
      </c>
      <c r="B901" s="252">
        <f>IF(A901="", "", IF(IFERROR(VLOOKUP(A901, 'Base 3F'!$B:$C, 2, FALSE),"")="", "SIN CUIT", VLOOKUP(A901, 'Base 3F'!$B:$C, 2, FALSE)))</f>
        <v>33590878079</v>
      </c>
      <c r="C901" s="253" t="str">
        <f>IF(A901="", "", IF(IFERROR(VLOOKUP(A901, 'Base 3F'!$B:$J, 9, FALSE),"")="", "SIN RUBRO", VLOOKUP(A901, 'Base 3F'!$B:$J, 9, FALSE)))</f>
        <v>Electrónica</v>
      </c>
      <c r="D901" s="58" t="s">
        <v>5284</v>
      </c>
      <c r="E901" s="10" t="s">
        <v>2392</v>
      </c>
      <c r="F901" s="46" t="s">
        <v>115</v>
      </c>
    </row>
    <row r="902">
      <c r="A902" s="285" t="s">
        <v>1295</v>
      </c>
      <c r="B902" s="252">
        <f>IF(A902="", "", IF(IFERROR(VLOOKUP(A902, 'Base 3F'!$B:$C, 2, FALSE),"")="", "SIN CUIT", VLOOKUP(A902, 'Base 3F'!$B:$C, 2, FALSE)))</f>
        <v>30649592698</v>
      </c>
      <c r="C902" s="253" t="str">
        <f>IF(A902="", "", IF(IFERROR(VLOOKUP(A902, 'Base 3F'!$B:$J, 9, FALSE),"")="", "SIN RUBRO", VLOOKUP(A902, 'Base 3F'!$B:$J, 9, FALSE)))</f>
        <v>Papel</v>
      </c>
      <c r="D902" s="58" t="s">
        <v>5286</v>
      </c>
      <c r="E902" s="10" t="s">
        <v>2392</v>
      </c>
      <c r="F902" s="46" t="s">
        <v>115</v>
      </c>
    </row>
    <row r="903">
      <c r="A903" s="285" t="s">
        <v>3239</v>
      </c>
      <c r="B903" s="252">
        <f>IF(A903="", "", IF(IFERROR(VLOOKUP(A903, 'Base 3F'!$B:$C, 2, FALSE),"")="", "SIN CUIT", VLOOKUP(A903, 'Base 3F'!$B:$C, 2, FALSE)))</f>
        <v>30555713408</v>
      </c>
      <c r="C903" s="253" t="str">
        <f>IF(A903="", "", IF(IFERROR(VLOOKUP(A903, 'Base 3F'!$B:$J, 9, FALSE),"")="", "SIN RUBRO", VLOOKUP(A903, 'Base 3F'!$B:$J, 9, FALSE)))</f>
        <v>Metalúrgica</v>
      </c>
      <c r="D903" s="58" t="s">
        <v>5290</v>
      </c>
      <c r="E903" s="10" t="s">
        <v>2392</v>
      </c>
      <c r="F903" s="46" t="s">
        <v>115</v>
      </c>
    </row>
    <row r="904">
      <c r="A904" s="285" t="s">
        <v>3245</v>
      </c>
      <c r="B904" s="252">
        <f>IF(A904="", "", IF(IFERROR(VLOOKUP(A904, 'Base 3F'!$B:$C, 2, FALSE),"")="", "SIN CUIT", VLOOKUP(A904, 'Base 3F'!$B:$C, 2, FALSE)))</f>
        <v>30716270382</v>
      </c>
      <c r="C904" s="253" t="str">
        <f>IF(A904="", "", IF(IFERROR(VLOOKUP(A904, 'Base 3F'!$B:$J, 9, FALSE),"")="", "SIN RUBRO", VLOOKUP(A904, 'Base 3F'!$B:$J, 9, FALSE)))</f>
        <v>Textil</v>
      </c>
      <c r="D904" s="58" t="s">
        <v>5294</v>
      </c>
      <c r="E904" s="10" t="s">
        <v>2392</v>
      </c>
      <c r="F904" s="46" t="s">
        <v>115</v>
      </c>
    </row>
    <row r="905">
      <c r="A905" s="285" t="s">
        <v>3255</v>
      </c>
      <c r="B905" s="252">
        <f>IF(A905="", "", IF(IFERROR(VLOOKUP(A905, 'Base 3F'!$B:$C, 2, FALSE),"")="", "SIN CUIT", VLOOKUP(A905, 'Base 3F'!$B:$C, 2, FALSE)))</f>
        <v>30709035173</v>
      </c>
      <c r="C905" s="253" t="str">
        <f>IF(A905="", "", IF(IFERROR(VLOOKUP(A905, 'Base 3F'!$B:$J, 9, FALSE),"")="", "SIN RUBRO", VLOOKUP(A905, 'Base 3F'!$B:$J, 9, FALSE)))</f>
        <v>Metalúrgica</v>
      </c>
      <c r="D905" s="58" t="s">
        <v>5305</v>
      </c>
      <c r="E905" s="10" t="s">
        <v>2392</v>
      </c>
      <c r="F905" s="46" t="s">
        <v>115</v>
      </c>
    </row>
    <row r="906">
      <c r="A906" s="285" t="s">
        <v>3263</v>
      </c>
      <c r="B906" s="252">
        <f>IF(A906="", "", IF(IFERROR(VLOOKUP(A906, 'Base 3F'!$B:$C, 2, FALSE),"")="", "SIN CUIT", VLOOKUP(A906, 'Base 3F'!$B:$C, 2, FALSE)))</f>
        <v>30646318420</v>
      </c>
      <c r="C906" s="253" t="str">
        <f>IF(A906="", "", IF(IFERROR(VLOOKUP(A906, 'Base 3F'!$B:$J, 9, FALSE),"")="", "SIN RUBRO", VLOOKUP(A906, 'Base 3F'!$B:$J, 9, FALSE)))</f>
        <v>Metalmecánica</v>
      </c>
      <c r="D906" s="58" t="s">
        <v>5312</v>
      </c>
      <c r="E906" s="10" t="s">
        <v>2392</v>
      </c>
      <c r="F906" s="46" t="s">
        <v>115</v>
      </c>
    </row>
    <row r="907">
      <c r="A907" s="285" t="s">
        <v>3269</v>
      </c>
      <c r="B907" s="252">
        <f>IF(A907="", "", IF(IFERROR(VLOOKUP(A907, 'Base 3F'!$B:$C, 2, FALSE),"")="", "SIN CUIT", VLOOKUP(A907, 'Base 3F'!$B:$C, 2, FALSE)))</f>
        <v>30646318420</v>
      </c>
      <c r="C907" s="253" t="str">
        <f>IF(A907="", "", IF(IFERROR(VLOOKUP(A907, 'Base 3F'!$B:$J, 9, FALSE),"")="", "SIN RUBRO", VLOOKUP(A907, 'Base 3F'!$B:$J, 9, FALSE)))</f>
        <v>Metalúrgica</v>
      </c>
      <c r="D907" s="58" t="s">
        <v>5319</v>
      </c>
      <c r="E907" s="10" t="s">
        <v>2392</v>
      </c>
      <c r="F907" s="46" t="s">
        <v>115</v>
      </c>
    </row>
    <row r="908">
      <c r="A908" s="285" t="s">
        <v>3276</v>
      </c>
      <c r="B908" s="252">
        <f>IF(A908="", "", IF(IFERROR(VLOOKUP(A908, 'Base 3F'!$B:$C, 2, FALSE),"")="", "SIN CUIT", VLOOKUP(A908, 'Base 3F'!$B:$C, 2, FALSE)))</f>
        <v>30708799382</v>
      </c>
      <c r="C908" s="253" t="str">
        <f>IF(A908="", "", IF(IFERROR(VLOOKUP(A908, 'Base 3F'!$B:$J, 9, FALSE),"")="", "SIN RUBRO", VLOOKUP(A908, 'Base 3F'!$B:$J, 9, FALSE)))</f>
        <v>Metalúrgica</v>
      </c>
      <c r="D908" s="96" t="s">
        <v>5330</v>
      </c>
      <c r="E908" s="10" t="s">
        <v>2392</v>
      </c>
      <c r="F908" s="46" t="s">
        <v>115</v>
      </c>
    </row>
    <row r="909">
      <c r="A909" s="285" t="s">
        <v>3292</v>
      </c>
      <c r="B909" s="252">
        <f>IF(A909="", "", IF(IFERROR(VLOOKUP(A909, 'Base 3F'!$B:$C, 2, FALSE),"")="", "SIN CUIT", VLOOKUP(A909, 'Base 3F'!$B:$C, 2, FALSE)))</f>
        <v>30558238166</v>
      </c>
      <c r="C909" s="253" t="str">
        <f>IF(A909="", "", IF(IFERROR(VLOOKUP(A909, 'Base 3F'!$B:$J, 9, FALSE),"")="", "SIN RUBRO", VLOOKUP(A909, 'Base 3F'!$B:$J, 9, FALSE)))</f>
        <v>Metalúrgica</v>
      </c>
      <c r="D909" s="58" t="s">
        <v>5331</v>
      </c>
      <c r="E909" s="10" t="s">
        <v>2392</v>
      </c>
      <c r="F909" s="46" t="s">
        <v>115</v>
      </c>
    </row>
    <row r="910">
      <c r="A910" s="285" t="s">
        <v>3311</v>
      </c>
      <c r="B910" s="252">
        <f>IF(A910="", "", IF(IFERROR(VLOOKUP(A910, 'Base 3F'!$B:$C, 2, FALSE),"")="", "SIN CUIT", VLOOKUP(A910, 'Base 3F'!$B:$C, 2, FALSE)))</f>
        <v>30613652767</v>
      </c>
      <c r="C910" s="253" t="str">
        <f>IF(A910="", "", IF(IFERROR(VLOOKUP(A910, 'Base 3F'!$B:$J, 9, FALSE),"")="", "SIN RUBRO", VLOOKUP(A910, 'Base 3F'!$B:$J, 9, FALSE)))</f>
        <v>Metalúrgica</v>
      </c>
      <c r="D910" s="58" t="s">
        <v>5340</v>
      </c>
      <c r="E910" s="10" t="s">
        <v>2392</v>
      </c>
      <c r="F910" s="46" t="s">
        <v>115</v>
      </c>
    </row>
    <row r="911">
      <c r="A911" s="285" t="s">
        <v>3318</v>
      </c>
      <c r="B911" s="252">
        <f>IF(A911="", "", IF(IFERROR(VLOOKUP(A911, 'Base 3F'!$B:$C, 2, FALSE),"")="", "SIN CUIT", VLOOKUP(A911, 'Base 3F'!$B:$C, 2, FALSE)))</f>
        <v>20334946534</v>
      </c>
      <c r="C911" s="253" t="str">
        <f>IF(A911="", "", IF(IFERROR(VLOOKUP(A911, 'Base 3F'!$B:$J, 9, FALSE),"")="", "SIN RUBRO", VLOOKUP(A911, 'Base 3F'!$B:$J, 9, FALSE)))</f>
        <v>Alimenticia</v>
      </c>
      <c r="D911" s="142" t="s">
        <v>5351</v>
      </c>
      <c r="E911" s="10" t="s">
        <v>2392</v>
      </c>
      <c r="F911" s="46" t="s">
        <v>115</v>
      </c>
    </row>
    <row r="912">
      <c r="A912" s="285" t="s">
        <v>3326</v>
      </c>
      <c r="B912" s="252">
        <f>IF(A912="", "", IF(IFERROR(VLOOKUP(A912, 'Base 3F'!$B:$C, 2, FALSE),"")="", "SIN CUIT", VLOOKUP(A912, 'Base 3F'!$B:$C, 2, FALSE)))</f>
        <v>30710423640</v>
      </c>
      <c r="C912" s="253" t="str">
        <f>IF(A912="", "", IF(IFERROR(VLOOKUP(A912, 'Base 3F'!$B:$J, 9, FALSE),"")="", "SIN RUBRO", VLOOKUP(A912, 'Base 3F'!$B:$J, 9, FALSE)))</f>
        <v>Plástica</v>
      </c>
      <c r="D912" s="58" t="s">
        <v>5358</v>
      </c>
      <c r="E912" s="10" t="s">
        <v>2392</v>
      </c>
      <c r="F912" s="46" t="s">
        <v>115</v>
      </c>
    </row>
    <row r="913">
      <c r="A913" s="285" t="s">
        <v>3332</v>
      </c>
      <c r="B913" s="252">
        <f>IF(A913="", "", IF(IFERROR(VLOOKUP(A913, 'Base 3F'!$B:$C, 2, FALSE),"")="", "SIN CUIT", VLOOKUP(A913, 'Base 3F'!$B:$C, 2, FALSE)))</f>
        <v>33710813979</v>
      </c>
      <c r="C913" s="253" t="str">
        <f>IF(A913="", "", IF(IFERROR(VLOOKUP(A913, 'Base 3F'!$B:$J, 9, FALSE),"")="", "SIN RUBRO", VLOOKUP(A913, 'Base 3F'!$B:$J, 9, FALSE)))</f>
        <v>Metalúrgica</v>
      </c>
      <c r="D913" s="58" t="s">
        <v>5370</v>
      </c>
      <c r="E913" s="10" t="s">
        <v>2392</v>
      </c>
      <c r="F913" s="46" t="s">
        <v>115</v>
      </c>
    </row>
    <row r="914">
      <c r="A914" s="285" t="s">
        <v>1308</v>
      </c>
      <c r="B914" s="252">
        <f>IF(A914="", "", IF(IFERROR(VLOOKUP(A914, 'Base 3F'!$B:$C, 2, FALSE),"")="", "SIN CUIT", VLOOKUP(A914, 'Base 3F'!$B:$C, 2, FALSE)))</f>
        <v>30711691479</v>
      </c>
      <c r="C914" s="253" t="str">
        <f>IF(A914="", "", IF(IFERROR(VLOOKUP(A914, 'Base 3F'!$B:$J, 9, FALSE),"")="", "SIN RUBRO", VLOOKUP(A914, 'Base 3F'!$B:$J, 9, FALSE)))</f>
        <v>Textil</v>
      </c>
      <c r="D914" s="58" t="s">
        <v>5374</v>
      </c>
      <c r="E914" s="10" t="s">
        <v>2392</v>
      </c>
      <c r="F914" s="46" t="s">
        <v>115</v>
      </c>
    </row>
    <row r="915">
      <c r="A915" s="285" t="s">
        <v>1315</v>
      </c>
      <c r="B915" s="252">
        <f>IF(A915="", "", IF(IFERROR(VLOOKUP(A915, 'Base 3F'!$B:$C, 2, FALSE),"")="", "SIN CUIT", VLOOKUP(A915, 'Base 3F'!$B:$C, 2, FALSE)))</f>
        <v>30708268204</v>
      </c>
      <c r="C915" s="253" t="str">
        <f>IF(A915="", "", IF(IFERROR(VLOOKUP(A915, 'Base 3F'!$B:$J, 9, FALSE),"")="", "SIN RUBRO", VLOOKUP(A915, 'Base 3F'!$B:$J, 9, FALSE)))</f>
        <v>Textil</v>
      </c>
      <c r="D915" s="58" t="s">
        <v>5385</v>
      </c>
      <c r="E915" s="10" t="s">
        <v>2392</v>
      </c>
      <c r="F915" s="46" t="s">
        <v>115</v>
      </c>
    </row>
    <row r="916">
      <c r="A916" s="285" t="s">
        <v>3357</v>
      </c>
      <c r="B916" s="252">
        <f>IF(A916="", "", IF(IFERROR(VLOOKUP(A916, 'Base 3F'!$B:$C, 2, FALSE),"")="", "SIN CUIT", VLOOKUP(A916, 'Base 3F'!$B:$C, 2, FALSE)))</f>
        <v>30707164065</v>
      </c>
      <c r="C916" s="253" t="str">
        <f>IF(A916="", "", IF(IFERROR(VLOOKUP(A916, 'Base 3F'!$B:$J, 9, FALSE),"")="", "SIN RUBRO", VLOOKUP(A916, 'Base 3F'!$B:$J, 9, FALSE)))</f>
        <v>Servicios</v>
      </c>
      <c r="D916" s="58" t="s">
        <v>5391</v>
      </c>
      <c r="E916" s="10" t="s">
        <v>2392</v>
      </c>
      <c r="F916" s="46" t="s">
        <v>115</v>
      </c>
    </row>
    <row r="917">
      <c r="A917" s="285" t="s">
        <v>3363</v>
      </c>
      <c r="B917" s="252">
        <f>IF(A917="", "", IF(IFERROR(VLOOKUP(A917, 'Base 3F'!$B:$C, 2, FALSE),"")="", "SIN CUIT", VLOOKUP(A917, 'Base 3F'!$B:$C, 2, FALSE)))</f>
        <v>30503891863</v>
      </c>
      <c r="C917" s="253" t="str">
        <f>IF(A917="", "", IF(IFERROR(VLOOKUP(A917, 'Base 3F'!$B:$J, 9, FALSE),"")="", "SIN RUBRO", VLOOKUP(A917, 'Base 3F'!$B:$J, 9, FALSE)))</f>
        <v>Alimenticia</v>
      </c>
      <c r="D917" s="58" t="s">
        <v>5395</v>
      </c>
      <c r="E917" s="10" t="s">
        <v>2392</v>
      </c>
      <c r="F917" s="46" t="s">
        <v>115</v>
      </c>
    </row>
    <row r="918">
      <c r="A918" s="285" t="s">
        <v>1327</v>
      </c>
      <c r="B918" s="252">
        <f>IF(A918="", "", IF(IFERROR(VLOOKUP(A918, 'Base 3F'!$B:$C, 2, FALSE),"")="", "SIN CUIT", VLOOKUP(A918, 'Base 3F'!$B:$C, 2, FALSE)))</f>
        <v>30576877710</v>
      </c>
      <c r="C918" s="253" t="str">
        <f>IF(A918="", "", IF(IFERROR(VLOOKUP(A918, 'Base 3F'!$B:$J, 9, FALSE),"")="", "SIN RUBRO", VLOOKUP(A918, 'Base 3F'!$B:$J, 9, FALSE)))</f>
        <v>Metalmecánica</v>
      </c>
      <c r="D918" s="58" t="s">
        <v>5401</v>
      </c>
      <c r="E918" s="10" t="s">
        <v>2392</v>
      </c>
      <c r="F918" s="46" t="s">
        <v>115</v>
      </c>
    </row>
    <row r="919">
      <c r="A919" s="285" t="s">
        <v>3398</v>
      </c>
      <c r="B919" s="252">
        <f>IF(A919="", "", IF(IFERROR(VLOOKUP(A919, 'Base 3F'!$B:$C, 2, FALSE),"")="", "SIN CUIT", VLOOKUP(A919, 'Base 3F'!$B:$C, 2, FALSE)))</f>
        <v>30711199639</v>
      </c>
      <c r="C919" s="253" t="str">
        <f>IF(A919="", "", IF(IFERROR(VLOOKUP(A919, 'Base 3F'!$B:$J, 9, FALSE),"")="", "SIN RUBRO", VLOOKUP(A919, 'Base 3F'!$B:$J, 9, FALSE)))</f>
        <v>Construcción</v>
      </c>
      <c r="D919" s="58" t="s">
        <v>5407</v>
      </c>
      <c r="E919" s="10" t="s">
        <v>2392</v>
      </c>
      <c r="F919" s="46" t="s">
        <v>115</v>
      </c>
    </row>
    <row r="920">
      <c r="A920" s="285" t="s">
        <v>3404</v>
      </c>
      <c r="B920" s="252">
        <f>IF(A920="", "", IF(IFERROR(VLOOKUP(A920, 'Base 3F'!$B:$C, 2, FALSE),"")="", "SIN CUIT", VLOOKUP(A920, 'Base 3F'!$B:$C, 2, FALSE)))</f>
        <v>30685252240</v>
      </c>
      <c r="C920" s="253" t="str">
        <f>IF(A920="", "", IF(IFERROR(VLOOKUP(A920, 'Base 3F'!$B:$J, 9, FALSE),"")="", "SIN RUBRO", VLOOKUP(A920, 'Base 3F'!$B:$J, 9, FALSE)))</f>
        <v>Madera</v>
      </c>
      <c r="D920" s="58" t="s">
        <v>5414</v>
      </c>
      <c r="E920" s="10" t="s">
        <v>2392</v>
      </c>
      <c r="F920" s="46" t="s">
        <v>115</v>
      </c>
    </row>
    <row r="921">
      <c r="A921" s="285" t="s">
        <v>3408</v>
      </c>
      <c r="B921" s="252">
        <f>IF(A921="", "", IF(IFERROR(VLOOKUP(A921, 'Base 3F'!$B:$C, 2, FALSE),"")="", "SIN CUIT", VLOOKUP(A921, 'Base 3F'!$B:$C, 2, FALSE)))</f>
        <v>30708123303</v>
      </c>
      <c r="C921" s="253" t="str">
        <f>IF(A921="", "", IF(IFERROR(VLOOKUP(A921, 'Base 3F'!$B:$J, 9, FALSE),"")="", "SIN RUBRO", VLOOKUP(A921, 'Base 3F'!$B:$J, 9, FALSE)))</f>
        <v>Servicios</v>
      </c>
      <c r="D921" s="58" t="s">
        <v>5420</v>
      </c>
      <c r="E921" s="10" t="s">
        <v>2392</v>
      </c>
      <c r="F921" s="46" t="s">
        <v>115</v>
      </c>
    </row>
    <row r="922">
      <c r="A922" s="285" t="s">
        <v>5421</v>
      </c>
      <c r="B922" s="252" t="str">
        <f>IF(A922="", "", IF(IFERROR(VLOOKUP(A922, 'Base 3F'!$B:$C, 2, FALSE),"")="", "SIN CUIT", VLOOKUP(A922, 'Base 3F'!$B:$C, 2, FALSE)))</f>
        <v>SIN CUIT</v>
      </c>
      <c r="C922" s="253" t="str">
        <f>IF(A922="", "", IF(IFERROR(VLOOKUP(A922, 'Base 3F'!$B:$J, 9, FALSE),"")="", "SIN RUBRO", VLOOKUP(A922, 'Base 3F'!$B:$J, 9, FALSE)))</f>
        <v>SIN RUBRO</v>
      </c>
      <c r="D922" s="58" t="s">
        <v>5426</v>
      </c>
      <c r="E922" s="10" t="s">
        <v>2392</v>
      </c>
      <c r="F922" s="46" t="s">
        <v>115</v>
      </c>
    </row>
    <row r="923">
      <c r="A923" s="285" t="s">
        <v>1337</v>
      </c>
      <c r="B923" s="252">
        <f>IF(A923="", "", IF(IFERROR(VLOOKUP(A923, 'Base 3F'!$B:$C, 2, FALSE),"")="", "SIN CUIT", VLOOKUP(A923, 'Base 3F'!$B:$C, 2, FALSE)))</f>
        <v>30714028991</v>
      </c>
      <c r="C923" s="253" t="str">
        <f>IF(A923="", "", IF(IFERROR(VLOOKUP(A923, 'Base 3F'!$B:$J, 9, FALSE),"")="", "SIN RUBRO", VLOOKUP(A923, 'Base 3F'!$B:$J, 9, FALSE)))</f>
        <v>Papel</v>
      </c>
      <c r="D923" s="58" t="s">
        <v>5428</v>
      </c>
      <c r="E923" s="10" t="s">
        <v>2392</v>
      </c>
      <c r="F923" s="46" t="s">
        <v>115</v>
      </c>
    </row>
    <row r="924">
      <c r="A924" s="285" t="s">
        <v>1345</v>
      </c>
      <c r="B924" s="252">
        <f>IF(A924="", "", IF(IFERROR(VLOOKUP(A924, 'Base 3F'!$B:$C, 2, FALSE),"")="", "SIN CUIT", VLOOKUP(A924, 'Base 3F'!$B:$C, 2, FALSE)))</f>
        <v>30591408093</v>
      </c>
      <c r="C924" s="253" t="str">
        <f>IF(A924="", "", IF(IFERROR(VLOOKUP(A924, 'Base 3F'!$B:$J, 9, FALSE),"")="", "SIN RUBRO", VLOOKUP(A924, 'Base 3F'!$B:$J, 9, FALSE)))</f>
        <v>Textil</v>
      </c>
      <c r="D924" s="58" t="s">
        <v>5433</v>
      </c>
      <c r="E924" s="10" t="s">
        <v>2392</v>
      </c>
      <c r="F924" s="46" t="s">
        <v>115</v>
      </c>
    </row>
    <row r="925">
      <c r="A925" s="285" t="s">
        <v>3465</v>
      </c>
      <c r="B925" s="252">
        <f>IF(A925="", "", IF(IFERROR(VLOOKUP(A925, 'Base 3F'!$B:$C, 2, FALSE),"")="", "SIN CUIT", VLOOKUP(A925, 'Base 3F'!$B:$C, 2, FALSE)))</f>
        <v>30516468625</v>
      </c>
      <c r="C925" s="253" t="str">
        <f>IF(A925="", "", IF(IFERROR(VLOOKUP(A925, 'Base 3F'!$B:$J, 9, FALSE),"")="", "SIN RUBRO", VLOOKUP(A925, 'Base 3F'!$B:$J, 9, FALSE)))</f>
        <v>Química</v>
      </c>
      <c r="D925" s="58" t="s">
        <v>5436</v>
      </c>
      <c r="E925" s="10" t="s">
        <v>2392</v>
      </c>
      <c r="F925" s="46" t="s">
        <v>115</v>
      </c>
    </row>
    <row r="926">
      <c r="A926" s="285" t="s">
        <v>3480</v>
      </c>
      <c r="B926" s="252">
        <f>IF(A926="", "", IF(IFERROR(VLOOKUP(A926, 'Base 3F'!$B:$C, 2, FALSE),"")="", "SIN CUIT", VLOOKUP(A926, 'Base 3F'!$B:$C, 2, FALSE)))</f>
        <v>30593664070</v>
      </c>
      <c r="C926" s="253" t="str">
        <f>IF(A926="", "", IF(IFERROR(VLOOKUP(A926, 'Base 3F'!$B:$J, 9, FALSE),"")="", "SIN RUBRO", VLOOKUP(A926, 'Base 3F'!$B:$J, 9, FALSE)))</f>
        <v>Caucho</v>
      </c>
      <c r="D926" s="58" t="s">
        <v>5443</v>
      </c>
      <c r="E926" s="10" t="s">
        <v>2392</v>
      </c>
      <c r="F926" s="46" t="s">
        <v>115</v>
      </c>
    </row>
    <row r="927">
      <c r="A927" s="285" t="s">
        <v>3487</v>
      </c>
      <c r="B927" s="252">
        <f>IF(A927="", "", IF(IFERROR(VLOOKUP(A927, 'Base 3F'!$B:$C, 2, FALSE),"")="", "SIN CUIT", VLOOKUP(A927, 'Base 3F'!$B:$C, 2, FALSE)))</f>
        <v>20044143748</v>
      </c>
      <c r="C927" s="253" t="str">
        <f>IF(A927="", "", IF(IFERROR(VLOOKUP(A927, 'Base 3F'!$B:$J, 9, FALSE),"")="", "SIN RUBRO", VLOOKUP(A927, 'Base 3F'!$B:$J, 9, FALSE)))</f>
        <v>Servicios</v>
      </c>
      <c r="D927" s="58" t="s">
        <v>5449</v>
      </c>
      <c r="E927" s="10" t="s">
        <v>2392</v>
      </c>
      <c r="F927" s="46" t="s">
        <v>115</v>
      </c>
    </row>
    <row r="928">
      <c r="A928" s="285" t="s">
        <v>3523</v>
      </c>
      <c r="B928" s="252">
        <f>IF(A928="", "", IF(IFERROR(VLOOKUP(A928, 'Base 3F'!$B:$C, 2, FALSE),"")="", "SIN CUIT", VLOOKUP(A928, 'Base 3F'!$B:$C, 2, FALSE)))</f>
        <v>30589958442</v>
      </c>
      <c r="C928" s="253" t="str">
        <f>IF(A928="", "", IF(IFERROR(VLOOKUP(A928, 'Base 3F'!$B:$J, 9, FALSE),"")="", "SIN RUBRO", VLOOKUP(A928, 'Base 3F'!$B:$J, 9, FALSE)))</f>
        <v>Industria</v>
      </c>
      <c r="D928" s="58" t="s">
        <v>5456</v>
      </c>
      <c r="E928" s="10" t="s">
        <v>2392</v>
      </c>
      <c r="F928" s="46" t="s">
        <v>115</v>
      </c>
    </row>
    <row r="929">
      <c r="A929" s="285" t="s">
        <v>3545</v>
      </c>
      <c r="B929" s="252">
        <f>IF(A929="", "", IF(IFERROR(VLOOKUP(A929, 'Base 3F'!$B:$C, 2, FALSE),"")="", "SIN CUIT", VLOOKUP(A929, 'Base 3F'!$B:$C, 2, FALSE)))</f>
        <v>30655286469</v>
      </c>
      <c r="C929" s="253" t="str">
        <f>IF(A929="", "", IF(IFERROR(VLOOKUP(A929, 'Base 3F'!$B:$J, 9, FALSE),"")="", "SIN RUBRO", VLOOKUP(A929, 'Base 3F'!$B:$J, 9, FALSE)))</f>
        <v>Vidrio</v>
      </c>
      <c r="D929" s="58" t="s">
        <v>5462</v>
      </c>
      <c r="E929" s="10" t="s">
        <v>2392</v>
      </c>
      <c r="F929" s="46" t="s">
        <v>115</v>
      </c>
    </row>
    <row r="930">
      <c r="A930" s="285" t="s">
        <v>3559</v>
      </c>
      <c r="B930" s="252">
        <f>IF(A930="", "", IF(IFERROR(VLOOKUP(A930, 'Base 3F'!$B:$C, 2, FALSE),"")="", "SIN CUIT", VLOOKUP(A930, 'Base 3F'!$B:$C, 2, FALSE)))</f>
        <v>30709522066</v>
      </c>
      <c r="C930" s="253" t="str">
        <f>IF(A930="", "", IF(IFERROR(VLOOKUP(A930, 'Base 3F'!$B:$J, 9, FALSE),"")="", "SIN RUBRO", VLOOKUP(A930, 'Base 3F'!$B:$J, 9, FALSE)))</f>
        <v>Química</v>
      </c>
      <c r="D930" s="58" t="s">
        <v>5465</v>
      </c>
      <c r="E930" s="10" t="s">
        <v>2392</v>
      </c>
      <c r="F930" s="46" t="s">
        <v>115</v>
      </c>
    </row>
    <row r="931">
      <c r="A931" s="285" t="s">
        <v>3583</v>
      </c>
      <c r="B931" s="252">
        <f>IF(A931="", "", IF(IFERROR(VLOOKUP(A931, 'Base 3F'!$B:$C, 2, FALSE),"")="", "SIN CUIT", VLOOKUP(A931, 'Base 3F'!$B:$C, 2, FALSE)))</f>
        <v>30574603788</v>
      </c>
      <c r="C931" s="253" t="str">
        <f>IF(A931="", "", IF(IFERROR(VLOOKUP(A931, 'Base 3F'!$B:$J, 9, FALSE),"")="", "SIN RUBRO", VLOOKUP(A931, 'Base 3F'!$B:$J, 9, FALSE)))</f>
        <v>Química</v>
      </c>
      <c r="D931" s="58" t="s">
        <v>5469</v>
      </c>
      <c r="E931" s="10" t="s">
        <v>2392</v>
      </c>
      <c r="F931" s="46" t="s">
        <v>115</v>
      </c>
    </row>
    <row r="932">
      <c r="A932" s="285" t="s">
        <v>3590</v>
      </c>
      <c r="B932" s="252">
        <f>IF(A932="", "", IF(IFERROR(VLOOKUP(A932, 'Base 3F'!$B:$C, 2, FALSE),"")="", "SIN CUIT", VLOOKUP(A932, 'Base 3F'!$B:$C, 2, FALSE)))</f>
        <v>30687516709</v>
      </c>
      <c r="C932" s="253" t="str">
        <f>IF(A932="", "", IF(IFERROR(VLOOKUP(A932, 'Base 3F'!$B:$J, 9, FALSE),"")="", "SIN RUBRO", VLOOKUP(A932, 'Base 3F'!$B:$J, 9, FALSE)))</f>
        <v>Metalúrgica</v>
      </c>
      <c r="D932" s="58" t="s">
        <v>5472</v>
      </c>
      <c r="E932" s="10" t="s">
        <v>2392</v>
      </c>
      <c r="F932" s="46" t="s">
        <v>115</v>
      </c>
    </row>
    <row r="933">
      <c r="A933" s="285" t="s">
        <v>3598</v>
      </c>
      <c r="B933" s="252">
        <f>IF(A933="", "", IF(IFERROR(VLOOKUP(A933, 'Base 3F'!$B:$C, 2, FALSE),"")="", "SIN CUIT", VLOOKUP(A933, 'Base 3F'!$B:$C, 2, FALSE)))</f>
        <v>30505151433</v>
      </c>
      <c r="C933" s="253" t="str">
        <f>IF(A933="", "", IF(IFERROR(VLOOKUP(A933, 'Base 3F'!$B:$J, 9, FALSE),"")="", "SIN RUBRO", VLOOKUP(A933, 'Base 3F'!$B:$J, 9, FALSE)))</f>
        <v>Metalúrgica</v>
      </c>
      <c r="D933" s="58" t="s">
        <v>5475</v>
      </c>
      <c r="E933" s="10" t="s">
        <v>2392</v>
      </c>
      <c r="F933" s="46" t="s">
        <v>115</v>
      </c>
    </row>
    <row r="934">
      <c r="A934" s="285" t="s">
        <v>3630</v>
      </c>
      <c r="B934" s="252">
        <f>IF(A934="", "", IF(IFERROR(VLOOKUP(A934, 'Base 3F'!$B:$C, 2, FALSE),"")="", "SIN CUIT", VLOOKUP(A934, 'Base 3F'!$B:$C, 2, FALSE)))</f>
        <v>30708728728</v>
      </c>
      <c r="C934" s="253" t="str">
        <f>IF(A934="", "", IF(IFERROR(VLOOKUP(A934, 'Base 3F'!$B:$J, 9, FALSE),"")="", "SIN RUBRO", VLOOKUP(A934, 'Base 3F'!$B:$J, 9, FALSE)))</f>
        <v>Metalmecánica</v>
      </c>
      <c r="D934" s="58" t="s">
        <v>5479</v>
      </c>
      <c r="E934" s="10" t="s">
        <v>2392</v>
      </c>
      <c r="F934" s="46" t="s">
        <v>115</v>
      </c>
    </row>
    <row r="935">
      <c r="A935" s="285" t="s">
        <v>3643</v>
      </c>
      <c r="B935" s="252">
        <f>IF(A935="", "", IF(IFERROR(VLOOKUP(A935, 'Base 3F'!$B:$C, 2, FALSE),"")="", "SIN CUIT", VLOOKUP(A935, 'Base 3F'!$B:$C, 2, FALSE)))</f>
        <v>30707992960</v>
      </c>
      <c r="C935" s="253" t="str">
        <f>IF(A935="", "", IF(IFERROR(VLOOKUP(A935, 'Base 3F'!$B:$J, 9, FALSE),"")="", "SIN RUBRO", VLOOKUP(A935, 'Base 3F'!$B:$J, 9, FALSE)))</f>
        <v>Metalúrgica</v>
      </c>
      <c r="D935" s="96" t="s">
        <v>5480</v>
      </c>
      <c r="E935" s="10" t="s">
        <v>2392</v>
      </c>
      <c r="F935" s="46" t="s">
        <v>115</v>
      </c>
    </row>
    <row r="936">
      <c r="A936" s="285" t="s">
        <v>3650</v>
      </c>
      <c r="B936" s="252">
        <f>IF(A936="", "", IF(IFERROR(VLOOKUP(A936, 'Base 3F'!$B:$C, 2, FALSE),"")="", "SIN CUIT", VLOOKUP(A936, 'Base 3F'!$B:$C, 2, FALSE)))</f>
        <v>30623294648</v>
      </c>
      <c r="C936" s="253" t="str">
        <f>IF(A936="", "", IF(IFERROR(VLOOKUP(A936, 'Base 3F'!$B:$J, 9, FALSE),"")="", "SIN RUBRO", VLOOKUP(A936, 'Base 3F'!$B:$J, 9, FALSE)))</f>
        <v>Plástica</v>
      </c>
      <c r="D936" s="58" t="s">
        <v>5485</v>
      </c>
      <c r="E936" s="10" t="s">
        <v>2392</v>
      </c>
      <c r="F936" s="46" t="s">
        <v>115</v>
      </c>
    </row>
    <row r="937">
      <c r="A937" s="285" t="s">
        <v>1360</v>
      </c>
      <c r="B937" s="252">
        <f>IF(A937="", "", IF(IFERROR(VLOOKUP(A937, 'Base 3F'!$B:$C, 2, FALSE),"")="", "SIN CUIT", VLOOKUP(A937, 'Base 3F'!$B:$C, 2, FALSE)))</f>
        <v>30708255838</v>
      </c>
      <c r="C937" s="253" t="str">
        <f>IF(A937="", "", IF(IFERROR(VLOOKUP(A937, 'Base 3F'!$B:$J, 9, FALSE),"")="", "SIN RUBRO", VLOOKUP(A937, 'Base 3F'!$B:$J, 9, FALSE)))</f>
        <v>Textil</v>
      </c>
      <c r="D937" s="58" t="s">
        <v>5487</v>
      </c>
      <c r="E937" s="10" t="s">
        <v>2392</v>
      </c>
      <c r="F937" s="46" t="s">
        <v>115</v>
      </c>
    </row>
    <row r="938">
      <c r="A938" s="285" t="s">
        <v>3675</v>
      </c>
      <c r="B938" s="252">
        <f>IF(A938="", "", IF(IFERROR(VLOOKUP(A938, 'Base 3F'!$B:$C, 2, FALSE),"")="", "SIN CUIT", VLOOKUP(A938, 'Base 3F'!$B:$C, 2, FALSE)))</f>
        <v>30566151061</v>
      </c>
      <c r="C938" s="253" t="str">
        <f>IF(A938="", "", IF(IFERROR(VLOOKUP(A938, 'Base 3F'!$B:$J, 9, FALSE),"")="", "SIN RUBRO", VLOOKUP(A938, 'Base 3F'!$B:$J, 9, FALSE)))</f>
        <v>Alimenticia</v>
      </c>
      <c r="D938" s="58" t="s">
        <v>5491</v>
      </c>
      <c r="E938" s="10" t="s">
        <v>2392</v>
      </c>
      <c r="F938" s="46" t="s">
        <v>115</v>
      </c>
    </row>
    <row r="939">
      <c r="A939" s="285" t="s">
        <v>3688</v>
      </c>
      <c r="B939" s="252">
        <f>IF(A939="", "", IF(IFERROR(VLOOKUP(A939, 'Base 3F'!$B:$C, 2, FALSE),"")="", "SIN CUIT", VLOOKUP(A939, 'Base 3F'!$B:$C, 2, FALSE)))</f>
        <v>30610752698</v>
      </c>
      <c r="C939" s="253" t="str">
        <f>IF(A939="", "", IF(IFERROR(VLOOKUP(A939, 'Base 3F'!$B:$J, 9, FALSE),"")="", "SIN RUBRO", VLOOKUP(A939, 'Base 3F'!$B:$J, 9, FALSE)))</f>
        <v>Papel</v>
      </c>
      <c r="D939" s="58" t="s">
        <v>5493</v>
      </c>
      <c r="E939" s="10" t="s">
        <v>2392</v>
      </c>
      <c r="F939" s="46" t="s">
        <v>115</v>
      </c>
    </row>
    <row r="940">
      <c r="A940" s="285" t="s">
        <v>3696</v>
      </c>
      <c r="B940" s="252">
        <f>IF(A940="", "", IF(IFERROR(VLOOKUP(A940, 'Base 3F'!$B:$C, 2, FALSE),"")="", "SIN CUIT", VLOOKUP(A940, 'Base 3F'!$B:$C, 2, FALSE)))</f>
        <v>30710690711</v>
      </c>
      <c r="C940" s="253" t="str">
        <f>IF(A940="", "", IF(IFERROR(VLOOKUP(A940, 'Base 3F'!$B:$J, 9, FALSE),"")="", "SIN RUBRO", VLOOKUP(A940, 'Base 3F'!$B:$J, 9, FALSE)))</f>
        <v>Minería</v>
      </c>
      <c r="D940" s="96" t="s">
        <v>5498</v>
      </c>
      <c r="E940" s="10" t="s">
        <v>2392</v>
      </c>
      <c r="F940" s="46" t="s">
        <v>115</v>
      </c>
    </row>
    <row r="941">
      <c r="A941" s="285" t="s">
        <v>3704</v>
      </c>
      <c r="B941" s="252">
        <f>IF(A941="", "", IF(IFERROR(VLOOKUP(A941, 'Base 3F'!$B:$C, 2, FALSE),"")="", "SIN CUIT", VLOOKUP(A941, 'Base 3F'!$B:$C, 2, FALSE)))</f>
        <v>30645030911</v>
      </c>
      <c r="C941" s="253" t="str">
        <f>IF(A941="", "", IF(IFERROR(VLOOKUP(A941, 'Base 3F'!$B:$J, 9, FALSE),"")="", "SIN RUBRO", VLOOKUP(A941, 'Base 3F'!$B:$J, 9, FALSE)))</f>
        <v>Textil</v>
      </c>
      <c r="D941" s="58" t="s">
        <v>409</v>
      </c>
      <c r="E941" s="10" t="s">
        <v>2392</v>
      </c>
      <c r="F941" s="46" t="s">
        <v>115</v>
      </c>
    </row>
    <row r="942">
      <c r="A942" s="285" t="s">
        <v>3714</v>
      </c>
      <c r="B942" s="252">
        <f>IF(A942="", "", IF(IFERROR(VLOOKUP(A942, 'Base 3F'!$B:$C, 2, FALSE),"")="", "SIN CUIT", VLOOKUP(A942, 'Base 3F'!$B:$C, 2, FALSE)))</f>
        <v>30708167483</v>
      </c>
      <c r="C942" s="253" t="str">
        <f>IF(A942="", "", IF(IFERROR(VLOOKUP(A942, 'Base 3F'!$B:$J, 9, FALSE),"")="", "SIN RUBRO", VLOOKUP(A942, 'Base 3F'!$B:$J, 9, FALSE)))</f>
        <v>Metalmecánica</v>
      </c>
      <c r="D942" s="58" t="s">
        <v>5505</v>
      </c>
      <c r="E942" s="10" t="s">
        <v>2392</v>
      </c>
      <c r="F942" s="46" t="s">
        <v>115</v>
      </c>
    </row>
    <row r="943">
      <c r="A943" s="285" t="s">
        <v>3723</v>
      </c>
      <c r="B943" s="252">
        <f>IF(A943="", "", IF(IFERROR(VLOOKUP(A943, 'Base 3F'!$B:$C, 2, FALSE),"")="", "SIN CUIT", VLOOKUP(A943, 'Base 3F'!$B:$C, 2, FALSE)))</f>
        <v>30663831549</v>
      </c>
      <c r="C943" s="253" t="str">
        <f>IF(A943="", "", IF(IFERROR(VLOOKUP(A943, 'Base 3F'!$B:$J, 9, FALSE),"")="", "SIN RUBRO", VLOOKUP(A943, 'Base 3F'!$B:$J, 9, FALSE)))</f>
        <v>Madera</v>
      </c>
      <c r="D943" s="58" t="s">
        <v>5507</v>
      </c>
      <c r="E943" s="10" t="s">
        <v>2392</v>
      </c>
      <c r="F943" s="46" t="s">
        <v>115</v>
      </c>
    </row>
    <row r="944">
      <c r="A944" s="285" t="s">
        <v>3731</v>
      </c>
      <c r="B944" s="252">
        <f>IF(A944="", "", IF(IFERROR(VLOOKUP(A944, 'Base 3F'!$B:$C, 2, FALSE),"")="", "SIN CUIT", VLOOKUP(A944, 'Base 3F'!$B:$C, 2, FALSE)))</f>
        <v>33709302839</v>
      </c>
      <c r="C944" s="253" t="str">
        <f>IF(A944="", "", IF(IFERROR(VLOOKUP(A944, 'Base 3F'!$B:$J, 9, FALSE),"")="", "SIN RUBRO", VLOOKUP(A944, 'Base 3F'!$B:$J, 9, FALSE)))</f>
        <v>Metalúrgica</v>
      </c>
      <c r="D944" s="58" t="s">
        <v>5511</v>
      </c>
      <c r="E944" s="10" t="s">
        <v>2392</v>
      </c>
      <c r="F944" s="46" t="s">
        <v>115</v>
      </c>
    </row>
    <row r="945">
      <c r="A945" s="285" t="s">
        <v>1366</v>
      </c>
      <c r="B945" s="252">
        <f>IF(A945="", "", IF(IFERROR(VLOOKUP(A945, 'Base 3F'!$B:$C, 2, FALSE),"")="", "SIN CUIT", VLOOKUP(A945, 'Base 3F'!$B:$C, 2, FALSE)))</f>
        <v>33710516249</v>
      </c>
      <c r="C945" s="253" t="str">
        <f>IF(A945="", "", IF(IFERROR(VLOOKUP(A945, 'Base 3F'!$B:$J, 9, FALSE),"")="", "SIN RUBRO", VLOOKUP(A945, 'Base 3F'!$B:$J, 9, FALSE)))</f>
        <v>Construcción</v>
      </c>
      <c r="D945" s="58" t="s">
        <v>5514</v>
      </c>
      <c r="E945" s="10" t="s">
        <v>2392</v>
      </c>
      <c r="F945" s="46" t="s">
        <v>115</v>
      </c>
    </row>
    <row r="946">
      <c r="A946" s="285" t="s">
        <v>1374</v>
      </c>
      <c r="B946" s="252">
        <f>IF(A946="", "", IF(IFERROR(VLOOKUP(A946, 'Base 3F'!$B:$C, 2, FALSE),"")="", "SIN CUIT", VLOOKUP(A946, 'Base 3F'!$B:$C, 2, FALSE)))</f>
        <v>30626907241</v>
      </c>
      <c r="C946" s="253" t="str">
        <f>IF(A946="", "", IF(IFERROR(VLOOKUP(A946, 'Base 3F'!$B:$J, 9, FALSE),"")="", "SIN RUBRO", VLOOKUP(A946, 'Base 3F'!$B:$J, 9, FALSE)))</f>
        <v>Electrónica</v>
      </c>
      <c r="D946" s="58" t="s">
        <v>5517</v>
      </c>
      <c r="E946" s="10" t="s">
        <v>2392</v>
      </c>
      <c r="F946" s="46" t="s">
        <v>115</v>
      </c>
    </row>
    <row r="947">
      <c r="A947" s="285" t="s">
        <v>3762</v>
      </c>
      <c r="B947" s="252">
        <f>IF(A947="", "", IF(IFERROR(VLOOKUP(A947, 'Base 3F'!$B:$C, 2, FALSE),"")="", "SIN CUIT", VLOOKUP(A947, 'Base 3F'!$B:$C, 2, FALSE)))</f>
        <v>30632180426</v>
      </c>
      <c r="C947" s="253" t="str">
        <f>IF(A947="", "", IF(IFERROR(VLOOKUP(A947, 'Base 3F'!$B:$J, 9, FALSE),"")="", "SIN RUBRO", VLOOKUP(A947, 'Base 3F'!$B:$J, 9, FALSE)))</f>
        <v>Textil</v>
      </c>
      <c r="D947" s="58" t="s">
        <v>5519</v>
      </c>
      <c r="E947" s="10" t="s">
        <v>2392</v>
      </c>
      <c r="F947" s="46" t="s">
        <v>115</v>
      </c>
    </row>
    <row r="948">
      <c r="A948" s="285" t="s">
        <v>1382</v>
      </c>
      <c r="B948" s="252">
        <f>IF(A948="", "", IF(IFERROR(VLOOKUP(A948, 'Base 3F'!$B:$C, 2, FALSE),"")="", "SIN CUIT", VLOOKUP(A948, 'Base 3F'!$B:$C, 2, FALSE)))</f>
        <v>33646693999</v>
      </c>
      <c r="C948" s="253" t="str">
        <f>IF(A948="", "", IF(IFERROR(VLOOKUP(A948, 'Base 3F'!$B:$J, 9, FALSE),"")="", "SIN RUBRO", VLOOKUP(A948, 'Base 3F'!$B:$J, 9, FALSE)))</f>
        <v>Electrónica</v>
      </c>
      <c r="D948" s="58" t="s">
        <v>5521</v>
      </c>
      <c r="E948" s="10" t="s">
        <v>2392</v>
      </c>
      <c r="F948" s="46" t="s">
        <v>115</v>
      </c>
    </row>
    <row r="949">
      <c r="A949" s="285" t="s">
        <v>3787</v>
      </c>
      <c r="B949" s="252">
        <f>IF(A949="", "", IF(IFERROR(VLOOKUP(A949, 'Base 3F'!$B:$C, 2, FALSE),"")="", "SIN CUIT", VLOOKUP(A949, 'Base 3F'!$B:$C, 2, FALSE)))</f>
        <v>30710416717</v>
      </c>
      <c r="C949" s="253" t="str">
        <f>IF(A949="", "", IF(IFERROR(VLOOKUP(A949, 'Base 3F'!$B:$J, 9, FALSE),"")="", "SIN RUBRO", VLOOKUP(A949, 'Base 3F'!$B:$J, 9, FALSE)))</f>
        <v>Construcción</v>
      </c>
      <c r="D949" s="58" t="s">
        <v>5524</v>
      </c>
      <c r="E949" s="10" t="s">
        <v>2392</v>
      </c>
      <c r="F949" s="46" t="s">
        <v>115</v>
      </c>
    </row>
    <row r="950">
      <c r="A950" s="285" t="s">
        <v>1391</v>
      </c>
      <c r="B950" s="252">
        <f>IF(A950="", "", IF(IFERROR(VLOOKUP(A950, 'Base 3F'!$B:$C, 2, FALSE),"")="", "SIN CUIT", VLOOKUP(A950, 'Base 3F'!$B:$C, 2, FALSE)))</f>
        <v>30710769652</v>
      </c>
      <c r="C950" s="253" t="str">
        <f>IF(A950="", "", IF(IFERROR(VLOOKUP(A950, 'Base 3F'!$B:$J, 9, FALSE),"")="", "SIN RUBRO", VLOOKUP(A950, 'Base 3F'!$B:$J, 9, FALSE)))</f>
        <v>Metalúrgica</v>
      </c>
      <c r="D950" s="58" t="s">
        <v>5525</v>
      </c>
      <c r="E950" s="10" t="s">
        <v>2392</v>
      </c>
      <c r="F950" s="46" t="s">
        <v>115</v>
      </c>
    </row>
    <row r="951">
      <c r="A951" s="285" t="s">
        <v>3807</v>
      </c>
      <c r="B951" s="252">
        <f>IF(A951="", "", IF(IFERROR(VLOOKUP(A951, 'Base 3F'!$B:$C, 2, FALSE),"")="", "SIN CUIT", VLOOKUP(A951, 'Base 3F'!$B:$C, 2, FALSE)))</f>
        <v>20251621900</v>
      </c>
      <c r="C951" s="253" t="str">
        <f>IF(A951="", "", IF(IFERROR(VLOOKUP(A951, 'Base 3F'!$B:$J, 9, FALSE),"")="", "SIN RUBRO", VLOOKUP(A951, 'Base 3F'!$B:$J, 9, FALSE)))</f>
        <v>Industria</v>
      </c>
      <c r="D951" s="58" t="s">
        <v>5533</v>
      </c>
      <c r="E951" s="10" t="s">
        <v>2392</v>
      </c>
      <c r="F951" s="46" t="s">
        <v>115</v>
      </c>
    </row>
    <row r="952">
      <c r="A952" s="285" t="s">
        <v>3815</v>
      </c>
      <c r="B952" s="252">
        <f>IF(A952="", "", IF(IFERROR(VLOOKUP(A952, 'Base 3F'!$B:$C, 2, FALSE),"")="", "SIN CUIT", VLOOKUP(A952, 'Base 3F'!$B:$C, 2, FALSE)))</f>
        <v>30685320351</v>
      </c>
      <c r="C952" s="253" t="str">
        <f>IF(A952="", "", IF(IFERROR(VLOOKUP(A952, 'Base 3F'!$B:$J, 9, FALSE),"")="", "SIN RUBRO", VLOOKUP(A952, 'Base 3F'!$B:$J, 9, FALSE)))</f>
        <v>Plástica</v>
      </c>
      <c r="D952" s="58" t="s">
        <v>5535</v>
      </c>
      <c r="E952" s="10" t="s">
        <v>2392</v>
      </c>
      <c r="F952" s="46" t="s">
        <v>115</v>
      </c>
    </row>
    <row r="953">
      <c r="A953" s="285" t="s">
        <v>3818</v>
      </c>
      <c r="B953" s="252">
        <f>IF(A953="", "", IF(IFERROR(VLOOKUP(A953, 'Base 3F'!$B:$C, 2, FALSE),"")="", "SIN CUIT", VLOOKUP(A953, 'Base 3F'!$B:$C, 2, FALSE)))</f>
        <v>30707979204</v>
      </c>
      <c r="C953" s="253" t="str">
        <f>IF(A953="", "", IF(IFERROR(VLOOKUP(A953, 'Base 3F'!$B:$J, 9, FALSE),"")="", "SIN RUBRO", VLOOKUP(A953, 'Base 3F'!$B:$J, 9, FALSE)))</f>
        <v>Gráfica</v>
      </c>
      <c r="D953" s="58" t="s">
        <v>5538</v>
      </c>
      <c r="E953" s="10" t="s">
        <v>2392</v>
      </c>
      <c r="F953" s="46" t="s">
        <v>115</v>
      </c>
    </row>
    <row r="954">
      <c r="A954" s="285" t="s">
        <v>3825</v>
      </c>
      <c r="B954" s="252">
        <f>IF(A954="", "", IF(IFERROR(VLOOKUP(A954, 'Base 3F'!$B:$C, 2, FALSE),"")="", "SIN CUIT", VLOOKUP(A954, 'Base 3F'!$B:$C, 2, FALSE)))</f>
        <v>30711622183</v>
      </c>
      <c r="C954" s="253" t="str">
        <f>IF(A954="", "", IF(IFERROR(VLOOKUP(A954, 'Base 3F'!$B:$J, 9, FALSE),"")="", "SIN RUBRO", VLOOKUP(A954, 'Base 3F'!$B:$J, 9, FALSE)))</f>
        <v>Metalmecánica</v>
      </c>
      <c r="D954" s="58" t="s">
        <v>5541</v>
      </c>
      <c r="E954" s="10" t="s">
        <v>2392</v>
      </c>
      <c r="F954" s="46" t="s">
        <v>115</v>
      </c>
    </row>
    <row r="955">
      <c r="A955" s="285" t="s">
        <v>3840</v>
      </c>
      <c r="B955" s="252">
        <f>IF(A955="", "", IF(IFERROR(VLOOKUP(A955, 'Base 3F'!$B:$C, 2, FALSE),"")="", "SIN CUIT", VLOOKUP(A955, 'Base 3F'!$B:$C, 2, FALSE)))</f>
        <v>30568652599</v>
      </c>
      <c r="C955" s="253" t="str">
        <f>IF(A955="", "", IF(IFERROR(VLOOKUP(A955, 'Base 3F'!$B:$J, 9, FALSE),"")="", "SIN RUBRO", VLOOKUP(A955, 'Base 3F'!$B:$J, 9, FALSE)))</f>
        <v>Servicios</v>
      </c>
      <c r="D955" s="58" t="s">
        <v>5542</v>
      </c>
      <c r="E955" s="10" t="s">
        <v>2392</v>
      </c>
      <c r="F955" s="46" t="s">
        <v>115</v>
      </c>
    </row>
    <row r="956">
      <c r="A956" s="285" t="s">
        <v>3844</v>
      </c>
      <c r="B956" s="252">
        <f>IF(A956="", "", IF(IFERROR(VLOOKUP(A956, 'Base 3F'!$B:$C, 2, FALSE),"")="", "SIN CUIT", VLOOKUP(A956, 'Base 3F'!$B:$C, 2, FALSE)))</f>
        <v>30554835313</v>
      </c>
      <c r="C956" s="253" t="str">
        <f>IF(A956="", "", IF(IFERROR(VLOOKUP(A956, 'Base 3F'!$B:$J, 9, FALSE),"")="", "SIN RUBRO", VLOOKUP(A956, 'Base 3F'!$B:$J, 9, FALSE)))</f>
        <v>Servicios</v>
      </c>
      <c r="D956" s="58" t="s">
        <v>5550</v>
      </c>
      <c r="E956" s="10" t="s">
        <v>2392</v>
      </c>
      <c r="F956" s="46" t="s">
        <v>115</v>
      </c>
    </row>
    <row r="957">
      <c r="A957" s="285" t="s">
        <v>3849</v>
      </c>
      <c r="B957" s="252">
        <f>IF(A957="", "", IF(IFERROR(VLOOKUP(A957, 'Base 3F'!$B:$C, 2, FALSE),"")="", "SIN CUIT", VLOOKUP(A957, 'Base 3F'!$B:$C, 2, FALSE)))</f>
        <v>30714586315</v>
      </c>
      <c r="C957" s="253" t="str">
        <f>IF(A957="", "", IF(IFERROR(VLOOKUP(A957, 'Base 3F'!$B:$J, 9, FALSE),"")="", "SIN RUBRO", VLOOKUP(A957, 'Base 3F'!$B:$J, 9, FALSE)))</f>
        <v>Madera</v>
      </c>
      <c r="D957" s="58" t="s">
        <v>5553</v>
      </c>
      <c r="E957" s="10" t="s">
        <v>2392</v>
      </c>
      <c r="F957" s="46" t="s">
        <v>115</v>
      </c>
    </row>
    <row r="958">
      <c r="A958" s="285" t="s">
        <v>1405</v>
      </c>
      <c r="B958" s="252">
        <f>IF(A958="", "", IF(IFERROR(VLOOKUP(A958, 'Base 3F'!$B:$C, 2, FALSE),"")="", "SIN CUIT", VLOOKUP(A958, 'Base 3F'!$B:$C, 2, FALSE)))</f>
        <v>30707967958</v>
      </c>
      <c r="C958" s="253" t="str">
        <f>IF(A958="", "", IF(IFERROR(VLOOKUP(A958, 'Base 3F'!$B:$J, 9, FALSE),"")="", "SIN RUBRO", VLOOKUP(A958, 'Base 3F'!$B:$J, 9, FALSE)))</f>
        <v>Gráfica</v>
      </c>
      <c r="D958" s="58" t="s">
        <v>5558</v>
      </c>
      <c r="E958" s="10" t="s">
        <v>2392</v>
      </c>
      <c r="F958" s="46" t="s">
        <v>115</v>
      </c>
    </row>
    <row r="959">
      <c r="A959" s="285" t="s">
        <v>3859</v>
      </c>
      <c r="B959" s="252">
        <f>IF(A959="", "", IF(IFERROR(VLOOKUP(A959, 'Base 3F'!$B:$C, 2, FALSE),"")="", "SIN CUIT", VLOOKUP(A959, 'Base 3F'!$B:$C, 2, FALSE)))</f>
        <v>30712281479</v>
      </c>
      <c r="C959" s="253" t="str">
        <f>IF(A959="", "", IF(IFERROR(VLOOKUP(A959, 'Base 3F'!$B:$J, 9, FALSE),"")="", "SIN RUBRO", VLOOKUP(A959, 'Base 3F'!$B:$J, 9, FALSE)))</f>
        <v>Servicios</v>
      </c>
      <c r="D959" s="58" t="s">
        <v>5561</v>
      </c>
      <c r="E959" s="10" t="s">
        <v>2392</v>
      </c>
      <c r="F959" s="46" t="s">
        <v>115</v>
      </c>
    </row>
    <row r="960">
      <c r="A960" s="285" t="s">
        <v>3861</v>
      </c>
      <c r="B960" s="252">
        <f>IF(A960="", "", IF(IFERROR(VLOOKUP(A960, 'Base 3F'!$B:$C, 2, FALSE),"")="", "SIN CUIT", VLOOKUP(A960, 'Base 3F'!$B:$C, 2, FALSE)))</f>
        <v>30711284695</v>
      </c>
      <c r="C960" s="253" t="str">
        <f>IF(A960="", "", IF(IFERROR(VLOOKUP(A960, 'Base 3F'!$B:$J, 9, FALSE),"")="", "SIN RUBRO", VLOOKUP(A960, 'Base 3F'!$B:$J, 9, FALSE)))</f>
        <v>Servicios</v>
      </c>
      <c r="D960" s="58" t="s">
        <v>5568</v>
      </c>
      <c r="E960" s="10" t="s">
        <v>2392</v>
      </c>
      <c r="F960" s="46" t="s">
        <v>115</v>
      </c>
    </row>
    <row r="961">
      <c r="A961" s="285" t="s">
        <v>3869</v>
      </c>
      <c r="B961" s="252">
        <f>IF(A961="", "", IF(IFERROR(VLOOKUP(A961, 'Base 3F'!$B:$C, 2, FALSE),"")="", "SIN CUIT", VLOOKUP(A961, 'Base 3F'!$B:$C, 2, FALSE)))</f>
        <v>30710059574</v>
      </c>
      <c r="C961" s="253" t="str">
        <f>IF(A961="", "", IF(IFERROR(VLOOKUP(A961, 'Base 3F'!$B:$J, 9, FALSE),"")="", "SIN RUBRO", VLOOKUP(A961, 'Base 3F'!$B:$J, 9, FALSE)))</f>
        <v>Madera</v>
      </c>
      <c r="D961" s="58" t="s">
        <v>5572</v>
      </c>
      <c r="E961" s="10" t="s">
        <v>2392</v>
      </c>
      <c r="F961" s="46" t="s">
        <v>115</v>
      </c>
    </row>
    <row r="962">
      <c r="A962" s="285" t="s">
        <v>3885</v>
      </c>
      <c r="B962" s="252">
        <f>IF(A962="", "", IF(IFERROR(VLOOKUP(A962, 'Base 3F'!$B:$C, 2, FALSE),"")="", "SIN CUIT", VLOOKUP(A962, 'Base 3F'!$B:$C, 2, FALSE)))</f>
        <v>30684745022</v>
      </c>
      <c r="C962" s="253" t="str">
        <f>IF(A962="", "", IF(IFERROR(VLOOKUP(A962, 'Base 3F'!$B:$J, 9, FALSE),"")="", "SIN RUBRO", VLOOKUP(A962, 'Base 3F'!$B:$J, 9, FALSE)))</f>
        <v>Servicios</v>
      </c>
      <c r="D962" s="58" t="s">
        <v>5573</v>
      </c>
      <c r="E962" s="10" t="s">
        <v>2392</v>
      </c>
      <c r="F962" s="46" t="s">
        <v>115</v>
      </c>
    </row>
    <row r="963">
      <c r="A963" s="285" t="s">
        <v>3898</v>
      </c>
      <c r="B963" s="252">
        <f>IF(A963="", "", IF(IFERROR(VLOOKUP(A963, 'Base 3F'!$B:$C, 2, FALSE),"")="", "SIN CUIT", VLOOKUP(A963, 'Base 3F'!$B:$C, 2, FALSE)))</f>
        <v>30711052328</v>
      </c>
      <c r="C963" s="253" t="str">
        <f>IF(A963="", "", IF(IFERROR(VLOOKUP(A963, 'Base 3F'!$B:$J, 9, FALSE),"")="", "SIN RUBRO", VLOOKUP(A963, 'Base 3F'!$B:$J, 9, FALSE)))</f>
        <v>Plástica</v>
      </c>
      <c r="D963" s="58" t="s">
        <v>5579</v>
      </c>
      <c r="E963" s="10" t="s">
        <v>2392</v>
      </c>
      <c r="F963" s="46" t="s">
        <v>115</v>
      </c>
    </row>
    <row r="964">
      <c r="A964" s="285" t="s">
        <v>3904</v>
      </c>
      <c r="B964" s="252">
        <f>IF(A964="", "", IF(IFERROR(VLOOKUP(A964, 'Base 3F'!$B:$C, 2, FALSE),"")="", "SIN CUIT", VLOOKUP(A964, 'Base 3F'!$B:$C, 2, FALSE)))</f>
        <v>30711310432</v>
      </c>
      <c r="C964" s="253" t="str">
        <f>IF(A964="", "", IF(IFERROR(VLOOKUP(A964, 'Base 3F'!$B:$J, 9, FALSE),"")="", "SIN RUBRO", VLOOKUP(A964, 'Base 3F'!$B:$J, 9, FALSE)))</f>
        <v>Madera</v>
      </c>
      <c r="D964" s="58" t="s">
        <v>576</v>
      </c>
      <c r="E964" s="10" t="s">
        <v>2392</v>
      </c>
      <c r="F964" s="46" t="s">
        <v>115</v>
      </c>
    </row>
    <row r="965">
      <c r="A965" s="285" t="s">
        <v>1440</v>
      </c>
      <c r="B965" s="252">
        <f>IF(A965="", "", IF(IFERROR(VLOOKUP(A965, 'Base 3F'!$B:$C, 2, FALSE),"")="", "SIN CUIT", VLOOKUP(A965, 'Base 3F'!$B:$C, 2, FALSE)))</f>
        <v>30709244961</v>
      </c>
      <c r="C965" s="253" t="str">
        <f>IF(A965="", "", IF(IFERROR(VLOOKUP(A965, 'Base 3F'!$B:$J, 9, FALSE),"")="", "SIN RUBRO", VLOOKUP(A965, 'Base 3F'!$B:$J, 9, FALSE)))</f>
        <v>Metalúrgica</v>
      </c>
      <c r="D965" s="58" t="s">
        <v>5585</v>
      </c>
      <c r="E965" s="10" t="s">
        <v>2392</v>
      </c>
      <c r="F965" s="46" t="s">
        <v>115</v>
      </c>
    </row>
    <row r="966">
      <c r="A966" s="285" t="s">
        <v>3919</v>
      </c>
      <c r="B966" s="252">
        <f>IF(A966="", "", IF(IFERROR(VLOOKUP(A966, 'Base 3F'!$B:$C, 2, FALSE),"")="", "SIN CUIT", VLOOKUP(A966, 'Base 3F'!$B:$C, 2, FALSE)))</f>
        <v>30547885070</v>
      </c>
      <c r="C966" s="253" t="str">
        <f>IF(A966="", "", IF(IFERROR(VLOOKUP(A966, 'Base 3F'!$B:$J, 9, FALSE),"")="", "SIN RUBRO", VLOOKUP(A966, 'Base 3F'!$B:$J, 9, FALSE)))</f>
        <v>Papel</v>
      </c>
      <c r="D966" s="58" t="s">
        <v>5588</v>
      </c>
      <c r="E966" s="10" t="s">
        <v>2392</v>
      </c>
      <c r="F966" s="46" t="s">
        <v>115</v>
      </c>
    </row>
    <row r="967">
      <c r="A967" s="285" t="s">
        <v>3927</v>
      </c>
      <c r="B967" s="252">
        <f>IF(A967="", "", IF(IFERROR(VLOOKUP(A967, 'Base 3F'!$B:$C, 2, FALSE),"")="", "SIN CUIT", VLOOKUP(A967, 'Base 3F'!$B:$C, 2, FALSE)))</f>
        <v>30685282476</v>
      </c>
      <c r="C967" s="253" t="str">
        <f>IF(A967="", "", IF(IFERROR(VLOOKUP(A967, 'Base 3F'!$B:$J, 9, FALSE),"")="", "SIN RUBRO", VLOOKUP(A967, 'Base 3F'!$B:$J, 9, FALSE)))</f>
        <v>Química</v>
      </c>
      <c r="D967" s="58" t="s">
        <v>5590</v>
      </c>
      <c r="E967" s="10" t="s">
        <v>2392</v>
      </c>
      <c r="F967" s="46" t="s">
        <v>115</v>
      </c>
    </row>
    <row r="968">
      <c r="A968" s="285" t="s">
        <v>3937</v>
      </c>
      <c r="B968" s="252">
        <f>IF(A968="", "", IF(IFERROR(VLOOKUP(A968, 'Base 3F'!$B:$C, 2, FALSE),"")="", "SIN CUIT", VLOOKUP(A968, 'Base 3F'!$B:$C, 2, FALSE)))</f>
        <v>30650954722</v>
      </c>
      <c r="C968" s="253" t="str">
        <f>IF(A968="", "", IF(IFERROR(VLOOKUP(A968, 'Base 3F'!$B:$J, 9, FALSE),"")="", "SIN RUBRO", VLOOKUP(A968, 'Base 3F'!$B:$J, 9, FALSE)))</f>
        <v>Electrónica</v>
      </c>
      <c r="D968" s="58" t="s">
        <v>5593</v>
      </c>
      <c r="E968" s="10" t="s">
        <v>2392</v>
      </c>
      <c r="F968" s="46" t="s">
        <v>115</v>
      </c>
    </row>
    <row r="969">
      <c r="A969" s="285" t="s">
        <v>3940</v>
      </c>
      <c r="B969" s="252">
        <f>IF(A969="", "", IF(IFERROR(VLOOKUP(A969, 'Base 3F'!$B:$C, 2, FALSE),"")="", "SIN CUIT", VLOOKUP(A969, 'Base 3F'!$B:$C, 2, FALSE)))</f>
        <v>30554294967</v>
      </c>
      <c r="C969" s="253" t="str">
        <f>IF(A969="", "", IF(IFERROR(VLOOKUP(A969, 'Base 3F'!$B:$J, 9, FALSE),"")="", "SIN RUBRO", VLOOKUP(A969, 'Base 3F'!$B:$J, 9, FALSE)))</f>
        <v>Metalúrgica</v>
      </c>
      <c r="D969" s="58" t="s">
        <v>5595</v>
      </c>
      <c r="E969" s="10" t="s">
        <v>2392</v>
      </c>
      <c r="F969" s="46" t="s">
        <v>115</v>
      </c>
    </row>
    <row r="970">
      <c r="A970" s="285" t="s">
        <v>1452</v>
      </c>
      <c r="B970" s="252">
        <f>IF(A970="", "", IF(IFERROR(VLOOKUP(A970, 'Base 3F'!$B:$C, 2, FALSE),"")="", "SIN CUIT", VLOOKUP(A970, 'Base 3F'!$B:$C, 2, FALSE)))</f>
        <v>30658781851</v>
      </c>
      <c r="C970" s="253" t="str">
        <f>IF(A970="", "", IF(IFERROR(VLOOKUP(A970, 'Base 3F'!$B:$J, 9, FALSE),"")="", "SIN RUBRO", VLOOKUP(A970, 'Base 3F'!$B:$J, 9, FALSE)))</f>
        <v>Textil</v>
      </c>
      <c r="D970" s="58" t="s">
        <v>5601</v>
      </c>
      <c r="E970" s="10" t="s">
        <v>2392</v>
      </c>
      <c r="F970" s="46" t="s">
        <v>115</v>
      </c>
    </row>
    <row r="971">
      <c r="A971" s="285" t="s">
        <v>1457</v>
      </c>
      <c r="B971" s="252">
        <f>IF(A971="", "", IF(IFERROR(VLOOKUP(A971, 'Base 3F'!$B:$C, 2, FALSE),"")="", "SIN CUIT", VLOOKUP(A971, 'Base 3F'!$B:$C, 2, FALSE)))</f>
        <v>30710386729</v>
      </c>
      <c r="C971" s="253" t="str">
        <f>IF(A971="", "", IF(IFERROR(VLOOKUP(A971, 'Base 3F'!$B:$J, 9, FALSE),"")="", "SIN RUBRO", VLOOKUP(A971, 'Base 3F'!$B:$J, 9, FALSE)))</f>
        <v>Metalúrgica</v>
      </c>
      <c r="D971" s="58" t="s">
        <v>5604</v>
      </c>
      <c r="E971" s="10" t="s">
        <v>2392</v>
      </c>
      <c r="F971" s="46" t="s">
        <v>115</v>
      </c>
    </row>
    <row r="972">
      <c r="A972" s="285" t="s">
        <v>3956</v>
      </c>
      <c r="B972" s="252">
        <f>IF(A972="", "", IF(IFERROR(VLOOKUP(A972, 'Base 3F'!$B:$C, 2, FALSE),"")="", "SIN CUIT", VLOOKUP(A972, 'Base 3F'!$B:$C, 2, FALSE)))</f>
        <v>30708201916</v>
      </c>
      <c r="C972" s="253" t="str">
        <f>IF(A972="", "", IF(IFERROR(VLOOKUP(A972, 'Base 3F'!$B:$J, 9, FALSE),"")="", "SIN RUBRO", VLOOKUP(A972, 'Base 3F'!$B:$J, 9, FALSE)))</f>
        <v>Vidrio</v>
      </c>
      <c r="D972" s="58" t="s">
        <v>5606</v>
      </c>
      <c r="E972" s="10" t="s">
        <v>2392</v>
      </c>
      <c r="F972" s="46" t="s">
        <v>115</v>
      </c>
    </row>
    <row r="973">
      <c r="A973" s="285" t="s">
        <v>3965</v>
      </c>
      <c r="B973" s="252">
        <f>IF(A973="", "", IF(IFERROR(VLOOKUP(A973, 'Base 3F'!$B:$C, 2, FALSE),"")="", "SIN CUIT", VLOOKUP(A973, 'Base 3F'!$B:$C, 2, FALSE)))</f>
        <v>30684040002</v>
      </c>
      <c r="C973" s="253" t="str">
        <f>IF(A973="", "", IF(IFERROR(VLOOKUP(A973, 'Base 3F'!$B:$J, 9, FALSE),"")="", "SIN RUBRO", VLOOKUP(A973, 'Base 3F'!$B:$J, 9, FALSE)))</f>
        <v>Textil</v>
      </c>
      <c r="D973" s="58" t="s">
        <v>5608</v>
      </c>
      <c r="E973" s="10" t="s">
        <v>2392</v>
      </c>
      <c r="F973" s="46" t="s">
        <v>115</v>
      </c>
    </row>
    <row r="974">
      <c r="A974" s="285" t="s">
        <v>3970</v>
      </c>
      <c r="B974" s="252">
        <f>IF(A974="", "", IF(IFERROR(VLOOKUP(A974, 'Base 3F'!$B:$C, 2, FALSE),"")="", "SIN CUIT", VLOOKUP(A974, 'Base 3F'!$B:$C, 2, FALSE)))</f>
        <v>30709542318</v>
      </c>
      <c r="C974" s="253" t="str">
        <f>IF(A974="", "", IF(IFERROR(VLOOKUP(A974, 'Base 3F'!$B:$J, 9, FALSE),"")="", "SIN RUBRO", VLOOKUP(A974, 'Base 3F'!$B:$J, 9, FALSE)))</f>
        <v>Papel</v>
      </c>
      <c r="D974" s="58" t="s">
        <v>5612</v>
      </c>
      <c r="E974" s="10" t="s">
        <v>2392</v>
      </c>
      <c r="F974" s="46" t="s">
        <v>115</v>
      </c>
    </row>
    <row r="975">
      <c r="A975" s="285" t="s">
        <v>3972</v>
      </c>
      <c r="B975" s="252">
        <f>IF(A975="", "", IF(IFERROR(VLOOKUP(A975, 'Base 3F'!$B:$C, 2, FALSE),"")="", "SIN CUIT", VLOOKUP(A975, 'Base 3F'!$B:$C, 2, FALSE)))</f>
        <v>30712327657</v>
      </c>
      <c r="C975" s="253" t="str">
        <f>IF(A975="", "", IF(IFERROR(VLOOKUP(A975, 'Base 3F'!$B:$J, 9, FALSE),"")="", "SIN RUBRO", VLOOKUP(A975, 'Base 3F'!$B:$J, 9, FALSE)))</f>
        <v>Servicios</v>
      </c>
      <c r="D975" s="58" t="s">
        <v>5614</v>
      </c>
      <c r="E975" s="10" t="s">
        <v>2392</v>
      </c>
      <c r="F975" s="46" t="s">
        <v>115</v>
      </c>
    </row>
    <row r="976">
      <c r="A976" s="285" t="s">
        <v>3980</v>
      </c>
      <c r="B976" s="252">
        <f>IF(A976="", "", IF(IFERROR(VLOOKUP(A976, 'Base 3F'!$B:$C, 2, FALSE),"")="", "SIN CUIT", VLOOKUP(A976, 'Base 3F'!$B:$C, 2, FALSE)))</f>
        <v>30709143057</v>
      </c>
      <c r="C976" s="253" t="str">
        <f>IF(A976="", "", IF(IFERROR(VLOOKUP(A976, 'Base 3F'!$B:$J, 9, FALSE),"")="", "SIN RUBRO", VLOOKUP(A976, 'Base 3F'!$B:$J, 9, FALSE)))</f>
        <v>Servicios</v>
      </c>
      <c r="D976" s="58" t="s">
        <v>5618</v>
      </c>
      <c r="E976" s="10" t="s">
        <v>2392</v>
      </c>
      <c r="F976" s="46" t="s">
        <v>115</v>
      </c>
    </row>
    <row r="977">
      <c r="A977" s="285" t="s">
        <v>3989</v>
      </c>
      <c r="B977" s="252">
        <f>IF(A977="", "", IF(IFERROR(VLOOKUP(A977, 'Base 3F'!$B:$C, 2, FALSE),"")="", "SIN CUIT", VLOOKUP(A977, 'Base 3F'!$B:$C, 2, FALSE)))</f>
        <v>30711813469</v>
      </c>
      <c r="C977" s="253" t="str">
        <f>IF(A977="", "", IF(IFERROR(VLOOKUP(A977, 'Base 3F'!$B:$J, 9, FALSE),"")="", "SIN RUBRO", VLOOKUP(A977, 'Base 3F'!$B:$J, 9, FALSE)))</f>
        <v>Metalúrgica</v>
      </c>
      <c r="D977" s="58" t="s">
        <v>5619</v>
      </c>
      <c r="E977" s="10" t="s">
        <v>2392</v>
      </c>
      <c r="F977" s="46" t="s">
        <v>115</v>
      </c>
    </row>
    <row r="978">
      <c r="A978" s="285" t="s">
        <v>3993</v>
      </c>
      <c r="B978" s="252">
        <f>IF(A978="", "", IF(IFERROR(VLOOKUP(A978, 'Base 3F'!$B:$C, 2, FALSE),"")="", "SIN CUIT", VLOOKUP(A978, 'Base 3F'!$B:$C, 2, FALSE)))</f>
        <v>20936205896</v>
      </c>
      <c r="C978" s="253" t="str">
        <f>IF(A978="", "", IF(IFERROR(VLOOKUP(A978, 'Base 3F'!$B:$J, 9, FALSE),"")="", "SIN RUBRO", VLOOKUP(A978, 'Base 3F'!$B:$J, 9, FALSE)))</f>
        <v>Metalmecánica</v>
      </c>
      <c r="D978" s="58" t="s">
        <v>5624</v>
      </c>
      <c r="E978" s="10" t="s">
        <v>2392</v>
      </c>
      <c r="F978" s="46" t="s">
        <v>115</v>
      </c>
    </row>
    <row r="979">
      <c r="A979" s="285" t="s">
        <v>3963</v>
      </c>
      <c r="B979" s="252">
        <f>IF(A979="", "", IF(IFERROR(VLOOKUP(A979, 'Base 3F'!$B:$C, 2, FALSE),"")="", "SIN CUIT", VLOOKUP(A979, 'Base 3F'!$B:$C, 2, FALSE)))</f>
        <v>30707735291</v>
      </c>
      <c r="C979" s="253" t="str">
        <f>IF(A979="", "", IF(IFERROR(VLOOKUP(A979, 'Base 3F'!$B:$J, 9, FALSE),"")="", "SIN RUBRO", VLOOKUP(A979, 'Base 3F'!$B:$J, 9, FALSE)))</f>
        <v>Metalúrgica</v>
      </c>
      <c r="D979" s="58" t="s">
        <v>5627</v>
      </c>
      <c r="E979" s="10" t="s">
        <v>2392</v>
      </c>
      <c r="F979" s="46" t="s">
        <v>115</v>
      </c>
    </row>
    <row r="980">
      <c r="A980" s="285" t="s">
        <v>4005</v>
      </c>
      <c r="B980" s="252">
        <f>IF(A980="", "", IF(IFERROR(VLOOKUP(A980, 'Base 3F'!$B:$C, 2, FALSE),"")="", "SIN CUIT", VLOOKUP(A980, 'Base 3F'!$B:$C, 2, FALSE)))</f>
        <v>20203493127</v>
      </c>
      <c r="C980" s="253" t="str">
        <f>IF(A980="", "", IF(IFERROR(VLOOKUP(A980, 'Base 3F'!$B:$J, 9, FALSE),"")="", "SIN RUBRO", VLOOKUP(A980, 'Base 3F'!$B:$J, 9, FALSE)))</f>
        <v>Metalúrgica</v>
      </c>
      <c r="D980" s="136" t="s">
        <v>5631</v>
      </c>
      <c r="E980" s="10" t="s">
        <v>2392</v>
      </c>
      <c r="F980" s="46" t="s">
        <v>115</v>
      </c>
    </row>
    <row r="981">
      <c r="A981" s="285" t="s">
        <v>4012</v>
      </c>
      <c r="B981" s="252">
        <f>IF(A981="", "", IF(IFERROR(VLOOKUP(A981, 'Base 3F'!$B:$C, 2, FALSE),"")="", "SIN CUIT", VLOOKUP(A981, 'Base 3F'!$B:$C, 2, FALSE)))</f>
        <v>30682920471</v>
      </c>
      <c r="C981" s="253" t="str">
        <f>IF(A981="", "", IF(IFERROR(VLOOKUP(A981, 'Base 3F'!$B:$J, 9, FALSE),"")="", "SIN RUBRO", VLOOKUP(A981, 'Base 3F'!$B:$J, 9, FALSE)))</f>
        <v>Madera</v>
      </c>
      <c r="D981" s="58" t="s">
        <v>5637</v>
      </c>
      <c r="E981" s="10" t="s">
        <v>2392</v>
      </c>
      <c r="F981" s="46" t="s">
        <v>115</v>
      </c>
    </row>
    <row r="982">
      <c r="A982" s="285" t="s">
        <v>3967</v>
      </c>
      <c r="B982" s="252">
        <f>IF(A982="", "", IF(IFERROR(VLOOKUP(A982, 'Base 3F'!$B:$C, 2, FALSE),"")="", "SIN CUIT", VLOOKUP(A982, 'Base 3F'!$B:$C, 2, FALSE)))</f>
        <v>30711557071</v>
      </c>
      <c r="C982" s="253" t="str">
        <f>IF(A982="", "", IF(IFERROR(VLOOKUP(A982, 'Base 3F'!$B:$J, 9, FALSE),"")="", "SIN RUBRO", VLOOKUP(A982, 'Base 3F'!$B:$J, 9, FALSE)))</f>
        <v>Servicios</v>
      </c>
      <c r="D982" s="58" t="s">
        <v>5645</v>
      </c>
      <c r="E982" s="10" t="s">
        <v>2392</v>
      </c>
      <c r="F982" s="46" t="s">
        <v>115</v>
      </c>
    </row>
    <row r="983">
      <c r="A983" s="285" t="s">
        <v>4058</v>
      </c>
      <c r="B983" s="252">
        <f>IF(A983="", "", IF(IFERROR(VLOOKUP(A983, 'Base 3F'!$B:$C, 2, FALSE),"")="", "SIN CUIT", VLOOKUP(A983, 'Base 3F'!$B:$C, 2, FALSE)))</f>
        <v>20276440455</v>
      </c>
      <c r="C983" s="253" t="str">
        <f>IF(A983="", "", IF(IFERROR(VLOOKUP(A983, 'Base 3F'!$B:$J, 9, FALSE),"")="", "SIN RUBRO", VLOOKUP(A983, 'Base 3F'!$B:$J, 9, FALSE)))</f>
        <v>Electrónica</v>
      </c>
      <c r="D983" s="58" t="s">
        <v>5649</v>
      </c>
      <c r="E983" s="10" t="s">
        <v>2392</v>
      </c>
      <c r="F983" s="46" t="s">
        <v>115</v>
      </c>
    </row>
    <row r="984">
      <c r="A984" s="285" t="s">
        <v>4063</v>
      </c>
      <c r="B984" s="252">
        <f>IF(A984="", "", IF(IFERROR(VLOOKUP(A984, 'Base 3F'!$B:$C, 2, FALSE),"")="", "SIN CUIT", VLOOKUP(A984, 'Base 3F'!$B:$C, 2, FALSE)))</f>
        <v>20083929716</v>
      </c>
      <c r="C984" s="253" t="str">
        <f>IF(A984="", "", IF(IFERROR(VLOOKUP(A984, 'Base 3F'!$B:$J, 9, FALSE),"")="", "SIN RUBRO", VLOOKUP(A984, 'Base 3F'!$B:$J, 9, FALSE)))</f>
        <v>Servicios</v>
      </c>
      <c r="D984" s="58" t="s">
        <v>5653</v>
      </c>
      <c r="E984" s="10" t="s">
        <v>2392</v>
      </c>
      <c r="F984" s="46" t="s">
        <v>115</v>
      </c>
    </row>
    <row r="985">
      <c r="A985" s="285" t="s">
        <v>4074</v>
      </c>
      <c r="B985" s="252">
        <f>IF(A985="", "", IF(IFERROR(VLOOKUP(A985, 'Base 3F'!$B:$C, 2, FALSE),"")="", "SIN CUIT", VLOOKUP(A985, 'Base 3F'!$B:$C, 2, FALSE)))</f>
        <v>30709509752</v>
      </c>
      <c r="C985" s="253" t="str">
        <f>IF(A985="", "", IF(IFERROR(VLOOKUP(A985, 'Base 3F'!$B:$J, 9, FALSE),"")="", "SIN RUBRO", VLOOKUP(A985, 'Base 3F'!$B:$J, 9, FALSE)))</f>
        <v>Construcción</v>
      </c>
      <c r="D985" s="58" t="s">
        <v>5659</v>
      </c>
      <c r="E985" s="10" t="s">
        <v>2392</v>
      </c>
      <c r="F985" s="46" t="s">
        <v>115</v>
      </c>
    </row>
    <row r="986">
      <c r="A986" s="285" t="s">
        <v>4080</v>
      </c>
      <c r="B986" s="252">
        <f>IF(A986="", "", IF(IFERROR(VLOOKUP(A986, 'Base 3F'!$B:$C, 2, FALSE),"")="", "SIN CUIT", VLOOKUP(A986, 'Base 3F'!$B:$C, 2, FALSE)))</f>
        <v>30711858012</v>
      </c>
      <c r="C986" s="253" t="str">
        <f>IF(A986="", "", IF(IFERROR(VLOOKUP(A986, 'Base 3F'!$B:$J, 9, FALSE),"")="", "SIN RUBRO", VLOOKUP(A986, 'Base 3F'!$B:$J, 9, FALSE)))</f>
        <v>Metalúrgica</v>
      </c>
      <c r="D986" s="58" t="s">
        <v>5663</v>
      </c>
      <c r="E986" s="10" t="s">
        <v>2392</v>
      </c>
      <c r="F986" s="46" t="s">
        <v>115</v>
      </c>
    </row>
    <row r="987">
      <c r="A987" s="285" t="s">
        <v>4082</v>
      </c>
      <c r="B987" s="252">
        <f>IF(A987="", "", IF(IFERROR(VLOOKUP(A987, 'Base 3F'!$B:$C, 2, FALSE),"")="", "SIN CUIT", VLOOKUP(A987, 'Base 3F'!$B:$C, 2, FALSE)))</f>
        <v>30710341717</v>
      </c>
      <c r="C987" s="253" t="str">
        <f>IF(A987="", "", IF(IFERROR(VLOOKUP(A987, 'Base 3F'!$B:$J, 9, FALSE),"")="", "SIN RUBRO", VLOOKUP(A987, 'Base 3F'!$B:$J, 9, FALSE)))</f>
        <v>Madera</v>
      </c>
      <c r="D987" s="58" t="s">
        <v>5668</v>
      </c>
      <c r="E987" s="10" t="s">
        <v>2392</v>
      </c>
      <c r="F987" s="46" t="s">
        <v>115</v>
      </c>
    </row>
    <row r="988">
      <c r="A988" s="285" t="s">
        <v>4089</v>
      </c>
      <c r="B988" s="252">
        <f>IF(A988="", "", IF(IFERROR(VLOOKUP(A988, 'Base 3F'!$B:$C, 2, FALSE),"")="", "SIN CUIT", VLOOKUP(A988, 'Base 3F'!$B:$C, 2, FALSE)))</f>
        <v>30503970755</v>
      </c>
      <c r="C988" s="253" t="str">
        <f>IF(A988="", "", IF(IFERROR(VLOOKUP(A988, 'Base 3F'!$B:$J, 9, FALSE),"")="", "SIN RUBRO", VLOOKUP(A988, 'Base 3F'!$B:$J, 9, FALSE)))</f>
        <v>Metalúrgica</v>
      </c>
      <c r="D988" s="58" t="s">
        <v>5671</v>
      </c>
      <c r="E988" s="10" t="s">
        <v>2392</v>
      </c>
      <c r="F988" s="46" t="s">
        <v>115</v>
      </c>
    </row>
    <row r="989">
      <c r="A989" s="285" t="s">
        <v>4096</v>
      </c>
      <c r="B989" s="252">
        <f>IF(A989="", "", IF(IFERROR(VLOOKUP(A989, 'Base 3F'!$B:$C, 2, FALSE),"")="", "SIN CUIT", VLOOKUP(A989, 'Base 3F'!$B:$C, 2, FALSE)))</f>
        <v>30708655062</v>
      </c>
      <c r="C989" s="253" t="str">
        <f>IF(A989="", "", IF(IFERROR(VLOOKUP(A989, 'Base 3F'!$B:$J, 9, FALSE),"")="", "SIN RUBRO", VLOOKUP(A989, 'Base 3F'!$B:$J, 9, FALSE)))</f>
        <v>Textil</v>
      </c>
      <c r="D989" s="58" t="s">
        <v>5673</v>
      </c>
      <c r="E989" s="10" t="s">
        <v>2392</v>
      </c>
      <c r="F989" s="46" t="s">
        <v>115</v>
      </c>
    </row>
    <row r="990">
      <c r="A990" s="285" t="s">
        <v>4104</v>
      </c>
      <c r="B990" s="252">
        <f>IF(A990="", "", IF(IFERROR(VLOOKUP(A990, 'Base 3F'!$B:$C, 2, FALSE),"")="", "SIN CUIT", VLOOKUP(A990, 'Base 3F'!$B:$C, 2, FALSE)))</f>
        <v>30711977100</v>
      </c>
      <c r="C990" s="253" t="str">
        <f>IF(A990="", "", IF(IFERROR(VLOOKUP(A990, 'Base 3F'!$B:$J, 9, FALSE),"")="", "SIN RUBRO", VLOOKUP(A990, 'Base 3F'!$B:$J, 9, FALSE)))</f>
        <v>Metalúrgica</v>
      </c>
      <c r="D990" s="58" t="s">
        <v>5681</v>
      </c>
      <c r="E990" s="10" t="s">
        <v>2392</v>
      </c>
      <c r="F990" s="46" t="s">
        <v>115</v>
      </c>
    </row>
    <row r="991">
      <c r="A991" s="285" t="s">
        <v>4118</v>
      </c>
      <c r="B991" s="252">
        <f>IF(A991="", "", IF(IFERROR(VLOOKUP(A991, 'Base 3F'!$B:$C, 2, FALSE),"")="", "SIN CUIT", VLOOKUP(A991, 'Base 3F'!$B:$C, 2, FALSE)))</f>
        <v>30685264257</v>
      </c>
      <c r="C991" s="253" t="str">
        <f>IF(A991="", "", IF(IFERROR(VLOOKUP(A991, 'Base 3F'!$B:$J, 9, FALSE),"")="", "SIN RUBRO", VLOOKUP(A991, 'Base 3F'!$B:$J, 9, FALSE)))</f>
        <v>Metalúrgica</v>
      </c>
      <c r="D991" s="142" t="s">
        <v>5685</v>
      </c>
      <c r="E991" s="10" t="s">
        <v>2392</v>
      </c>
      <c r="F991" s="46" t="s">
        <v>115</v>
      </c>
    </row>
    <row r="992">
      <c r="A992" s="285" t="s">
        <v>4138</v>
      </c>
      <c r="B992" s="252">
        <f>IF(A992="", "", IF(IFERROR(VLOOKUP(A992, 'Base 3F'!$B:$C, 2, FALSE),"")="", "SIN CUIT", VLOOKUP(A992, 'Base 3F'!$B:$C, 2, FALSE)))</f>
        <v>30707071075</v>
      </c>
      <c r="C992" s="253" t="str">
        <f>IF(A992="", "", IF(IFERROR(VLOOKUP(A992, 'Base 3F'!$B:$J, 9, FALSE),"")="", "SIN RUBRO", VLOOKUP(A992, 'Base 3F'!$B:$J, 9, FALSE)))</f>
        <v>Metalúrgica</v>
      </c>
      <c r="D992" s="58" t="s">
        <v>5692</v>
      </c>
      <c r="E992" s="10" t="s">
        <v>2392</v>
      </c>
      <c r="F992" s="46" t="s">
        <v>115</v>
      </c>
    </row>
    <row r="993">
      <c r="A993" s="285" t="s">
        <v>4144</v>
      </c>
      <c r="B993" s="252">
        <f>IF(A993="", "", IF(IFERROR(VLOOKUP(A993, 'Base 3F'!$B:$C, 2, FALSE),"")="", "SIN CUIT", VLOOKUP(A993, 'Base 3F'!$B:$C, 2, FALSE)))</f>
        <v>30711994528</v>
      </c>
      <c r="C993" s="253" t="str">
        <f>IF(A993="", "", IF(IFERROR(VLOOKUP(A993, 'Base 3F'!$B:$J, 9, FALSE),"")="", "SIN RUBRO", VLOOKUP(A993, 'Base 3F'!$B:$J, 9, FALSE)))</f>
        <v>Electrónica</v>
      </c>
      <c r="D993" s="58" t="s">
        <v>5696</v>
      </c>
      <c r="E993" s="10" t="s">
        <v>2392</v>
      </c>
      <c r="F993" s="46" t="s">
        <v>115</v>
      </c>
    </row>
    <row r="994">
      <c r="A994" s="285" t="s">
        <v>4148</v>
      </c>
      <c r="B994" s="252">
        <f>IF(A994="", "", IF(IFERROR(VLOOKUP(A994, 'Base 3F'!$B:$C, 2, FALSE),"")="", "SIN CUIT", VLOOKUP(A994, 'Base 3F'!$B:$C, 2, FALSE)))</f>
        <v>30547469271</v>
      </c>
      <c r="C994" s="253" t="str">
        <f>IF(A994="", "", IF(IFERROR(VLOOKUP(A994, 'Base 3F'!$B:$J, 9, FALSE),"")="", "SIN RUBRO", VLOOKUP(A994, 'Base 3F'!$B:$J, 9, FALSE)))</f>
        <v>Servicios</v>
      </c>
      <c r="D994" s="58" t="s">
        <v>5700</v>
      </c>
      <c r="E994" s="10" t="s">
        <v>2392</v>
      </c>
      <c r="F994" s="46" t="s">
        <v>115</v>
      </c>
    </row>
    <row r="995">
      <c r="A995" s="285" t="s">
        <v>1470</v>
      </c>
      <c r="B995" s="252">
        <f>IF(A995="", "", IF(IFERROR(VLOOKUP(A995, 'Base 3F'!$B:$C, 2, FALSE),"")="", "SIN CUIT", VLOOKUP(A995, 'Base 3F'!$B:$C, 2, FALSE)))</f>
        <v>30629358788</v>
      </c>
      <c r="C995" s="253" t="str">
        <f>IF(A995="", "", IF(IFERROR(VLOOKUP(A995, 'Base 3F'!$B:$J, 9, FALSE),"")="", "SIN RUBRO", VLOOKUP(A995, 'Base 3F'!$B:$J, 9, FALSE)))</f>
        <v>Metalúrgica</v>
      </c>
      <c r="D995" s="58" t="s">
        <v>5702</v>
      </c>
      <c r="E995" s="10" t="s">
        <v>2392</v>
      </c>
      <c r="F995" s="46" t="s">
        <v>115</v>
      </c>
    </row>
    <row r="996">
      <c r="A996" s="285" t="s">
        <v>4174</v>
      </c>
      <c r="B996" s="252">
        <f>IF(A996="", "", IF(IFERROR(VLOOKUP(A996, 'Base 3F'!$B:$C, 2, FALSE),"")="", "SIN CUIT", VLOOKUP(A996, 'Base 3F'!$B:$C, 2, FALSE)))</f>
        <v>33712135749</v>
      </c>
      <c r="C996" s="253" t="str">
        <f>IF(A996="", "", IF(IFERROR(VLOOKUP(A996, 'Base 3F'!$B:$J, 9, FALSE),"")="", "SIN RUBRO", VLOOKUP(A996, 'Base 3F'!$B:$J, 9, FALSE)))</f>
        <v>Metalúrgica</v>
      </c>
      <c r="D996" s="58" t="s">
        <v>5705</v>
      </c>
      <c r="E996" s="10" t="s">
        <v>2392</v>
      </c>
      <c r="F996" s="46" t="s">
        <v>115</v>
      </c>
    </row>
    <row r="997">
      <c r="A997" s="285" t="s">
        <v>4180</v>
      </c>
      <c r="B997" s="252">
        <f>IF(A997="", "", IF(IFERROR(VLOOKUP(A997, 'Base 3F'!$B:$C, 2, FALSE),"")="", "SIN CUIT", VLOOKUP(A997, 'Base 3F'!$B:$C, 2, FALSE)))</f>
        <v>30572523558</v>
      </c>
      <c r="C997" s="253" t="str">
        <f>IF(A997="", "", IF(IFERROR(VLOOKUP(A997, 'Base 3F'!$B:$J, 9, FALSE),"")="", "SIN RUBRO", VLOOKUP(A997, 'Base 3F'!$B:$J, 9, FALSE)))</f>
        <v>Química</v>
      </c>
      <c r="D997" s="58" t="s">
        <v>5709</v>
      </c>
      <c r="E997" s="10" t="s">
        <v>2392</v>
      </c>
      <c r="F997" s="46" t="s">
        <v>115</v>
      </c>
    </row>
    <row r="998">
      <c r="A998" s="285" t="s">
        <v>4197</v>
      </c>
      <c r="B998" s="252">
        <f>IF(A998="", "", IF(IFERROR(VLOOKUP(A998, 'Base 3F'!$B:$C, 2, FALSE),"")="", "SIN CUIT", VLOOKUP(A998, 'Base 3F'!$B:$C, 2, FALSE)))</f>
        <v>30641101326</v>
      </c>
      <c r="C998" s="253" t="str">
        <f>IF(A998="", "", IF(IFERROR(VLOOKUP(A998, 'Base 3F'!$B:$J, 9, FALSE),"")="", "SIN RUBRO", VLOOKUP(A998, 'Base 3F'!$B:$J, 9, FALSE)))</f>
        <v>Vidrio</v>
      </c>
      <c r="D998" s="58" t="s">
        <v>5712</v>
      </c>
      <c r="E998" s="10" t="s">
        <v>2392</v>
      </c>
      <c r="F998" s="46" t="s">
        <v>115</v>
      </c>
    </row>
    <row r="999">
      <c r="A999" s="285" t="s">
        <v>4202</v>
      </c>
      <c r="B999" s="252">
        <f>IF(A999="", "", IF(IFERROR(VLOOKUP(A999, 'Base 3F'!$B:$C, 2, FALSE),"")="", "SIN CUIT", VLOOKUP(A999, 'Base 3F'!$B:$C, 2, FALSE)))</f>
        <v>30708664282</v>
      </c>
      <c r="C999" s="253" t="str">
        <f>IF(A999="", "", IF(IFERROR(VLOOKUP(A999, 'Base 3F'!$B:$J, 9, FALSE),"")="", "SIN RUBRO", VLOOKUP(A999, 'Base 3F'!$B:$J, 9, FALSE)))</f>
        <v>Textil</v>
      </c>
      <c r="D999" s="58" t="s">
        <v>5714</v>
      </c>
      <c r="E999" s="10" t="s">
        <v>2392</v>
      </c>
      <c r="F999" s="46" t="s">
        <v>115</v>
      </c>
    </row>
    <row r="1000">
      <c r="A1000" s="285" t="s">
        <v>1478</v>
      </c>
      <c r="B1000" s="252">
        <f>IF(A1000="", "", IF(IFERROR(VLOOKUP(A1000, 'Base 3F'!$B:$C, 2, FALSE),"")="", "SIN CUIT", VLOOKUP(A1000, 'Base 3F'!$B:$C, 2, FALSE)))</f>
        <v>30709011940</v>
      </c>
      <c r="C1000" s="253" t="str">
        <f>IF(A1000="", "", IF(IFERROR(VLOOKUP(A1000, 'Base 3F'!$B:$J, 9, FALSE),"")="", "SIN RUBRO", VLOOKUP(A1000, 'Base 3F'!$B:$J, 9, FALSE)))</f>
        <v>Química</v>
      </c>
      <c r="D1000" s="58" t="s">
        <v>5717</v>
      </c>
      <c r="E1000" s="10" t="s">
        <v>2392</v>
      </c>
      <c r="F1000" s="46" t="s">
        <v>115</v>
      </c>
    </row>
    <row r="1001">
      <c r="A1001" s="285" t="s">
        <v>4213</v>
      </c>
      <c r="B1001" s="252">
        <f>IF(A1001="", "", IF(IFERROR(VLOOKUP(A1001, 'Base 3F'!$B:$C, 2, FALSE),"")="", "SIN CUIT", VLOOKUP(A1001, 'Base 3F'!$B:$C, 2, FALSE)))</f>
        <v>30708818891</v>
      </c>
      <c r="C1001" s="253" t="str">
        <f>IF(A1001="", "", IF(IFERROR(VLOOKUP(A1001, 'Base 3F'!$B:$J, 9, FALSE),"")="", "SIN RUBRO", VLOOKUP(A1001, 'Base 3F'!$B:$J, 9, FALSE)))</f>
        <v>Electrónica</v>
      </c>
      <c r="D1001" s="58" t="s">
        <v>5721</v>
      </c>
      <c r="E1001" s="10" t="s">
        <v>2392</v>
      </c>
      <c r="F1001" s="46" t="s">
        <v>115</v>
      </c>
    </row>
    <row r="1002">
      <c r="A1002" s="285" t="s">
        <v>1484</v>
      </c>
      <c r="B1002" s="252">
        <f>IF(A1002="", "", IF(IFERROR(VLOOKUP(A1002, 'Base 3F'!$B:$C, 2, FALSE),"")="", "SIN CUIT", VLOOKUP(A1002, 'Base 3F'!$B:$C, 2, FALSE)))</f>
        <v>30711288674</v>
      </c>
      <c r="C1002" s="253" t="str">
        <f>IF(A1002="", "", IF(IFERROR(VLOOKUP(A1002, 'Base 3F'!$B:$J, 9, FALSE),"")="", "SIN RUBRO", VLOOKUP(A1002, 'Base 3F'!$B:$J, 9, FALSE)))</f>
        <v>Metalúrgica</v>
      </c>
      <c r="D1002" s="58" t="s">
        <v>5725</v>
      </c>
      <c r="E1002" s="10" t="s">
        <v>2392</v>
      </c>
      <c r="F1002" s="46" t="s">
        <v>115</v>
      </c>
    </row>
    <row r="1003">
      <c r="A1003" s="285" t="s">
        <v>1493</v>
      </c>
      <c r="B1003" s="252">
        <f>IF(A1003="", "", IF(IFERROR(VLOOKUP(A1003, 'Base 3F'!$B:$C, 2, FALSE),"")="", "SIN CUIT", VLOOKUP(A1003, 'Base 3F'!$B:$C, 2, FALSE)))</f>
        <v>30716969491</v>
      </c>
      <c r="C1003" s="253" t="str">
        <f>IF(A1003="", "", IF(IFERROR(VLOOKUP(A1003, 'Base 3F'!$B:$J, 9, FALSE),"")="", "SIN RUBRO", VLOOKUP(A1003, 'Base 3F'!$B:$J, 9, FALSE)))</f>
        <v>Alimenticia</v>
      </c>
      <c r="D1003" s="58" t="s">
        <v>5727</v>
      </c>
      <c r="E1003" s="10" t="s">
        <v>2392</v>
      </c>
      <c r="F1003" s="46" t="s">
        <v>115</v>
      </c>
    </row>
    <row r="1004">
      <c r="A1004" s="285" t="s">
        <v>4247</v>
      </c>
      <c r="B1004" s="252">
        <f>IF(A1004="", "", IF(IFERROR(VLOOKUP(A1004, 'Base 3F'!$B:$C, 2, FALSE),"")="", "SIN CUIT", VLOOKUP(A1004, 'Base 3F'!$B:$C, 2, FALSE)))</f>
        <v>30573520315</v>
      </c>
      <c r="C1004" s="253" t="str">
        <f>IF(A1004="", "", IF(IFERROR(VLOOKUP(A1004, 'Base 3F'!$B:$J, 9, FALSE),"")="", "SIN RUBRO", VLOOKUP(A1004, 'Base 3F'!$B:$J, 9, FALSE)))</f>
        <v>Gráfica</v>
      </c>
      <c r="D1004" s="58" t="s">
        <v>5731</v>
      </c>
      <c r="E1004" s="10" t="s">
        <v>2392</v>
      </c>
      <c r="F1004" s="46" t="s">
        <v>115</v>
      </c>
    </row>
    <row r="1005">
      <c r="A1005" s="285" t="s">
        <v>4254</v>
      </c>
      <c r="B1005" s="252">
        <f>IF(A1005="", "", IF(IFERROR(VLOOKUP(A1005, 'Base 3F'!$B:$C, 2, FALSE),"")="", "SIN CUIT", VLOOKUP(A1005, 'Base 3F'!$B:$C, 2, FALSE)))</f>
        <v>30622926470</v>
      </c>
      <c r="C1005" s="253" t="str">
        <f>IF(A1005="", "", IF(IFERROR(VLOOKUP(A1005, 'Base 3F'!$B:$J, 9, FALSE),"")="", "SIN RUBRO", VLOOKUP(A1005, 'Base 3F'!$B:$J, 9, FALSE)))</f>
        <v>Metalúrgica</v>
      </c>
      <c r="D1005" s="58" t="s">
        <v>5735</v>
      </c>
      <c r="E1005" s="10" t="s">
        <v>2392</v>
      </c>
      <c r="F1005" s="46" t="s">
        <v>115</v>
      </c>
    </row>
    <row r="1006">
      <c r="A1006" s="285" t="s">
        <v>4265</v>
      </c>
      <c r="B1006" s="252">
        <f>IF(A1006="", "", IF(IFERROR(VLOOKUP(A1006, 'Base 3F'!$B:$C, 2, FALSE),"")="", "SIN CUIT", VLOOKUP(A1006, 'Base 3F'!$B:$C, 2, FALSE)))</f>
        <v>30685262106</v>
      </c>
      <c r="C1006" s="253" t="str">
        <f>IF(A1006="", "", IF(IFERROR(VLOOKUP(A1006, 'Base 3F'!$B:$J, 9, FALSE),"")="", "SIN RUBRO", VLOOKUP(A1006, 'Base 3F'!$B:$J, 9, FALSE)))</f>
        <v>Plástica</v>
      </c>
      <c r="D1006" s="58" t="s">
        <v>5739</v>
      </c>
      <c r="E1006" s="10" t="s">
        <v>2392</v>
      </c>
      <c r="F1006" s="46" t="s">
        <v>115</v>
      </c>
    </row>
    <row r="1007">
      <c r="A1007" s="285" t="s">
        <v>4268</v>
      </c>
      <c r="B1007" s="252">
        <f>IF(A1007="", "", IF(IFERROR(VLOOKUP(A1007, 'Base 3F'!$B:$C, 2, FALSE),"")="", "SIN CUIT", VLOOKUP(A1007, 'Base 3F'!$B:$C, 2, FALSE)))</f>
        <v>30520941033</v>
      </c>
      <c r="C1007" s="253" t="str">
        <f>IF(A1007="", "", IF(IFERROR(VLOOKUP(A1007, 'Base 3F'!$B:$J, 9, FALSE),"")="", "SIN RUBRO", VLOOKUP(A1007, 'Base 3F'!$B:$J, 9, FALSE)))</f>
        <v>Madera</v>
      </c>
      <c r="D1007" s="96" t="s">
        <v>5745</v>
      </c>
      <c r="E1007" s="10" t="s">
        <v>2392</v>
      </c>
      <c r="F1007" s="46" t="s">
        <v>115</v>
      </c>
    </row>
    <row r="1008">
      <c r="A1008" s="285" t="s">
        <v>4278</v>
      </c>
      <c r="B1008" s="252">
        <f>IF(A1008="", "", IF(IFERROR(VLOOKUP(A1008, 'Base 3F'!$B:$C, 2, FALSE),"")="", "SIN CUIT", VLOOKUP(A1008, 'Base 3F'!$B:$C, 2, FALSE)))</f>
        <v>30639171236</v>
      </c>
      <c r="C1008" s="253" t="str">
        <f>IF(A1008="", "", IF(IFERROR(VLOOKUP(A1008, 'Base 3F'!$B:$J, 9, FALSE),"")="", "SIN RUBRO", VLOOKUP(A1008, 'Base 3F'!$B:$J, 9, FALSE)))</f>
        <v>Caucho</v>
      </c>
      <c r="D1008" s="58" t="s">
        <v>5749</v>
      </c>
      <c r="E1008" s="10" t="s">
        <v>2392</v>
      </c>
      <c r="F1008" s="46" t="s">
        <v>115</v>
      </c>
    </row>
    <row r="1009">
      <c r="A1009" s="285" t="s">
        <v>1513</v>
      </c>
      <c r="B1009" s="252">
        <f>IF(A1009="", "", IF(IFERROR(VLOOKUP(A1009, 'Base 3F'!$B:$C, 2, FALSE),"")="", "SIN CUIT", VLOOKUP(A1009, 'Base 3F'!$B:$C, 2, FALSE)))</f>
        <v>30711093490</v>
      </c>
      <c r="C1009" s="253" t="str">
        <f>IF(A1009="", "", IF(IFERROR(VLOOKUP(A1009, 'Base 3F'!$B:$J, 9, FALSE),"")="", "SIN RUBRO", VLOOKUP(A1009, 'Base 3F'!$B:$J, 9, FALSE)))</f>
        <v>Textil</v>
      </c>
      <c r="D1009" s="58" t="s">
        <v>5753</v>
      </c>
      <c r="E1009" s="10" t="s">
        <v>2392</v>
      </c>
      <c r="F1009" s="46" t="s">
        <v>115</v>
      </c>
    </row>
    <row r="1010">
      <c r="A1010" s="285" t="s">
        <v>4293</v>
      </c>
      <c r="B1010" s="252">
        <f>IF(A1010="", "", IF(IFERROR(VLOOKUP(A1010, 'Base 3F'!$B:$C, 2, FALSE),"")="", "SIN CUIT", VLOOKUP(A1010, 'Base 3F'!$B:$C, 2, FALSE)))</f>
        <v>33620381409</v>
      </c>
      <c r="C1010" s="253" t="str">
        <f>IF(A1010="", "", IF(IFERROR(VLOOKUP(A1010, 'Base 3F'!$B:$J, 9, FALSE),"")="", "SIN RUBRO", VLOOKUP(A1010, 'Base 3F'!$B:$J, 9, FALSE)))</f>
        <v>Metalúrgica</v>
      </c>
      <c r="D1010" s="58" t="s">
        <v>5755</v>
      </c>
      <c r="E1010" s="10" t="s">
        <v>2392</v>
      </c>
      <c r="F1010" s="46" t="s">
        <v>115</v>
      </c>
    </row>
    <row r="1011">
      <c r="A1011" s="285" t="s">
        <v>4301</v>
      </c>
      <c r="B1011" s="252">
        <f>IF(A1011="", "", IF(IFERROR(VLOOKUP(A1011, 'Base 3F'!$B:$C, 2, FALSE),"")="", "SIN CUIT", VLOOKUP(A1011, 'Base 3F'!$B:$C, 2, FALSE)))</f>
        <v>30708338695</v>
      </c>
      <c r="C1011" s="253" t="str">
        <f>IF(A1011="", "", IF(IFERROR(VLOOKUP(A1011, 'Base 3F'!$B:$J, 9, FALSE),"")="", "SIN RUBRO", VLOOKUP(A1011, 'Base 3F'!$B:$J, 9, FALSE)))</f>
        <v>Manufactura</v>
      </c>
      <c r="D1011" s="58" t="s">
        <v>5757</v>
      </c>
      <c r="E1011" s="10" t="s">
        <v>2392</v>
      </c>
      <c r="F1011" s="46" t="s">
        <v>115</v>
      </c>
    </row>
    <row r="1012">
      <c r="A1012" s="285" t="s">
        <v>4305</v>
      </c>
      <c r="B1012" s="252">
        <f>IF(A1012="", "", IF(IFERROR(VLOOKUP(A1012, 'Base 3F'!$B:$C, 2, FALSE),"")="", "SIN CUIT", VLOOKUP(A1012, 'Base 3F'!$B:$C, 2, FALSE)))</f>
        <v>30686220172</v>
      </c>
      <c r="C1012" s="253" t="str">
        <f>IF(A1012="", "", IF(IFERROR(VLOOKUP(A1012, 'Base 3F'!$B:$J, 9, FALSE),"")="", "SIN RUBRO", VLOOKUP(A1012, 'Base 3F'!$B:$J, 9, FALSE)))</f>
        <v>Química</v>
      </c>
      <c r="D1012" s="58" t="s">
        <v>5762</v>
      </c>
      <c r="E1012" s="10" t="s">
        <v>2392</v>
      </c>
      <c r="F1012" s="46" t="s">
        <v>115</v>
      </c>
    </row>
    <row r="1013">
      <c r="A1013" s="285" t="s">
        <v>1517</v>
      </c>
      <c r="B1013" s="252">
        <f>IF(A1013="", "", IF(IFERROR(VLOOKUP(A1013, 'Base 3F'!$B:$C, 2, FALSE),"")="", "SIN CUIT", VLOOKUP(A1013, 'Base 3F'!$B:$C, 2, FALSE)))</f>
        <v>33708989369</v>
      </c>
      <c r="C1013" s="253" t="str">
        <f>IF(A1013="", "", IF(IFERROR(VLOOKUP(A1013, 'Base 3F'!$B:$J, 9, FALSE),"")="", "SIN RUBRO", VLOOKUP(A1013, 'Base 3F'!$B:$J, 9, FALSE)))</f>
        <v>Electrónica</v>
      </c>
      <c r="D1013" s="58" t="s">
        <v>5765</v>
      </c>
      <c r="E1013" s="10" t="s">
        <v>2392</v>
      </c>
      <c r="F1013" s="46" t="s">
        <v>115</v>
      </c>
    </row>
    <row r="1014">
      <c r="A1014" s="285" t="s">
        <v>4316</v>
      </c>
      <c r="B1014" s="252" t="str">
        <f>IF(A1014="", "", IF(IFERROR(VLOOKUP(A1014, 'Base 3F'!$B:$C, 2, FALSE),"")="", "SIN CUIT", VLOOKUP(A1014, 'Base 3F'!$B:$C, 2, FALSE)))</f>
        <v>Averiguar</v>
      </c>
      <c r="C1014" s="253" t="str">
        <f>IF(A1014="", "", IF(IFERROR(VLOOKUP(A1014, 'Base 3F'!$B:$J, 9, FALSE),"")="", "SIN RUBRO", VLOOKUP(A1014, 'Base 3F'!$B:$J, 9, FALSE)))</f>
        <v>Metalúrgica</v>
      </c>
      <c r="D1014" s="58" t="s">
        <v>5767</v>
      </c>
      <c r="E1014" s="10" t="s">
        <v>2392</v>
      </c>
      <c r="F1014" s="46" t="s">
        <v>115</v>
      </c>
    </row>
    <row r="1015">
      <c r="A1015" s="285" t="s">
        <v>1522</v>
      </c>
      <c r="B1015" s="252">
        <f>IF(A1015="", "", IF(IFERROR(VLOOKUP(A1015, 'Base 3F'!$B:$C, 2, FALSE),"")="", "SIN CUIT", VLOOKUP(A1015, 'Base 3F'!$B:$C, 2, FALSE)))</f>
        <v>33711005779</v>
      </c>
      <c r="C1015" s="253" t="str">
        <f>IF(A1015="", "", IF(IFERROR(VLOOKUP(A1015, 'Base 3F'!$B:$J, 9, FALSE),"")="", "SIN RUBRO", VLOOKUP(A1015, 'Base 3F'!$B:$J, 9, FALSE)))</f>
        <v>Metalmecánica</v>
      </c>
      <c r="D1015" s="58" t="s">
        <v>5770</v>
      </c>
      <c r="E1015" s="10" t="s">
        <v>2392</v>
      </c>
      <c r="F1015" s="46" t="s">
        <v>115</v>
      </c>
    </row>
    <row r="1016">
      <c r="A1016" s="285" t="s">
        <v>4329</v>
      </c>
      <c r="B1016" s="252">
        <f>IF(A1016="", "", IF(IFERROR(VLOOKUP(A1016, 'Base 3F'!$B:$C, 2, FALSE),"")="", "SIN CUIT", VLOOKUP(A1016, 'Base 3F'!$B:$C, 2, FALSE)))</f>
        <v>30710520743</v>
      </c>
      <c r="C1016" s="253" t="str">
        <f>IF(A1016="", "", IF(IFERROR(VLOOKUP(A1016, 'Base 3F'!$B:$J, 9, FALSE),"")="", "SIN RUBRO", VLOOKUP(A1016, 'Base 3F'!$B:$J, 9, FALSE)))</f>
        <v>Plástica</v>
      </c>
      <c r="D1016" s="58" t="s">
        <v>5774</v>
      </c>
      <c r="E1016" s="10" t="s">
        <v>2392</v>
      </c>
      <c r="F1016" s="46" t="s">
        <v>115</v>
      </c>
    </row>
    <row r="1017">
      <c r="A1017" s="285" t="s">
        <v>4336</v>
      </c>
      <c r="B1017" s="252" t="str">
        <f>IF(A1017="", "", IF(IFERROR(VLOOKUP(A1017, 'Base 3F'!$B:$C, 2, FALSE),"")="", "SIN CUIT", VLOOKUP(A1017, 'Base 3F'!$B:$C, 2, FALSE)))</f>
        <v>Averiguar</v>
      </c>
      <c r="C1017" s="253" t="str">
        <f>IF(A1017="", "", IF(IFERROR(VLOOKUP(A1017, 'Base 3F'!$B:$J, 9, FALSE),"")="", "SIN RUBRO", VLOOKUP(A1017, 'Base 3F'!$B:$J, 9, FALSE)))</f>
        <v>Metalúrgica</v>
      </c>
      <c r="D1017" s="58" t="s">
        <v>5778</v>
      </c>
      <c r="E1017" s="10" t="s">
        <v>2392</v>
      </c>
      <c r="F1017" s="46" t="s">
        <v>115</v>
      </c>
    </row>
    <row r="1018">
      <c r="A1018" s="285" t="s">
        <v>4344</v>
      </c>
      <c r="B1018" s="252">
        <f>IF(A1018="", "", IF(IFERROR(VLOOKUP(A1018, 'Base 3F'!$B:$C, 2, FALSE),"")="", "SIN CUIT", VLOOKUP(A1018, 'Base 3F'!$B:$C, 2, FALSE)))</f>
        <v>20183287991</v>
      </c>
      <c r="C1018" s="253" t="str">
        <f>IF(A1018="", "", IF(IFERROR(VLOOKUP(A1018, 'Base 3F'!$B:$J, 9, FALSE),"")="", "SIN RUBRO", VLOOKUP(A1018, 'Base 3F'!$B:$J, 9, FALSE)))</f>
        <v>Plástica</v>
      </c>
      <c r="D1018" s="58" t="s">
        <v>5780</v>
      </c>
      <c r="E1018" s="10" t="s">
        <v>2392</v>
      </c>
      <c r="F1018" s="46" t="s">
        <v>115</v>
      </c>
    </row>
    <row r="1019">
      <c r="A1019" s="285" t="s">
        <v>1526</v>
      </c>
      <c r="B1019" s="252">
        <f>IF(A1019="", "", IF(IFERROR(VLOOKUP(A1019, 'Base 3F'!$B:$C, 2, FALSE),"")="", "SIN CUIT", VLOOKUP(A1019, 'Base 3F'!$B:$C, 2, FALSE)))</f>
        <v>30711187975</v>
      </c>
      <c r="C1019" s="253" t="str">
        <f>IF(A1019="", "", IF(IFERROR(VLOOKUP(A1019, 'Base 3F'!$B:$J, 9, FALSE),"")="", "SIN RUBRO", VLOOKUP(A1019, 'Base 3F'!$B:$J, 9, FALSE)))</f>
        <v>Metalúrgica</v>
      </c>
      <c r="D1019" s="306" t="s">
        <v>5791</v>
      </c>
      <c r="E1019" s="10" t="s">
        <v>2392</v>
      </c>
      <c r="F1019" s="46" t="s">
        <v>115</v>
      </c>
    </row>
    <row r="1020">
      <c r="A1020" s="285" t="s">
        <v>4374</v>
      </c>
      <c r="B1020" s="252">
        <f>IF(A1020="", "", IF(IFERROR(VLOOKUP(A1020, 'Base 3F'!$B:$C, 2, FALSE),"")="", "SIN CUIT", VLOOKUP(A1020, 'Base 3F'!$B:$C, 2, FALSE)))</f>
        <v>30556324529</v>
      </c>
      <c r="C1020" s="253" t="str">
        <f>IF(A1020="", "", IF(IFERROR(VLOOKUP(A1020, 'Base 3F'!$B:$J, 9, FALSE),"")="", "SIN RUBRO", VLOOKUP(A1020, 'Base 3F'!$B:$J, 9, FALSE)))</f>
        <v>Metalúrgica</v>
      </c>
      <c r="D1020" s="58" t="s">
        <v>5796</v>
      </c>
      <c r="E1020" s="10" t="s">
        <v>2392</v>
      </c>
      <c r="F1020" s="46" t="s">
        <v>115</v>
      </c>
    </row>
    <row r="1021">
      <c r="A1021" s="285" t="s">
        <v>4376</v>
      </c>
      <c r="B1021" s="252">
        <f>IF(A1021="", "", IF(IFERROR(VLOOKUP(A1021, 'Base 3F'!$B:$C, 2, FALSE),"")="", "SIN CUIT", VLOOKUP(A1021, 'Base 3F'!$B:$C, 2, FALSE)))</f>
        <v>30711305668</v>
      </c>
      <c r="C1021" s="253" t="str">
        <f>IF(A1021="", "", IF(IFERROR(VLOOKUP(A1021, 'Base 3F'!$B:$J, 9, FALSE),"")="", "SIN RUBRO", VLOOKUP(A1021, 'Base 3F'!$B:$J, 9, FALSE)))</f>
        <v>Metalúrgica</v>
      </c>
      <c r="D1021" s="58" t="s">
        <v>5801</v>
      </c>
      <c r="E1021" s="10" t="s">
        <v>2392</v>
      </c>
      <c r="F1021" s="46" t="s">
        <v>115</v>
      </c>
    </row>
    <row r="1022">
      <c r="A1022" s="285" t="s">
        <v>4390</v>
      </c>
      <c r="B1022" s="252">
        <f>IF(A1022="", "", IF(IFERROR(VLOOKUP(A1022, 'Base 3F'!$B:$C, 2, FALSE),"")="", "SIN CUIT", VLOOKUP(A1022, 'Base 3F'!$B:$C, 2, FALSE)))</f>
        <v>30715199129</v>
      </c>
      <c r="C1022" s="253" t="str">
        <f>IF(A1022="", "", IF(IFERROR(VLOOKUP(A1022, 'Base 3F'!$B:$J, 9, FALSE),"")="", "SIN RUBRO", VLOOKUP(A1022, 'Base 3F'!$B:$J, 9, FALSE)))</f>
        <v>Química</v>
      </c>
      <c r="D1022" s="96" t="s">
        <v>5803</v>
      </c>
      <c r="E1022" s="10" t="s">
        <v>2392</v>
      </c>
      <c r="F1022" s="46" t="s">
        <v>115</v>
      </c>
    </row>
    <row r="1023">
      <c r="A1023" s="285" t="s">
        <v>4400</v>
      </c>
      <c r="B1023" s="252">
        <f>IF(A1023="", "", IF(IFERROR(VLOOKUP(A1023, 'Base 3F'!$B:$C, 2, FALSE),"")="", "SIN CUIT", VLOOKUP(A1023, 'Base 3F'!$B:$C, 2, FALSE)))</f>
        <v>30522751088</v>
      </c>
      <c r="C1023" s="253" t="str">
        <f>IF(A1023="", "", IF(IFERROR(VLOOKUP(A1023, 'Base 3F'!$B:$J, 9, FALSE),"")="", "SIN RUBRO", VLOOKUP(A1023, 'Base 3F'!$B:$J, 9, FALSE)))</f>
        <v>Metalúrgica</v>
      </c>
      <c r="D1023" s="58" t="s">
        <v>5807</v>
      </c>
      <c r="E1023" s="10" t="s">
        <v>2392</v>
      </c>
      <c r="F1023" s="46" t="s">
        <v>115</v>
      </c>
    </row>
    <row r="1024">
      <c r="A1024" s="285" t="s">
        <v>1532</v>
      </c>
      <c r="B1024" s="252">
        <f>IF(A1024="", "", IF(IFERROR(VLOOKUP(A1024, 'Base 3F'!$B:$C, 2, FALSE),"")="", "SIN CUIT", VLOOKUP(A1024, 'Base 3F'!$B:$C, 2, FALSE)))</f>
        <v>30697276676</v>
      </c>
      <c r="C1024" s="253" t="str">
        <f>IF(A1024="", "", IF(IFERROR(VLOOKUP(A1024, 'Base 3F'!$B:$J, 9, FALSE),"")="", "SIN RUBRO", VLOOKUP(A1024, 'Base 3F'!$B:$J, 9, FALSE)))</f>
        <v>Química</v>
      </c>
      <c r="D1024" s="58" t="s">
        <v>5810</v>
      </c>
      <c r="E1024" s="10" t="s">
        <v>2392</v>
      </c>
      <c r="F1024" s="46" t="s">
        <v>115</v>
      </c>
    </row>
    <row r="1025">
      <c r="A1025" s="285" t="s">
        <v>4421</v>
      </c>
      <c r="B1025" s="252">
        <f>IF(A1025="", "", IF(IFERROR(VLOOKUP(A1025, 'Base 3F'!$B:$C, 2, FALSE),"")="", "SIN CUIT", VLOOKUP(A1025, 'Base 3F'!$B:$C, 2, FALSE)))</f>
        <v>20148959081</v>
      </c>
      <c r="C1025" s="253" t="str">
        <f>IF(A1025="", "", IF(IFERROR(VLOOKUP(A1025, 'Base 3F'!$B:$J, 9, FALSE),"")="", "SIN RUBRO", VLOOKUP(A1025, 'Base 3F'!$B:$J, 9, FALSE)))</f>
        <v>Metalmecánica</v>
      </c>
      <c r="D1025" s="58" t="s">
        <v>5819</v>
      </c>
      <c r="E1025" s="10" t="s">
        <v>2392</v>
      </c>
      <c r="F1025" s="46" t="s">
        <v>115</v>
      </c>
    </row>
    <row r="1026">
      <c r="A1026" s="285" t="s">
        <v>1538</v>
      </c>
      <c r="B1026" s="252">
        <f>IF(A1026="", "", IF(IFERROR(VLOOKUP(A1026, 'Base 3F'!$B:$C, 2, FALSE),"")="", "SIN CUIT", VLOOKUP(A1026, 'Base 3F'!$B:$C, 2, FALSE)))</f>
        <v>30666522032</v>
      </c>
      <c r="C1026" s="253" t="str">
        <f>IF(A1026="", "", IF(IFERROR(VLOOKUP(A1026, 'Base 3F'!$B:$J, 9, FALSE),"")="", "SIN RUBRO", VLOOKUP(A1026, 'Base 3F'!$B:$J, 9, FALSE)))</f>
        <v>Metalúrgica</v>
      </c>
      <c r="D1026" s="58" t="s">
        <v>5826</v>
      </c>
      <c r="E1026" s="10" t="s">
        <v>2392</v>
      </c>
      <c r="F1026" s="46" t="s">
        <v>115</v>
      </c>
    </row>
    <row r="1027">
      <c r="A1027" s="285" t="s">
        <v>4446</v>
      </c>
      <c r="B1027" s="252">
        <f>IF(A1027="", "", IF(IFERROR(VLOOKUP(A1027, 'Base 3F'!$B:$C, 2, FALSE),"")="", "SIN CUIT", VLOOKUP(A1027, 'Base 3F'!$B:$C, 2, FALSE)))</f>
        <v>30663829153</v>
      </c>
      <c r="C1027" s="253" t="str">
        <f>IF(A1027="", "", IF(IFERROR(VLOOKUP(A1027, 'Base 3F'!$B:$J, 9, FALSE),"")="", "SIN RUBRO", VLOOKUP(A1027, 'Base 3F'!$B:$J, 9, FALSE)))</f>
        <v>Alimenticia</v>
      </c>
      <c r="D1027" s="58" t="s">
        <v>5829</v>
      </c>
      <c r="E1027" s="10" t="s">
        <v>2392</v>
      </c>
      <c r="F1027" s="46" t="s">
        <v>115</v>
      </c>
    </row>
    <row r="1028">
      <c r="A1028" s="285" t="s">
        <v>4453</v>
      </c>
      <c r="B1028" s="252">
        <f>IF(A1028="", "", IF(IFERROR(VLOOKUP(A1028, 'Base 3F'!$B:$C, 2, FALSE),"")="", "SIN CUIT", VLOOKUP(A1028, 'Base 3F'!$B:$C, 2, FALSE)))</f>
        <v>30710688725</v>
      </c>
      <c r="C1028" s="253" t="str">
        <f>IF(A1028="", "", IF(IFERROR(VLOOKUP(A1028, 'Base 3F'!$B:$J, 9, FALSE),"")="", "SIN RUBRO", VLOOKUP(A1028, 'Base 3F'!$B:$J, 9, FALSE)))</f>
        <v>Metalúrgica</v>
      </c>
      <c r="D1028" s="58" t="s">
        <v>5831</v>
      </c>
      <c r="E1028" s="10" t="s">
        <v>2392</v>
      </c>
      <c r="F1028" s="46" t="s">
        <v>115</v>
      </c>
    </row>
    <row r="1029">
      <c r="A1029" s="285" t="s">
        <v>4468</v>
      </c>
      <c r="B1029" s="252">
        <f>IF(A1029="", "", IF(IFERROR(VLOOKUP(A1029, 'Base 3F'!$B:$C, 2, FALSE),"")="", "SIN CUIT", VLOOKUP(A1029, 'Base 3F'!$B:$C, 2, FALSE)))</f>
        <v>30711557616</v>
      </c>
      <c r="C1029" s="253" t="str">
        <f>IF(A1029="", "", IF(IFERROR(VLOOKUP(A1029, 'Base 3F'!$B:$J, 9, FALSE),"")="", "SIN RUBRO", VLOOKUP(A1029, 'Base 3F'!$B:$J, 9, FALSE)))</f>
        <v>Madera</v>
      </c>
      <c r="D1029" s="58" t="s">
        <v>5839</v>
      </c>
      <c r="E1029" s="10" t="s">
        <v>2392</v>
      </c>
      <c r="F1029" s="46" t="s">
        <v>115</v>
      </c>
    </row>
    <row r="1030">
      <c r="A1030" s="285" t="s">
        <v>4472</v>
      </c>
      <c r="B1030" s="252" t="str">
        <f>IF(A1030="", "", IF(IFERROR(VLOOKUP(A1030, 'Base 3F'!$B:$C, 2, FALSE),"")="", "SIN CUIT", VLOOKUP(A1030, 'Base 3F'!$B:$C, 2, FALSE)))</f>
        <v>Averiguar</v>
      </c>
      <c r="C1030" s="253" t="str">
        <f>IF(A1030="", "", IF(IFERROR(VLOOKUP(A1030, 'Base 3F'!$B:$J, 9, FALSE),"")="", "SIN RUBRO", VLOOKUP(A1030, 'Base 3F'!$B:$J, 9, FALSE)))</f>
        <v>Metalúrgica</v>
      </c>
      <c r="D1030" s="58" t="s">
        <v>5841</v>
      </c>
      <c r="E1030" s="10" t="s">
        <v>2392</v>
      </c>
      <c r="F1030" s="46" t="s">
        <v>115</v>
      </c>
    </row>
    <row r="1031">
      <c r="A1031" s="285" t="s">
        <v>4479</v>
      </c>
      <c r="B1031" s="252">
        <f>IF(A1031="", "", IF(IFERROR(VLOOKUP(A1031, 'Base 3F'!$B:$C, 2, FALSE),"")="", "SIN CUIT", VLOOKUP(A1031, 'Base 3F'!$B:$C, 2, FALSE)))</f>
        <v>30707111883</v>
      </c>
      <c r="C1031" s="253" t="str">
        <f>IF(A1031="", "", IF(IFERROR(VLOOKUP(A1031, 'Base 3F'!$B:$J, 9, FALSE),"")="", "SIN RUBRO", VLOOKUP(A1031, 'Base 3F'!$B:$J, 9, FALSE)))</f>
        <v>Metalúrgica</v>
      </c>
      <c r="D1031" s="122" t="s">
        <v>5844</v>
      </c>
      <c r="E1031" s="10" t="s">
        <v>2392</v>
      </c>
      <c r="F1031" s="46" t="s">
        <v>115</v>
      </c>
    </row>
    <row r="1032">
      <c r="A1032" s="285" t="s">
        <v>1553</v>
      </c>
      <c r="B1032" s="252">
        <f>IF(A1032="", "", IF(IFERROR(VLOOKUP(A1032, 'Base 3F'!$B:$C, 2, FALSE),"")="", "SIN CUIT", VLOOKUP(A1032, 'Base 3F'!$B:$C, 2, FALSE)))</f>
        <v>30642219355</v>
      </c>
      <c r="C1032" s="253" t="str">
        <f>IF(A1032="", "", IF(IFERROR(VLOOKUP(A1032, 'Base 3F'!$B:$J, 9, FALSE),"")="", "SIN RUBRO", VLOOKUP(A1032, 'Base 3F'!$B:$J, 9, FALSE)))</f>
        <v>Alimenticia</v>
      </c>
      <c r="D1032" s="58" t="s">
        <v>5847</v>
      </c>
      <c r="E1032" s="10" t="s">
        <v>2392</v>
      </c>
      <c r="F1032" s="46" t="s">
        <v>115</v>
      </c>
    </row>
    <row r="1033">
      <c r="A1033" s="285" t="s">
        <v>4509</v>
      </c>
      <c r="B1033" s="252">
        <f>IF(A1033="", "", IF(IFERROR(VLOOKUP(A1033, 'Base 3F'!$B:$C, 2, FALSE),"")="", "SIN CUIT", VLOOKUP(A1033, 'Base 3F'!$B:$C, 2, FALSE)))</f>
        <v>33709881189</v>
      </c>
      <c r="C1033" s="253" t="str">
        <f>IF(A1033="", "", IF(IFERROR(VLOOKUP(A1033, 'Base 3F'!$B:$J, 9, FALSE),"")="", "SIN RUBRO", VLOOKUP(A1033, 'Base 3F'!$B:$J, 9, FALSE)))</f>
        <v>Metalúrgica</v>
      </c>
      <c r="D1033" s="58" t="s">
        <v>5852</v>
      </c>
      <c r="E1033" s="10" t="s">
        <v>2392</v>
      </c>
      <c r="F1033" s="46" t="s">
        <v>115</v>
      </c>
    </row>
    <row r="1034">
      <c r="A1034" s="285" t="s">
        <v>4515</v>
      </c>
      <c r="B1034" s="252">
        <f>IF(A1034="", "", IF(IFERROR(VLOOKUP(A1034, 'Base 3F'!$B:$C, 2, FALSE),"")="", "SIN CUIT", VLOOKUP(A1034, 'Base 3F'!$B:$C, 2, FALSE)))</f>
        <v>30711138206</v>
      </c>
      <c r="C1034" s="253" t="str">
        <f>IF(A1034="", "", IF(IFERROR(VLOOKUP(A1034, 'Base 3F'!$B:$J, 9, FALSE),"")="", "SIN RUBRO", VLOOKUP(A1034, 'Base 3F'!$B:$J, 9, FALSE)))</f>
        <v>Plástica</v>
      </c>
      <c r="D1034" s="58" t="s">
        <v>5855</v>
      </c>
      <c r="E1034" s="10" t="s">
        <v>2392</v>
      </c>
      <c r="F1034" s="46" t="s">
        <v>115</v>
      </c>
    </row>
    <row r="1035">
      <c r="A1035" s="285" t="s">
        <v>1558</v>
      </c>
      <c r="B1035" s="252">
        <f>IF(A1035="", "", IF(IFERROR(VLOOKUP(A1035, 'Base 3F'!$B:$C, 2, FALSE),"")="", "SIN CUIT", VLOOKUP(A1035, 'Base 3F'!$B:$C, 2, FALSE)))</f>
        <v>30694748534</v>
      </c>
      <c r="C1035" s="253" t="str">
        <f>IF(A1035="", "", IF(IFERROR(VLOOKUP(A1035, 'Base 3F'!$B:$J, 9, FALSE),"")="", "SIN RUBRO", VLOOKUP(A1035, 'Base 3F'!$B:$J, 9, FALSE)))</f>
        <v>Electrónica</v>
      </c>
      <c r="D1035" s="58" t="s">
        <v>5859</v>
      </c>
      <c r="E1035" s="10" t="s">
        <v>2392</v>
      </c>
      <c r="F1035" s="46" t="s">
        <v>115</v>
      </c>
    </row>
    <row r="1036">
      <c r="A1036" s="285" t="s">
        <v>4528</v>
      </c>
      <c r="B1036" s="252">
        <f>IF(A1036="", "", IF(IFERROR(VLOOKUP(A1036, 'Base 3F'!$B:$C, 2, FALSE),"")="", "SIN CUIT", VLOOKUP(A1036, 'Base 3F'!$B:$C, 2, FALSE)))</f>
        <v>30707718257</v>
      </c>
      <c r="C1036" s="253" t="str">
        <f>IF(A1036="", "", IF(IFERROR(VLOOKUP(A1036, 'Base 3F'!$B:$J, 9, FALSE),"")="", "SIN RUBRO", VLOOKUP(A1036, 'Base 3F'!$B:$J, 9, FALSE)))</f>
        <v>Papel</v>
      </c>
      <c r="D1036" s="58" t="s">
        <v>5864</v>
      </c>
      <c r="E1036" s="10" t="s">
        <v>2392</v>
      </c>
      <c r="F1036" s="46" t="s">
        <v>115</v>
      </c>
    </row>
    <row r="1037">
      <c r="A1037" s="285" t="s">
        <v>1562</v>
      </c>
      <c r="B1037" s="252">
        <f>IF(A1037="", "", IF(IFERROR(VLOOKUP(A1037, 'Base 3F'!$B:$C, 2, FALSE),"")="", "SIN CUIT", VLOOKUP(A1037, 'Base 3F'!$B:$C, 2, FALSE)))</f>
        <v>30707109714</v>
      </c>
      <c r="C1037" s="253" t="str">
        <f>IF(A1037="", "", IF(IFERROR(VLOOKUP(A1037, 'Base 3F'!$B:$J, 9, FALSE),"")="", "SIN RUBRO", VLOOKUP(A1037, 'Base 3F'!$B:$J, 9, FALSE)))</f>
        <v>Servicios</v>
      </c>
      <c r="D1037" s="58" t="s">
        <v>5867</v>
      </c>
      <c r="E1037" s="10" t="s">
        <v>2392</v>
      </c>
      <c r="F1037" s="46" t="s">
        <v>115</v>
      </c>
    </row>
    <row r="1038">
      <c r="A1038" s="285" t="s">
        <v>4545</v>
      </c>
      <c r="B1038" s="252">
        <f>IF(A1038="", "", IF(IFERROR(VLOOKUP(A1038, 'Base 3F'!$B:$C, 2, FALSE),"")="", "SIN CUIT", VLOOKUP(A1038, 'Base 3F'!$B:$C, 2, FALSE)))</f>
        <v>30709704474</v>
      </c>
      <c r="C1038" s="253" t="str">
        <f>IF(A1038="", "", IF(IFERROR(VLOOKUP(A1038, 'Base 3F'!$B:$J, 9, FALSE),"")="", "SIN RUBRO", VLOOKUP(A1038, 'Base 3F'!$B:$J, 9, FALSE)))</f>
        <v>Transporte</v>
      </c>
      <c r="D1038" s="58" t="s">
        <v>5872</v>
      </c>
      <c r="E1038" s="10" t="s">
        <v>2392</v>
      </c>
      <c r="F1038" s="46" t="s">
        <v>115</v>
      </c>
    </row>
    <row r="1039">
      <c r="A1039" s="285" t="s">
        <v>1573</v>
      </c>
      <c r="B1039" s="252">
        <f>IF(A1039="", "", IF(IFERROR(VLOOKUP(A1039, 'Base 3F'!$B:$C, 2, FALSE),"")="", "SIN CUIT", VLOOKUP(A1039, 'Base 3F'!$B:$C, 2, FALSE)))</f>
        <v>30551720795</v>
      </c>
      <c r="C1039" s="253" t="str">
        <f>IF(A1039="", "", IF(IFERROR(VLOOKUP(A1039, 'Base 3F'!$B:$J, 9, FALSE),"")="", "SIN RUBRO", VLOOKUP(A1039, 'Base 3F'!$B:$J, 9, FALSE)))</f>
        <v>Metalúrgica</v>
      </c>
      <c r="D1039" s="58" t="s">
        <v>5874</v>
      </c>
      <c r="E1039" s="10" t="s">
        <v>2392</v>
      </c>
      <c r="F1039" s="46" t="s">
        <v>115</v>
      </c>
    </row>
    <row r="1040">
      <c r="A1040" s="285" t="s">
        <v>4581</v>
      </c>
      <c r="B1040" s="252">
        <f>IF(A1040="", "", IF(IFERROR(VLOOKUP(A1040, 'Base 3F'!$B:$C, 2, FALSE),"")="", "SIN CUIT", VLOOKUP(A1040, 'Base 3F'!$B:$C, 2, FALSE)))</f>
        <v>30712067922</v>
      </c>
      <c r="C1040" s="253" t="str">
        <f>IF(A1040="", "", IF(IFERROR(VLOOKUP(A1040, 'Base 3F'!$B:$J, 9, FALSE),"")="", "SIN RUBRO", VLOOKUP(A1040, 'Base 3F'!$B:$J, 9, FALSE)))</f>
        <v>Plástica</v>
      </c>
      <c r="D1040" s="58" t="s">
        <v>5877</v>
      </c>
      <c r="E1040" s="10" t="s">
        <v>2392</v>
      </c>
      <c r="F1040" s="46" t="s">
        <v>115</v>
      </c>
    </row>
    <row r="1041">
      <c r="A1041" s="285" t="s">
        <v>4585</v>
      </c>
      <c r="B1041" s="252">
        <f>IF(A1041="", "", IF(IFERROR(VLOOKUP(A1041, 'Base 3F'!$B:$C, 2, FALSE),"")="", "SIN CUIT", VLOOKUP(A1041, 'Base 3F'!$B:$C, 2, FALSE)))</f>
        <v>30711763879</v>
      </c>
      <c r="C1041" s="253" t="str">
        <f>IF(A1041="", "", IF(IFERROR(VLOOKUP(A1041, 'Base 3F'!$B:$J, 9, FALSE),"")="", "SIN RUBRO", VLOOKUP(A1041, 'Base 3F'!$B:$J, 9, FALSE)))</f>
        <v>Metalúrgica</v>
      </c>
      <c r="D1041" s="120" t="s">
        <v>5884</v>
      </c>
      <c r="E1041" s="10" t="s">
        <v>2392</v>
      </c>
      <c r="F1041" s="46" t="s">
        <v>115</v>
      </c>
    </row>
    <row r="1042">
      <c r="A1042" s="285" t="s">
        <v>1579</v>
      </c>
      <c r="B1042" s="252">
        <f>IF(A1042="", "", IF(IFERROR(VLOOKUP(A1042, 'Base 3F'!$B:$C, 2, FALSE),"")="", "SIN CUIT", VLOOKUP(A1042, 'Base 3F'!$B:$C, 2, FALSE)))</f>
        <v>30709761478</v>
      </c>
      <c r="C1042" s="253" t="str">
        <f>IF(A1042="", "", IF(IFERROR(VLOOKUP(A1042, 'Base 3F'!$B:$J, 9, FALSE),"")="", "SIN RUBRO", VLOOKUP(A1042, 'Base 3F'!$B:$J, 9, FALSE)))</f>
        <v>Metalúrgica</v>
      </c>
      <c r="D1042" s="58" t="s">
        <v>5887</v>
      </c>
      <c r="E1042" s="10" t="s">
        <v>2392</v>
      </c>
      <c r="F1042" s="46" t="s">
        <v>115</v>
      </c>
    </row>
    <row r="1043">
      <c r="A1043" s="285" t="s">
        <v>4597</v>
      </c>
      <c r="B1043" s="252">
        <f>IF(A1043="", "", IF(IFERROR(VLOOKUP(A1043, 'Base 3F'!$B:$C, 2, FALSE),"")="", "SIN CUIT", VLOOKUP(A1043, 'Base 3F'!$B:$C, 2, FALSE)))</f>
        <v>30685319957</v>
      </c>
      <c r="C1043" s="253" t="str">
        <f>IF(A1043="", "", IF(IFERROR(VLOOKUP(A1043, 'Base 3F'!$B:$J, 9, FALSE),"")="", "SIN RUBRO", VLOOKUP(A1043, 'Base 3F'!$B:$J, 9, FALSE)))</f>
        <v>Automotor</v>
      </c>
      <c r="D1043" s="58" t="s">
        <v>5893</v>
      </c>
      <c r="E1043" s="10" t="s">
        <v>2392</v>
      </c>
      <c r="F1043" s="46" t="s">
        <v>115</v>
      </c>
    </row>
    <row r="1044">
      <c r="A1044" s="285" t="s">
        <v>4618</v>
      </c>
      <c r="B1044" s="252">
        <f>IF(A1044="", "", IF(IFERROR(VLOOKUP(A1044, 'Base 3F'!$B:$C, 2, FALSE),"")="", "SIN CUIT", VLOOKUP(A1044, 'Base 3F'!$B:$C, 2, FALSE)))</f>
        <v>30712212795</v>
      </c>
      <c r="C1044" s="253" t="str">
        <f>IF(A1044="", "", IF(IFERROR(VLOOKUP(A1044, 'Base 3F'!$B:$J, 9, FALSE),"")="", "SIN RUBRO", VLOOKUP(A1044, 'Base 3F'!$B:$J, 9, FALSE)))</f>
        <v>Madera</v>
      </c>
      <c r="D1044" s="136" t="s">
        <v>5895</v>
      </c>
      <c r="E1044" s="10" t="s">
        <v>2392</v>
      </c>
      <c r="F1044" s="46" t="s">
        <v>115</v>
      </c>
    </row>
    <row r="1045">
      <c r="A1045" s="285" t="s">
        <v>1585</v>
      </c>
      <c r="B1045" s="252">
        <f>IF(A1045="", "", IF(IFERROR(VLOOKUP(A1045, 'Base 3F'!$B:$C, 2, FALSE),"")="", "SIN CUIT", VLOOKUP(A1045, 'Base 3F'!$B:$C, 2, FALSE)))</f>
        <v>30537882871</v>
      </c>
      <c r="C1045" s="253" t="str">
        <f>IF(A1045="", "", IF(IFERROR(VLOOKUP(A1045, 'Base 3F'!$B:$J, 9, FALSE),"")="", "SIN RUBRO", VLOOKUP(A1045, 'Base 3F'!$B:$J, 9, FALSE)))</f>
        <v>Bebidas</v>
      </c>
      <c r="D1045" s="58" t="s">
        <v>5901</v>
      </c>
      <c r="E1045" s="10" t="s">
        <v>2392</v>
      </c>
      <c r="F1045" s="46" t="s">
        <v>115</v>
      </c>
    </row>
    <row r="1046">
      <c r="A1046" s="285" t="s">
        <v>4637</v>
      </c>
      <c r="B1046" s="252">
        <f>IF(A1046="", "", IF(IFERROR(VLOOKUP(A1046, 'Base 3F'!$B:$C, 2, FALSE),"")="", "SIN CUIT", VLOOKUP(A1046, 'Base 3F'!$B:$C, 2, FALSE)))</f>
        <v>30715328492</v>
      </c>
      <c r="C1046" s="253" t="str">
        <f>IF(A1046="", "", IF(IFERROR(VLOOKUP(A1046, 'Base 3F'!$B:$J, 9, FALSE),"")="", "SIN RUBRO", VLOOKUP(A1046, 'Base 3F'!$B:$J, 9, FALSE)))</f>
        <v>Alimenticia</v>
      </c>
      <c r="D1046" s="58" t="s">
        <v>5903</v>
      </c>
      <c r="E1046" s="10" t="s">
        <v>2392</v>
      </c>
      <c r="F1046" s="46" t="s">
        <v>115</v>
      </c>
    </row>
    <row r="1047">
      <c r="A1047" s="285" t="s">
        <v>1590</v>
      </c>
      <c r="B1047" s="252">
        <f>IF(A1047="", "", IF(IFERROR(VLOOKUP(A1047, 'Base 3F'!$B:$C, 2, FALSE),"")="", "SIN CUIT", VLOOKUP(A1047, 'Base 3F'!$B:$C, 2, FALSE)))</f>
        <v>30538836547</v>
      </c>
      <c r="C1047" s="253" t="str">
        <f>IF(A1047="", "", IF(IFERROR(VLOOKUP(A1047, 'Base 3F'!$B:$J, 9, FALSE),"")="", "SIN RUBRO", VLOOKUP(A1047, 'Base 3F'!$B:$J, 9, FALSE)))</f>
        <v>Textil</v>
      </c>
      <c r="D1047" s="58" t="s">
        <v>5906</v>
      </c>
      <c r="E1047" s="10" t="s">
        <v>2392</v>
      </c>
      <c r="F1047" s="46" t="s">
        <v>115</v>
      </c>
    </row>
    <row r="1048">
      <c r="A1048" s="285" t="s">
        <v>4660</v>
      </c>
      <c r="B1048" s="252">
        <f>IF(A1048="", "", IF(IFERROR(VLOOKUP(A1048, 'Base 3F'!$B:$C, 2, FALSE),"")="", "SIN CUIT", VLOOKUP(A1048, 'Base 3F'!$B:$C, 2, FALSE)))</f>
        <v>33711740959</v>
      </c>
      <c r="C1048" s="253" t="str">
        <f>IF(A1048="", "", IF(IFERROR(VLOOKUP(A1048, 'Base 3F'!$B:$J, 9, FALSE),"")="", "SIN RUBRO", VLOOKUP(A1048, 'Base 3F'!$B:$J, 9, FALSE)))</f>
        <v>Caucho</v>
      </c>
      <c r="D1048" s="58" t="s">
        <v>5912</v>
      </c>
      <c r="E1048" s="10" t="s">
        <v>2392</v>
      </c>
      <c r="F1048" s="46" t="s">
        <v>115</v>
      </c>
    </row>
    <row r="1049">
      <c r="A1049" s="285" t="s">
        <v>4665</v>
      </c>
      <c r="B1049" s="252">
        <f>IF(A1049="", "", IF(IFERROR(VLOOKUP(A1049, 'Base 3F'!$B:$C, 2, FALSE),"")="", "SIN CUIT", VLOOKUP(A1049, 'Base 3F'!$B:$C, 2, FALSE)))</f>
        <v>30710237855</v>
      </c>
      <c r="C1049" s="253" t="str">
        <f>IF(A1049="", "", IF(IFERROR(VLOOKUP(A1049, 'Base 3F'!$B:$J, 9, FALSE),"")="", "SIN RUBRO", VLOOKUP(A1049, 'Base 3F'!$B:$J, 9, FALSE)))</f>
        <v>Servicios</v>
      </c>
      <c r="D1049" s="58" t="s">
        <v>5915</v>
      </c>
      <c r="E1049" s="10" t="s">
        <v>2392</v>
      </c>
      <c r="F1049" s="46" t="s">
        <v>115</v>
      </c>
    </row>
    <row r="1050">
      <c r="A1050" s="285" t="s">
        <v>4681</v>
      </c>
      <c r="B1050" s="252">
        <f>IF(A1050="", "", IF(IFERROR(VLOOKUP(A1050, 'Base 3F'!$B:$C, 2, FALSE),"")="", "SIN CUIT", VLOOKUP(A1050, 'Base 3F'!$B:$C, 2, FALSE)))</f>
        <v>30601010913</v>
      </c>
      <c r="C1050" s="253" t="str">
        <f>IF(A1050="", "", IF(IFERROR(VLOOKUP(A1050, 'Base 3F'!$B:$J, 9, FALSE),"")="", "SIN RUBRO", VLOOKUP(A1050, 'Base 3F'!$B:$J, 9, FALSE)))</f>
        <v>Electrónica</v>
      </c>
      <c r="D1050" s="58" t="s">
        <v>5918</v>
      </c>
      <c r="E1050" s="10" t="s">
        <v>2392</v>
      </c>
      <c r="F1050" s="46" t="s">
        <v>115</v>
      </c>
    </row>
    <row r="1051">
      <c r="A1051" s="285" t="s">
        <v>4694</v>
      </c>
      <c r="B1051" s="252">
        <f>IF(A1051="", "", IF(IFERROR(VLOOKUP(A1051, 'Base 3F'!$B:$C, 2, FALSE),"")="", "SIN CUIT", VLOOKUP(A1051, 'Base 3F'!$B:$C, 2, FALSE)))</f>
        <v>30708920017</v>
      </c>
      <c r="C1051" s="253" t="str">
        <f>IF(A1051="", "", IF(IFERROR(VLOOKUP(A1051, 'Base 3F'!$B:$J, 9, FALSE),"")="", "SIN RUBRO", VLOOKUP(A1051, 'Base 3F'!$B:$J, 9, FALSE)))</f>
        <v>Metalúrgica</v>
      </c>
      <c r="D1051" s="58" t="s">
        <v>4699</v>
      </c>
      <c r="E1051" s="10" t="s">
        <v>2392</v>
      </c>
      <c r="F1051" s="46" t="s">
        <v>115</v>
      </c>
    </row>
    <row r="1052">
      <c r="A1052" s="285" t="s">
        <v>4700</v>
      </c>
      <c r="B1052" s="252">
        <f>IF(A1052="", "", IF(IFERROR(VLOOKUP(A1052, 'Base 3F'!$B:$C, 2, FALSE),"")="", "SIN CUIT", VLOOKUP(A1052, 'Base 3F'!$B:$C, 2, FALSE)))</f>
        <v>30709580457</v>
      </c>
      <c r="C1052" s="253" t="str">
        <f>IF(A1052="", "", IF(IFERROR(VLOOKUP(A1052, 'Base 3F'!$B:$J, 9, FALSE),"")="", "SIN RUBRO", VLOOKUP(A1052, 'Base 3F'!$B:$J, 9, FALSE)))</f>
        <v>Servicios</v>
      </c>
      <c r="D1052" s="58" t="s">
        <v>5924</v>
      </c>
      <c r="E1052" s="10" t="s">
        <v>2392</v>
      </c>
      <c r="F1052" s="46" t="s">
        <v>115</v>
      </c>
    </row>
    <row r="1053">
      <c r="A1053" s="285" t="s">
        <v>4717</v>
      </c>
      <c r="B1053" s="252">
        <f>IF(A1053="", "", IF(IFERROR(VLOOKUP(A1053, 'Base 3F'!$B:$C, 2, FALSE),"")="", "SIN CUIT", VLOOKUP(A1053, 'Base 3F'!$B:$C, 2, FALSE)))</f>
        <v>30517359331</v>
      </c>
      <c r="C1053" s="253" t="str">
        <f>IF(A1053="", "", IF(IFERROR(VLOOKUP(A1053, 'Base 3F'!$B:$J, 9, FALSE),"")="", "SIN RUBRO", VLOOKUP(A1053, 'Base 3F'!$B:$J, 9, FALSE)))</f>
        <v>Metalúrgica</v>
      </c>
      <c r="D1053" s="58" t="s">
        <v>5933</v>
      </c>
      <c r="E1053" s="10" t="s">
        <v>2392</v>
      </c>
      <c r="F1053" s="46" t="s">
        <v>115</v>
      </c>
    </row>
    <row r="1054">
      <c r="A1054" s="285" t="s">
        <v>4731</v>
      </c>
      <c r="B1054" s="252">
        <f>IF(A1054="", "", IF(IFERROR(VLOOKUP(A1054, 'Base 3F'!$B:$C, 2, FALSE),"")="", "SIN CUIT", VLOOKUP(A1054, 'Base 3F'!$B:$C, 2, FALSE)))</f>
        <v>30715279556</v>
      </c>
      <c r="C1054" s="253" t="str">
        <f>IF(A1054="", "", IF(IFERROR(VLOOKUP(A1054, 'Base 3F'!$B:$J, 9, FALSE),"")="", "SIN RUBRO", VLOOKUP(A1054, 'Base 3F'!$B:$J, 9, FALSE)))</f>
        <v>Metalúrgica</v>
      </c>
      <c r="D1054" s="58" t="s">
        <v>5935</v>
      </c>
      <c r="E1054" s="10" t="s">
        <v>2392</v>
      </c>
      <c r="F1054" s="46" t="s">
        <v>115</v>
      </c>
    </row>
    <row r="1055">
      <c r="A1055" s="285" t="s">
        <v>1597</v>
      </c>
      <c r="B1055" s="252">
        <f>IF(A1055="", "", IF(IFERROR(VLOOKUP(A1055, 'Base 3F'!$B:$C, 2, FALSE),"")="", "SIN CUIT", VLOOKUP(A1055, 'Base 3F'!$B:$C, 2, FALSE)))</f>
        <v>30662022175</v>
      </c>
      <c r="C1055" s="253" t="str">
        <f>IF(A1055="", "", IF(IFERROR(VLOOKUP(A1055, 'Base 3F'!$B:$J, 9, FALSE),"")="", "SIN RUBRO", VLOOKUP(A1055, 'Base 3F'!$B:$J, 9, FALSE)))</f>
        <v>Metalúrgica</v>
      </c>
      <c r="D1055" s="58" t="s">
        <v>5938</v>
      </c>
      <c r="E1055" s="10" t="s">
        <v>2392</v>
      </c>
      <c r="F1055" s="46" t="s">
        <v>115</v>
      </c>
    </row>
    <row r="1056">
      <c r="A1056" s="285" t="s">
        <v>4748</v>
      </c>
      <c r="B1056" s="252">
        <f>IF(A1056="", "", IF(IFERROR(VLOOKUP(A1056, 'Base 3F'!$B:$C, 2, FALSE),"")="", "SIN CUIT", VLOOKUP(A1056, 'Base 3F'!$B:$C, 2, FALSE)))</f>
        <v>30709341037</v>
      </c>
      <c r="C1056" s="253" t="str">
        <f>IF(A1056="", "", IF(IFERROR(VLOOKUP(A1056, 'Base 3F'!$B:$J, 9, FALSE),"")="", "SIN RUBRO", VLOOKUP(A1056, 'Base 3F'!$B:$J, 9, FALSE)))</f>
        <v>Papel</v>
      </c>
      <c r="D1056" s="58" t="s">
        <v>5942</v>
      </c>
      <c r="E1056" s="10" t="s">
        <v>2392</v>
      </c>
      <c r="F1056" s="46" t="s">
        <v>115</v>
      </c>
    </row>
    <row r="1057">
      <c r="A1057" s="285" t="s">
        <v>1599</v>
      </c>
      <c r="B1057" s="252">
        <f>IF(A1057="", "", IF(IFERROR(VLOOKUP(A1057, 'Base 3F'!$B:$C, 2, FALSE),"")="", "SIN CUIT", VLOOKUP(A1057, 'Base 3F'!$B:$C, 2, FALSE)))</f>
        <v>30599768064</v>
      </c>
      <c r="C1057" s="253" t="str">
        <f>IF(A1057="", "", IF(IFERROR(VLOOKUP(A1057, 'Base 3F'!$B:$J, 9, FALSE),"")="", "SIN RUBRO", VLOOKUP(A1057, 'Base 3F'!$B:$J, 9, FALSE)))</f>
        <v>Plástica</v>
      </c>
      <c r="D1057" s="58" t="s">
        <v>5945</v>
      </c>
      <c r="E1057" s="10" t="s">
        <v>2392</v>
      </c>
      <c r="F1057" s="46" t="s">
        <v>115</v>
      </c>
    </row>
    <row r="1058">
      <c r="A1058" s="285" t="s">
        <v>4766</v>
      </c>
      <c r="B1058" s="252">
        <f>IF(A1058="", "", IF(IFERROR(VLOOKUP(A1058, 'Base 3F'!$B:$C, 2, FALSE),"")="", "SIN CUIT", VLOOKUP(A1058, 'Base 3F'!$B:$C, 2, FALSE)))</f>
        <v>30709080519</v>
      </c>
      <c r="C1058" s="253" t="str">
        <f>IF(A1058="", "", IF(IFERROR(VLOOKUP(A1058, 'Base 3F'!$B:$J, 9, FALSE),"")="", "SIN RUBRO", VLOOKUP(A1058, 'Base 3F'!$B:$J, 9, FALSE)))</f>
        <v>Metalúrgica</v>
      </c>
      <c r="D1058" s="58" t="s">
        <v>5949</v>
      </c>
      <c r="E1058" s="10" t="s">
        <v>2392</v>
      </c>
      <c r="F1058" s="46" t="s">
        <v>115</v>
      </c>
    </row>
    <row r="1059">
      <c r="A1059" s="285" t="s">
        <v>1609</v>
      </c>
      <c r="B1059" s="252">
        <f>IF(A1059="", "", IF(IFERROR(VLOOKUP(A1059, 'Base 3F'!$B:$C, 2, FALSE),"")="", "SIN CUIT", VLOOKUP(A1059, 'Base 3F'!$B:$C, 2, FALSE)))</f>
        <v>30504015498</v>
      </c>
      <c r="C1059" s="253" t="str">
        <f>IF(A1059="", "", IF(IFERROR(VLOOKUP(A1059, 'Base 3F'!$B:$J, 9, FALSE),"")="", "SIN RUBRO", VLOOKUP(A1059, 'Base 3F'!$B:$J, 9, FALSE)))</f>
        <v>Metalúrgica</v>
      </c>
      <c r="D1059" s="58" t="s">
        <v>5953</v>
      </c>
      <c r="E1059" s="10" t="s">
        <v>2392</v>
      </c>
      <c r="F1059" s="46" t="s">
        <v>115</v>
      </c>
    </row>
    <row r="1060">
      <c r="A1060" s="285" t="s">
        <v>4796</v>
      </c>
      <c r="B1060" s="252">
        <f>IF(A1060="", "", IF(IFERROR(VLOOKUP(A1060, 'Base 3F'!$B:$C, 2, FALSE),"")="", "SIN CUIT", VLOOKUP(A1060, 'Base 3F'!$B:$C, 2, FALSE)))</f>
        <v>30568111911</v>
      </c>
      <c r="C1060" s="253" t="str">
        <f>IF(A1060="", "", IF(IFERROR(VLOOKUP(A1060, 'Base 3F'!$B:$J, 9, FALSE),"")="", "SIN RUBRO", VLOOKUP(A1060, 'Base 3F'!$B:$J, 9, FALSE)))</f>
        <v>Metalmecánica</v>
      </c>
      <c r="D1060" s="58" t="s">
        <v>5955</v>
      </c>
      <c r="E1060" s="10" t="s">
        <v>2392</v>
      </c>
      <c r="F1060" s="46" t="s">
        <v>115</v>
      </c>
    </row>
    <row r="1061">
      <c r="A1061" s="285" t="s">
        <v>4801</v>
      </c>
      <c r="B1061" s="252">
        <f>IF(A1061="", "", IF(IFERROR(VLOOKUP(A1061, 'Base 3F'!$B:$C, 2, FALSE),"")="", "SIN CUIT", VLOOKUP(A1061, 'Base 3F'!$B:$C, 2, FALSE)))</f>
        <v>30696687974</v>
      </c>
      <c r="C1061" s="253" t="str">
        <f>IF(A1061="", "", IF(IFERROR(VLOOKUP(A1061, 'Base 3F'!$B:$J, 9, FALSE),"")="", "SIN RUBRO", VLOOKUP(A1061, 'Base 3F'!$B:$J, 9, FALSE)))</f>
        <v>Plástica</v>
      </c>
      <c r="D1061" s="58" t="s">
        <v>5962</v>
      </c>
      <c r="E1061" s="10" t="s">
        <v>2392</v>
      </c>
      <c r="F1061" s="46" t="s">
        <v>115</v>
      </c>
    </row>
    <row r="1062">
      <c r="A1062" s="285" t="s">
        <v>4807</v>
      </c>
      <c r="B1062" s="252">
        <f>IF(A1062="", "", IF(IFERROR(VLOOKUP(A1062, 'Base 3F'!$B:$C, 2, FALSE),"")="", "SIN CUIT", VLOOKUP(A1062, 'Base 3F'!$B:$C, 2, FALSE)))</f>
        <v>30611364942</v>
      </c>
      <c r="C1062" s="253" t="str">
        <f>IF(A1062="", "", IF(IFERROR(VLOOKUP(A1062, 'Base 3F'!$B:$J, 9, FALSE),"")="", "SIN RUBRO", VLOOKUP(A1062, 'Base 3F'!$B:$J, 9, FALSE)))</f>
        <v>Metalúrgica</v>
      </c>
      <c r="D1062" s="58" t="s">
        <v>5966</v>
      </c>
      <c r="E1062" s="10" t="s">
        <v>2392</v>
      </c>
      <c r="F1062" s="46" t="s">
        <v>115</v>
      </c>
    </row>
    <row r="1063">
      <c r="A1063" s="285" t="s">
        <v>4833</v>
      </c>
      <c r="B1063" s="252">
        <f>IF(A1063="", "", IF(IFERROR(VLOOKUP(A1063, 'Base 3F'!$B:$C, 2, FALSE),"")="", "SIN CUIT", VLOOKUP(A1063, 'Base 3F'!$B:$C, 2, FALSE)))</f>
        <v>27062385699</v>
      </c>
      <c r="C1063" s="253" t="str">
        <f>IF(A1063="", "", IF(IFERROR(VLOOKUP(A1063, 'Base 3F'!$B:$J, 9, FALSE),"")="", "SIN RUBRO", VLOOKUP(A1063, 'Base 3F'!$B:$J, 9, FALSE)))</f>
        <v>Metalmecánica</v>
      </c>
      <c r="D1063" s="58" t="s">
        <v>5969</v>
      </c>
      <c r="E1063" s="10" t="s">
        <v>2392</v>
      </c>
      <c r="F1063" s="46" t="s">
        <v>115</v>
      </c>
    </row>
    <row r="1064">
      <c r="A1064" s="285" t="s">
        <v>1614</v>
      </c>
      <c r="B1064" s="252">
        <f>IF(A1064="", "", IF(IFERROR(VLOOKUP(A1064, 'Base 3F'!$B:$C, 2, FALSE),"")="", "SIN CUIT", VLOOKUP(A1064, 'Base 3F'!$B:$C, 2, FALSE)))</f>
        <v>30709748579</v>
      </c>
      <c r="C1064" s="253" t="str">
        <f>IF(A1064="", "", IF(IFERROR(VLOOKUP(A1064, 'Base 3F'!$B:$J, 9, FALSE),"")="", "SIN RUBRO", VLOOKUP(A1064, 'Base 3F'!$B:$J, 9, FALSE)))</f>
        <v>Alimenticia</v>
      </c>
      <c r="D1064" s="58" t="s">
        <v>5971</v>
      </c>
      <c r="E1064" s="10" t="s">
        <v>2392</v>
      </c>
      <c r="F1064" s="46" t="s">
        <v>115</v>
      </c>
    </row>
    <row r="1065">
      <c r="A1065" s="285" t="s">
        <v>4856</v>
      </c>
      <c r="B1065" s="252">
        <f>IF(A1065="", "", IF(IFERROR(VLOOKUP(A1065, 'Base 3F'!$B:$C, 2, FALSE),"")="", "SIN CUIT", VLOOKUP(A1065, 'Base 3F'!$B:$C, 2, FALSE)))</f>
        <v>30709368067</v>
      </c>
      <c r="C1065" s="253" t="str">
        <f>IF(A1065="", "", IF(IFERROR(VLOOKUP(A1065, 'Base 3F'!$B:$J, 9, FALSE),"")="", "SIN RUBRO", VLOOKUP(A1065, 'Base 3F'!$B:$J, 9, FALSE)))</f>
        <v>Plástica</v>
      </c>
      <c r="D1065" s="58" t="s">
        <v>5979</v>
      </c>
      <c r="E1065" s="10" t="s">
        <v>2392</v>
      </c>
      <c r="F1065" s="46" t="s">
        <v>115</v>
      </c>
    </row>
    <row r="1066">
      <c r="A1066" s="285" t="s">
        <v>1627</v>
      </c>
      <c r="B1066" s="252">
        <f>IF(A1066="", "", IF(IFERROR(VLOOKUP(A1066, 'Base 3F'!$B:$C, 2, FALSE),"")="", "SIN CUIT", VLOOKUP(A1066, 'Base 3F'!$B:$C, 2, FALSE)))</f>
        <v>33597021319</v>
      </c>
      <c r="C1066" s="253" t="str">
        <f>IF(A1066="", "", IF(IFERROR(VLOOKUP(A1066, 'Base 3F'!$B:$J, 9, FALSE),"")="", "SIN RUBRO", VLOOKUP(A1066, 'Base 3F'!$B:$J, 9, FALSE)))</f>
        <v>Plástica</v>
      </c>
      <c r="D1066" s="58" t="s">
        <v>5982</v>
      </c>
      <c r="E1066" s="10" t="s">
        <v>2392</v>
      </c>
      <c r="F1066" s="46" t="s">
        <v>115</v>
      </c>
    </row>
    <row r="1067">
      <c r="A1067" s="285" t="s">
        <v>4885</v>
      </c>
      <c r="B1067" s="252">
        <f>IF(A1067="", "", IF(IFERROR(VLOOKUP(A1067, 'Base 3F'!$B:$C, 2, FALSE),"")="", "SIN CUIT", VLOOKUP(A1067, 'Base 3F'!$B:$C, 2, FALSE)))</f>
        <v>30712122575</v>
      </c>
      <c r="C1067" s="253" t="str">
        <f>IF(A1067="", "", IF(IFERROR(VLOOKUP(A1067, 'Base 3F'!$B:$J, 9, FALSE),"")="", "SIN RUBRO", VLOOKUP(A1067, 'Base 3F'!$B:$J, 9, FALSE)))</f>
        <v>Química</v>
      </c>
      <c r="D1067" s="58" t="s">
        <v>5988</v>
      </c>
      <c r="E1067" s="10" t="s">
        <v>2392</v>
      </c>
      <c r="F1067" s="46" t="s">
        <v>115</v>
      </c>
    </row>
    <row r="1068">
      <c r="A1068" s="285" t="s">
        <v>4897</v>
      </c>
      <c r="B1068" s="252">
        <f>IF(A1068="", "", IF(IFERROR(VLOOKUP(A1068, 'Base 3F'!$B:$C, 2, FALSE),"")="", "SIN CUIT", VLOOKUP(A1068, 'Base 3F'!$B:$C, 2, FALSE)))</f>
        <v>30505531031</v>
      </c>
      <c r="C1068" s="253" t="str">
        <f>IF(A1068="", "", IF(IFERROR(VLOOKUP(A1068, 'Base 3F'!$B:$J, 9, FALSE),"")="", "SIN RUBRO", VLOOKUP(A1068, 'Base 3F'!$B:$J, 9, FALSE)))</f>
        <v>Metalúrgica</v>
      </c>
      <c r="D1068" s="58" t="s">
        <v>5995</v>
      </c>
      <c r="E1068" s="10" t="s">
        <v>2392</v>
      </c>
      <c r="F1068" s="46" t="s">
        <v>115</v>
      </c>
    </row>
    <row r="1069">
      <c r="A1069" s="285" t="s">
        <v>1642</v>
      </c>
      <c r="B1069" s="252">
        <f>IF(A1069="", "", IF(IFERROR(VLOOKUP(A1069, 'Base 3F'!$B:$C, 2, FALSE),"")="", "SIN CUIT", VLOOKUP(A1069, 'Base 3F'!$B:$C, 2, FALSE)))</f>
        <v>30708246790</v>
      </c>
      <c r="C1069" s="253" t="str">
        <f>IF(A1069="", "", IF(IFERROR(VLOOKUP(A1069, 'Base 3F'!$B:$J, 9, FALSE),"")="", "SIN RUBRO", VLOOKUP(A1069, 'Base 3F'!$B:$J, 9, FALSE)))</f>
        <v>Metalúrgica</v>
      </c>
      <c r="D1069" s="58" t="s">
        <v>5999</v>
      </c>
      <c r="E1069" s="10" t="s">
        <v>2392</v>
      </c>
      <c r="F1069" s="46" t="s">
        <v>115</v>
      </c>
    </row>
    <row r="1070">
      <c r="A1070" s="285" t="s">
        <v>4927</v>
      </c>
      <c r="B1070" s="252">
        <f>IF(A1070="", "", IF(IFERROR(VLOOKUP(A1070, 'Base 3F'!$B:$C, 2, FALSE),"")="", "SIN CUIT", VLOOKUP(A1070, 'Base 3F'!$B:$C, 2, FALSE)))</f>
        <v>30582623313</v>
      </c>
      <c r="C1070" s="253" t="str">
        <f>IF(A1070="", "", IF(IFERROR(VLOOKUP(A1070, 'Base 3F'!$B:$J, 9, FALSE),"")="", "SIN RUBRO", VLOOKUP(A1070, 'Base 3F'!$B:$J, 9, FALSE)))</f>
        <v>Metalúrgica</v>
      </c>
      <c r="D1070" s="58" t="s">
        <v>6003</v>
      </c>
      <c r="E1070" s="10" t="s">
        <v>2392</v>
      </c>
      <c r="F1070" s="46" t="s">
        <v>115</v>
      </c>
    </row>
    <row r="1071">
      <c r="A1071" s="285" t="s">
        <v>4935</v>
      </c>
      <c r="B1071" s="252">
        <f>IF(A1071="", "", IF(IFERROR(VLOOKUP(A1071, 'Base 3F'!$B:$C, 2, FALSE),"")="", "SIN CUIT", VLOOKUP(A1071, 'Base 3F'!$B:$C, 2, FALSE)))</f>
        <v>30590929715</v>
      </c>
      <c r="C1071" s="253" t="str">
        <f>IF(A1071="", "", IF(IFERROR(VLOOKUP(A1071, 'Base 3F'!$B:$J, 9, FALSE),"")="", "SIN RUBRO", VLOOKUP(A1071, 'Base 3F'!$B:$J, 9, FALSE)))</f>
        <v>Textil</v>
      </c>
      <c r="D1071" s="58" t="s">
        <v>6008</v>
      </c>
      <c r="E1071" s="10" t="s">
        <v>2392</v>
      </c>
      <c r="F1071" s="46" t="s">
        <v>115</v>
      </c>
    </row>
    <row r="1072">
      <c r="A1072" s="285" t="s">
        <v>4943</v>
      </c>
      <c r="B1072" s="252">
        <f>IF(A1072="", "", IF(IFERROR(VLOOKUP(A1072, 'Base 3F'!$B:$C, 2, FALSE),"")="", "SIN CUIT", VLOOKUP(A1072, 'Base 3F'!$B:$C, 2, FALSE)))</f>
        <v>30711000409</v>
      </c>
      <c r="C1072" s="253" t="str">
        <f>IF(A1072="", "", IF(IFERROR(VLOOKUP(A1072, 'Base 3F'!$B:$J, 9, FALSE),"")="", "SIN RUBRO", VLOOKUP(A1072, 'Base 3F'!$B:$J, 9, FALSE)))</f>
        <v>Alimenticia</v>
      </c>
      <c r="D1072" s="58" t="s">
        <v>6011</v>
      </c>
      <c r="E1072" s="10" t="s">
        <v>2392</v>
      </c>
      <c r="F1072" s="46" t="s">
        <v>115</v>
      </c>
    </row>
    <row r="1073">
      <c r="A1073" s="285" t="s">
        <v>1646</v>
      </c>
      <c r="B1073" s="252">
        <f>IF(A1073="", "", IF(IFERROR(VLOOKUP(A1073, 'Base 3F'!$B:$C, 2, FALSE),"")="", "SIN CUIT", VLOOKUP(A1073, 'Base 3F'!$B:$C, 2, FALSE)))</f>
        <v>30684958115</v>
      </c>
      <c r="C1073" s="253" t="str">
        <f>IF(A1073="", "", IF(IFERROR(VLOOKUP(A1073, 'Base 3F'!$B:$J, 9, FALSE),"")="", "SIN RUBRO", VLOOKUP(A1073, 'Base 3F'!$B:$J, 9, FALSE)))</f>
        <v>Alimenticia</v>
      </c>
      <c r="D1073" s="58" t="s">
        <v>6017</v>
      </c>
      <c r="E1073" s="10" t="s">
        <v>2392</v>
      </c>
      <c r="F1073" s="46" t="s">
        <v>115</v>
      </c>
    </row>
    <row r="1074">
      <c r="A1074" s="285" t="s">
        <v>4957</v>
      </c>
      <c r="B1074" s="252">
        <f>IF(A1074="", "", IF(IFERROR(VLOOKUP(A1074, 'Base 3F'!$B:$C, 2, FALSE),"")="", "SIN CUIT", VLOOKUP(A1074, 'Base 3F'!$B:$C, 2, FALSE)))</f>
        <v>30701147118</v>
      </c>
      <c r="C1074" s="253" t="str">
        <f>IF(A1074="", "", IF(IFERROR(VLOOKUP(A1074, 'Base 3F'!$B:$J, 9, FALSE),"")="", "SIN RUBRO", VLOOKUP(A1074, 'Base 3F'!$B:$J, 9, FALSE)))</f>
        <v>Metalúrgica</v>
      </c>
      <c r="D1074" s="58" t="s">
        <v>6021</v>
      </c>
      <c r="E1074" s="10" t="s">
        <v>2392</v>
      </c>
      <c r="F1074" s="46" t="s">
        <v>115</v>
      </c>
    </row>
    <row r="1075">
      <c r="A1075" s="285" t="s">
        <v>4973</v>
      </c>
      <c r="B1075" s="252">
        <f>IF(A1075="", "", IF(IFERROR(VLOOKUP(A1075, 'Base 3F'!$B:$C, 2, FALSE),"")="", "SIN CUIT", VLOOKUP(A1075, 'Base 3F'!$B:$C, 2, FALSE)))</f>
        <v>30504464632</v>
      </c>
      <c r="C1075" s="253" t="str">
        <f>IF(A1075="", "", IF(IFERROR(VLOOKUP(A1075, 'Base 3F'!$B:$J, 9, FALSE),"")="", "SIN RUBRO", VLOOKUP(A1075, 'Base 3F'!$B:$J, 9, FALSE)))</f>
        <v>Metalúrgica</v>
      </c>
      <c r="D1075" s="58" t="s">
        <v>6025</v>
      </c>
      <c r="E1075" s="10" t="s">
        <v>2392</v>
      </c>
      <c r="F1075" s="46" t="s">
        <v>115</v>
      </c>
    </row>
    <row r="1076">
      <c r="A1076" s="285" t="s">
        <v>4979</v>
      </c>
      <c r="B1076" s="252">
        <f>IF(A1076="", "", IF(IFERROR(VLOOKUP(A1076, 'Base 3F'!$B:$C, 2, FALSE),"")="", "SIN CUIT", VLOOKUP(A1076, 'Base 3F'!$B:$C, 2, FALSE)))</f>
        <v>30584764518</v>
      </c>
      <c r="C1076" s="253" t="str">
        <f>IF(A1076="", "", IF(IFERROR(VLOOKUP(A1076, 'Base 3F'!$B:$J, 9, FALSE),"")="", "SIN RUBRO", VLOOKUP(A1076, 'Base 3F'!$B:$J, 9, FALSE)))</f>
        <v>Metalúrgica</v>
      </c>
      <c r="D1076" s="58" t="s">
        <v>6033</v>
      </c>
      <c r="E1076" s="10" t="s">
        <v>2392</v>
      </c>
      <c r="F1076" s="46" t="s">
        <v>115</v>
      </c>
    </row>
    <row r="1077">
      <c r="A1077" s="285" t="s">
        <v>4989</v>
      </c>
      <c r="B1077" s="252">
        <f>IF(A1077="", "", IF(IFERROR(VLOOKUP(A1077, 'Base 3F'!$B:$C, 2, FALSE),"")="", "SIN CUIT", VLOOKUP(A1077, 'Base 3F'!$B:$C, 2, FALSE)))</f>
        <v>30617038699</v>
      </c>
      <c r="C1077" s="253" t="str">
        <f>IF(A1077="", "", IF(IFERROR(VLOOKUP(A1077, 'Base 3F'!$B:$J, 9, FALSE),"")="", "SIN RUBRO", VLOOKUP(A1077, 'Base 3F'!$B:$J, 9, FALSE)))</f>
        <v>Metalúrgica</v>
      </c>
      <c r="D1077" s="58" t="s">
        <v>6039</v>
      </c>
      <c r="E1077" s="10" t="s">
        <v>2392</v>
      </c>
      <c r="F1077" s="46" t="s">
        <v>115</v>
      </c>
    </row>
    <row r="1078">
      <c r="A1078" s="285" t="s">
        <v>1653</v>
      </c>
      <c r="B1078" s="252">
        <f>IF(A1078="", "", IF(IFERROR(VLOOKUP(A1078, 'Base 3F'!$B:$C, 2, FALSE),"")="", "SIN CUIT", VLOOKUP(A1078, 'Base 3F'!$B:$C, 2, FALSE)))</f>
        <v>30521478140</v>
      </c>
      <c r="C1078" s="253" t="str">
        <f>IF(A1078="", "", IF(IFERROR(VLOOKUP(A1078, 'Base 3F'!$B:$J, 9, FALSE),"")="", "SIN RUBRO", VLOOKUP(A1078, 'Base 3F'!$B:$J, 9, FALSE)))</f>
        <v>Metalúrgica</v>
      </c>
      <c r="D1078" s="142" t="s">
        <v>6042</v>
      </c>
      <c r="E1078" s="10" t="s">
        <v>2392</v>
      </c>
      <c r="F1078" s="46" t="s">
        <v>115</v>
      </c>
    </row>
    <row r="1079">
      <c r="A1079" s="285" t="s">
        <v>5005</v>
      </c>
      <c r="B1079" s="252">
        <f>IF(A1079="", "", IF(IFERROR(VLOOKUP(A1079, 'Base 3F'!$B:$C, 2, FALSE),"")="", "SIN CUIT", VLOOKUP(A1079, 'Base 3F'!$B:$C, 2, FALSE)))</f>
        <v>30523247324</v>
      </c>
      <c r="C1079" s="253" t="str">
        <f>IF(A1079="", "", IF(IFERROR(VLOOKUP(A1079, 'Base 3F'!$B:$J, 9, FALSE),"")="", "SIN RUBRO", VLOOKUP(A1079, 'Base 3F'!$B:$J, 9, FALSE)))</f>
        <v>Metalúrgica</v>
      </c>
      <c r="D1079" s="58" t="s">
        <v>6046</v>
      </c>
      <c r="E1079" s="10" t="s">
        <v>2392</v>
      </c>
      <c r="F1079" s="46" t="s">
        <v>115</v>
      </c>
    </row>
    <row r="1080">
      <c r="A1080" s="285" t="s">
        <v>5010</v>
      </c>
      <c r="B1080" s="252">
        <f>IF(A1080="", "", IF(IFERROR(VLOOKUP(A1080, 'Base 3F'!$B:$C, 2, FALSE),"")="", "SIN CUIT", VLOOKUP(A1080, 'Base 3F'!$B:$C, 2, FALSE)))</f>
        <v>30714497932</v>
      </c>
      <c r="C1080" s="253" t="str">
        <f>IF(A1080="", "", IF(IFERROR(VLOOKUP(A1080, 'Base 3F'!$B:$J, 9, FALSE),"")="", "SIN RUBRO", VLOOKUP(A1080, 'Base 3F'!$B:$J, 9, FALSE)))</f>
        <v>Metalúrgica</v>
      </c>
      <c r="D1080" s="58" t="s">
        <v>6052</v>
      </c>
      <c r="E1080" s="10" t="s">
        <v>2392</v>
      </c>
      <c r="F1080" s="46" t="s">
        <v>115</v>
      </c>
    </row>
    <row r="1081">
      <c r="A1081" s="285" t="s">
        <v>5015</v>
      </c>
      <c r="B1081" s="252">
        <f>IF(A1081="", "", IF(IFERROR(VLOOKUP(A1081, 'Base 3F'!$B:$C, 2, FALSE),"")="", "SIN CUIT", VLOOKUP(A1081, 'Base 3F'!$B:$C, 2, FALSE)))</f>
        <v>30613634092</v>
      </c>
      <c r="C1081" s="253" t="str">
        <f>IF(A1081="", "", IF(IFERROR(VLOOKUP(A1081, 'Base 3F'!$B:$J, 9, FALSE),"")="", "SIN RUBRO", VLOOKUP(A1081, 'Base 3F'!$B:$J, 9, FALSE)))</f>
        <v>Metalúrgica</v>
      </c>
      <c r="D1081" s="58" t="s">
        <v>6056</v>
      </c>
      <c r="E1081" s="10" t="s">
        <v>2392</v>
      </c>
      <c r="F1081" s="46" t="s">
        <v>115</v>
      </c>
    </row>
    <row r="1082">
      <c r="A1082" s="285" t="s">
        <v>5030</v>
      </c>
      <c r="B1082" s="252">
        <f>IF(A1082="", "", IF(IFERROR(VLOOKUP(A1082, 'Base 3F'!$B:$C, 2, FALSE),"")="", "SIN CUIT", VLOOKUP(A1082, 'Base 3F'!$B:$C, 2, FALSE)))</f>
        <v>30521841164</v>
      </c>
      <c r="C1082" s="253" t="str">
        <f>IF(A1082="", "", IF(IFERROR(VLOOKUP(A1082, 'Base 3F'!$B:$J, 9, FALSE),"")="", "SIN RUBRO", VLOOKUP(A1082, 'Base 3F'!$B:$J, 9, FALSE)))</f>
        <v>Gráfica</v>
      </c>
      <c r="D1082" s="58" t="s">
        <v>6061</v>
      </c>
      <c r="E1082" s="10" t="s">
        <v>2392</v>
      </c>
      <c r="F1082" s="46" t="s">
        <v>115</v>
      </c>
    </row>
    <row r="1083">
      <c r="A1083" s="285" t="s">
        <v>5041</v>
      </c>
      <c r="B1083" s="252">
        <f>IF(A1083="", "", IF(IFERROR(VLOOKUP(A1083, 'Base 3F'!$B:$C, 2, FALSE),"")="", "SIN CUIT", VLOOKUP(A1083, 'Base 3F'!$B:$C, 2, FALSE)))</f>
        <v>30520952671</v>
      </c>
      <c r="C1083" s="253" t="str">
        <f>IF(A1083="", "", IF(IFERROR(VLOOKUP(A1083, 'Base 3F'!$B:$J, 9, FALSE),"")="", "SIN RUBRO", VLOOKUP(A1083, 'Base 3F'!$B:$J, 9, FALSE)))</f>
        <v>Metalúrgica</v>
      </c>
      <c r="D1083" s="58" t="s">
        <v>6063</v>
      </c>
      <c r="E1083" s="10" t="s">
        <v>2392</v>
      </c>
      <c r="F1083" s="46" t="s">
        <v>115</v>
      </c>
    </row>
    <row r="1084">
      <c r="A1084" s="285" t="s">
        <v>4017</v>
      </c>
      <c r="B1084" s="252">
        <f>IF(A1084="", "", IF(IFERROR(VLOOKUP(A1084, 'Base 3F'!$B:$C, 2, FALSE),"")="", "SIN CUIT", VLOOKUP(A1084, 'Base 3F'!$B:$C, 2, FALSE)))</f>
        <v>30707143467</v>
      </c>
      <c r="C1084" s="253" t="str">
        <f>IF(A1084="", "", IF(IFERROR(VLOOKUP(A1084, 'Base 3F'!$B:$J, 9, FALSE),"")="", "SIN RUBRO", VLOOKUP(A1084, 'Base 3F'!$B:$J, 9, FALSE)))</f>
        <v>Textil</v>
      </c>
      <c r="D1084" s="58" t="s">
        <v>6068</v>
      </c>
      <c r="E1084" s="10" t="s">
        <v>2392</v>
      </c>
      <c r="F1084" s="46" t="s">
        <v>115</v>
      </c>
    </row>
    <row r="1085">
      <c r="A1085" s="285" t="s">
        <v>5057</v>
      </c>
      <c r="B1085" s="252">
        <f>IF(A1085="", "", IF(IFERROR(VLOOKUP(A1085, 'Base 3F'!$B:$C, 2, FALSE),"")="", "SIN CUIT", VLOOKUP(A1085, 'Base 3F'!$B:$C, 2, FALSE)))</f>
        <v>33556981359</v>
      </c>
      <c r="C1085" s="253" t="str">
        <f>IF(A1085="", "", IF(IFERROR(VLOOKUP(A1085, 'Base 3F'!$B:$J, 9, FALSE),"")="", "SIN RUBRO", VLOOKUP(A1085, 'Base 3F'!$B:$J, 9, FALSE)))</f>
        <v>Madera</v>
      </c>
      <c r="D1085" s="58" t="s">
        <v>6072</v>
      </c>
      <c r="E1085" s="10" t="s">
        <v>2392</v>
      </c>
      <c r="F1085" s="46" t="s">
        <v>115</v>
      </c>
    </row>
    <row r="1086">
      <c r="A1086" s="285" t="s">
        <v>4023</v>
      </c>
      <c r="B1086" s="252">
        <f>IF(A1086="", "", IF(IFERROR(VLOOKUP(A1086, 'Base 3F'!$B:$C, 2, FALSE),"")="", "SIN CUIT", VLOOKUP(A1086, 'Base 3F'!$B:$C, 2, FALSE)))</f>
        <v>30500926976</v>
      </c>
      <c r="C1086" s="253" t="str">
        <f>IF(A1086="", "", IF(IFERROR(VLOOKUP(A1086, 'Base 3F'!$B:$J, 9, FALSE),"")="", "SIN RUBRO", VLOOKUP(A1086, 'Base 3F'!$B:$J, 9, FALSE)))</f>
        <v>Metalúrgica</v>
      </c>
      <c r="D1086" s="58" t="s">
        <v>6076</v>
      </c>
      <c r="E1086" s="10" t="s">
        <v>2392</v>
      </c>
      <c r="F1086" s="46" t="s">
        <v>115</v>
      </c>
    </row>
    <row r="1087">
      <c r="A1087" s="285" t="s">
        <v>5075</v>
      </c>
      <c r="B1087" s="252">
        <f>IF(A1087="", "", IF(IFERROR(VLOOKUP(A1087, 'Base 3F'!$B:$C, 2, FALSE),"")="", "SIN CUIT", VLOOKUP(A1087, 'Base 3F'!$B:$C, 2, FALSE)))</f>
        <v>30577185456</v>
      </c>
      <c r="C1087" s="253" t="str">
        <f>IF(A1087="", "", IF(IFERROR(VLOOKUP(A1087, 'Base 3F'!$B:$J, 9, FALSE),"")="", "SIN RUBRO", VLOOKUP(A1087, 'Base 3F'!$B:$J, 9, FALSE)))</f>
        <v>Plástica</v>
      </c>
      <c r="D1087" s="58" t="s">
        <v>6079</v>
      </c>
      <c r="E1087" s="10" t="s">
        <v>2392</v>
      </c>
      <c r="F1087" s="46" t="s">
        <v>115</v>
      </c>
    </row>
    <row r="1088">
      <c r="A1088" s="285" t="s">
        <v>1658</v>
      </c>
      <c r="B1088" s="252">
        <f>IF(A1088="", "", IF(IFERROR(VLOOKUP(A1088, 'Base 3F'!$B:$C, 2, FALSE),"")="", "SIN CUIT", VLOOKUP(A1088, 'Base 3F'!$B:$C, 2, FALSE)))</f>
        <v>33644120479</v>
      </c>
      <c r="C1088" s="253" t="str">
        <f>IF(A1088="", "", IF(IFERROR(VLOOKUP(A1088, 'Base 3F'!$B:$J, 9, FALSE),"")="", "SIN RUBRO", VLOOKUP(A1088, 'Base 3F'!$B:$J, 9, FALSE)))</f>
        <v>Metalúrgica</v>
      </c>
      <c r="D1088" s="58" t="s">
        <v>6083</v>
      </c>
      <c r="E1088" s="10" t="s">
        <v>2392</v>
      </c>
      <c r="F1088" s="46" t="s">
        <v>115</v>
      </c>
    </row>
    <row r="1089">
      <c r="A1089" s="285" t="s">
        <v>5091</v>
      </c>
      <c r="B1089" s="252">
        <f>IF(A1089="", "", IF(IFERROR(VLOOKUP(A1089, 'Base 3F'!$B:$C, 2, FALSE),"")="", "SIN CUIT", VLOOKUP(A1089, 'Base 3F'!$B:$C, 2, FALSE)))</f>
        <v>30707416102</v>
      </c>
      <c r="C1089" s="253" t="str">
        <f>IF(A1089="", "", IF(IFERROR(VLOOKUP(A1089, 'Base 3F'!$B:$J, 9, FALSE),"")="", "SIN RUBRO", VLOOKUP(A1089, 'Base 3F'!$B:$J, 9, FALSE)))</f>
        <v>Metalúrgica</v>
      </c>
      <c r="D1089" s="142" t="s">
        <v>6088</v>
      </c>
      <c r="E1089" s="10" t="s">
        <v>2392</v>
      </c>
      <c r="F1089" s="46" t="s">
        <v>115</v>
      </c>
    </row>
    <row r="1090">
      <c r="A1090" s="285" t="s">
        <v>5095</v>
      </c>
      <c r="B1090" s="252">
        <f>IF(A1090="", "", IF(IFERROR(VLOOKUP(A1090, 'Base 3F'!$B:$C, 2, FALSE),"")="", "SIN CUIT", VLOOKUP(A1090, 'Base 3F'!$B:$C, 2, FALSE)))</f>
        <v>30708736100</v>
      </c>
      <c r="C1090" s="253" t="str">
        <f>IF(A1090="", "", IF(IFERROR(VLOOKUP(A1090, 'Base 3F'!$B:$J, 9, FALSE),"")="", "SIN RUBRO", VLOOKUP(A1090, 'Base 3F'!$B:$J, 9, FALSE)))</f>
        <v>Textil</v>
      </c>
      <c r="D1090" s="58" t="s">
        <v>6091</v>
      </c>
      <c r="E1090" s="10" t="s">
        <v>2392</v>
      </c>
      <c r="F1090" s="46" t="s">
        <v>115</v>
      </c>
    </row>
    <row r="1091">
      <c r="A1091" s="285" t="s">
        <v>5105</v>
      </c>
      <c r="B1091" s="252">
        <f>IF(A1091="", "", IF(IFERROR(VLOOKUP(A1091, 'Base 3F'!$B:$C, 2, FALSE),"")="", "SIN CUIT", VLOOKUP(A1091, 'Base 3F'!$B:$C, 2, FALSE)))</f>
        <v>30708197358</v>
      </c>
      <c r="C1091" s="253" t="str">
        <f>IF(A1091="", "", IF(IFERROR(VLOOKUP(A1091, 'Base 3F'!$B:$J, 9, FALSE),"")="", "SIN RUBRO", VLOOKUP(A1091, 'Base 3F'!$B:$J, 9, FALSE)))</f>
        <v>Metalúrgica</v>
      </c>
      <c r="D1091" s="58" t="s">
        <v>6095</v>
      </c>
      <c r="E1091" s="10" t="s">
        <v>2392</v>
      </c>
      <c r="F1091" s="46" t="s">
        <v>115</v>
      </c>
    </row>
    <row r="1092">
      <c r="A1092" s="285" t="s">
        <v>1664</v>
      </c>
      <c r="B1092" s="252">
        <f>IF(A1092="", "", IF(IFERROR(VLOOKUP(A1092, 'Base 3F'!$B:$C, 2, FALSE),"")="", "SIN CUIT", VLOOKUP(A1092, 'Base 3F'!$B:$C, 2, FALSE)))</f>
        <v>33707578209</v>
      </c>
      <c r="C1092" s="253" t="str">
        <f>IF(A1092="", "", IF(IFERROR(VLOOKUP(A1092, 'Base 3F'!$B:$J, 9, FALSE),"")="", "SIN RUBRO", VLOOKUP(A1092, 'Base 3F'!$B:$J, 9, FALSE)))</f>
        <v>Madera</v>
      </c>
      <c r="D1092" s="58" t="s">
        <v>6100</v>
      </c>
      <c r="E1092" s="10" t="s">
        <v>2392</v>
      </c>
      <c r="F1092" s="46" t="s">
        <v>115</v>
      </c>
    </row>
    <row r="1093">
      <c r="A1093" s="285" t="s">
        <v>5117</v>
      </c>
      <c r="B1093" s="252">
        <f>IF(A1093="", "", IF(IFERROR(VLOOKUP(A1093, 'Base 3F'!$B:$C, 2, FALSE),"")="", "SIN CUIT", VLOOKUP(A1093, 'Base 3F'!$B:$C, 2, FALSE)))</f>
        <v>30708400625</v>
      </c>
      <c r="C1093" s="253" t="str">
        <f>IF(A1093="", "", IF(IFERROR(VLOOKUP(A1093, 'Base 3F'!$B:$J, 9, FALSE),"")="", "SIN RUBRO", VLOOKUP(A1093, 'Base 3F'!$B:$J, 9, FALSE)))</f>
        <v>Servicios</v>
      </c>
      <c r="D1093" s="58" t="s">
        <v>6103</v>
      </c>
      <c r="E1093" s="10" t="s">
        <v>2392</v>
      </c>
      <c r="F1093" s="46" t="s">
        <v>115</v>
      </c>
    </row>
    <row r="1094">
      <c r="A1094" s="285" t="s">
        <v>5120</v>
      </c>
      <c r="B1094" s="252">
        <f>IF(A1094="", "", IF(IFERROR(VLOOKUP(A1094, 'Base 3F'!$B:$C, 2, FALSE),"")="", "SIN CUIT", VLOOKUP(A1094, 'Base 3F'!$B:$C, 2, FALSE)))</f>
        <v>30682073191</v>
      </c>
      <c r="C1094" s="253" t="str">
        <f>IF(A1094="", "", IF(IFERROR(VLOOKUP(A1094, 'Base 3F'!$B:$J, 9, FALSE),"")="", "SIN RUBRO", VLOOKUP(A1094, 'Base 3F'!$B:$J, 9, FALSE)))</f>
        <v>Alimenticia</v>
      </c>
      <c r="D1094" s="58" t="s">
        <v>6109</v>
      </c>
      <c r="E1094" s="10" t="s">
        <v>2392</v>
      </c>
      <c r="F1094" s="46" t="s">
        <v>115</v>
      </c>
    </row>
    <row r="1095">
      <c r="A1095" s="285" t="s">
        <v>5127</v>
      </c>
      <c r="B1095" s="252">
        <f>IF(A1095="", "", IF(IFERROR(VLOOKUP(A1095, 'Base 3F'!$B:$C, 2, FALSE),"")="", "SIN CUIT", VLOOKUP(A1095, 'Base 3F'!$B:$C, 2, FALSE)))</f>
        <v>30708438991</v>
      </c>
      <c r="C1095" s="253" t="str">
        <f>IF(A1095="", "", IF(IFERROR(VLOOKUP(A1095, 'Base 3F'!$B:$J, 9, FALSE),"")="", "SIN RUBRO", VLOOKUP(A1095, 'Base 3F'!$B:$J, 9, FALSE)))</f>
        <v>Química</v>
      </c>
      <c r="D1095" s="58" t="s">
        <v>6112</v>
      </c>
      <c r="E1095" s="10" t="s">
        <v>2392</v>
      </c>
      <c r="F1095" s="46" t="s">
        <v>115</v>
      </c>
    </row>
    <row r="1096">
      <c r="A1096" s="285" t="s">
        <v>5143</v>
      </c>
      <c r="B1096" s="252">
        <f>IF(A1096="", "", IF(IFERROR(VLOOKUP(A1096, 'Base 3F'!$B:$C, 2, FALSE),"")="", "SIN CUIT", VLOOKUP(A1096, 'Base 3F'!$B:$C, 2, FALSE)))</f>
        <v>30709012033</v>
      </c>
      <c r="C1096" s="253" t="str">
        <f>IF(A1096="", "", IF(IFERROR(VLOOKUP(A1096, 'Base 3F'!$B:$J, 9, FALSE),"")="", "SIN RUBRO", VLOOKUP(A1096, 'Base 3F'!$B:$J, 9, FALSE)))</f>
        <v>Plástica</v>
      </c>
      <c r="D1096" s="58" t="s">
        <v>6117</v>
      </c>
      <c r="E1096" s="10" t="s">
        <v>2392</v>
      </c>
      <c r="F1096" s="46" t="s">
        <v>115</v>
      </c>
    </row>
    <row r="1097">
      <c r="A1097" s="285" t="s">
        <v>1669</v>
      </c>
      <c r="B1097" s="252">
        <f>IF(A1097="", "", IF(IFERROR(VLOOKUP(A1097, 'Base 3F'!$B:$C, 2, FALSE),"")="", "SIN CUIT", VLOOKUP(A1097, 'Base 3F'!$B:$C, 2, FALSE)))</f>
        <v>30595153111</v>
      </c>
      <c r="C1097" s="253" t="str">
        <f>IF(A1097="", "", IF(IFERROR(VLOOKUP(A1097, 'Base 3F'!$B:$J, 9, FALSE),"")="", "SIN RUBRO", VLOOKUP(A1097, 'Base 3F'!$B:$J, 9, FALSE)))</f>
        <v>Automotor</v>
      </c>
      <c r="D1097" s="136" t="s">
        <v>6120</v>
      </c>
      <c r="E1097" s="10" t="s">
        <v>2392</v>
      </c>
      <c r="F1097" s="46" t="s">
        <v>115</v>
      </c>
    </row>
    <row r="1098">
      <c r="A1098" s="285" t="s">
        <v>5170</v>
      </c>
      <c r="B1098" s="252" t="str">
        <f>IF(A1098="", "", IF(IFERROR(VLOOKUP(A1098, 'Base 3F'!$B:$C, 2, FALSE),"")="", "SIN CUIT", VLOOKUP(A1098, 'Base 3F'!$B:$C, 2, FALSE)))</f>
        <v>Averiguar</v>
      </c>
      <c r="C1098" s="253" t="str">
        <f>IF(A1098="", "", IF(IFERROR(VLOOKUP(A1098, 'Base 3F'!$B:$J, 9, FALSE),"")="", "SIN RUBRO", VLOOKUP(A1098, 'Base 3F'!$B:$J, 9, FALSE)))</f>
        <v>Química</v>
      </c>
      <c r="D1098" s="58" t="s">
        <v>6126</v>
      </c>
      <c r="E1098" s="10" t="s">
        <v>2392</v>
      </c>
      <c r="F1098" s="46" t="s">
        <v>115</v>
      </c>
    </row>
    <row r="1099">
      <c r="A1099" s="285" t="s">
        <v>5176</v>
      </c>
      <c r="B1099" s="252">
        <f>IF(A1099="", "", IF(IFERROR(VLOOKUP(A1099, 'Base 3F'!$B:$C, 2, FALSE),"")="", "SIN CUIT", VLOOKUP(A1099, 'Base 3F'!$B:$C, 2, FALSE)))</f>
        <v>30707846182</v>
      </c>
      <c r="C1099" s="253" t="str">
        <f>IF(A1099="", "", IF(IFERROR(VLOOKUP(A1099, 'Base 3F'!$B:$J, 9, FALSE),"")="", "SIN RUBRO", VLOOKUP(A1099, 'Base 3F'!$B:$J, 9, FALSE)))</f>
        <v>Metalúrgica</v>
      </c>
      <c r="D1099" s="58" t="s">
        <v>6131</v>
      </c>
      <c r="E1099" s="10" t="s">
        <v>2392</v>
      </c>
      <c r="F1099" s="46" t="s">
        <v>115</v>
      </c>
    </row>
    <row r="1100">
      <c r="A1100" s="285" t="s">
        <v>5188</v>
      </c>
      <c r="B1100" s="252">
        <f>IF(A1100="", "", IF(IFERROR(VLOOKUP(A1100, 'Base 3F'!$B:$C, 2, FALSE),"")="", "SIN CUIT", VLOOKUP(A1100, 'Base 3F'!$B:$C, 2, FALSE)))</f>
        <v>33504700939</v>
      </c>
      <c r="C1100" s="253" t="str">
        <f>IF(A1100="", "", IF(IFERROR(VLOOKUP(A1100, 'Base 3F'!$B:$J, 9, FALSE),"")="", "SIN RUBRO", VLOOKUP(A1100, 'Base 3F'!$B:$J, 9, FALSE)))</f>
        <v>Madera</v>
      </c>
      <c r="D1100" s="58" t="s">
        <v>6134</v>
      </c>
      <c r="E1100" s="10" t="s">
        <v>2392</v>
      </c>
      <c r="F1100" s="46" t="s">
        <v>115</v>
      </c>
    </row>
    <row r="1101">
      <c r="A1101" s="285" t="s">
        <v>1677</v>
      </c>
      <c r="B1101" s="252">
        <f>IF(A1101="", "", IF(IFERROR(VLOOKUP(A1101, 'Base 3F'!$B:$C, 2, FALSE),"")="", "SIN CUIT", VLOOKUP(A1101, 'Base 3F'!$B:$C, 2, FALSE)))</f>
        <v>30517314818</v>
      </c>
      <c r="C1101" s="253" t="str">
        <f>IF(A1101="", "", IF(IFERROR(VLOOKUP(A1101, 'Base 3F'!$B:$J, 9, FALSE),"")="", "SIN RUBRO", VLOOKUP(A1101, 'Base 3F'!$B:$J, 9, FALSE)))</f>
        <v>Calzado</v>
      </c>
      <c r="D1101" s="58" t="s">
        <v>6135</v>
      </c>
      <c r="E1101" s="10" t="s">
        <v>2392</v>
      </c>
      <c r="F1101" s="46" t="s">
        <v>115</v>
      </c>
    </row>
    <row r="1102">
      <c r="A1102" s="285" t="s">
        <v>5224</v>
      </c>
      <c r="B1102" s="252">
        <f>IF(A1102="", "", IF(IFERROR(VLOOKUP(A1102, 'Base 3F'!$B:$C, 2, FALSE),"")="", "SIN CUIT", VLOOKUP(A1102, 'Base 3F'!$B:$C, 2, FALSE)))</f>
        <v>20320473234</v>
      </c>
      <c r="C1102" s="253" t="str">
        <f>IF(A1102="", "", IF(IFERROR(VLOOKUP(A1102, 'Base 3F'!$B:$J, 9, FALSE),"")="", "SIN RUBRO", VLOOKUP(A1102, 'Base 3F'!$B:$J, 9, FALSE)))</f>
        <v>Gráfica</v>
      </c>
      <c r="D1102" s="58" t="s">
        <v>6142</v>
      </c>
      <c r="E1102" s="10" t="s">
        <v>2392</v>
      </c>
      <c r="F1102" s="46" t="s">
        <v>115</v>
      </c>
    </row>
    <row r="1103">
      <c r="A1103" s="285" t="s">
        <v>5231</v>
      </c>
      <c r="B1103" s="252">
        <f>IF(A1103="", "", IF(IFERROR(VLOOKUP(A1103, 'Base 3F'!$B:$C, 2, FALSE),"")="", "SIN CUIT", VLOOKUP(A1103, 'Base 3F'!$B:$C, 2, FALSE)))</f>
        <v>30516492291</v>
      </c>
      <c r="C1103" s="253" t="str">
        <f>IF(A1103="", "", IF(IFERROR(VLOOKUP(A1103, 'Base 3F'!$B:$J, 9, FALSE),"")="", "SIN RUBRO", VLOOKUP(A1103, 'Base 3F'!$B:$J, 9, FALSE)))</f>
        <v>Metalúrgica</v>
      </c>
      <c r="D1103" s="58" t="s">
        <v>6145</v>
      </c>
      <c r="E1103" s="10" t="s">
        <v>2392</v>
      </c>
      <c r="F1103" s="46" t="s">
        <v>115</v>
      </c>
    </row>
    <row r="1104">
      <c r="A1104" s="285" t="s">
        <v>5245</v>
      </c>
      <c r="B1104" s="252">
        <f>IF(A1104="", "", IF(IFERROR(VLOOKUP(A1104, 'Base 3F'!$B:$C, 2, FALSE),"")="", "SIN CUIT", VLOOKUP(A1104, 'Base 3F'!$B:$C, 2, FALSE)))</f>
        <v>30638526995</v>
      </c>
      <c r="C1104" s="253" t="str">
        <f>IF(A1104="", "", IF(IFERROR(VLOOKUP(A1104, 'Base 3F'!$B:$J, 9, FALSE),"")="", "SIN RUBRO", VLOOKUP(A1104, 'Base 3F'!$B:$J, 9, FALSE)))</f>
        <v>Automotor</v>
      </c>
      <c r="D1104" s="58" t="s">
        <v>6149</v>
      </c>
      <c r="E1104" s="10" t="s">
        <v>2392</v>
      </c>
      <c r="F1104" s="46" t="s">
        <v>115</v>
      </c>
    </row>
    <row r="1105">
      <c r="A1105" s="285" t="s">
        <v>5262</v>
      </c>
      <c r="B1105" s="252">
        <f>IF(A1105="", "", IF(IFERROR(VLOOKUP(A1105, 'Base 3F'!$B:$C, 2, FALSE),"")="", "SIN CUIT", VLOOKUP(A1105, 'Base 3F'!$B:$C, 2, FALSE)))</f>
        <v>30597721524</v>
      </c>
      <c r="C1105" s="253" t="str">
        <f>IF(A1105="", "", IF(IFERROR(VLOOKUP(A1105, 'Base 3F'!$B:$J, 9, FALSE),"")="", "SIN RUBRO", VLOOKUP(A1105, 'Base 3F'!$B:$J, 9, FALSE)))</f>
        <v>Metalmecánica</v>
      </c>
      <c r="D1105" s="58" t="s">
        <v>6153</v>
      </c>
      <c r="E1105" s="10" t="s">
        <v>2392</v>
      </c>
      <c r="F1105" s="46" t="s">
        <v>115</v>
      </c>
    </row>
    <row r="1106">
      <c r="A1106" s="285" t="s">
        <v>5269</v>
      </c>
      <c r="B1106" s="252">
        <f>IF(A1106="", "", IF(IFERROR(VLOOKUP(A1106, 'Base 3F'!$B:$C, 2, FALSE),"")="", "SIN CUIT", VLOOKUP(A1106, 'Base 3F'!$B:$C, 2, FALSE)))</f>
        <v>30523412236</v>
      </c>
      <c r="C1106" s="253" t="str">
        <f>IF(A1106="", "", IF(IFERROR(VLOOKUP(A1106, 'Base 3F'!$B:$J, 9, FALSE),"")="", "SIN RUBRO", VLOOKUP(A1106, 'Base 3F'!$B:$J, 9, FALSE)))</f>
        <v>Papel</v>
      </c>
      <c r="D1106" s="58" t="s">
        <v>6156</v>
      </c>
      <c r="E1106" s="10" t="s">
        <v>2392</v>
      </c>
      <c r="F1106" s="46" t="s">
        <v>115</v>
      </c>
    </row>
    <row r="1107">
      <c r="A1107" s="285" t="s">
        <v>5285</v>
      </c>
      <c r="B1107" s="252">
        <f>IF(A1107="", "", IF(IFERROR(VLOOKUP(A1107, 'Base 3F'!$B:$C, 2, FALSE),"")="", "SIN CUIT", VLOOKUP(A1107, 'Base 3F'!$B:$C, 2, FALSE)))</f>
        <v>30710507739</v>
      </c>
      <c r="C1107" s="253" t="str">
        <f>IF(A1107="", "", IF(IFERROR(VLOOKUP(A1107, 'Base 3F'!$B:$J, 9, FALSE),"")="", "SIN RUBRO", VLOOKUP(A1107, 'Base 3F'!$B:$J, 9, FALSE)))</f>
        <v>Construcción</v>
      </c>
      <c r="D1107" s="58" t="s">
        <v>6160</v>
      </c>
      <c r="E1107" s="10" t="s">
        <v>2392</v>
      </c>
      <c r="F1107" s="46" t="s">
        <v>115</v>
      </c>
    </row>
    <row r="1108">
      <c r="A1108" s="285" t="s">
        <v>5293</v>
      </c>
      <c r="B1108" s="252">
        <f>IF(A1108="", "", IF(IFERROR(VLOOKUP(A1108, 'Base 3F'!$B:$C, 2, FALSE),"")="", "SIN CUIT", VLOOKUP(A1108, 'Base 3F'!$B:$C, 2, FALSE)))</f>
        <v>30593482894</v>
      </c>
      <c r="C1108" s="253" t="str">
        <f>IF(A1108="", "", IF(IFERROR(VLOOKUP(A1108, 'Base 3F'!$B:$J, 9, FALSE),"")="", "SIN RUBRO", VLOOKUP(A1108, 'Base 3F'!$B:$J, 9, FALSE)))</f>
        <v>Plástica</v>
      </c>
      <c r="D1108" s="58" t="s">
        <v>6161</v>
      </c>
      <c r="E1108" s="10" t="s">
        <v>2392</v>
      </c>
      <c r="F1108" s="46" t="s">
        <v>115</v>
      </c>
    </row>
    <row r="1109">
      <c r="A1109" s="285" t="s">
        <v>5303</v>
      </c>
      <c r="B1109" s="252">
        <f>IF(A1109="", "", IF(IFERROR(VLOOKUP(A1109, 'Base 3F'!$B:$C, 2, FALSE),"")="", "SIN CUIT", VLOOKUP(A1109, 'Base 3F'!$B:$C, 2, FALSE)))</f>
        <v>20120941861</v>
      </c>
      <c r="C1109" s="253" t="str">
        <f>IF(A1109="", "", IF(IFERROR(VLOOKUP(A1109, 'Base 3F'!$B:$J, 9, FALSE),"")="", "SIN RUBRO", VLOOKUP(A1109, 'Base 3F'!$B:$J, 9, FALSE)))</f>
        <v>Metalúrgica</v>
      </c>
      <c r="D1109" s="58" t="s">
        <v>6164</v>
      </c>
      <c r="E1109" s="10" t="s">
        <v>2392</v>
      </c>
      <c r="F1109" s="46" t="s">
        <v>115</v>
      </c>
    </row>
    <row r="1110">
      <c r="A1110" s="285" t="s">
        <v>5309</v>
      </c>
      <c r="B1110" s="252">
        <f>IF(A1110="", "", IF(IFERROR(VLOOKUP(A1110, 'Base 3F'!$B:$C, 2, FALSE),"")="", "SIN CUIT", VLOOKUP(A1110, 'Base 3F'!$B:$C, 2, FALSE)))</f>
        <v>33547286869</v>
      </c>
      <c r="C1110" s="253" t="str">
        <f>IF(A1110="", "", IF(IFERROR(VLOOKUP(A1110, 'Base 3F'!$B:$J, 9, FALSE),"")="", "SIN RUBRO", VLOOKUP(A1110, 'Base 3F'!$B:$J, 9, FALSE)))</f>
        <v>Metalúrgica</v>
      </c>
      <c r="D1110" s="58" t="s">
        <v>6166</v>
      </c>
      <c r="E1110" s="10" t="s">
        <v>2392</v>
      </c>
      <c r="F1110" s="46" t="s">
        <v>115</v>
      </c>
    </row>
    <row r="1111">
      <c r="A1111" s="285" t="s">
        <v>5315</v>
      </c>
      <c r="B1111" s="252">
        <f>IF(A1111="", "", IF(IFERROR(VLOOKUP(A1111, 'Base 3F'!$B:$C, 2, FALSE),"")="", "SIN CUIT", VLOOKUP(A1111, 'Base 3F'!$B:$C, 2, FALSE)))</f>
        <v>30717501140</v>
      </c>
      <c r="C1111" s="253" t="str">
        <f>IF(A1111="", "", IF(IFERROR(VLOOKUP(A1111, 'Base 3F'!$B:$J, 9, FALSE),"")="", "SIN RUBRO", VLOOKUP(A1111, 'Base 3F'!$B:$J, 9, FALSE)))</f>
        <v>Alimenticia</v>
      </c>
      <c r="D1111" s="58" t="s">
        <v>6171</v>
      </c>
      <c r="E1111" s="10" t="s">
        <v>2392</v>
      </c>
      <c r="F1111" s="46" t="s">
        <v>115</v>
      </c>
    </row>
    <row r="1112">
      <c r="A1112" s="285" t="s">
        <v>5323</v>
      </c>
      <c r="B1112" s="252">
        <f>IF(A1112="", "", IF(IFERROR(VLOOKUP(A1112, 'Base 3F'!$B:$C, 2, FALSE),"")="", "SIN CUIT", VLOOKUP(A1112, 'Base 3F'!$B:$C, 2, FALSE)))</f>
        <v>30709357782</v>
      </c>
      <c r="C1112" s="253" t="str">
        <f>IF(A1112="", "", IF(IFERROR(VLOOKUP(A1112, 'Base 3F'!$B:$J, 9, FALSE),"")="", "SIN RUBRO", VLOOKUP(A1112, 'Base 3F'!$B:$J, 9, FALSE)))</f>
        <v>Metalúrgica</v>
      </c>
      <c r="D1112" s="58" t="s">
        <v>6175</v>
      </c>
      <c r="E1112" s="10" t="s">
        <v>2392</v>
      </c>
      <c r="F1112" s="46" t="s">
        <v>115</v>
      </c>
    </row>
    <row r="1113">
      <c r="A1113" s="285" t="s">
        <v>1688</v>
      </c>
      <c r="B1113" s="252">
        <f>IF(A1113="", "", IF(IFERROR(VLOOKUP(A1113, 'Base 3F'!$B:$C, 2, FALSE),"")="", "SIN CUIT", VLOOKUP(A1113, 'Base 3F'!$B:$C, 2, FALSE)))</f>
        <v>30677077596</v>
      </c>
      <c r="C1113" s="253" t="str">
        <f>IF(A1113="", "", IF(IFERROR(VLOOKUP(A1113, 'Base 3F'!$B:$J, 9, FALSE),"")="", "SIN RUBRO", VLOOKUP(A1113, 'Base 3F'!$B:$J, 9, FALSE)))</f>
        <v>Metalúrgica</v>
      </c>
      <c r="D1113" s="58" t="s">
        <v>6180</v>
      </c>
      <c r="E1113" s="10" t="s">
        <v>2392</v>
      </c>
      <c r="F1113" s="46" t="s">
        <v>115</v>
      </c>
    </row>
    <row r="1114">
      <c r="A1114" s="285" t="s">
        <v>1692</v>
      </c>
      <c r="B1114" s="252">
        <f>IF(A1114="", "", IF(IFERROR(VLOOKUP(A1114, 'Base 3F'!$B:$C, 2, FALSE),"")="", "SIN CUIT", VLOOKUP(A1114, 'Base 3F'!$B:$C, 2, FALSE)))</f>
        <v>30710218486</v>
      </c>
      <c r="C1114" s="253" t="str">
        <f>IF(A1114="", "", IF(IFERROR(VLOOKUP(A1114, 'Base 3F'!$B:$J, 9, FALSE),"")="", "SIN RUBRO", VLOOKUP(A1114, 'Base 3F'!$B:$J, 9, FALSE)))</f>
        <v>Gráfica</v>
      </c>
      <c r="D1114" s="58" t="s">
        <v>6187</v>
      </c>
      <c r="E1114" s="10" t="s">
        <v>2392</v>
      </c>
      <c r="F1114" s="46" t="s">
        <v>115</v>
      </c>
    </row>
    <row r="1115">
      <c r="A1115" s="285" t="s">
        <v>5362</v>
      </c>
      <c r="B1115" s="252">
        <f>IF(A1115="", "", IF(IFERROR(VLOOKUP(A1115, 'Base 3F'!$B:$C, 2, FALSE),"")="", "SIN CUIT", VLOOKUP(A1115, 'Base 3F'!$B:$C, 2, FALSE)))</f>
        <v>30714654698</v>
      </c>
      <c r="C1115" s="253" t="str">
        <f>IF(A1115="", "", IF(IFERROR(VLOOKUP(A1115, 'Base 3F'!$B:$J, 9, FALSE),"")="", "SIN RUBRO", VLOOKUP(A1115, 'Base 3F'!$B:$J, 9, FALSE)))</f>
        <v>Metalúrgica</v>
      </c>
      <c r="D1115" s="58" t="s">
        <v>6192</v>
      </c>
      <c r="E1115" s="10" t="s">
        <v>2392</v>
      </c>
      <c r="F1115" s="46" t="s">
        <v>115</v>
      </c>
    </row>
    <row r="1116">
      <c r="A1116" s="285" t="s">
        <v>5371</v>
      </c>
      <c r="B1116" s="252">
        <f>IF(A1116="", "", IF(IFERROR(VLOOKUP(A1116, 'Base 3F'!$B:$C, 2, FALSE),"")="", "SIN CUIT", VLOOKUP(A1116, 'Base 3F'!$B:$C, 2, FALSE)))</f>
        <v>30638681486</v>
      </c>
      <c r="C1116" s="253" t="str">
        <f>IF(A1116="", "", IF(IFERROR(VLOOKUP(A1116, 'Base 3F'!$B:$J, 9, FALSE),"")="", "SIN RUBRO", VLOOKUP(A1116, 'Base 3F'!$B:$J, 9, FALSE)))</f>
        <v>Metalúrgica</v>
      </c>
      <c r="D1116" s="58" t="s">
        <v>6196</v>
      </c>
      <c r="E1116" s="10" t="s">
        <v>2392</v>
      </c>
      <c r="F1116" s="46" t="s">
        <v>115</v>
      </c>
    </row>
    <row r="1117">
      <c r="A1117" s="285" t="s">
        <v>1698</v>
      </c>
      <c r="B1117" s="252">
        <f>IF(A1117="", "", IF(IFERROR(VLOOKUP(A1117, 'Base 3F'!$B:$C, 2, FALSE),"")="", "SIN CUIT", VLOOKUP(A1117, 'Base 3F'!$B:$C, 2, FALSE)))</f>
        <v>30709190713</v>
      </c>
      <c r="C1117" s="253" t="str">
        <f>IF(A1117="", "", IF(IFERROR(VLOOKUP(A1117, 'Base 3F'!$B:$J, 9, FALSE),"")="", "SIN RUBRO", VLOOKUP(A1117, 'Base 3F'!$B:$J, 9, FALSE)))</f>
        <v>Metalúrgica</v>
      </c>
      <c r="D1117" s="58" t="s">
        <v>6199</v>
      </c>
      <c r="E1117" s="10" t="s">
        <v>2392</v>
      </c>
      <c r="F1117" s="46" t="s">
        <v>115</v>
      </c>
    </row>
    <row r="1118">
      <c r="A1118" s="285" t="s">
        <v>5388</v>
      </c>
      <c r="B1118" s="252">
        <f>IF(A1118="", "", IF(IFERROR(VLOOKUP(A1118, 'Base 3F'!$B:$C, 2, FALSE),"")="", "SIN CUIT", VLOOKUP(A1118, 'Base 3F'!$B:$C, 2, FALSE)))</f>
        <v>30708960345</v>
      </c>
      <c r="C1118" s="253" t="str">
        <f>IF(A1118="", "", IF(IFERROR(VLOOKUP(A1118, 'Base 3F'!$B:$J, 9, FALSE),"")="", "SIN RUBRO", VLOOKUP(A1118, 'Base 3F'!$B:$J, 9, FALSE)))</f>
        <v>Textil</v>
      </c>
      <c r="D1118" s="58" t="s">
        <v>6205</v>
      </c>
      <c r="E1118" s="10" t="s">
        <v>2392</v>
      </c>
      <c r="F1118" s="46" t="s">
        <v>115</v>
      </c>
    </row>
    <row r="1119">
      <c r="A1119" s="285" t="s">
        <v>5406</v>
      </c>
      <c r="B1119" s="252">
        <f>IF(A1119="", "", IF(IFERROR(VLOOKUP(A1119, 'Base 3F'!$B:$C, 2, FALSE),"")="", "SIN CUIT", VLOOKUP(A1119, 'Base 3F'!$B:$C, 2, FALSE)))</f>
        <v>30645473325</v>
      </c>
      <c r="C1119" s="253" t="str">
        <f>IF(A1119="", "", IF(IFERROR(VLOOKUP(A1119, 'Base 3F'!$B:$J, 9, FALSE),"")="", "SIN RUBRO", VLOOKUP(A1119, 'Base 3F'!$B:$J, 9, FALSE)))</f>
        <v>Textil</v>
      </c>
      <c r="D1119" s="58" t="s">
        <v>6208</v>
      </c>
      <c r="E1119" s="10" t="s">
        <v>2392</v>
      </c>
      <c r="F1119" s="46" t="s">
        <v>115</v>
      </c>
    </row>
    <row r="1120">
      <c r="A1120" s="285" t="s">
        <v>1702</v>
      </c>
      <c r="B1120" s="252">
        <f>IF(A1120="", "", IF(IFERROR(VLOOKUP(A1120, 'Base 3F'!$B:$C, 2, FALSE),"")="", "SIN CUIT", VLOOKUP(A1120, 'Base 3F'!$B:$C, 2, FALSE)))</f>
        <v>30712544550</v>
      </c>
      <c r="C1120" s="253" t="str">
        <f>IF(A1120="", "", IF(IFERROR(VLOOKUP(A1120, 'Base 3F'!$B:$J, 9, FALSE),"")="", "SIN RUBRO", VLOOKUP(A1120, 'Base 3F'!$B:$J, 9, FALSE)))</f>
        <v>Textil</v>
      </c>
      <c r="D1120" s="58" t="s">
        <v>6211</v>
      </c>
      <c r="E1120" s="10" t="s">
        <v>2392</v>
      </c>
      <c r="F1120" s="46" t="s">
        <v>115</v>
      </c>
    </row>
    <row r="1121">
      <c r="A1121" s="285" t="s">
        <v>5423</v>
      </c>
      <c r="B1121" s="252">
        <f>IF(A1121="", "", IF(IFERROR(VLOOKUP(A1121, 'Base 3F'!$B:$C, 2, FALSE),"")="", "SIN CUIT", VLOOKUP(A1121, 'Base 3F'!$B:$C, 2, FALSE)))</f>
        <v>30709614297</v>
      </c>
      <c r="C1121" s="253" t="str">
        <f>IF(A1121="", "", IF(IFERROR(VLOOKUP(A1121, 'Base 3F'!$B:$J, 9, FALSE),"")="", "SIN RUBRO", VLOOKUP(A1121, 'Base 3F'!$B:$J, 9, FALSE)))</f>
        <v>Alimenticia</v>
      </c>
      <c r="D1121" s="58" t="s">
        <v>6215</v>
      </c>
      <c r="E1121" s="10" t="s">
        <v>2392</v>
      </c>
      <c r="F1121" s="46" t="s">
        <v>115</v>
      </c>
    </row>
    <row r="1122">
      <c r="A1122" s="285" t="s">
        <v>5427</v>
      </c>
      <c r="B1122" s="252">
        <f>IF(A1122="", "", IF(IFERROR(VLOOKUP(A1122, 'Base 3F'!$B:$C, 2, FALSE),"")="", "SIN CUIT", VLOOKUP(A1122, 'Base 3F'!$B:$C, 2, FALSE)))</f>
        <v>30709963755</v>
      </c>
      <c r="C1122" s="253" t="str">
        <f>IF(A1122="", "", IF(IFERROR(VLOOKUP(A1122, 'Base 3F'!$B:$J, 9, FALSE),"")="", "SIN RUBRO", VLOOKUP(A1122, 'Base 3F'!$B:$J, 9, FALSE)))</f>
        <v>Metalúrgica</v>
      </c>
      <c r="D1122" s="58" t="s">
        <v>6221</v>
      </c>
      <c r="E1122" s="10" t="s">
        <v>2392</v>
      </c>
      <c r="F1122" s="46" t="s">
        <v>115</v>
      </c>
    </row>
    <row r="1123">
      <c r="A1123" s="285" t="s">
        <v>5444</v>
      </c>
      <c r="B1123" s="252">
        <f>IF(A1123="", "", IF(IFERROR(VLOOKUP(A1123, 'Base 3F'!$B:$C, 2, FALSE),"")="", "SIN CUIT", VLOOKUP(A1123, 'Base 3F'!$B:$C, 2, FALSE)))</f>
        <v>33709061769</v>
      </c>
      <c r="C1123" s="253" t="str">
        <f>IF(A1123="", "", IF(IFERROR(VLOOKUP(A1123, 'Base 3F'!$B:$J, 9, FALSE),"")="", "SIN RUBRO", VLOOKUP(A1123, 'Base 3F'!$B:$J, 9, FALSE)))</f>
        <v>Metalmecánica</v>
      </c>
      <c r="D1123" s="58" t="s">
        <v>6223</v>
      </c>
      <c r="E1123" s="10" t="s">
        <v>2392</v>
      </c>
      <c r="F1123" s="46" t="s">
        <v>115</v>
      </c>
    </row>
    <row r="1124">
      <c r="A1124" s="285" t="s">
        <v>4037</v>
      </c>
      <c r="B1124" s="252">
        <f>IF(A1124="", "", IF(IFERROR(VLOOKUP(A1124, 'Base 3F'!$B:$C, 2, FALSE),"")="", "SIN CUIT", VLOOKUP(A1124, 'Base 3F'!$B:$C, 2, FALSE)))</f>
        <v>30685329502</v>
      </c>
      <c r="C1124" s="253" t="str">
        <f>IF(A1124="", "", IF(IFERROR(VLOOKUP(A1124, 'Base 3F'!$B:$J, 9, FALSE),"")="", "SIN RUBRO", VLOOKUP(A1124, 'Base 3F'!$B:$J, 9, FALSE)))</f>
        <v>Manufactura</v>
      </c>
      <c r="D1124" s="96" t="s">
        <v>6228</v>
      </c>
      <c r="E1124" s="10" t="s">
        <v>2392</v>
      </c>
      <c r="F1124" s="46" t="s">
        <v>115</v>
      </c>
    </row>
    <row r="1125">
      <c r="A1125" s="285" t="s">
        <v>5492</v>
      </c>
      <c r="B1125" s="252">
        <f>IF(A1125="", "", IF(IFERROR(VLOOKUP(A1125, 'Base 3F'!$B:$C, 2, FALSE),"")="", "SIN CUIT", VLOOKUP(A1125, 'Base 3F'!$B:$C, 2, FALSE)))</f>
        <v>30709931802</v>
      </c>
      <c r="C1125" s="253" t="str">
        <f>IF(A1125="", "", IF(IFERROR(VLOOKUP(A1125, 'Base 3F'!$B:$J, 9, FALSE),"")="", "SIN RUBRO", VLOOKUP(A1125, 'Base 3F'!$B:$J, 9, FALSE)))</f>
        <v>Metalúrgica</v>
      </c>
      <c r="D1125" s="58" t="s">
        <v>6232</v>
      </c>
      <c r="E1125" s="10" t="s">
        <v>2392</v>
      </c>
      <c r="F1125" s="46" t="s">
        <v>115</v>
      </c>
    </row>
    <row r="1126">
      <c r="A1126" s="285" t="s">
        <v>1723</v>
      </c>
      <c r="B1126" s="252">
        <f>IF(A1126="", "", IF(IFERROR(VLOOKUP(A1126, 'Base 3F'!$B:$C, 2, FALSE),"")="", "SIN CUIT", VLOOKUP(A1126, 'Base 3F'!$B:$C, 2, FALSE)))</f>
        <v>30709096962</v>
      </c>
      <c r="C1126" s="253" t="str">
        <f>IF(A1126="", "", IF(IFERROR(VLOOKUP(A1126, 'Base 3F'!$B:$J, 9, FALSE),"")="", "SIN RUBRO", VLOOKUP(A1126, 'Base 3F'!$B:$J, 9, FALSE)))</f>
        <v>Plástica</v>
      </c>
      <c r="D1126" s="58" t="s">
        <v>6236</v>
      </c>
      <c r="E1126" s="10" t="s">
        <v>2392</v>
      </c>
      <c r="F1126" s="46" t="s">
        <v>115</v>
      </c>
    </row>
    <row r="1127">
      <c r="A1127" s="285" t="s">
        <v>5506</v>
      </c>
      <c r="B1127" s="252">
        <f>IF(A1127="", "", IF(IFERROR(VLOOKUP(A1127, 'Base 3F'!$B:$C, 2, FALSE),"")="", "SIN CUIT", VLOOKUP(A1127, 'Base 3F'!$B:$C, 2, FALSE)))</f>
        <v>30663735043</v>
      </c>
      <c r="C1127" s="253" t="str">
        <f>IF(A1127="", "", IF(IFERROR(VLOOKUP(A1127, 'Base 3F'!$B:$J, 9, FALSE),"")="", "SIN RUBRO", VLOOKUP(A1127, 'Base 3F'!$B:$J, 9, FALSE)))</f>
        <v>Plástica</v>
      </c>
      <c r="D1127" s="58" t="s">
        <v>6239</v>
      </c>
      <c r="E1127" s="10" t="s">
        <v>2392</v>
      </c>
      <c r="F1127" s="46" t="s">
        <v>115</v>
      </c>
    </row>
    <row r="1128">
      <c r="A1128" s="285" t="s">
        <v>5513</v>
      </c>
      <c r="B1128" s="252">
        <f>IF(A1128="", "", IF(IFERROR(VLOOKUP(A1128, 'Base 3F'!$B:$C, 2, FALSE),"")="", "SIN CUIT", VLOOKUP(A1128, 'Base 3F'!$B:$C, 2, FALSE)))</f>
        <v>30709453773</v>
      </c>
      <c r="C1128" s="253" t="str">
        <f>IF(A1128="", "", IF(IFERROR(VLOOKUP(A1128, 'Base 3F'!$B:$J, 9, FALSE),"")="", "SIN RUBRO", VLOOKUP(A1128, 'Base 3F'!$B:$J, 9, FALSE)))</f>
        <v>Metalúrgica</v>
      </c>
      <c r="D1128" s="58" t="s">
        <v>6246</v>
      </c>
      <c r="E1128" s="10" t="s">
        <v>2392</v>
      </c>
      <c r="F1128" s="46" t="s">
        <v>115</v>
      </c>
    </row>
    <row r="1129">
      <c r="A1129" s="285" t="s">
        <v>5523</v>
      </c>
      <c r="B1129" s="252">
        <f>IF(A1129="", "", IF(IFERROR(VLOOKUP(A1129, 'Base 3F'!$B:$C, 2, FALSE),"")="", "SIN CUIT", VLOOKUP(A1129, 'Base 3F'!$B:$C, 2, FALSE)))</f>
        <v>30639458306</v>
      </c>
      <c r="C1129" s="253" t="str">
        <f>IF(A1129="", "", IF(IFERROR(VLOOKUP(A1129, 'Base 3F'!$B:$J, 9, FALSE),"")="", "SIN RUBRO", VLOOKUP(A1129, 'Base 3F'!$B:$J, 9, FALSE)))</f>
        <v>Plástica</v>
      </c>
      <c r="D1129" s="58" t="s">
        <v>6248</v>
      </c>
      <c r="E1129" s="10" t="s">
        <v>2392</v>
      </c>
      <c r="F1129" s="46" t="s">
        <v>115</v>
      </c>
    </row>
    <row r="1130">
      <c r="A1130" s="285" t="s">
        <v>5551</v>
      </c>
      <c r="B1130" s="252">
        <f>IF(A1130="", "", IF(IFERROR(VLOOKUP(A1130, 'Base 3F'!$B:$C, 2, FALSE),"")="", "SIN CUIT", VLOOKUP(A1130, 'Base 3F'!$B:$C, 2, FALSE)))</f>
        <v>20294086294</v>
      </c>
      <c r="C1130" s="253" t="str">
        <f>IF(A1130="", "", IF(IFERROR(VLOOKUP(A1130, 'Base 3F'!$B:$J, 9, FALSE),"")="", "SIN RUBRO", VLOOKUP(A1130, 'Base 3F'!$B:$J, 9, FALSE)))</f>
        <v>Metalúrgica</v>
      </c>
      <c r="D1130" s="58" t="s">
        <v>6254</v>
      </c>
      <c r="E1130" s="10" t="s">
        <v>2392</v>
      </c>
      <c r="F1130" s="46" t="s">
        <v>115</v>
      </c>
    </row>
    <row r="1131">
      <c r="A1131" s="285" t="s">
        <v>5557</v>
      </c>
      <c r="B1131" s="252">
        <f>IF(A1131="", "", IF(IFERROR(VLOOKUP(A1131, 'Base 3F'!$B:$C, 2, FALSE),"")="", "SIN CUIT", VLOOKUP(A1131, 'Base 3F'!$B:$C, 2, FALSE)))</f>
        <v>30708046228</v>
      </c>
      <c r="C1131" s="253" t="str">
        <f>IF(A1131="", "", IF(IFERROR(VLOOKUP(A1131, 'Base 3F'!$B:$J, 9, FALSE),"")="", "SIN RUBRO", VLOOKUP(A1131, 'Base 3F'!$B:$J, 9, FALSE)))</f>
        <v>Madera</v>
      </c>
      <c r="D1131" s="58" t="s">
        <v>6258</v>
      </c>
      <c r="E1131" s="10" t="s">
        <v>2392</v>
      </c>
      <c r="F1131" s="46" t="s">
        <v>115</v>
      </c>
    </row>
    <row r="1132">
      <c r="A1132" s="285" t="s">
        <v>5580</v>
      </c>
      <c r="B1132" s="252">
        <f>IF(A1132="", "", IF(IFERROR(VLOOKUP(A1132, 'Base 3F'!$B:$C, 2, FALSE),"")="", "SIN CUIT", VLOOKUP(A1132, 'Base 3F'!$B:$C, 2, FALSE)))</f>
        <v>30710141874</v>
      </c>
      <c r="C1132" s="253" t="str">
        <f>IF(A1132="", "", IF(IFERROR(VLOOKUP(A1132, 'Base 3F'!$B:$J, 9, FALSE),"")="", "SIN RUBRO", VLOOKUP(A1132, 'Base 3F'!$B:$J, 9, FALSE)))</f>
        <v>Química</v>
      </c>
      <c r="D1132" s="58" t="s">
        <v>6260</v>
      </c>
      <c r="E1132" s="10" t="s">
        <v>2392</v>
      </c>
      <c r="F1132" s="46" t="s">
        <v>115</v>
      </c>
    </row>
    <row r="1133">
      <c r="A1133" s="285" t="s">
        <v>1739</v>
      </c>
      <c r="B1133" s="252">
        <f>IF(A1133="", "", IF(IFERROR(VLOOKUP(A1133, 'Base 3F'!$B:$C, 2, FALSE),"")="", "SIN CUIT", VLOOKUP(A1133, 'Base 3F'!$B:$C, 2, FALSE)))</f>
        <v>30607180578</v>
      </c>
      <c r="C1133" s="253" t="str">
        <f>IF(A1133="", "", IF(IFERROR(VLOOKUP(A1133, 'Base 3F'!$B:$J, 9, FALSE),"")="", "SIN RUBRO", VLOOKUP(A1133, 'Base 3F'!$B:$J, 9, FALSE)))</f>
        <v>Metalmecánica</v>
      </c>
      <c r="D1133" s="58" t="s">
        <v>6263</v>
      </c>
      <c r="E1133" s="10" t="s">
        <v>2392</v>
      </c>
      <c r="F1133" s="46" t="s">
        <v>115</v>
      </c>
    </row>
    <row r="1134">
      <c r="A1134" s="285" t="s">
        <v>5600</v>
      </c>
      <c r="B1134" s="252">
        <f>IF(A1134="", "", IF(IFERROR(VLOOKUP(A1134, 'Base 3F'!$B:$C, 2, FALSE),"")="", "SIN CUIT", VLOOKUP(A1134, 'Base 3F'!$B:$C, 2, FALSE)))</f>
        <v>30555490069</v>
      </c>
      <c r="C1134" s="253" t="str">
        <f>IF(A1134="", "", IF(IFERROR(VLOOKUP(A1134, 'Base 3F'!$B:$J, 9, FALSE),"")="", "SIN RUBRO", VLOOKUP(A1134, 'Base 3F'!$B:$J, 9, FALSE)))</f>
        <v>Textil</v>
      </c>
      <c r="D1134" s="58" t="s">
        <v>6268</v>
      </c>
      <c r="E1134" s="10" t="s">
        <v>2392</v>
      </c>
      <c r="F1134" s="46" t="s">
        <v>115</v>
      </c>
    </row>
    <row r="1135">
      <c r="A1135" s="285" t="s">
        <v>5613</v>
      </c>
      <c r="B1135" s="252">
        <f>IF(A1135="", "", IF(IFERROR(VLOOKUP(A1135, 'Base 3F'!$B:$C, 2, FALSE),"")="", "SIN CUIT", VLOOKUP(A1135, 'Base 3F'!$B:$C, 2, FALSE)))</f>
        <v>30517617055</v>
      </c>
      <c r="C1135" s="253" t="str">
        <f>IF(A1135="", "", IF(IFERROR(VLOOKUP(A1135, 'Base 3F'!$B:$J, 9, FALSE),"")="", "SIN RUBRO", VLOOKUP(A1135, 'Base 3F'!$B:$J, 9, FALSE)))</f>
        <v>Electrónica</v>
      </c>
      <c r="D1135" s="58" t="s">
        <v>6274</v>
      </c>
      <c r="E1135" s="10" t="s">
        <v>2392</v>
      </c>
      <c r="F1135" s="46" t="s">
        <v>115</v>
      </c>
    </row>
    <row r="1136">
      <c r="A1136" s="285" t="s">
        <v>4047</v>
      </c>
      <c r="B1136" s="252">
        <f>IF(A1136="", "", IF(IFERROR(VLOOKUP(A1136, 'Base 3F'!$B:$C, 2, FALSE),"")="", "SIN CUIT", VLOOKUP(A1136, 'Base 3F'!$B:$C, 2, FALSE)))</f>
        <v>30709052442</v>
      </c>
      <c r="C1136" s="253" t="str">
        <f>IF(A1136="", "", IF(IFERROR(VLOOKUP(A1136, 'Base 3F'!$B:$J, 9, FALSE),"")="", "SIN RUBRO", VLOOKUP(A1136, 'Base 3F'!$B:$J, 9, FALSE)))</f>
        <v>Metalmecánica</v>
      </c>
      <c r="D1136" s="58" t="s">
        <v>6277</v>
      </c>
      <c r="E1136" s="10" t="s">
        <v>2392</v>
      </c>
      <c r="F1136" s="46" t="s">
        <v>115</v>
      </c>
    </row>
    <row r="1137">
      <c r="A1137" s="285" t="s">
        <v>5623</v>
      </c>
      <c r="B1137" s="252">
        <f>IF(A1137="", "", IF(IFERROR(VLOOKUP(A1137, 'Base 3F'!$B:$C, 2, FALSE),"")="", "SIN CUIT", VLOOKUP(A1137, 'Base 3F'!$B:$C, 2, FALSE)))</f>
        <v>30685252313</v>
      </c>
      <c r="C1137" s="253" t="str">
        <f>IF(A1137="", "", IF(IFERROR(VLOOKUP(A1137, 'Base 3F'!$B:$J, 9, FALSE),"")="", "SIN RUBRO", VLOOKUP(A1137, 'Base 3F'!$B:$J, 9, FALSE)))</f>
        <v>Alimenticia</v>
      </c>
      <c r="D1137" s="58" t="s">
        <v>6281</v>
      </c>
      <c r="E1137" s="10" t="s">
        <v>2392</v>
      </c>
      <c r="F1137" s="46" t="s">
        <v>115</v>
      </c>
    </row>
    <row r="1138">
      <c r="A1138" s="285" t="s">
        <v>4050</v>
      </c>
      <c r="B1138" s="252">
        <f>IF(A1138="", "", IF(IFERROR(VLOOKUP(A1138, 'Base 3F'!$B:$C, 2, FALSE),"")="", "SIN CUIT", VLOOKUP(A1138, 'Base 3F'!$B:$C, 2, FALSE)))</f>
        <v>30707422099</v>
      </c>
      <c r="C1138" s="253" t="str">
        <f>IF(A1138="", "", IF(IFERROR(VLOOKUP(A1138, 'Base 3F'!$B:$J, 9, FALSE),"")="", "SIN RUBRO", VLOOKUP(A1138, 'Base 3F'!$B:$J, 9, FALSE)))</f>
        <v>Alimenticia</v>
      </c>
      <c r="D1138" s="58" t="s">
        <v>6286</v>
      </c>
      <c r="E1138" s="10" t="s">
        <v>2392</v>
      </c>
      <c r="F1138" s="46" t="s">
        <v>115</v>
      </c>
    </row>
    <row r="1139">
      <c r="A1139" s="285" t="s">
        <v>5646</v>
      </c>
      <c r="B1139" s="252">
        <f>IF(A1139="", "", IF(IFERROR(VLOOKUP(A1139, 'Base 3F'!$B:$C, 2, FALSE),"")="", "SIN CUIT", VLOOKUP(A1139, 'Base 3F'!$B:$C, 2, FALSE)))</f>
        <v>30519666290</v>
      </c>
      <c r="C1139" s="253" t="str">
        <f>IF(A1139="", "", IF(IFERROR(VLOOKUP(A1139, 'Base 3F'!$B:$J, 9, FALSE),"")="", "SIN RUBRO", VLOOKUP(A1139, 'Base 3F'!$B:$J, 9, FALSE)))</f>
        <v>Alimenticia</v>
      </c>
      <c r="D1139" s="58" t="s">
        <v>6289</v>
      </c>
      <c r="E1139" s="10" t="s">
        <v>2392</v>
      </c>
      <c r="F1139" s="46" t="s">
        <v>115</v>
      </c>
    </row>
    <row r="1140">
      <c r="A1140" s="285" t="s">
        <v>5662</v>
      </c>
      <c r="B1140" s="252">
        <f>IF(A1140="", "", IF(IFERROR(VLOOKUP(A1140, 'Base 3F'!$B:$C, 2, FALSE),"")="", "SIN CUIT", VLOOKUP(A1140, 'Base 3F'!$B:$C, 2, FALSE)))</f>
        <v>27232221637</v>
      </c>
      <c r="C1140" s="253" t="str">
        <f>IF(A1140="", "", IF(IFERROR(VLOOKUP(A1140, 'Base 3F'!$B:$J, 9, FALSE),"")="", "SIN RUBRO", VLOOKUP(A1140, 'Base 3F'!$B:$J, 9, FALSE)))</f>
        <v>Plástica</v>
      </c>
      <c r="D1140" s="142" t="s">
        <v>6294</v>
      </c>
      <c r="E1140" s="10" t="s">
        <v>2392</v>
      </c>
      <c r="F1140" s="46" t="s">
        <v>115</v>
      </c>
    </row>
    <row r="1141">
      <c r="A1141" s="285" t="s">
        <v>5695</v>
      </c>
      <c r="B1141" s="252">
        <f>IF(A1141="", "", IF(IFERROR(VLOOKUP(A1141, 'Base 3F'!$B:$C, 2, FALSE),"")="", "SIN CUIT", VLOOKUP(A1141, 'Base 3F'!$B:$C, 2, FALSE)))</f>
        <v>33715800999</v>
      </c>
      <c r="C1141" s="253" t="str">
        <f>IF(A1141="", "", IF(IFERROR(VLOOKUP(A1141, 'Base 3F'!$B:$J, 9, FALSE),"")="", "SIN RUBRO", VLOOKUP(A1141, 'Base 3F'!$B:$J, 9, FALSE)))</f>
        <v>Metalúrgica</v>
      </c>
      <c r="D1141" s="142" t="s">
        <v>6298</v>
      </c>
      <c r="E1141" s="10" t="s">
        <v>2392</v>
      </c>
      <c r="F1141" s="46" t="s">
        <v>115</v>
      </c>
    </row>
    <row r="1142">
      <c r="A1142" s="285" t="s">
        <v>5706</v>
      </c>
      <c r="B1142" s="252">
        <f>IF(A1142="", "", IF(IFERROR(VLOOKUP(A1142, 'Base 3F'!$B:$C, 2, FALSE),"")="", "SIN CUIT", VLOOKUP(A1142, 'Base 3F'!$B:$C, 2, FALSE)))</f>
        <v>30525726505</v>
      </c>
      <c r="C1142" s="253" t="str">
        <f>IF(A1142="", "", IF(IFERROR(VLOOKUP(A1142, 'Base 3F'!$B:$J, 9, FALSE),"")="", "SIN RUBRO", VLOOKUP(A1142, 'Base 3F'!$B:$J, 9, FALSE)))</f>
        <v>Metalúrgica</v>
      </c>
      <c r="D1142" s="58" t="s">
        <v>6300</v>
      </c>
      <c r="E1142" s="10" t="s">
        <v>2392</v>
      </c>
      <c r="F1142" s="46" t="s">
        <v>115</v>
      </c>
    </row>
    <row r="1143">
      <c r="A1143" s="285" t="s">
        <v>5716</v>
      </c>
      <c r="B1143" s="252">
        <f>IF(A1143="", "", IF(IFERROR(VLOOKUP(A1143, 'Base 3F'!$B:$C, 2, FALSE),"")="", "SIN CUIT", VLOOKUP(A1143, 'Base 3F'!$B:$C, 2, FALSE)))</f>
        <v>30613791252</v>
      </c>
      <c r="C1143" s="253" t="str">
        <f>IF(A1143="", "", IF(IFERROR(VLOOKUP(A1143, 'Base 3F'!$B:$J, 9, FALSE),"")="", "SIN RUBRO", VLOOKUP(A1143, 'Base 3F'!$B:$J, 9, FALSE)))</f>
        <v>Metalúrgica</v>
      </c>
      <c r="D1143" s="58" t="s">
        <v>6303</v>
      </c>
      <c r="E1143" s="10" t="s">
        <v>2392</v>
      </c>
      <c r="F1143" s="46" t="s">
        <v>115</v>
      </c>
    </row>
    <row r="1144">
      <c r="A1144" s="285" t="s">
        <v>5738</v>
      </c>
      <c r="B1144" s="252">
        <f>IF(A1144="", "", IF(IFERROR(VLOOKUP(A1144, 'Base 3F'!$B:$C, 2, FALSE),"")="", "SIN CUIT", VLOOKUP(A1144, 'Base 3F'!$B:$C, 2, FALSE)))</f>
        <v>30609483063</v>
      </c>
      <c r="C1144" s="253" t="str">
        <f>IF(A1144="", "", IF(IFERROR(VLOOKUP(A1144, 'Base 3F'!$B:$J, 9, FALSE),"")="", "SIN RUBRO", VLOOKUP(A1144, 'Base 3F'!$B:$J, 9, FALSE)))</f>
        <v>Construcción</v>
      </c>
      <c r="D1144" s="58" t="s">
        <v>6309</v>
      </c>
      <c r="E1144" s="10" t="s">
        <v>2392</v>
      </c>
      <c r="F1144" s="46" t="s">
        <v>115</v>
      </c>
    </row>
    <row r="1145">
      <c r="A1145" s="285" t="s">
        <v>5744</v>
      </c>
      <c r="B1145" s="252">
        <f>IF(A1145="", "", IF(IFERROR(VLOOKUP(A1145, 'Base 3F'!$B:$C, 2, FALSE),"")="", "SIN CUIT", VLOOKUP(A1145, 'Base 3F'!$B:$C, 2, FALSE)))</f>
        <v>30663743542</v>
      </c>
      <c r="C1145" s="253" t="str">
        <f>IF(A1145="", "", IF(IFERROR(VLOOKUP(A1145, 'Base 3F'!$B:$J, 9, FALSE),"")="", "SIN RUBRO", VLOOKUP(A1145, 'Base 3F'!$B:$J, 9, FALSE)))</f>
        <v>Informática</v>
      </c>
      <c r="D1145" s="58" t="s">
        <v>6313</v>
      </c>
      <c r="E1145" s="10" t="s">
        <v>2392</v>
      </c>
      <c r="F1145" s="46" t="s">
        <v>115</v>
      </c>
    </row>
    <row r="1146">
      <c r="A1146" s="285" t="s">
        <v>5750</v>
      </c>
      <c r="B1146" s="252">
        <f>IF(A1146="", "", IF(IFERROR(VLOOKUP(A1146, 'Base 3F'!$B:$C, 2, FALSE),"")="", "SIN CUIT", VLOOKUP(A1146, 'Base 3F'!$B:$C, 2, FALSE)))</f>
        <v>30708252952</v>
      </c>
      <c r="C1146" s="253" t="str">
        <f>IF(A1146="", "", IF(IFERROR(VLOOKUP(A1146, 'Base 3F'!$B:$J, 9, FALSE),"")="", "SIN RUBRO", VLOOKUP(A1146, 'Base 3F'!$B:$J, 9, FALSE)))</f>
        <v>Servicios</v>
      </c>
      <c r="D1146" s="58" t="s">
        <v>6316</v>
      </c>
      <c r="E1146" s="10" t="s">
        <v>2392</v>
      </c>
      <c r="F1146" s="46" t="s">
        <v>115</v>
      </c>
    </row>
    <row r="1147">
      <c r="A1147" s="285" t="s">
        <v>5754</v>
      </c>
      <c r="B1147" s="252">
        <f>IF(A1147="", "", IF(IFERROR(VLOOKUP(A1147, 'Base 3F'!$B:$C, 2, FALSE),"")="", "SIN CUIT", VLOOKUP(A1147, 'Base 3F'!$B:$C, 2, FALSE)))</f>
        <v>30710711395</v>
      </c>
      <c r="C1147" s="253" t="str">
        <f>IF(A1147="", "", IF(IFERROR(VLOOKUP(A1147, 'Base 3F'!$B:$J, 9, FALSE),"")="", "SIN RUBRO", VLOOKUP(A1147, 'Base 3F'!$B:$J, 9, FALSE)))</f>
        <v>Calzado</v>
      </c>
      <c r="D1147" s="58" t="s">
        <v>6320</v>
      </c>
      <c r="E1147" s="10" t="s">
        <v>2392</v>
      </c>
      <c r="F1147" s="46" t="s">
        <v>115</v>
      </c>
    </row>
    <row r="1148">
      <c r="A1148" s="285" t="s">
        <v>5769</v>
      </c>
      <c r="B1148" s="252">
        <f>IF(A1148="", "", IF(IFERROR(VLOOKUP(A1148, 'Base 3F'!$B:$C, 2, FALSE),"")="", "SIN CUIT", VLOOKUP(A1148, 'Base 3F'!$B:$C, 2, FALSE)))</f>
        <v>30641706406</v>
      </c>
      <c r="C1148" s="253" t="str">
        <f>IF(A1148="", "", IF(IFERROR(VLOOKUP(A1148, 'Base 3F'!$B:$J, 9, FALSE),"")="", "SIN RUBRO", VLOOKUP(A1148, 'Base 3F'!$B:$J, 9, FALSE)))</f>
        <v>Metalúrgica</v>
      </c>
      <c r="D1148" s="58" t="s">
        <v>6324</v>
      </c>
      <c r="E1148" s="10" t="s">
        <v>2392</v>
      </c>
      <c r="F1148" s="46" t="s">
        <v>115</v>
      </c>
    </row>
    <row r="1149">
      <c r="A1149" s="285" t="s">
        <v>5773</v>
      </c>
      <c r="B1149" s="252">
        <f>IF(A1149="", "", IF(IFERROR(VLOOKUP(A1149, 'Base 3F'!$B:$C, 2, FALSE),"")="", "SIN CUIT", VLOOKUP(A1149, 'Base 3F'!$B:$C, 2, FALSE)))</f>
        <v>30710853335</v>
      </c>
      <c r="C1149" s="253" t="str">
        <f>IF(A1149="", "", IF(IFERROR(VLOOKUP(A1149, 'Base 3F'!$B:$J, 9, FALSE),"")="", "SIN RUBRO", VLOOKUP(A1149, 'Base 3F'!$B:$J, 9, FALSE)))</f>
        <v>Alimenticia</v>
      </c>
      <c r="D1149" s="58" t="s">
        <v>6328</v>
      </c>
      <c r="E1149" s="10" t="s">
        <v>2392</v>
      </c>
      <c r="F1149" s="46" t="s">
        <v>115</v>
      </c>
    </row>
    <row r="1150">
      <c r="A1150" s="285" t="s">
        <v>1745</v>
      </c>
      <c r="B1150" s="252">
        <f>IF(A1150="", "", IF(IFERROR(VLOOKUP(A1150, 'Base 3F'!$B:$C, 2, FALSE),"")="", "SIN CUIT", VLOOKUP(A1150, 'Base 3F'!$B:$C, 2, FALSE)))</f>
        <v>30628418329</v>
      </c>
      <c r="C1150" s="253" t="str">
        <f>IF(A1150="", "", IF(IFERROR(VLOOKUP(A1150, 'Base 3F'!$B:$J, 9, FALSE),"")="", "SIN RUBRO", VLOOKUP(A1150, 'Base 3F'!$B:$J, 9, FALSE)))</f>
        <v>Metalúrgica</v>
      </c>
      <c r="D1150" s="58" t="s">
        <v>6335</v>
      </c>
      <c r="E1150" s="10" t="s">
        <v>2392</v>
      </c>
      <c r="F1150" s="46" t="s">
        <v>115</v>
      </c>
    </row>
    <row r="1151">
      <c r="A1151" s="285" t="s">
        <v>5789</v>
      </c>
      <c r="B1151" s="252">
        <f>IF(A1151="", "", IF(IFERROR(VLOOKUP(A1151, 'Base 3F'!$B:$C, 2, FALSE),"")="", "SIN CUIT", VLOOKUP(A1151, 'Base 3F'!$B:$C, 2, FALSE)))</f>
        <v>30714931721</v>
      </c>
      <c r="C1151" s="253" t="str">
        <f>IF(A1151="", "", IF(IFERROR(VLOOKUP(A1151, 'Base 3F'!$B:$J, 9, FALSE),"")="", "SIN RUBRO", VLOOKUP(A1151, 'Base 3F'!$B:$J, 9, FALSE)))</f>
        <v>Metalúrgica</v>
      </c>
      <c r="D1151" s="58" t="s">
        <v>6341</v>
      </c>
      <c r="E1151" s="10" t="s">
        <v>2392</v>
      </c>
      <c r="F1151" s="46" t="s">
        <v>115</v>
      </c>
    </row>
    <row r="1152">
      <c r="A1152" s="285" t="s">
        <v>5794</v>
      </c>
      <c r="B1152" s="252">
        <f>IF(A1152="", "", IF(IFERROR(VLOOKUP(A1152, 'Base 3F'!$B:$C, 2, FALSE),"")="", "SIN CUIT", VLOOKUP(A1152, 'Base 3F'!$B:$C, 2, FALSE)))</f>
        <v>30663741329</v>
      </c>
      <c r="C1152" s="253" t="str">
        <f>IF(A1152="", "", IF(IFERROR(VLOOKUP(A1152, 'Base 3F'!$B:$J, 9, FALSE),"")="", "SIN RUBRO", VLOOKUP(A1152, 'Base 3F'!$B:$J, 9, FALSE)))</f>
        <v>Metalúrgica</v>
      </c>
      <c r="D1152" s="58" t="s">
        <v>6344</v>
      </c>
      <c r="E1152" s="10" t="s">
        <v>2392</v>
      </c>
      <c r="F1152" s="46" t="s">
        <v>115</v>
      </c>
    </row>
    <row r="1153">
      <c r="A1153" s="285" t="s">
        <v>5802</v>
      </c>
      <c r="B1153" s="252">
        <f>IF(A1153="", "", IF(IFERROR(VLOOKUP(A1153, 'Base 3F'!$B:$C, 2, FALSE),"")="", "SIN CUIT", VLOOKUP(A1153, 'Base 3F'!$B:$C, 2, FALSE)))</f>
        <v>30710783981</v>
      </c>
      <c r="C1153" s="253" t="str">
        <f>IF(A1153="", "", IF(IFERROR(VLOOKUP(A1153, 'Base 3F'!$B:$J, 9, FALSE),"")="", "SIN RUBRO", VLOOKUP(A1153, 'Base 3F'!$B:$J, 9, FALSE)))</f>
        <v>Metalúrgica</v>
      </c>
      <c r="D1153" s="58" t="s">
        <v>6348</v>
      </c>
      <c r="E1153" s="10" t="s">
        <v>2392</v>
      </c>
      <c r="F1153" s="46" t="s">
        <v>115</v>
      </c>
    </row>
    <row r="1154">
      <c r="A1154" s="285" t="s">
        <v>5806</v>
      </c>
      <c r="B1154" s="252">
        <f>IF(A1154="", "", IF(IFERROR(VLOOKUP(A1154, 'Base 3F'!$B:$C, 2, FALSE),"")="", "SIN CUIT", VLOOKUP(A1154, 'Base 3F'!$B:$C, 2, FALSE)))</f>
        <v>30555784194</v>
      </c>
      <c r="C1154" s="253" t="str">
        <f>IF(A1154="", "", IF(IFERROR(VLOOKUP(A1154, 'Base 3F'!$B:$J, 9, FALSE),"")="", "SIN RUBRO", VLOOKUP(A1154, 'Base 3F'!$B:$J, 9, FALSE)))</f>
        <v>Metalúrgica</v>
      </c>
      <c r="D1154" s="58" t="s">
        <v>6351</v>
      </c>
      <c r="E1154" s="10" t="s">
        <v>2392</v>
      </c>
      <c r="F1154" s="46" t="s">
        <v>115</v>
      </c>
    </row>
    <row r="1155">
      <c r="A1155" s="285" t="s">
        <v>1754</v>
      </c>
      <c r="B1155" s="252">
        <f>IF(A1155="", "", IF(IFERROR(VLOOKUP(A1155, 'Base 3F'!$B:$C, 2, FALSE),"")="", "SIN CUIT", VLOOKUP(A1155, 'Base 3F'!$B:$C, 2, FALSE)))</f>
        <v>30701149579</v>
      </c>
      <c r="C1155" s="253" t="str">
        <f>IF(A1155="", "", IF(IFERROR(VLOOKUP(A1155, 'Base 3F'!$B:$J, 9, FALSE),"")="", "SIN RUBRO", VLOOKUP(A1155, 'Base 3F'!$B:$J, 9, FALSE)))</f>
        <v>Metalúrgica</v>
      </c>
      <c r="D1155" s="58" t="s">
        <v>6356</v>
      </c>
      <c r="E1155" s="10" t="s">
        <v>2392</v>
      </c>
      <c r="F1155" s="46" t="s">
        <v>115</v>
      </c>
    </row>
    <row r="1156">
      <c r="A1156" s="285" t="s">
        <v>4064</v>
      </c>
      <c r="B1156" s="252">
        <f>IF(A1156="", "", IF(IFERROR(VLOOKUP(A1156, 'Base 3F'!$B:$C, 2, FALSE),"")="", "SIN CUIT", VLOOKUP(A1156, 'Base 3F'!$B:$C, 2, FALSE)))</f>
        <v>30714743062</v>
      </c>
      <c r="C1156" s="253" t="str">
        <f>IF(A1156="", "", IF(IFERROR(VLOOKUP(A1156, 'Base 3F'!$B:$J, 9, FALSE),"")="", "SIN RUBRO", VLOOKUP(A1156, 'Base 3F'!$B:$J, 9, FALSE)))</f>
        <v>Metalúrgica</v>
      </c>
      <c r="D1156" s="58" t="s">
        <v>6358</v>
      </c>
      <c r="E1156" s="10" t="s">
        <v>2392</v>
      </c>
      <c r="F1156" s="46" t="s">
        <v>115</v>
      </c>
    </row>
    <row r="1157">
      <c r="A1157" s="285" t="s">
        <v>5840</v>
      </c>
      <c r="B1157" s="252">
        <f>IF(A1157="", "", IF(IFERROR(VLOOKUP(A1157, 'Base 3F'!$B:$C, 2, FALSE),"")="", "SIN CUIT", VLOOKUP(A1157, 'Base 3F'!$B:$C, 2, FALSE)))</f>
        <v>30714913510</v>
      </c>
      <c r="C1157" s="253" t="str">
        <f>IF(A1157="", "", IF(IFERROR(VLOOKUP(A1157, 'Base 3F'!$B:$J, 9, FALSE),"")="", "SIN RUBRO", VLOOKUP(A1157, 'Base 3F'!$B:$J, 9, FALSE)))</f>
        <v>Plástica</v>
      </c>
      <c r="D1157" s="58" t="s">
        <v>6364</v>
      </c>
      <c r="E1157" s="10" t="s">
        <v>2392</v>
      </c>
      <c r="F1157" s="46" t="s">
        <v>115</v>
      </c>
    </row>
    <row r="1158">
      <c r="A1158" s="285" t="s">
        <v>5845</v>
      </c>
      <c r="B1158" s="252">
        <f>IF(A1158="", "", IF(IFERROR(VLOOKUP(A1158, 'Base 3F'!$B:$C, 2, FALSE),"")="", "SIN CUIT", VLOOKUP(A1158, 'Base 3F'!$B:$C, 2, FALSE)))</f>
        <v>30517095121</v>
      </c>
      <c r="C1158" s="253" t="str">
        <f>IF(A1158="", "", IF(IFERROR(VLOOKUP(A1158, 'Base 3F'!$B:$J, 9, FALSE),"")="", "SIN RUBRO", VLOOKUP(A1158, 'Base 3F'!$B:$J, 9, FALSE)))</f>
        <v>Servicios</v>
      </c>
      <c r="D1158" s="58" t="s">
        <v>6367</v>
      </c>
      <c r="E1158" s="10" t="s">
        <v>2392</v>
      </c>
      <c r="F1158" s="46" t="s">
        <v>115</v>
      </c>
    </row>
    <row r="1159">
      <c r="A1159" s="285" t="s">
        <v>5876</v>
      </c>
      <c r="B1159" s="252">
        <f>IF(A1159="", "", IF(IFERROR(VLOOKUP(A1159, 'Base 3F'!$B:$C, 2, FALSE),"")="", "SIN CUIT", VLOOKUP(A1159, 'Base 3F'!$B:$C, 2, FALSE)))</f>
        <v>30500689826</v>
      </c>
      <c r="C1159" s="253" t="str">
        <f>IF(A1159="", "", IF(IFERROR(VLOOKUP(A1159, 'Base 3F'!$B:$J, 9, FALSE),"")="", "SIN RUBRO", VLOOKUP(A1159, 'Base 3F'!$B:$J, 9, FALSE)))</f>
        <v>Piedra</v>
      </c>
      <c r="D1159" s="58" t="s">
        <v>6372</v>
      </c>
      <c r="E1159" s="10" t="s">
        <v>2392</v>
      </c>
      <c r="F1159" s="46" t="s">
        <v>115</v>
      </c>
    </row>
    <row r="1160">
      <c r="A1160" s="285" t="s">
        <v>5886</v>
      </c>
      <c r="B1160" s="252">
        <f>IF(A1160="", "", IF(IFERROR(VLOOKUP(A1160, 'Base 3F'!$B:$C, 2, FALSE),"")="", "SIN CUIT", VLOOKUP(A1160, 'Base 3F'!$B:$C, 2, FALSE)))</f>
        <v>20161313085</v>
      </c>
      <c r="C1160" s="253" t="str">
        <f>IF(A1160="", "", IF(IFERROR(VLOOKUP(A1160, 'Base 3F'!$B:$J, 9, FALSE),"")="", "SIN RUBRO", VLOOKUP(A1160, 'Base 3F'!$B:$J, 9, FALSE)))</f>
        <v>Plástica</v>
      </c>
      <c r="D1160" s="244" t="s">
        <v>6375</v>
      </c>
      <c r="E1160" s="10" t="s">
        <v>2392</v>
      </c>
      <c r="F1160" s="46" t="s">
        <v>115</v>
      </c>
    </row>
    <row r="1161">
      <c r="A1161" s="285" t="s">
        <v>5897</v>
      </c>
      <c r="B1161" s="252">
        <f>IF(A1161="", "", IF(IFERROR(VLOOKUP(A1161, 'Base 3F'!$B:$C, 2, FALSE),"")="", "SIN CUIT", VLOOKUP(A1161, 'Base 3F'!$B:$C, 2, FALSE)))</f>
        <v>30602480247</v>
      </c>
      <c r="C1161" s="253" t="str">
        <f>IF(A1161="", "", IF(IFERROR(VLOOKUP(A1161, 'Base 3F'!$B:$J, 9, FALSE),"")="", "SIN RUBRO", VLOOKUP(A1161, 'Base 3F'!$B:$J, 9, FALSE)))</f>
        <v>Madera</v>
      </c>
      <c r="D1161" s="58" t="s">
        <v>6378</v>
      </c>
      <c r="E1161" s="10" t="s">
        <v>2392</v>
      </c>
      <c r="F1161" s="46" t="s">
        <v>115</v>
      </c>
    </row>
    <row r="1162">
      <c r="A1162" s="285" t="s">
        <v>1778</v>
      </c>
      <c r="B1162" s="252">
        <f>IF(A1162="", "", IF(IFERROR(VLOOKUP(A1162, 'Base 3F'!$B:$C, 2, FALSE),"")="", "SIN CUIT", VLOOKUP(A1162, 'Base 3F'!$B:$C, 2, FALSE)))</f>
        <v>30717426122</v>
      </c>
      <c r="C1162" s="253" t="str">
        <f>IF(A1162="", "", IF(IFERROR(VLOOKUP(A1162, 'Base 3F'!$B:$J, 9, FALSE),"")="", "SIN RUBRO", VLOOKUP(A1162, 'Base 3F'!$B:$J, 9, FALSE)))</f>
        <v>Inmobiliarios</v>
      </c>
      <c r="D1162" s="58" t="s">
        <v>6384</v>
      </c>
      <c r="E1162" s="10" t="s">
        <v>2392</v>
      </c>
      <c r="F1162" s="46" t="s">
        <v>115</v>
      </c>
    </row>
    <row r="1163">
      <c r="A1163" s="285" t="s">
        <v>4076</v>
      </c>
      <c r="B1163" s="252">
        <f>IF(A1163="", "", IF(IFERROR(VLOOKUP(A1163, 'Base 3F'!$B:$C, 2, FALSE),"")="", "SIN CUIT", VLOOKUP(A1163, 'Base 3F'!$B:$C, 2, FALSE)))</f>
        <v>30709593184</v>
      </c>
      <c r="C1163" s="253" t="str">
        <f>IF(A1163="", "", IF(IFERROR(VLOOKUP(A1163, 'Base 3F'!$B:$J, 9, FALSE),"")="", "SIN RUBRO", VLOOKUP(A1163, 'Base 3F'!$B:$J, 9, FALSE)))</f>
        <v>Servicios</v>
      </c>
      <c r="D1163" s="58" t="s">
        <v>6388</v>
      </c>
      <c r="E1163" s="10" t="s">
        <v>2392</v>
      </c>
      <c r="F1163" s="46" t="s">
        <v>115</v>
      </c>
    </row>
    <row r="1164">
      <c r="A1164" s="285" t="s">
        <v>1784</v>
      </c>
      <c r="B1164" s="252">
        <f>IF(A1164="", "", IF(IFERROR(VLOOKUP(A1164, 'Base 3F'!$B:$C, 2, FALSE),"")="", "SIN CUIT", VLOOKUP(A1164, 'Base 3F'!$B:$C, 2, FALSE)))</f>
        <v>30711313822</v>
      </c>
      <c r="C1164" s="253" t="str">
        <f>IF(A1164="", "", IF(IFERROR(VLOOKUP(A1164, 'Base 3F'!$B:$J, 9, FALSE),"")="", "SIN RUBRO", VLOOKUP(A1164, 'Base 3F'!$B:$J, 9, FALSE)))</f>
        <v>Alimenticia</v>
      </c>
      <c r="D1164" s="58" t="s">
        <v>6393</v>
      </c>
      <c r="E1164" s="10" t="s">
        <v>2392</v>
      </c>
      <c r="F1164" s="46" t="s">
        <v>115</v>
      </c>
    </row>
    <row r="1165">
      <c r="A1165" s="285" t="s">
        <v>6000</v>
      </c>
      <c r="B1165" s="252">
        <f>IF(A1165="", "", IF(IFERROR(VLOOKUP(A1165, 'Base 3F'!$B:$C, 2, FALSE),"")="", "SIN CUIT", VLOOKUP(A1165, 'Base 3F'!$B:$C, 2, FALSE)))</f>
        <v>30707816194</v>
      </c>
      <c r="C1165" s="253" t="str">
        <f>IF(A1165="", "", IF(IFERROR(VLOOKUP(A1165, 'Base 3F'!$B:$J, 9, FALSE),"")="", "SIN RUBRO", VLOOKUP(A1165, 'Base 3F'!$B:$J, 9, FALSE)))</f>
        <v>Metalmecánica</v>
      </c>
      <c r="D1165" s="58" t="s">
        <v>6397</v>
      </c>
      <c r="E1165" s="10" t="s">
        <v>2392</v>
      </c>
      <c r="F1165" s="46" t="s">
        <v>115</v>
      </c>
    </row>
    <row r="1166">
      <c r="A1166" s="285" t="s">
        <v>6020</v>
      </c>
      <c r="B1166" s="252">
        <f>IF(A1166="", "", IF(IFERROR(VLOOKUP(A1166, 'Base 3F'!$B:$C, 2, FALSE),"")="", "SIN CUIT", VLOOKUP(A1166, 'Base 3F'!$B:$C, 2, FALSE)))</f>
        <v>33714935769</v>
      </c>
      <c r="C1166" s="253" t="str">
        <f>IF(A1166="", "", IF(IFERROR(VLOOKUP(A1166, 'Base 3F'!$B:$J, 9, FALSE),"")="", "SIN RUBRO", VLOOKUP(A1166, 'Base 3F'!$B:$J, 9, FALSE)))</f>
        <v>Manufactura</v>
      </c>
      <c r="D1166" s="58" t="s">
        <v>6402</v>
      </c>
      <c r="E1166" s="10" t="s">
        <v>2392</v>
      </c>
      <c r="F1166" s="46" t="s">
        <v>115</v>
      </c>
    </row>
    <row r="1167">
      <c r="A1167" s="285" t="s">
        <v>4081</v>
      </c>
      <c r="B1167" s="252">
        <f>IF(A1167="", "", IF(IFERROR(VLOOKUP(A1167, 'Base 3F'!$B:$C, 2, FALSE),"")="", "SIN CUIT", VLOOKUP(A1167, 'Base 3F'!$B:$C, 2, FALSE)))</f>
        <v>20058773310</v>
      </c>
      <c r="C1167" s="253" t="str">
        <f>IF(A1167="", "", IF(IFERROR(VLOOKUP(A1167, 'Base 3F'!$B:$J, 9, FALSE),"")="", "SIN RUBRO", VLOOKUP(A1167, 'Base 3F'!$B:$J, 9, FALSE)))</f>
        <v>Química</v>
      </c>
      <c r="D1167" s="58" t="s">
        <v>6405</v>
      </c>
      <c r="E1167" s="10" t="s">
        <v>2392</v>
      </c>
      <c r="F1167" s="46" t="s">
        <v>115</v>
      </c>
    </row>
    <row r="1168">
      <c r="A1168" s="285" t="s">
        <v>6032</v>
      </c>
      <c r="B1168" s="252">
        <f>IF(A1168="", "", IF(IFERROR(VLOOKUP(A1168, 'Base 3F'!$B:$C, 2, FALSE),"")="", "SIN CUIT", VLOOKUP(A1168, 'Base 3F'!$B:$C, 2, FALSE)))</f>
        <v>30709421111</v>
      </c>
      <c r="C1168" s="253" t="str">
        <f>IF(A1168="", "", IF(IFERROR(VLOOKUP(A1168, 'Base 3F'!$B:$J, 9, FALSE),"")="", "SIN RUBRO", VLOOKUP(A1168, 'Base 3F'!$B:$J, 9, FALSE)))</f>
        <v>Textil</v>
      </c>
      <c r="D1168" s="58" t="s">
        <v>6411</v>
      </c>
      <c r="E1168" s="10" t="s">
        <v>2392</v>
      </c>
      <c r="F1168" s="46" t="s">
        <v>115</v>
      </c>
    </row>
    <row r="1169">
      <c r="A1169" s="285" t="s">
        <v>6060</v>
      </c>
      <c r="B1169" s="252">
        <f>IF(A1169="", "", IF(IFERROR(VLOOKUP(A1169, 'Base 3F'!$B:$C, 2, FALSE),"")="", "SIN CUIT", VLOOKUP(A1169, 'Base 3F'!$B:$C, 2, FALSE)))</f>
        <v>30708352701</v>
      </c>
      <c r="C1169" s="253" t="str">
        <f>IF(A1169="", "", IF(IFERROR(VLOOKUP(A1169, 'Base 3F'!$B:$J, 9, FALSE),"")="", "SIN RUBRO", VLOOKUP(A1169, 'Base 3F'!$B:$J, 9, FALSE)))</f>
        <v>Servicios</v>
      </c>
      <c r="D1169" s="58" t="s">
        <v>6420</v>
      </c>
      <c r="E1169" s="10" t="s">
        <v>2392</v>
      </c>
      <c r="F1169" s="46" t="s">
        <v>115</v>
      </c>
    </row>
    <row r="1170">
      <c r="A1170" s="285" t="s">
        <v>6064</v>
      </c>
      <c r="B1170" s="252">
        <f>IF(A1170="", "", IF(IFERROR(VLOOKUP(A1170, 'Base 3F'!$B:$C, 2, FALSE),"")="", "SIN CUIT", VLOOKUP(A1170, 'Base 3F'!$B:$C, 2, FALSE)))</f>
        <v>30684823619</v>
      </c>
      <c r="C1170" s="253" t="str">
        <f>IF(A1170="", "", IF(IFERROR(VLOOKUP(A1170, 'Base 3F'!$B:$J, 9, FALSE),"")="", "SIN RUBRO", VLOOKUP(A1170, 'Base 3F'!$B:$J, 9, FALSE)))</f>
        <v>Gráfica</v>
      </c>
      <c r="D1170" s="58" t="s">
        <v>6423</v>
      </c>
      <c r="E1170" s="10" t="s">
        <v>2392</v>
      </c>
      <c r="F1170" s="46" t="s">
        <v>115</v>
      </c>
    </row>
    <row r="1171">
      <c r="A1171" s="285" t="s">
        <v>6070</v>
      </c>
      <c r="B1171" s="252">
        <f>IF(A1171="", "", IF(IFERROR(VLOOKUP(A1171, 'Base 3F'!$B:$C, 2, FALSE),"")="", "SIN CUIT", VLOOKUP(A1171, 'Base 3F'!$B:$C, 2, FALSE)))</f>
        <v>30714335649</v>
      </c>
      <c r="C1171" s="253" t="str">
        <f>IF(A1171="", "", IF(IFERROR(VLOOKUP(A1171, 'Base 3F'!$B:$J, 9, FALSE),"")="", "SIN RUBRO", VLOOKUP(A1171, 'Base 3F'!$B:$J, 9, FALSE)))</f>
        <v>Gráfica</v>
      </c>
      <c r="D1171" s="58" t="s">
        <v>6429</v>
      </c>
      <c r="E1171" s="10" t="s">
        <v>2392</v>
      </c>
      <c r="F1171" s="46" t="s">
        <v>115</v>
      </c>
    </row>
    <row r="1172">
      <c r="A1172" s="285" t="s">
        <v>6074</v>
      </c>
      <c r="B1172" s="252">
        <f>IF(A1172="", "", IF(IFERROR(VLOOKUP(A1172, 'Base 3F'!$B:$C, 2, FALSE),"")="", "SIN CUIT", VLOOKUP(A1172, 'Base 3F'!$B:$C, 2, FALSE)))</f>
        <v>30711924562</v>
      </c>
      <c r="C1172" s="253" t="str">
        <f>IF(A1172="", "", IF(IFERROR(VLOOKUP(A1172, 'Base 3F'!$B:$J, 9, FALSE),"")="", "SIN RUBRO", VLOOKUP(A1172, 'Base 3F'!$B:$J, 9, FALSE)))</f>
        <v>Gráfica</v>
      </c>
      <c r="D1172" s="58" t="s">
        <v>6433</v>
      </c>
      <c r="E1172" s="10" t="s">
        <v>2392</v>
      </c>
      <c r="F1172" s="46" t="s">
        <v>115</v>
      </c>
    </row>
    <row r="1173">
      <c r="A1173" s="285" t="s">
        <v>6087</v>
      </c>
      <c r="B1173" s="252">
        <f>IF(A1173="", "", IF(IFERROR(VLOOKUP(A1173, 'Base 3F'!$B:$C, 2, FALSE),"")="", "SIN CUIT", VLOOKUP(A1173, 'Base 3F'!$B:$C, 2, FALSE)))</f>
        <v>30710388144</v>
      </c>
      <c r="C1173" s="253" t="str">
        <f>IF(A1173="", "", IF(IFERROR(VLOOKUP(A1173, 'Base 3F'!$B:$J, 9, FALSE),"")="", "SIN RUBRO", VLOOKUP(A1173, 'Base 3F'!$B:$J, 9, FALSE)))</f>
        <v>Servicios</v>
      </c>
      <c r="D1173" s="58" t="s">
        <v>6435</v>
      </c>
      <c r="E1173" s="10" t="s">
        <v>2392</v>
      </c>
      <c r="F1173" s="46" t="s">
        <v>115</v>
      </c>
    </row>
    <row r="1174">
      <c r="A1174" s="285" t="s">
        <v>6092</v>
      </c>
      <c r="B1174" s="252">
        <f>IF(A1174="", "", IF(IFERROR(VLOOKUP(A1174, 'Base 3F'!$B:$C, 2, FALSE),"")="", "SIN CUIT", VLOOKUP(A1174, 'Base 3F'!$B:$C, 2, FALSE)))</f>
        <v>30708439068</v>
      </c>
      <c r="C1174" s="253" t="str">
        <f>IF(A1174="", "", IF(IFERROR(VLOOKUP(A1174, 'Base 3F'!$B:$J, 9, FALSE),"")="", "SIN RUBRO", VLOOKUP(A1174, 'Base 3F'!$B:$J, 9, FALSE)))</f>
        <v>Papel</v>
      </c>
      <c r="D1174" s="58" t="s">
        <v>6438</v>
      </c>
      <c r="E1174" s="10" t="s">
        <v>2392</v>
      </c>
      <c r="F1174" s="46" t="s">
        <v>115</v>
      </c>
    </row>
    <row r="1175">
      <c r="A1175" s="285" t="s">
        <v>6102</v>
      </c>
      <c r="B1175" s="252">
        <f>IF(A1175="", "", IF(IFERROR(VLOOKUP(A1175, 'Base 3F'!$B:$C, 2, FALSE),"")="", "SIN CUIT", VLOOKUP(A1175, 'Base 3F'!$B:$C, 2, FALSE)))</f>
        <v>30714960233</v>
      </c>
      <c r="C1175" s="253" t="str">
        <f>IF(A1175="", "", IF(IFERROR(VLOOKUP(A1175, 'Base 3F'!$B:$J, 9, FALSE),"")="", "SIN RUBRO", VLOOKUP(A1175, 'Base 3F'!$B:$J, 9, FALSE)))</f>
        <v>Textil</v>
      </c>
      <c r="D1175" s="58" t="s">
        <v>6447</v>
      </c>
      <c r="E1175" s="10" t="s">
        <v>2392</v>
      </c>
      <c r="F1175" s="46" t="s">
        <v>115</v>
      </c>
    </row>
    <row r="1176">
      <c r="A1176" s="285" t="s">
        <v>1791</v>
      </c>
      <c r="B1176" s="252">
        <f>IF(A1176="", "", IF(IFERROR(VLOOKUP(A1176, 'Base 3F'!$B:$C, 2, FALSE),"")="", "SIN CUIT", VLOOKUP(A1176, 'Base 3F'!$B:$C, 2, FALSE)))</f>
        <v>30712294600</v>
      </c>
      <c r="C1176" s="253" t="str">
        <f>IF(A1176="", "", IF(IFERROR(VLOOKUP(A1176, 'Base 3F'!$B:$J, 9, FALSE),"")="", "SIN RUBRO", VLOOKUP(A1176, 'Base 3F'!$B:$J, 9, FALSE)))</f>
        <v>Metalúrgica</v>
      </c>
      <c r="D1176" s="58" t="s">
        <v>6449</v>
      </c>
      <c r="E1176" s="10" t="s">
        <v>2392</v>
      </c>
      <c r="F1176" s="46" t="s">
        <v>115</v>
      </c>
    </row>
    <row r="1177">
      <c r="A1177" s="285" t="s">
        <v>1795</v>
      </c>
      <c r="B1177" s="252">
        <f>IF(A1177="", "", IF(IFERROR(VLOOKUP(A1177, 'Base 3F'!$B:$C, 2, FALSE),"")="", "SIN CUIT", VLOOKUP(A1177, 'Base 3F'!$B:$C, 2, FALSE)))</f>
        <v>20238334862</v>
      </c>
      <c r="C1177" s="253" t="str">
        <f>IF(A1177="", "", IF(IFERROR(VLOOKUP(A1177, 'Base 3F'!$B:$J, 9, FALSE),"")="", "SIN RUBRO", VLOOKUP(A1177, 'Base 3F'!$B:$J, 9, FALSE)))</f>
        <v>Servicios</v>
      </c>
      <c r="D1177" s="58" t="s">
        <v>6453</v>
      </c>
      <c r="E1177" s="10" t="s">
        <v>2392</v>
      </c>
      <c r="F1177" s="46" t="s">
        <v>115</v>
      </c>
    </row>
    <row r="1178">
      <c r="A1178" s="285" t="s">
        <v>6130</v>
      </c>
      <c r="B1178" s="252">
        <f>IF(A1178="", "", IF(IFERROR(VLOOKUP(A1178, 'Base 3F'!$B:$C, 2, FALSE),"")="", "SIN CUIT", VLOOKUP(A1178, 'Base 3F'!$B:$C, 2, FALSE)))</f>
        <v>20133159119</v>
      </c>
      <c r="C1178" s="253" t="str">
        <f>IF(A1178="", "", IF(IFERROR(VLOOKUP(A1178, 'Base 3F'!$B:$J, 9, FALSE),"")="", "SIN RUBRO", VLOOKUP(A1178, 'Base 3F'!$B:$J, 9, FALSE)))</f>
        <v>Madera</v>
      </c>
      <c r="D1178" s="58" t="s">
        <v>6458</v>
      </c>
      <c r="E1178" s="10" t="s">
        <v>2392</v>
      </c>
      <c r="F1178" s="46" t="s">
        <v>115</v>
      </c>
    </row>
    <row r="1179">
      <c r="A1179" s="285" t="s">
        <v>1800</v>
      </c>
      <c r="B1179" s="252">
        <f>IF(A1179="", "", IF(IFERROR(VLOOKUP(A1179, 'Base 3F'!$B:$C, 2, FALSE),"")="", "SIN CUIT", VLOOKUP(A1179, 'Base 3F'!$B:$C, 2, FALSE)))</f>
        <v>30709037060</v>
      </c>
      <c r="C1179" s="253" t="str">
        <f>IF(A1179="", "", IF(IFERROR(VLOOKUP(A1179, 'Base 3F'!$B:$J, 9, FALSE),"")="", "SIN RUBRO", VLOOKUP(A1179, 'Base 3F'!$B:$J, 9, FALSE)))</f>
        <v>Metalúrgica</v>
      </c>
      <c r="D1179" s="58" t="s">
        <v>6460</v>
      </c>
      <c r="E1179" s="10" t="s">
        <v>2392</v>
      </c>
      <c r="F1179" s="46" t="s">
        <v>115</v>
      </c>
    </row>
    <row r="1180">
      <c r="A1180" s="285" t="s">
        <v>6150</v>
      </c>
      <c r="B1180" s="252">
        <f>IF(A1180="", "", IF(IFERROR(VLOOKUP(A1180, 'Base 3F'!$B:$C, 2, FALSE),"")="", "SIN CUIT", VLOOKUP(A1180, 'Base 3F'!$B:$C, 2, FALSE)))</f>
        <v>30709499374</v>
      </c>
      <c r="C1180" s="253" t="str">
        <f>IF(A1180="", "", IF(IFERROR(VLOOKUP(A1180, 'Base 3F'!$B:$J, 9, FALSE),"")="", "SIN RUBRO", VLOOKUP(A1180, 'Base 3F'!$B:$J, 9, FALSE)))</f>
        <v>Metalúrgica</v>
      </c>
      <c r="D1180" s="58" t="s">
        <v>6465</v>
      </c>
      <c r="E1180" s="10" t="s">
        <v>2392</v>
      </c>
      <c r="F1180" s="46" t="s">
        <v>115</v>
      </c>
    </row>
    <row r="1181">
      <c r="A1181" s="285" t="s">
        <v>6172</v>
      </c>
      <c r="B1181" s="252">
        <f>IF(A1181="", "", IF(IFERROR(VLOOKUP(A1181, 'Base 3F'!$B:$C, 2, FALSE),"")="", "SIN CUIT", VLOOKUP(A1181, 'Base 3F'!$B:$C, 2, FALSE)))</f>
        <v>30707894993</v>
      </c>
      <c r="C1181" s="253" t="str">
        <f>IF(A1181="", "", IF(IFERROR(VLOOKUP(A1181, 'Base 3F'!$B:$J, 9, FALSE),"")="", "SIN RUBRO", VLOOKUP(A1181, 'Base 3F'!$B:$J, 9, FALSE)))</f>
        <v>Vidrio</v>
      </c>
      <c r="D1181" s="58" t="s">
        <v>6468</v>
      </c>
      <c r="E1181" s="10" t="s">
        <v>2392</v>
      </c>
      <c r="F1181" s="46" t="s">
        <v>115</v>
      </c>
    </row>
    <row r="1182">
      <c r="A1182" s="285" t="s">
        <v>6176</v>
      </c>
      <c r="B1182" s="252">
        <f>IF(A1182="", "", IF(IFERROR(VLOOKUP(A1182, 'Base 3F'!$B:$C, 2, FALSE),"")="", "SIN CUIT", VLOOKUP(A1182, 'Base 3F'!$B:$C, 2, FALSE)))</f>
        <v>30710015461</v>
      </c>
      <c r="C1182" s="253" t="str">
        <f>IF(A1182="", "", IF(IFERROR(VLOOKUP(A1182, 'Base 3F'!$B:$J, 9, FALSE),"")="", "SIN RUBRO", VLOOKUP(A1182, 'Base 3F'!$B:$J, 9, FALSE)))</f>
        <v>Calzado</v>
      </c>
      <c r="D1182" s="58" t="s">
        <v>6472</v>
      </c>
      <c r="E1182" s="10" t="s">
        <v>2392</v>
      </c>
      <c r="F1182" s="46" t="s">
        <v>115</v>
      </c>
    </row>
    <row r="1183">
      <c r="A1183" s="285" t="s">
        <v>1808</v>
      </c>
      <c r="B1183" s="252">
        <f>IF(A1183="", "", IF(IFERROR(VLOOKUP(A1183, 'Base 3F'!$B:$C, 2, FALSE),"")="", "SIN CUIT", VLOOKUP(A1183, 'Base 3F'!$B:$C, 2, FALSE)))</f>
        <v>33624658529</v>
      </c>
      <c r="C1183" s="253" t="str">
        <f>IF(A1183="", "", IF(IFERROR(VLOOKUP(A1183, 'Base 3F'!$B:$J, 9, FALSE),"")="", "SIN RUBRO", VLOOKUP(A1183, 'Base 3F'!$B:$J, 9, FALSE)))</f>
        <v>Gráfica</v>
      </c>
      <c r="D1183" s="58" t="s">
        <v>6474</v>
      </c>
      <c r="E1183" s="10" t="s">
        <v>2392</v>
      </c>
      <c r="F1183" s="46" t="s">
        <v>115</v>
      </c>
    </row>
    <row r="1184">
      <c r="A1184" s="285" t="s">
        <v>6191</v>
      </c>
      <c r="B1184" s="252">
        <f>IF(A1184="", "", IF(IFERROR(VLOOKUP(A1184, 'Base 3F'!$B:$C, 2, FALSE),"")="", "SIN CUIT", VLOOKUP(A1184, 'Base 3F'!$B:$C, 2, FALSE)))</f>
        <v>30520129010</v>
      </c>
      <c r="C1184" s="253" t="str">
        <f>IF(A1184="", "", IF(IFERROR(VLOOKUP(A1184, 'Base 3F'!$B:$J, 9, FALSE),"")="", "SIN RUBRO", VLOOKUP(A1184, 'Base 3F'!$B:$J, 9, FALSE)))</f>
        <v>Manufactura</v>
      </c>
      <c r="D1184" s="58" t="s">
        <v>6481</v>
      </c>
      <c r="E1184" s="10" t="s">
        <v>2392</v>
      </c>
      <c r="F1184" s="46" t="s">
        <v>115</v>
      </c>
    </row>
    <row r="1185">
      <c r="A1185" s="285" t="s">
        <v>1817</v>
      </c>
      <c r="B1185" s="252">
        <f>IF(A1185="", "", IF(IFERROR(VLOOKUP(A1185, 'Base 3F'!$B:$C, 2, FALSE),"")="", "SIN CUIT", VLOOKUP(A1185, 'Base 3F'!$B:$C, 2, FALSE)))</f>
        <v>30548089405</v>
      </c>
      <c r="C1185" s="253" t="str">
        <f>IF(A1185="", "", IF(IFERROR(VLOOKUP(A1185, 'Base 3F'!$B:$J, 9, FALSE),"")="", "SIN RUBRO", VLOOKUP(A1185, 'Base 3F'!$B:$J, 9, FALSE)))</f>
        <v>Papel</v>
      </c>
      <c r="D1185" s="58" t="s">
        <v>6484</v>
      </c>
      <c r="E1185" s="10" t="s">
        <v>2392</v>
      </c>
      <c r="F1185" s="46" t="s">
        <v>115</v>
      </c>
    </row>
    <row r="1186">
      <c r="A1186" s="285" t="s">
        <v>6222</v>
      </c>
      <c r="B1186" s="252">
        <f>IF(A1186="", "", IF(IFERROR(VLOOKUP(A1186, 'Base 3F'!$B:$C, 2, FALSE),"")="", "SIN CUIT", VLOOKUP(A1186, 'Base 3F'!$B:$C, 2, FALSE)))</f>
        <v>30711951527</v>
      </c>
      <c r="C1186" s="253" t="str">
        <f>IF(A1186="", "", IF(IFERROR(VLOOKUP(A1186, 'Base 3F'!$B:$J, 9, FALSE),"")="", "SIN RUBRO", VLOOKUP(A1186, 'Base 3F'!$B:$J, 9, FALSE)))</f>
        <v>Servicios</v>
      </c>
      <c r="D1186" s="58" t="s">
        <v>6490</v>
      </c>
      <c r="E1186" s="10" t="s">
        <v>2392</v>
      </c>
      <c r="F1186" s="46" t="s">
        <v>115</v>
      </c>
    </row>
    <row r="1187">
      <c r="A1187" s="285" t="s">
        <v>6226</v>
      </c>
      <c r="B1187" s="252">
        <f>IF(A1187="", "", IF(IFERROR(VLOOKUP(A1187, 'Base 3F'!$B:$C, 2, FALSE),"")="", "SIN CUIT", VLOOKUP(A1187, 'Base 3F'!$B:$C, 2, FALSE)))</f>
        <v>20045956211</v>
      </c>
      <c r="C1187" s="253" t="str">
        <f>IF(A1187="", "", IF(IFERROR(VLOOKUP(A1187, 'Base 3F'!$B:$J, 9, FALSE),"")="", "SIN RUBRO", VLOOKUP(A1187, 'Base 3F'!$B:$J, 9, FALSE)))</f>
        <v>Servicios</v>
      </c>
      <c r="D1187" s="58" t="s">
        <v>6496</v>
      </c>
      <c r="E1187" s="10" t="s">
        <v>2392</v>
      </c>
      <c r="F1187" s="46" t="s">
        <v>115</v>
      </c>
    </row>
    <row r="1188">
      <c r="A1188" s="285" t="s">
        <v>6229</v>
      </c>
      <c r="B1188" s="252" t="str">
        <f>IF(A1188="", "", IF(IFERROR(VLOOKUP(A1188, 'Base 3F'!$B:$C, 2, FALSE),"")="", "SIN CUIT", VLOOKUP(A1188, 'Base 3F'!$B:$C, 2, FALSE)))</f>
        <v>Averiguar</v>
      </c>
      <c r="C1188" s="253" t="str">
        <f>IF(A1188="", "", IF(IFERROR(VLOOKUP(A1188, 'Base 3F'!$B:$J, 9, FALSE),"")="", "SIN RUBRO", VLOOKUP(A1188, 'Base 3F'!$B:$J, 9, FALSE)))</f>
        <v>Química</v>
      </c>
      <c r="D1188" s="58" t="s">
        <v>6500</v>
      </c>
      <c r="E1188" s="10" t="s">
        <v>2392</v>
      </c>
      <c r="F1188" s="46" t="s">
        <v>115</v>
      </c>
    </row>
    <row r="1189">
      <c r="A1189" s="285" t="s">
        <v>6247</v>
      </c>
      <c r="B1189" s="252">
        <f>IF(A1189="", "", IF(IFERROR(VLOOKUP(A1189, 'Base 3F'!$B:$C, 2, FALSE),"")="", "SIN CUIT", VLOOKUP(A1189, 'Base 3F'!$B:$C, 2, FALSE)))</f>
        <v>30710395663</v>
      </c>
      <c r="C1189" s="253" t="str">
        <f>IF(A1189="", "", IF(IFERROR(VLOOKUP(A1189, 'Base 3F'!$B:$J, 9, FALSE),"")="", "SIN RUBRO", VLOOKUP(A1189, 'Base 3F'!$B:$J, 9, FALSE)))</f>
        <v>Electrónica</v>
      </c>
      <c r="D1189" s="58" t="s">
        <v>6507</v>
      </c>
      <c r="E1189" s="10" t="s">
        <v>2392</v>
      </c>
      <c r="F1189" s="46" t="s">
        <v>115</v>
      </c>
    </row>
    <row r="1190">
      <c r="A1190" s="285" t="s">
        <v>6253</v>
      </c>
      <c r="B1190" s="252">
        <f>IF(A1190="", "", IF(IFERROR(VLOOKUP(A1190, 'Base 3F'!$B:$C, 2, FALSE),"")="", "SIN CUIT", VLOOKUP(A1190, 'Base 3F'!$B:$C, 2, FALSE)))</f>
        <v>30613775702</v>
      </c>
      <c r="C1190" s="253" t="str">
        <f>IF(A1190="", "", IF(IFERROR(VLOOKUP(A1190, 'Base 3F'!$B:$J, 9, FALSE),"")="", "SIN RUBRO", VLOOKUP(A1190, 'Base 3F'!$B:$J, 9, FALSE)))</f>
        <v>Metalúrgica</v>
      </c>
      <c r="D1190" s="58" t="s">
        <v>6512</v>
      </c>
      <c r="E1190" s="10" t="s">
        <v>2392</v>
      </c>
      <c r="F1190" s="46" t="s">
        <v>115</v>
      </c>
    </row>
    <row r="1191">
      <c r="A1191" s="285" t="s">
        <v>6259</v>
      </c>
      <c r="B1191" s="252">
        <f>IF(A1191="", "", IF(IFERROR(VLOOKUP(A1191, 'Base 3F'!$B:$C, 2, FALSE),"")="", "SIN CUIT", VLOOKUP(A1191, 'Base 3F'!$B:$C, 2, FALSE)))</f>
        <v>30502077658</v>
      </c>
      <c r="C1191" s="253" t="str">
        <f>IF(A1191="", "", IF(IFERROR(VLOOKUP(A1191, 'Base 3F'!$B:$J, 9, FALSE),"")="", "SIN RUBRO", VLOOKUP(A1191, 'Base 3F'!$B:$J, 9, FALSE)))</f>
        <v>Metalúrgica</v>
      </c>
      <c r="D1191" s="58" t="s">
        <v>6515</v>
      </c>
      <c r="E1191" s="10" t="s">
        <v>2392</v>
      </c>
      <c r="F1191" s="46" t="s">
        <v>115</v>
      </c>
    </row>
    <row r="1192">
      <c r="A1192" s="285" t="s">
        <v>1826</v>
      </c>
      <c r="B1192" s="252">
        <f>IF(A1192="", "", IF(IFERROR(VLOOKUP(A1192, 'Base 3F'!$B:$C, 2, FALSE),"")="", "SIN CUIT", VLOOKUP(A1192, 'Base 3F'!$B:$C, 2, FALSE)))</f>
        <v>30612459254</v>
      </c>
      <c r="C1192" s="253" t="str">
        <f>IF(A1192="", "", IF(IFERROR(VLOOKUP(A1192, 'Base 3F'!$B:$J, 9, FALSE),"")="", "SIN RUBRO", VLOOKUP(A1192, 'Base 3F'!$B:$J, 9, FALSE)))</f>
        <v>Metalúrgica</v>
      </c>
      <c r="D1192" s="58" t="s">
        <v>6518</v>
      </c>
      <c r="E1192" s="10" t="s">
        <v>2392</v>
      </c>
      <c r="F1192" s="46" t="s">
        <v>115</v>
      </c>
    </row>
    <row r="1193">
      <c r="A1193" s="285" t="s">
        <v>6278</v>
      </c>
      <c r="B1193" s="252">
        <f>IF(A1193="", "", IF(IFERROR(VLOOKUP(A1193, 'Base 3F'!$B:$C, 2, FALSE),"")="", "SIN CUIT", VLOOKUP(A1193, 'Base 3F'!$B:$C, 2, FALSE)))</f>
        <v>30597213073</v>
      </c>
      <c r="C1193" s="253" t="str">
        <f>IF(A1193="", "", IF(IFERROR(VLOOKUP(A1193, 'Base 3F'!$B:$J, 9, FALSE),"")="", "SIN RUBRO", VLOOKUP(A1193, 'Base 3F'!$B:$J, 9, FALSE)))</f>
        <v>Metalúrgica</v>
      </c>
      <c r="D1193" s="58" t="s">
        <v>6520</v>
      </c>
      <c r="E1193" s="10" t="s">
        <v>2392</v>
      </c>
      <c r="F1193" s="46" t="s">
        <v>115</v>
      </c>
    </row>
    <row r="1194">
      <c r="A1194" s="285" t="s">
        <v>6293</v>
      </c>
      <c r="B1194" s="252">
        <f>IF(A1194="", "", IF(IFERROR(VLOOKUP(A1194, 'Base 3F'!$B:$C, 2, FALSE),"")="", "SIN CUIT", VLOOKUP(A1194, 'Base 3F'!$B:$C, 2, FALSE)))</f>
        <v>30552952681</v>
      </c>
      <c r="C1194" s="253" t="str">
        <f>IF(A1194="", "", IF(IFERROR(VLOOKUP(A1194, 'Base 3F'!$B:$J, 9, FALSE),"")="", "SIN RUBRO", VLOOKUP(A1194, 'Base 3F'!$B:$J, 9, FALSE)))</f>
        <v>Metalúrgica</v>
      </c>
      <c r="D1194" s="58" t="s">
        <v>6528</v>
      </c>
      <c r="E1194" s="10" t="s">
        <v>2392</v>
      </c>
      <c r="F1194" s="46" t="s">
        <v>115</v>
      </c>
    </row>
    <row r="1195">
      <c r="A1195" s="285" t="s">
        <v>1832</v>
      </c>
      <c r="B1195" s="252" t="str">
        <f>IF(A1195="", "", IF(IFERROR(VLOOKUP(A1195, 'Base 3F'!$B:$C, 2, FALSE),"")="", "SIN CUIT", VLOOKUP(A1195, 'Base 3F'!$B:$C, 2, FALSE)))</f>
        <v>Averiguar</v>
      </c>
      <c r="C1195" s="253" t="str">
        <f>IF(A1195="", "", IF(IFERROR(VLOOKUP(A1195, 'Base 3F'!$B:$J, 9, FALSE),"")="", "SIN RUBRO", VLOOKUP(A1195, 'Base 3F'!$B:$J, 9, FALSE)))</f>
        <v>Metalúrgica</v>
      </c>
      <c r="D1195" s="58" t="s">
        <v>245</v>
      </c>
      <c r="E1195" s="10" t="s">
        <v>2392</v>
      </c>
      <c r="F1195" s="46" t="s">
        <v>115</v>
      </c>
    </row>
    <row r="1196">
      <c r="A1196" s="285" t="s">
        <v>6311</v>
      </c>
      <c r="B1196" s="252">
        <f>IF(A1196="", "", IF(IFERROR(VLOOKUP(A1196, 'Base 3F'!$B:$C, 2, FALSE),"")="", "SIN CUIT", VLOOKUP(A1196, 'Base 3F'!$B:$C, 2, FALSE)))</f>
        <v>30708482095</v>
      </c>
      <c r="C1196" s="253" t="str">
        <f>IF(A1196="", "", IF(IFERROR(VLOOKUP(A1196, 'Base 3F'!$B:$J, 9, FALSE),"")="", "SIN RUBRO", VLOOKUP(A1196, 'Base 3F'!$B:$J, 9, FALSE)))</f>
        <v>Metalúrgica</v>
      </c>
      <c r="D1196" s="58" t="s">
        <v>6537</v>
      </c>
      <c r="E1196" s="10" t="s">
        <v>2392</v>
      </c>
      <c r="F1196" s="46" t="s">
        <v>115</v>
      </c>
    </row>
    <row r="1197">
      <c r="A1197" s="285" t="s">
        <v>1837</v>
      </c>
      <c r="B1197" s="252">
        <f>IF(A1197="", "", IF(IFERROR(VLOOKUP(A1197, 'Base 3F'!$B:$C, 2, FALSE),"")="", "SIN CUIT", VLOOKUP(A1197, 'Base 3F'!$B:$C, 2, FALSE)))</f>
        <v>30695577652</v>
      </c>
      <c r="C1197" s="253" t="str">
        <f>IF(A1197="", "", IF(IFERROR(VLOOKUP(A1197, 'Base 3F'!$B:$J, 9, FALSE),"")="", "SIN RUBRO", VLOOKUP(A1197, 'Base 3F'!$B:$J, 9, FALSE)))</f>
        <v>Metalúrgica</v>
      </c>
      <c r="D1197" s="58" t="s">
        <v>6543</v>
      </c>
      <c r="E1197" s="10" t="s">
        <v>2392</v>
      </c>
      <c r="F1197" s="46" t="s">
        <v>115</v>
      </c>
    </row>
    <row r="1198">
      <c r="A1198" s="285" t="s">
        <v>1841</v>
      </c>
      <c r="B1198" s="252">
        <f>IF(A1198="", "", IF(IFERROR(VLOOKUP(A1198, 'Base 3F'!$B:$C, 2, FALSE),"")="", "SIN CUIT", VLOOKUP(A1198, 'Base 3F'!$B:$C, 2, FALSE)))</f>
        <v>30707611223</v>
      </c>
      <c r="C1198" s="253" t="str">
        <f>IF(A1198="", "", IF(IFERROR(VLOOKUP(A1198, 'Base 3F'!$B:$J, 9, FALSE),"")="", "SIN RUBRO", VLOOKUP(A1198, 'Base 3F'!$B:$J, 9, FALSE)))</f>
        <v>Construcción</v>
      </c>
      <c r="D1198" s="58" t="s">
        <v>6547</v>
      </c>
      <c r="E1198" s="10" t="s">
        <v>2392</v>
      </c>
      <c r="F1198" s="46" t="s">
        <v>115</v>
      </c>
    </row>
    <row r="1199">
      <c r="A1199" s="285" t="s">
        <v>6357</v>
      </c>
      <c r="B1199" s="252">
        <f>IF(A1199="", "", IF(IFERROR(VLOOKUP(A1199, 'Base 3F'!$B:$C, 2, FALSE),"")="", "SIN CUIT", VLOOKUP(A1199, 'Base 3F'!$B:$C, 2, FALSE)))</f>
        <v>30707981594</v>
      </c>
      <c r="C1199" s="253" t="str">
        <f>IF(A1199="", "", IF(IFERROR(VLOOKUP(A1199, 'Base 3F'!$B:$J, 9, FALSE),"")="", "SIN RUBRO", VLOOKUP(A1199, 'Base 3F'!$B:$J, 9, FALSE)))</f>
        <v>Servicios</v>
      </c>
      <c r="D1199" s="58" t="s">
        <v>6554</v>
      </c>
      <c r="E1199" s="10" t="s">
        <v>2392</v>
      </c>
      <c r="F1199" s="46" t="s">
        <v>115</v>
      </c>
    </row>
    <row r="1200">
      <c r="A1200" s="285" t="s">
        <v>6368</v>
      </c>
      <c r="B1200" s="252">
        <f>IF(A1200="", "", IF(IFERROR(VLOOKUP(A1200, 'Base 3F'!$B:$C, 2, FALSE),"")="", "SIN CUIT", VLOOKUP(A1200, 'Base 3F'!$B:$C, 2, FALSE)))</f>
        <v>30593624362</v>
      </c>
      <c r="C1200" s="253" t="str">
        <f>IF(A1200="", "", IF(IFERROR(VLOOKUP(A1200, 'Base 3F'!$B:$J, 9, FALSE),"")="", "SIN RUBRO", VLOOKUP(A1200, 'Base 3F'!$B:$J, 9, FALSE)))</f>
        <v>Textil</v>
      </c>
      <c r="D1200" s="58" t="s">
        <v>6557</v>
      </c>
      <c r="E1200" s="10" t="s">
        <v>2392</v>
      </c>
      <c r="F1200" s="46" t="s">
        <v>115</v>
      </c>
    </row>
    <row r="1201">
      <c r="A1201" s="285" t="s">
        <v>6379</v>
      </c>
      <c r="B1201" s="252">
        <f>IF(A1201="", "", IF(IFERROR(VLOOKUP(A1201, 'Base 3F'!$B:$C, 2, FALSE),"")="", "SIN CUIT", VLOOKUP(A1201, 'Base 3F'!$B:$C, 2, FALSE)))</f>
        <v>30680295049</v>
      </c>
      <c r="C1201" s="253" t="str">
        <f>IF(A1201="", "", IF(IFERROR(VLOOKUP(A1201, 'Base 3F'!$B:$J, 9, FALSE),"")="", "SIN RUBRO", VLOOKUP(A1201, 'Base 3F'!$B:$J, 9, FALSE)))</f>
        <v>Metalúrgica</v>
      </c>
      <c r="D1201" s="58" t="s">
        <v>6563</v>
      </c>
      <c r="E1201" s="10" t="s">
        <v>2392</v>
      </c>
      <c r="F1201" s="46" t="s">
        <v>115</v>
      </c>
    </row>
    <row r="1202">
      <c r="A1202" s="285" t="s">
        <v>6385</v>
      </c>
      <c r="B1202" s="252">
        <f>IF(A1202="", "", IF(IFERROR(VLOOKUP(A1202, 'Base 3F'!$B:$C, 2, FALSE),"")="", "SIN CUIT", VLOOKUP(A1202, 'Base 3F'!$B:$C, 2, FALSE)))</f>
        <v>30710117590</v>
      </c>
      <c r="C1202" s="253" t="str">
        <f>IF(A1202="", "", IF(IFERROR(VLOOKUP(A1202, 'Base 3F'!$B:$J, 9, FALSE),"")="", "SIN RUBRO", VLOOKUP(A1202, 'Base 3F'!$B:$J, 9, FALSE)))</f>
        <v>Construcción</v>
      </c>
      <c r="D1202" s="58" t="s">
        <v>6567</v>
      </c>
      <c r="E1202" s="10" t="s">
        <v>2392</v>
      </c>
      <c r="F1202" s="46" t="s">
        <v>115</v>
      </c>
    </row>
    <row r="1203">
      <c r="A1203" s="285" t="s">
        <v>6396</v>
      </c>
      <c r="B1203" s="252">
        <f>IF(A1203="", "", IF(IFERROR(VLOOKUP(A1203, 'Base 3F'!$B:$C, 2, FALSE),"")="", "SIN CUIT", VLOOKUP(A1203, 'Base 3F'!$B:$C, 2, FALSE)))</f>
        <v>30685281550</v>
      </c>
      <c r="C1203" s="253" t="str">
        <f>IF(A1203="", "", IF(IFERROR(VLOOKUP(A1203, 'Base 3F'!$B:$J, 9, FALSE),"")="", "SIN RUBRO", VLOOKUP(A1203, 'Base 3F'!$B:$J, 9, FALSE)))</f>
        <v>Construcción</v>
      </c>
      <c r="D1203" s="58" t="s">
        <v>6575</v>
      </c>
      <c r="E1203" s="10" t="s">
        <v>2392</v>
      </c>
      <c r="F1203" s="46" t="s">
        <v>115</v>
      </c>
    </row>
    <row r="1204">
      <c r="A1204" s="285" t="s">
        <v>6403</v>
      </c>
      <c r="B1204" s="252">
        <f>IF(A1204="", "", IF(IFERROR(VLOOKUP(A1204, 'Base 3F'!$B:$C, 2, FALSE),"")="", "SIN CUIT", VLOOKUP(A1204, 'Base 3F'!$B:$C, 2, FALSE)))</f>
        <v>30710135505</v>
      </c>
      <c r="C1204" s="253" t="str">
        <f>IF(A1204="", "", IF(IFERROR(VLOOKUP(A1204, 'Base 3F'!$B:$J, 9, FALSE),"")="", "SIN RUBRO", VLOOKUP(A1204, 'Base 3F'!$B:$J, 9, FALSE)))</f>
        <v>Metalúrgica</v>
      </c>
      <c r="D1204" s="58" t="s">
        <v>6578</v>
      </c>
      <c r="E1204" s="10" t="s">
        <v>2392</v>
      </c>
      <c r="F1204" s="46" t="s">
        <v>115</v>
      </c>
    </row>
    <row r="1205">
      <c r="A1205" s="285" t="s">
        <v>1845</v>
      </c>
      <c r="B1205" s="252">
        <f>IF(A1205="", "", IF(IFERROR(VLOOKUP(A1205, 'Base 3F'!$B:$C, 2, FALSE),"")="", "SIN CUIT", VLOOKUP(A1205, 'Base 3F'!$B:$C, 2, FALSE)))</f>
        <v>30708471670</v>
      </c>
      <c r="C1205" s="253" t="str">
        <f>IF(A1205="", "", IF(IFERROR(VLOOKUP(A1205, 'Base 3F'!$B:$J, 9, FALSE),"")="", "SIN RUBRO", VLOOKUP(A1205, 'Base 3F'!$B:$J, 9, FALSE)))</f>
        <v>Alimenticia</v>
      </c>
      <c r="D1205" s="242" t="s">
        <v>6582</v>
      </c>
      <c r="E1205" s="10" t="s">
        <v>2392</v>
      </c>
      <c r="F1205" s="46" t="s">
        <v>1625</v>
      </c>
    </row>
    <row r="1206">
      <c r="A1206" s="285" t="s">
        <v>1850</v>
      </c>
      <c r="B1206" s="252">
        <f>IF(A1206="", "", IF(IFERROR(VLOOKUP(A1206, 'Base 3F'!$B:$C, 2, FALSE),"")="", "SIN CUIT", VLOOKUP(A1206, 'Base 3F'!$B:$C, 2, FALSE)))</f>
        <v>30712231765</v>
      </c>
      <c r="C1206" s="253" t="str">
        <f>IF(A1206="", "", IF(IFERROR(VLOOKUP(A1206, 'Base 3F'!$B:$J, 9, FALSE),"")="", "SIN RUBRO", VLOOKUP(A1206, 'Base 3F'!$B:$J, 9, FALSE)))</f>
        <v>Metalúrgica</v>
      </c>
      <c r="D1206" s="58" t="s">
        <v>6586</v>
      </c>
      <c r="E1206" s="10" t="s">
        <v>2392</v>
      </c>
      <c r="F1206" s="46" t="s">
        <v>115</v>
      </c>
    </row>
    <row r="1207">
      <c r="A1207" s="285" t="s">
        <v>1853</v>
      </c>
      <c r="B1207" s="252">
        <f>IF(A1207="", "", IF(IFERROR(VLOOKUP(A1207, 'Base 3F'!$B:$C, 2, FALSE),"")="", "SIN CUIT", VLOOKUP(A1207, 'Base 3F'!$B:$C, 2, FALSE)))</f>
        <v>30701170179</v>
      </c>
      <c r="C1207" s="253" t="str">
        <f>IF(A1207="", "", IF(IFERROR(VLOOKUP(A1207, 'Base 3F'!$B:$J, 9, FALSE),"")="", "SIN RUBRO", VLOOKUP(A1207, 'Base 3F'!$B:$J, 9, FALSE)))</f>
        <v>Calzado</v>
      </c>
      <c r="D1207" s="58" t="s">
        <v>901</v>
      </c>
      <c r="E1207" s="10" t="s">
        <v>2392</v>
      </c>
      <c r="F1207" s="46" t="s">
        <v>115</v>
      </c>
    </row>
    <row r="1208">
      <c r="A1208" s="285" t="s">
        <v>1856</v>
      </c>
      <c r="B1208" s="252">
        <f>IF(A1208="", "", IF(IFERROR(VLOOKUP(A1208, 'Base 3F'!$B:$C, 2, FALSE),"")="", "SIN CUIT", VLOOKUP(A1208, 'Base 3F'!$B:$C, 2, FALSE)))</f>
        <v>30714699578</v>
      </c>
      <c r="C1208" s="253" t="str">
        <f>IF(A1208="", "", IF(IFERROR(VLOOKUP(A1208, 'Base 3F'!$B:$J, 9, FALSE),"")="", "SIN RUBRO", VLOOKUP(A1208, 'Base 3F'!$B:$J, 9, FALSE)))</f>
        <v>Gráfica</v>
      </c>
      <c r="D1208" s="136" t="s">
        <v>6593</v>
      </c>
      <c r="E1208" s="10" t="s">
        <v>2392</v>
      </c>
      <c r="F1208" s="46" t="s">
        <v>115</v>
      </c>
    </row>
    <row r="1209">
      <c r="A1209" s="285" t="s">
        <v>6467</v>
      </c>
      <c r="B1209" s="252">
        <f>IF(A1209="", "", IF(IFERROR(VLOOKUP(A1209, 'Base 3F'!$B:$C, 2, FALSE),"")="", "SIN CUIT", VLOOKUP(A1209, 'Base 3F'!$B:$C, 2, FALSE)))</f>
        <v>30714508748</v>
      </c>
      <c r="C1209" s="253" t="str">
        <f>IF(A1209="", "", IF(IFERROR(VLOOKUP(A1209, 'Base 3F'!$B:$J, 9, FALSE),"")="", "SIN RUBRO", VLOOKUP(A1209, 'Base 3F'!$B:$J, 9, FALSE)))</f>
        <v>Metalúrgica</v>
      </c>
      <c r="D1209" s="58" t="s">
        <v>6602</v>
      </c>
      <c r="E1209" s="10" t="s">
        <v>2392</v>
      </c>
      <c r="F1209" s="46" t="s">
        <v>115</v>
      </c>
    </row>
    <row r="1210">
      <c r="A1210" s="285" t="s">
        <v>4090</v>
      </c>
      <c r="B1210" s="252">
        <f>IF(A1210="", "", IF(IFERROR(VLOOKUP(A1210, 'Base 3F'!$B:$C, 2, FALSE),"")="", "SIN CUIT", VLOOKUP(A1210, 'Base 3F'!$B:$C, 2, FALSE)))</f>
        <v>30707986324</v>
      </c>
      <c r="C1210" s="253" t="str">
        <f>IF(A1210="", "", IF(IFERROR(VLOOKUP(A1210, 'Base 3F'!$B:$J, 9, FALSE),"")="", "SIN RUBRO", VLOOKUP(A1210, 'Base 3F'!$B:$J, 9, FALSE)))</f>
        <v>Química</v>
      </c>
      <c r="D1210" s="96" t="s">
        <v>6607</v>
      </c>
      <c r="E1210" s="10" t="s">
        <v>2392</v>
      </c>
      <c r="F1210" s="46" t="s">
        <v>115</v>
      </c>
    </row>
    <row r="1211">
      <c r="A1211" s="285" t="s">
        <v>1861</v>
      </c>
      <c r="B1211" s="252">
        <f>IF(A1211="", "", IF(IFERROR(VLOOKUP(A1211, 'Base 3F'!$B:$C, 2, FALSE),"")="", "SIN CUIT", VLOOKUP(A1211, 'Base 3F'!$B:$C, 2, FALSE)))</f>
        <v>30714415324</v>
      </c>
      <c r="C1211" s="253" t="str">
        <f>IF(A1211="", "", IF(IFERROR(VLOOKUP(A1211, 'Base 3F'!$B:$J, 9, FALSE),"")="", "SIN RUBRO", VLOOKUP(A1211, 'Base 3F'!$B:$J, 9, FALSE)))</f>
        <v>Electrónica</v>
      </c>
      <c r="D1211" s="58" t="s">
        <v>6610</v>
      </c>
      <c r="E1211" s="10" t="s">
        <v>2392</v>
      </c>
      <c r="F1211" s="46" t="s">
        <v>115</v>
      </c>
    </row>
    <row r="1212">
      <c r="A1212" s="285" t="s">
        <v>1864</v>
      </c>
      <c r="B1212" s="252">
        <f>IF(A1212="", "", IF(IFERROR(VLOOKUP(A1212, 'Base 3F'!$B:$C, 2, FALSE),"")="", "SIN CUIT", VLOOKUP(A1212, 'Base 3F'!$B:$C, 2, FALSE)))</f>
        <v>33712338399</v>
      </c>
      <c r="C1212" s="253" t="str">
        <f>IF(A1212="", "", IF(IFERROR(VLOOKUP(A1212, 'Base 3F'!$B:$J, 9, FALSE),"")="", "SIN RUBRO", VLOOKUP(A1212, 'Base 3F'!$B:$J, 9, FALSE)))</f>
        <v>Metalúrgica</v>
      </c>
      <c r="D1212" s="58" t="s">
        <v>6616</v>
      </c>
      <c r="E1212" s="10" t="s">
        <v>2392</v>
      </c>
      <c r="F1212" s="46" t="s">
        <v>115</v>
      </c>
    </row>
    <row r="1213">
      <c r="A1213" s="285" t="s">
        <v>6505</v>
      </c>
      <c r="B1213" s="252">
        <f>IF(A1213="", "", IF(IFERROR(VLOOKUP(A1213, 'Base 3F'!$B:$C, 2, FALSE),"")="", "SIN CUIT", VLOOKUP(A1213, 'Base 3F'!$B:$C, 2, FALSE)))</f>
        <v>33712338399</v>
      </c>
      <c r="C1213" s="253" t="str">
        <f>IF(A1213="", "", IF(IFERROR(VLOOKUP(A1213, 'Base 3F'!$B:$J, 9, FALSE),"")="", "SIN RUBRO", VLOOKUP(A1213, 'Base 3F'!$B:$J, 9, FALSE)))</f>
        <v>Metalúrgica</v>
      </c>
      <c r="D1213" s="142" t="s">
        <v>6619</v>
      </c>
      <c r="E1213" s="10" t="s">
        <v>2392</v>
      </c>
      <c r="F1213" s="46" t="s">
        <v>115</v>
      </c>
    </row>
    <row r="1214">
      <c r="A1214" s="285" t="s">
        <v>6526</v>
      </c>
      <c r="B1214" s="252">
        <f>IF(A1214="", "", IF(IFERROR(VLOOKUP(A1214, 'Base 3F'!$B:$C, 2, FALSE),"")="", "SIN CUIT", VLOOKUP(A1214, 'Base 3F'!$B:$C, 2, FALSE)))</f>
        <v>30707711260</v>
      </c>
      <c r="C1214" s="253" t="str">
        <f>IF(A1214="", "", IF(IFERROR(VLOOKUP(A1214, 'Base 3F'!$B:$J, 9, FALSE),"")="", "SIN RUBRO", VLOOKUP(A1214, 'Base 3F'!$B:$J, 9, FALSE)))</f>
        <v>Papel</v>
      </c>
      <c r="D1214" s="58" t="s">
        <v>6621</v>
      </c>
      <c r="E1214" s="10" t="s">
        <v>2392</v>
      </c>
      <c r="F1214" s="46" t="s">
        <v>115</v>
      </c>
    </row>
    <row r="1215">
      <c r="A1215" s="285" t="s">
        <v>4094</v>
      </c>
      <c r="B1215" s="252">
        <f>IF(A1215="", "", IF(IFERROR(VLOOKUP(A1215, 'Base 3F'!$B:$C, 2, FALSE),"")="", "SIN CUIT", VLOOKUP(A1215, 'Base 3F'!$B:$C, 2, FALSE)))</f>
        <v>30636752211</v>
      </c>
      <c r="C1215" s="253" t="str">
        <f>IF(A1215="", "", IF(IFERROR(VLOOKUP(A1215, 'Base 3F'!$B:$J, 9, FALSE),"")="", "SIN RUBRO", VLOOKUP(A1215, 'Base 3F'!$B:$J, 9, FALSE)))</f>
        <v>Gráfica</v>
      </c>
      <c r="D1215" s="58" t="s">
        <v>6624</v>
      </c>
      <c r="E1215" s="10" t="s">
        <v>2392</v>
      </c>
      <c r="F1215" s="46" t="s">
        <v>115</v>
      </c>
    </row>
    <row r="1216">
      <c r="A1216" s="285" t="s">
        <v>6538</v>
      </c>
      <c r="B1216" s="252">
        <f>IF(A1216="", "", IF(IFERROR(VLOOKUP(A1216, 'Base 3F'!$B:$C, 2, FALSE),"")="", "SIN CUIT", VLOOKUP(A1216, 'Base 3F'!$B:$C, 2, FALSE)))</f>
        <v>30515815127</v>
      </c>
      <c r="C1216" s="253" t="str">
        <f>IF(A1216="", "", IF(IFERROR(VLOOKUP(A1216, 'Base 3F'!$B:$J, 9, FALSE),"")="", "SIN RUBRO", VLOOKUP(A1216, 'Base 3F'!$B:$J, 9, FALSE)))</f>
        <v>Textil</v>
      </c>
      <c r="D1216" s="58" t="s">
        <v>6627</v>
      </c>
      <c r="E1216" s="10" t="s">
        <v>2392</v>
      </c>
      <c r="F1216" s="46" t="s">
        <v>115</v>
      </c>
    </row>
    <row r="1217">
      <c r="A1217" s="285" t="s">
        <v>6546</v>
      </c>
      <c r="B1217" s="252">
        <f>IF(A1217="", "", IF(IFERROR(VLOOKUP(A1217, 'Base 3F'!$B:$C, 2, FALSE),"")="", "SIN CUIT", VLOOKUP(A1217, 'Base 3F'!$B:$C, 2, FALSE)))</f>
        <v>30607371179</v>
      </c>
      <c r="C1217" s="253" t="str">
        <f>IF(A1217="", "", IF(IFERROR(VLOOKUP(A1217, 'Base 3F'!$B:$J, 9, FALSE),"")="", "SIN RUBRO", VLOOKUP(A1217, 'Base 3F'!$B:$J, 9, FALSE)))</f>
        <v>Plástica</v>
      </c>
      <c r="D1217" s="58" t="s">
        <v>6629</v>
      </c>
      <c r="E1217" s="10" t="s">
        <v>2392</v>
      </c>
      <c r="F1217" s="46" t="s">
        <v>115</v>
      </c>
    </row>
    <row r="1218">
      <c r="A1218" s="285" t="s">
        <v>1870</v>
      </c>
      <c r="B1218" s="252">
        <f>IF(A1218="", "", IF(IFERROR(VLOOKUP(A1218, 'Base 3F'!$B:$C, 2, FALSE),"")="", "SIN CUIT", VLOOKUP(A1218, 'Base 3F'!$B:$C, 2, FALSE)))</f>
        <v>30711251258</v>
      </c>
      <c r="C1218" s="253" t="str">
        <f>IF(A1218="", "", IF(IFERROR(VLOOKUP(A1218, 'Base 3F'!$B:$J, 9, FALSE),"")="", "SIN RUBRO", VLOOKUP(A1218, 'Base 3F'!$B:$J, 9, FALSE)))</f>
        <v>Metalúrgica</v>
      </c>
      <c r="D1218" s="58" t="s">
        <v>6638</v>
      </c>
      <c r="E1218" s="10" t="s">
        <v>2392</v>
      </c>
      <c r="F1218" s="46" t="s">
        <v>115</v>
      </c>
    </row>
    <row r="1219">
      <c r="A1219" s="285" t="s">
        <v>6568</v>
      </c>
      <c r="B1219" s="252">
        <f>IF(A1219="", "", IF(IFERROR(VLOOKUP(A1219, 'Base 3F'!$B:$C, 2, FALSE),"")="", "SIN CUIT", VLOOKUP(A1219, 'Base 3F'!$B:$C, 2, FALSE)))</f>
        <v>30707483365</v>
      </c>
      <c r="C1219" s="253" t="str">
        <f>IF(A1219="", "", IF(IFERROR(VLOOKUP(A1219, 'Base 3F'!$B:$J, 9, FALSE),"")="", "SIN RUBRO", VLOOKUP(A1219, 'Base 3F'!$B:$J, 9, FALSE)))</f>
        <v>Bebidas</v>
      </c>
      <c r="D1219" s="58" t="s">
        <v>6640</v>
      </c>
      <c r="E1219" s="10" t="s">
        <v>2392</v>
      </c>
      <c r="F1219" s="46" t="s">
        <v>115</v>
      </c>
    </row>
    <row r="1220">
      <c r="A1220" s="285" t="s">
        <v>1880</v>
      </c>
      <c r="B1220" s="252">
        <f>IF(A1220="", "", IF(IFERROR(VLOOKUP(A1220, 'Base 3F'!$B:$C, 2, FALSE),"")="", "SIN CUIT", VLOOKUP(A1220, 'Base 3F'!$B:$C, 2, FALSE)))</f>
        <v>30712493786</v>
      </c>
      <c r="C1220" s="253" t="str">
        <f>IF(A1220="", "", IF(IFERROR(VLOOKUP(A1220, 'Base 3F'!$B:$J, 9, FALSE),"")="", "SIN RUBRO", VLOOKUP(A1220, 'Base 3F'!$B:$J, 9, FALSE)))</f>
        <v>Textil</v>
      </c>
      <c r="D1220" s="58" t="s">
        <v>6648</v>
      </c>
      <c r="E1220" s="10" t="s">
        <v>2392</v>
      </c>
      <c r="F1220" s="46" t="s">
        <v>115</v>
      </c>
    </row>
    <row r="1221">
      <c r="A1221" s="285" t="s">
        <v>6601</v>
      </c>
      <c r="B1221" s="252">
        <f>IF(A1221="", "", IF(IFERROR(VLOOKUP(A1221, 'Base 3F'!$B:$C, 2, FALSE),"")="", "SIN CUIT", VLOOKUP(A1221, 'Base 3F'!$B:$C, 2, FALSE)))</f>
        <v>30627366554</v>
      </c>
      <c r="C1221" s="253" t="str">
        <f>IF(A1221="", "", IF(IFERROR(VLOOKUP(A1221, 'Base 3F'!$B:$J, 9, FALSE),"")="", "SIN RUBRO", VLOOKUP(A1221, 'Base 3F'!$B:$J, 9, FALSE)))</f>
        <v>Gráfica</v>
      </c>
      <c r="D1221" s="58" t="s">
        <v>6651</v>
      </c>
      <c r="E1221" s="10" t="s">
        <v>2392</v>
      </c>
      <c r="F1221" s="46" t="s">
        <v>115</v>
      </c>
    </row>
    <row r="1222">
      <c r="A1222" s="285" t="s">
        <v>6608</v>
      </c>
      <c r="B1222" s="252">
        <f>IF(A1222="", "", IF(IFERROR(VLOOKUP(A1222, 'Base 3F'!$B:$C, 2, FALSE),"")="", "SIN CUIT", VLOOKUP(A1222, 'Base 3F'!$B:$C, 2, FALSE)))</f>
        <v>30709165190</v>
      </c>
      <c r="C1222" s="253" t="str">
        <f>IF(A1222="", "", IF(IFERROR(VLOOKUP(A1222, 'Base 3F'!$B:$J, 9, FALSE),"")="", "SIN RUBRO", VLOOKUP(A1222, 'Base 3F'!$B:$J, 9, FALSE)))</f>
        <v>Metalúrgica</v>
      </c>
      <c r="D1222" s="58" t="s">
        <v>6656</v>
      </c>
      <c r="E1222" s="10" t="s">
        <v>2392</v>
      </c>
      <c r="F1222" s="46" t="s">
        <v>115</v>
      </c>
    </row>
    <row r="1223">
      <c r="A1223" s="285" t="s">
        <v>6615</v>
      </c>
      <c r="B1223" s="252">
        <f>IF(A1223="", "", IF(IFERROR(VLOOKUP(A1223, 'Base 3F'!$B:$C, 2, FALSE),"")="", "SIN CUIT", VLOOKUP(A1223, 'Base 3F'!$B:$C, 2, FALSE)))</f>
        <v>33711830419</v>
      </c>
      <c r="C1223" s="253" t="str">
        <f>IF(A1223="", "", IF(IFERROR(VLOOKUP(A1223, 'Base 3F'!$B:$J, 9, FALSE),"")="", "SIN RUBRO", VLOOKUP(A1223, 'Base 3F'!$B:$J, 9, FALSE)))</f>
        <v>Metalúrgica</v>
      </c>
      <c r="D1223" s="58" t="s">
        <v>6658</v>
      </c>
      <c r="E1223" s="10" t="s">
        <v>2392</v>
      </c>
      <c r="F1223" s="46" t="s">
        <v>115</v>
      </c>
    </row>
    <row r="1224">
      <c r="A1224" s="285" t="s">
        <v>6620</v>
      </c>
      <c r="B1224" s="252">
        <f>IF(A1224="", "", IF(IFERROR(VLOOKUP(A1224, 'Base 3F'!$B:$C, 2, FALSE),"")="", "SIN CUIT", VLOOKUP(A1224, 'Base 3F'!$B:$C, 2, FALSE)))</f>
        <v>33701142859</v>
      </c>
      <c r="C1224" s="253" t="str">
        <f>IF(A1224="", "", IF(IFERROR(VLOOKUP(A1224, 'Base 3F'!$B:$J, 9, FALSE),"")="", "SIN RUBRO", VLOOKUP(A1224, 'Base 3F'!$B:$J, 9, FALSE)))</f>
        <v>Metalúrgica</v>
      </c>
      <c r="D1224" s="58" t="s">
        <v>6664</v>
      </c>
      <c r="E1224" s="10" t="s">
        <v>2392</v>
      </c>
      <c r="F1224" s="46" t="s">
        <v>115</v>
      </c>
    </row>
    <row r="1225">
      <c r="A1225" s="285" t="s">
        <v>6625</v>
      </c>
      <c r="B1225" s="252">
        <f>IF(A1225="", "", IF(IFERROR(VLOOKUP(A1225, 'Base 3F'!$B:$C, 2, FALSE),"")="", "SIN CUIT", VLOOKUP(A1225, 'Base 3F'!$B:$C, 2, FALSE)))</f>
        <v>30710812531</v>
      </c>
      <c r="C1225" s="253" t="str">
        <f>IF(A1225="", "", IF(IFERROR(VLOOKUP(A1225, 'Base 3F'!$B:$J, 9, FALSE),"")="", "SIN RUBRO", VLOOKUP(A1225, 'Base 3F'!$B:$J, 9, FALSE)))</f>
        <v>Metalúrgica</v>
      </c>
      <c r="D1225" s="142" t="s">
        <v>6665</v>
      </c>
      <c r="E1225" s="10" t="s">
        <v>2392</v>
      </c>
      <c r="F1225" s="46" t="s">
        <v>115</v>
      </c>
    </row>
    <row r="1226">
      <c r="A1226" s="285" t="s">
        <v>4102</v>
      </c>
      <c r="B1226" s="252">
        <f>IF(A1226="", "", IF(IFERROR(VLOOKUP(A1226, 'Base 3F'!$B:$C, 2, FALSE),"")="", "SIN CUIT", VLOOKUP(A1226, 'Base 3F'!$B:$C, 2, FALSE)))</f>
        <v>33708635419</v>
      </c>
      <c r="C1226" s="253" t="str">
        <f>IF(A1226="", "", IF(IFERROR(VLOOKUP(A1226, 'Base 3F'!$B:$J, 9, FALSE),"")="", "SIN RUBRO", VLOOKUP(A1226, 'Base 3F'!$B:$J, 9, FALSE)))</f>
        <v>Metalúrgica</v>
      </c>
      <c r="D1226" s="142" t="s">
        <v>6673</v>
      </c>
      <c r="E1226" s="10" t="s">
        <v>2392</v>
      </c>
      <c r="F1226" s="46" t="s">
        <v>115</v>
      </c>
    </row>
    <row r="1227">
      <c r="A1227" s="285" t="s">
        <v>6641</v>
      </c>
      <c r="B1227" s="252">
        <f>IF(A1227="", "", IF(IFERROR(VLOOKUP(A1227, 'Base 3F'!$B:$C, 2, FALSE),"")="", "SIN CUIT", VLOOKUP(A1227, 'Base 3F'!$B:$C, 2, FALSE)))</f>
        <v>30520976074</v>
      </c>
      <c r="C1227" s="253" t="str">
        <f>IF(A1227="", "", IF(IFERROR(VLOOKUP(A1227, 'Base 3F'!$B:$J, 9, FALSE),"")="", "SIN RUBRO", VLOOKUP(A1227, 'Base 3F'!$B:$J, 9, FALSE)))</f>
        <v>Servicios</v>
      </c>
      <c r="D1227" s="136" t="s">
        <v>6678</v>
      </c>
      <c r="E1227" s="10" t="s">
        <v>2392</v>
      </c>
      <c r="F1227" s="46" t="s">
        <v>115</v>
      </c>
    </row>
    <row r="1228">
      <c r="A1228" s="285" t="s">
        <v>6650</v>
      </c>
      <c r="B1228" s="252">
        <f>IF(A1228="", "", IF(IFERROR(VLOOKUP(A1228, 'Base 3F'!$B:$C, 2, FALSE),"")="", "SIN CUIT", VLOOKUP(A1228, 'Base 3F'!$B:$C, 2, FALSE)))</f>
        <v>30682557148</v>
      </c>
      <c r="C1228" s="253" t="str">
        <f>IF(A1228="", "", IF(IFERROR(VLOOKUP(A1228, 'Base 3F'!$B:$J, 9, FALSE),"")="", "SIN RUBRO", VLOOKUP(A1228, 'Base 3F'!$B:$J, 9, FALSE)))</f>
        <v>Metalúrgica</v>
      </c>
      <c r="D1228" s="58" t="s">
        <v>6682</v>
      </c>
      <c r="E1228" s="10" t="s">
        <v>2392</v>
      </c>
      <c r="F1228" s="46" t="s">
        <v>115</v>
      </c>
    </row>
    <row r="1229">
      <c r="A1229" s="285" t="s">
        <v>6657</v>
      </c>
      <c r="B1229" s="252">
        <f>IF(A1229="", "", IF(IFERROR(VLOOKUP(A1229, 'Base 3F'!$B:$C, 2, FALSE),"")="", "SIN CUIT", VLOOKUP(A1229, 'Base 3F'!$B:$C, 2, FALSE)))</f>
        <v>30663821756</v>
      </c>
      <c r="C1229" s="253" t="str">
        <f>IF(A1229="", "", IF(IFERROR(VLOOKUP(A1229, 'Base 3F'!$B:$J, 9, FALSE),"")="", "SIN RUBRO", VLOOKUP(A1229, 'Base 3F'!$B:$J, 9, FALSE)))</f>
        <v>Metalúrgica</v>
      </c>
      <c r="D1229" s="58" t="s">
        <v>6684</v>
      </c>
      <c r="E1229" s="10" t="s">
        <v>2392</v>
      </c>
      <c r="F1229" s="46" t="s">
        <v>115</v>
      </c>
    </row>
    <row r="1230">
      <c r="A1230" s="285" t="s">
        <v>1885</v>
      </c>
      <c r="B1230" s="252">
        <f>IF(A1230="", "", IF(IFERROR(VLOOKUP(A1230, 'Base 3F'!$B:$C, 2, FALSE),"")="", "SIN CUIT", VLOOKUP(A1230, 'Base 3F'!$B:$C, 2, FALSE)))</f>
        <v>30649035705</v>
      </c>
      <c r="C1230" s="253" t="str">
        <f>IF(A1230="", "", IF(IFERROR(VLOOKUP(A1230, 'Base 3F'!$B:$J, 9, FALSE),"")="", "SIN RUBRO", VLOOKUP(A1230, 'Base 3F'!$B:$J, 9, FALSE)))</f>
        <v>Metalúrgica</v>
      </c>
      <c r="D1230" s="58" t="s">
        <v>6688</v>
      </c>
      <c r="E1230" s="10" t="s">
        <v>2392</v>
      </c>
      <c r="F1230" s="46" t="s">
        <v>115</v>
      </c>
    </row>
    <row r="1231">
      <c r="A1231" s="285" t="s">
        <v>6672</v>
      </c>
      <c r="B1231" s="252">
        <f>IF(A1231="", "", IF(IFERROR(VLOOKUP(A1231, 'Base 3F'!$B:$C, 2, FALSE),"")="", "SIN CUIT", VLOOKUP(A1231, 'Base 3F'!$B:$C, 2, FALSE)))</f>
        <v>30519353330</v>
      </c>
      <c r="C1231" s="253" t="str">
        <f>IF(A1231="", "", IF(IFERROR(VLOOKUP(A1231, 'Base 3F'!$B:$J, 9, FALSE),"")="", "SIN RUBRO", VLOOKUP(A1231, 'Base 3F'!$B:$J, 9, FALSE)))</f>
        <v>Metalúrgica</v>
      </c>
      <c r="D1231" s="58" t="s">
        <v>6697</v>
      </c>
      <c r="E1231" s="10" t="s">
        <v>2392</v>
      </c>
      <c r="F1231" s="46" t="s">
        <v>115</v>
      </c>
    </row>
    <row r="1232">
      <c r="A1232" s="285" t="s">
        <v>6679</v>
      </c>
      <c r="B1232" s="252">
        <f>IF(A1232="", "", IF(IFERROR(VLOOKUP(A1232, 'Base 3F'!$B:$C, 2, FALSE),"")="", "SIN CUIT", VLOOKUP(A1232, 'Base 3F'!$B:$C, 2, FALSE)))</f>
        <v>30517286962</v>
      </c>
      <c r="C1232" s="253" t="str">
        <f>IF(A1232="", "", IF(IFERROR(VLOOKUP(A1232, 'Base 3F'!$B:$J, 9, FALSE),"")="", "SIN RUBRO", VLOOKUP(A1232, 'Base 3F'!$B:$J, 9, FALSE)))</f>
        <v>Automotor</v>
      </c>
      <c r="D1232" s="58" t="s">
        <v>6699</v>
      </c>
      <c r="E1232" s="10" t="s">
        <v>2392</v>
      </c>
      <c r="F1232" s="46" t="s">
        <v>115</v>
      </c>
    </row>
    <row r="1233">
      <c r="A1233" s="285" t="s">
        <v>6683</v>
      </c>
      <c r="B1233" s="252">
        <f>IF(A1233="", "", IF(IFERROR(VLOOKUP(A1233, 'Base 3F'!$B:$C, 2, FALSE),"")="", "SIN CUIT", VLOOKUP(A1233, 'Base 3F'!$B:$C, 2, FALSE)))</f>
        <v>33709814309</v>
      </c>
      <c r="C1233" s="253" t="str">
        <f>IF(A1233="", "", IF(IFERROR(VLOOKUP(A1233, 'Base 3F'!$B:$J, 9, FALSE),"")="", "SIN RUBRO", VLOOKUP(A1233, 'Base 3F'!$B:$J, 9, FALSE)))</f>
        <v>Metalúrgica</v>
      </c>
      <c r="D1233" s="58" t="s">
        <v>6706</v>
      </c>
      <c r="E1233" s="10" t="s">
        <v>2392</v>
      </c>
      <c r="F1233" s="46" t="s">
        <v>115</v>
      </c>
    </row>
    <row r="1234">
      <c r="A1234" s="285" t="s">
        <v>1890</v>
      </c>
      <c r="B1234" s="252">
        <f>IF(A1234="", "", IF(IFERROR(VLOOKUP(A1234, 'Base 3F'!$B:$C, 2, FALSE),"")="", "SIN CUIT", VLOOKUP(A1234, 'Base 3F'!$B:$C, 2, FALSE)))</f>
        <v>30709987867</v>
      </c>
      <c r="C1234" s="253" t="str">
        <f>IF(A1234="", "", IF(IFERROR(VLOOKUP(A1234, 'Base 3F'!$B:$J, 9, FALSE),"")="", "SIN RUBRO", VLOOKUP(A1234, 'Base 3F'!$B:$J, 9, FALSE)))</f>
        <v>Metalmecánica</v>
      </c>
      <c r="D1234" s="58" t="s">
        <v>6712</v>
      </c>
      <c r="E1234" s="10" t="s">
        <v>2392</v>
      </c>
      <c r="F1234" s="46" t="s">
        <v>115</v>
      </c>
    </row>
    <row r="1235">
      <c r="A1235" s="285" t="s">
        <v>6707</v>
      </c>
      <c r="B1235" s="252">
        <f>IF(A1235="", "", IF(IFERROR(VLOOKUP(A1235, 'Base 3F'!$B:$C, 2, FALSE),"")="", "SIN CUIT", VLOOKUP(A1235, 'Base 3F'!$B:$C, 2, FALSE)))</f>
        <v>30570150355</v>
      </c>
      <c r="C1235" s="253" t="str">
        <f>IF(A1235="", "", IF(IFERROR(VLOOKUP(A1235, 'Base 3F'!$B:$J, 9, FALSE),"")="", "SIN RUBRO", VLOOKUP(A1235, 'Base 3F'!$B:$J, 9, FALSE)))</f>
        <v>Metalúrgica</v>
      </c>
      <c r="D1235" s="58" t="s">
        <v>6718</v>
      </c>
      <c r="E1235" s="10" t="s">
        <v>2392</v>
      </c>
      <c r="F1235" s="46" t="s">
        <v>115</v>
      </c>
    </row>
    <row r="1236">
      <c r="A1236" s="285" t="s">
        <v>6717</v>
      </c>
      <c r="B1236" s="252">
        <f>IF(A1236="", "", IF(IFERROR(VLOOKUP(A1236, 'Base 3F'!$B:$C, 2, FALSE),"")="", "SIN CUIT", VLOOKUP(A1236, 'Base 3F'!$B:$C, 2, FALSE)))</f>
        <v>30648727689</v>
      </c>
      <c r="C1236" s="253" t="str">
        <f>IF(A1236="", "", IF(IFERROR(VLOOKUP(A1236, 'Base 3F'!$B:$J, 9, FALSE),"")="", "SIN RUBRO", VLOOKUP(A1236, 'Base 3F'!$B:$J, 9, FALSE)))</f>
        <v>Metalúrgica</v>
      </c>
      <c r="D1236" s="58" t="s">
        <v>6721</v>
      </c>
      <c r="E1236" s="10" t="s">
        <v>2392</v>
      </c>
      <c r="F1236" s="46" t="s">
        <v>115</v>
      </c>
    </row>
    <row r="1237">
      <c r="A1237" s="285" t="s">
        <v>1900</v>
      </c>
      <c r="B1237" s="252">
        <f>IF(A1237="", "", IF(IFERROR(VLOOKUP(A1237, 'Base 3F'!$B:$C, 2, FALSE),"")="", "SIN CUIT", VLOOKUP(A1237, 'Base 3F'!$B:$C, 2, FALSE)))</f>
        <v>30710163592</v>
      </c>
      <c r="C1237" s="253" t="str">
        <f>IF(A1237="", "", IF(IFERROR(VLOOKUP(A1237, 'Base 3F'!$B:$J, 9, FALSE),"")="", "SIN RUBRO", VLOOKUP(A1237, 'Base 3F'!$B:$J, 9, FALSE)))</f>
        <v>Alimenticia</v>
      </c>
      <c r="D1237" s="58" t="s">
        <v>6724</v>
      </c>
      <c r="E1237" s="10" t="s">
        <v>2392</v>
      </c>
      <c r="F1237" s="46" t="s">
        <v>115</v>
      </c>
    </row>
    <row r="1238">
      <c r="A1238" s="285" t="s">
        <v>4113</v>
      </c>
      <c r="B1238" s="252">
        <f>IF(A1238="", "", IF(IFERROR(VLOOKUP(A1238, 'Base 3F'!$B:$C, 2, FALSE),"")="", "SIN CUIT", VLOOKUP(A1238, 'Base 3F'!$B:$C, 2, FALSE)))</f>
        <v>30715089498</v>
      </c>
      <c r="C1238" s="253" t="str">
        <f>IF(A1238="", "", IF(IFERROR(VLOOKUP(A1238, 'Base 3F'!$B:$J, 9, FALSE),"")="", "SIN RUBRO", VLOOKUP(A1238, 'Base 3F'!$B:$J, 9, FALSE)))</f>
        <v>Metalúrgica</v>
      </c>
      <c r="D1238" s="58" t="s">
        <v>6728</v>
      </c>
      <c r="E1238" s="10" t="s">
        <v>2392</v>
      </c>
      <c r="F1238" s="46" t="s">
        <v>115</v>
      </c>
    </row>
    <row r="1239">
      <c r="A1239" s="285" t="s">
        <v>6729</v>
      </c>
      <c r="B1239" s="252">
        <f>IF(A1239="", "", IF(IFERROR(VLOOKUP(A1239, 'Base 3F'!$B:$C, 2, FALSE),"")="", "SIN CUIT", VLOOKUP(A1239, 'Base 3F'!$B:$C, 2, FALSE)))</f>
        <v>30709171069</v>
      </c>
      <c r="C1239" s="253" t="str">
        <f>IF(A1239="", "", IF(IFERROR(VLOOKUP(A1239, 'Base 3F'!$B:$J, 9, FALSE),"")="", "SIN RUBRO", VLOOKUP(A1239, 'Base 3F'!$B:$J, 9, FALSE)))</f>
        <v>Metalmecánica</v>
      </c>
      <c r="D1239" s="58" t="s">
        <v>6732</v>
      </c>
      <c r="E1239" s="10" t="s">
        <v>2392</v>
      </c>
      <c r="F1239" s="46" t="s">
        <v>115</v>
      </c>
    </row>
    <row r="1240">
      <c r="A1240" s="285" t="s">
        <v>1912</v>
      </c>
      <c r="B1240" s="252">
        <f>IF(A1240="", "", IF(IFERROR(VLOOKUP(A1240, 'Base 3F'!$B:$C, 2, FALSE),"")="", "SIN CUIT", VLOOKUP(A1240, 'Base 3F'!$B:$C, 2, FALSE)))</f>
        <v>30701152022</v>
      </c>
      <c r="C1240" s="253" t="str">
        <f>IF(A1240="", "", IF(IFERROR(VLOOKUP(A1240, 'Base 3F'!$B:$J, 9, FALSE),"")="", "SIN RUBRO", VLOOKUP(A1240, 'Base 3F'!$B:$J, 9, FALSE)))</f>
        <v>Metalúrgica</v>
      </c>
      <c r="D1240" s="58" t="s">
        <v>6743</v>
      </c>
      <c r="E1240" s="10" t="s">
        <v>2392</v>
      </c>
      <c r="F1240" s="46" t="s">
        <v>115</v>
      </c>
    </row>
    <row r="1241">
      <c r="A1241" s="285" t="s">
        <v>6744</v>
      </c>
      <c r="B1241" s="252">
        <f>IF(A1241="", "", IF(IFERROR(VLOOKUP(A1241, 'Base 3F'!$B:$C, 2, FALSE),"")="", "SIN CUIT", VLOOKUP(A1241, 'Base 3F'!$B:$C, 2, FALSE)))</f>
        <v>30700500515</v>
      </c>
      <c r="C1241" s="253" t="str">
        <f>IF(A1241="", "", IF(IFERROR(VLOOKUP(A1241, 'Base 3F'!$B:$J, 9, FALSE),"")="", "SIN RUBRO", VLOOKUP(A1241, 'Base 3F'!$B:$J, 9, FALSE)))</f>
        <v>Electrónica</v>
      </c>
      <c r="D1241" s="58" t="s">
        <v>6745</v>
      </c>
      <c r="E1241" s="10" t="s">
        <v>2392</v>
      </c>
      <c r="F1241" s="46" t="s">
        <v>115</v>
      </c>
    </row>
    <row r="1242">
      <c r="A1242" s="285" t="s">
        <v>6746</v>
      </c>
      <c r="B1242" s="252">
        <f>IF(A1242="", "", IF(IFERROR(VLOOKUP(A1242, 'Base 3F'!$B:$C, 2, FALSE),"")="", "SIN CUIT", VLOOKUP(A1242, 'Base 3F'!$B:$C, 2, FALSE)))</f>
        <v>30708239247</v>
      </c>
      <c r="C1242" s="253" t="str">
        <f>IF(A1242="", "", IF(IFERROR(VLOOKUP(A1242, 'Base 3F'!$B:$J, 9, FALSE),"")="", "SIN RUBRO", VLOOKUP(A1242, 'Base 3F'!$B:$J, 9, FALSE)))</f>
        <v>Metalúrgica</v>
      </c>
      <c r="D1242" s="58" t="s">
        <v>6754</v>
      </c>
      <c r="E1242" s="10" t="s">
        <v>2392</v>
      </c>
      <c r="F1242" s="46" t="s">
        <v>115</v>
      </c>
    </row>
    <row r="1243">
      <c r="A1243" s="285" t="s">
        <v>6755</v>
      </c>
      <c r="B1243" s="252">
        <f>IF(A1243="", "", IF(IFERROR(VLOOKUP(A1243, 'Base 3F'!$B:$C, 2, FALSE),"")="", "SIN CUIT", VLOOKUP(A1243, 'Base 3F'!$B:$C, 2, FALSE)))</f>
        <v>30647308607</v>
      </c>
      <c r="C1243" s="253" t="str">
        <f>IF(A1243="", "", IF(IFERROR(VLOOKUP(A1243, 'Base 3F'!$B:$J, 9, FALSE),"")="", "SIN RUBRO", VLOOKUP(A1243, 'Base 3F'!$B:$J, 9, FALSE)))</f>
        <v>Metalmecánica</v>
      </c>
      <c r="D1243" s="58" t="s">
        <v>6759</v>
      </c>
      <c r="E1243" s="10" t="s">
        <v>2392</v>
      </c>
      <c r="F1243" s="46" t="s">
        <v>115</v>
      </c>
    </row>
    <row r="1244">
      <c r="A1244" s="285" t="s">
        <v>6760</v>
      </c>
      <c r="B1244" s="252">
        <f>IF(A1244="", "", IF(IFERROR(VLOOKUP(A1244, 'Base 3F'!$B:$C, 2, FALSE),"")="", "SIN CUIT", VLOOKUP(A1244, 'Base 3F'!$B:$C, 2, FALSE)))</f>
        <v>30707844376</v>
      </c>
      <c r="C1244" s="253" t="str">
        <f>IF(A1244="", "", IF(IFERROR(VLOOKUP(A1244, 'Base 3F'!$B:$J, 9, FALSE),"")="", "SIN RUBRO", VLOOKUP(A1244, 'Base 3F'!$B:$J, 9, FALSE)))</f>
        <v>Electrónica</v>
      </c>
      <c r="D1244" s="58" t="s">
        <v>6765</v>
      </c>
      <c r="E1244" s="10" t="s">
        <v>2392</v>
      </c>
      <c r="F1244" s="46" t="s">
        <v>115</v>
      </c>
    </row>
    <row r="1245">
      <c r="A1245" s="285" t="s">
        <v>6767</v>
      </c>
      <c r="B1245" s="252">
        <f>IF(A1245="", "", IF(IFERROR(VLOOKUP(A1245, 'Base 3F'!$B:$C, 2, FALSE),"")="", "SIN CUIT", VLOOKUP(A1245, 'Base 3F'!$B:$C, 2, FALSE)))</f>
        <v>30716687437</v>
      </c>
      <c r="C1245" s="253" t="str">
        <f>IF(A1245="", "", IF(IFERROR(VLOOKUP(A1245, 'Base 3F'!$B:$J, 9, FALSE),"")="", "SIN RUBRO", VLOOKUP(A1245, 'Base 3F'!$B:$J, 9, FALSE)))</f>
        <v>Metalúrgica</v>
      </c>
      <c r="D1245" s="58" t="s">
        <v>6769</v>
      </c>
      <c r="E1245" s="10" t="s">
        <v>2392</v>
      </c>
      <c r="F1245" s="46" t="s">
        <v>115</v>
      </c>
    </row>
    <row r="1246">
      <c r="A1246" s="285" t="s">
        <v>6772</v>
      </c>
      <c r="B1246" s="252">
        <f>IF(A1246="", "", IF(IFERROR(VLOOKUP(A1246, 'Base 3F'!$B:$C, 2, FALSE),"")="", "SIN CUIT", VLOOKUP(A1246, 'Base 3F'!$B:$C, 2, FALSE)))</f>
        <v>30678981857</v>
      </c>
      <c r="C1246" s="253" t="str">
        <f>IF(A1246="", "", IF(IFERROR(VLOOKUP(A1246, 'Base 3F'!$B:$J, 9, FALSE),"")="", "SIN RUBRO", VLOOKUP(A1246, 'Base 3F'!$B:$J, 9, FALSE)))</f>
        <v>Electrónica</v>
      </c>
      <c r="D1246" s="58" t="s">
        <v>6779</v>
      </c>
      <c r="E1246" s="10" t="s">
        <v>2392</v>
      </c>
      <c r="F1246" s="46" t="s">
        <v>115</v>
      </c>
    </row>
    <row r="1247">
      <c r="A1247" s="285" t="s">
        <v>6780</v>
      </c>
      <c r="B1247" s="252">
        <f>IF(A1247="", "", IF(IFERROR(VLOOKUP(A1247, 'Base 3F'!$B:$C, 2, FALSE),"")="", "SIN CUIT", VLOOKUP(A1247, 'Base 3F'!$B:$C, 2, FALSE)))</f>
        <v>30504579553</v>
      </c>
      <c r="C1247" s="253" t="str">
        <f>IF(A1247="", "", IF(IFERROR(VLOOKUP(A1247, 'Base 3F'!$B:$J, 9, FALSE),"")="", "SIN RUBRO", VLOOKUP(A1247, 'Base 3F'!$B:$J, 9, FALSE)))</f>
        <v>Plástica</v>
      </c>
      <c r="D1247" s="58" t="s">
        <v>6784</v>
      </c>
      <c r="E1247" s="10" t="s">
        <v>2392</v>
      </c>
      <c r="F1247" s="46" t="s">
        <v>115</v>
      </c>
    </row>
    <row r="1248">
      <c r="A1248" s="285" t="s">
        <v>6785</v>
      </c>
      <c r="B1248" s="252">
        <f>IF(A1248="", "", IF(IFERROR(VLOOKUP(A1248, 'Base 3F'!$B:$C, 2, FALSE),"")="", "SIN CUIT", VLOOKUP(A1248, 'Base 3F'!$B:$C, 2, FALSE)))</f>
        <v>30711157626</v>
      </c>
      <c r="C1248" s="253" t="str">
        <f>IF(A1248="", "", IF(IFERROR(VLOOKUP(A1248, 'Base 3F'!$B:$J, 9, FALSE),"")="", "SIN RUBRO", VLOOKUP(A1248, 'Base 3F'!$B:$J, 9, FALSE)))</f>
        <v>Plástica</v>
      </c>
      <c r="D1248" s="58" t="s">
        <v>6788</v>
      </c>
      <c r="E1248" s="10" t="s">
        <v>2392</v>
      </c>
      <c r="F1248" s="46" t="s">
        <v>115</v>
      </c>
    </row>
    <row r="1249">
      <c r="A1249" s="285" t="s">
        <v>1917</v>
      </c>
      <c r="B1249" s="252">
        <f>IF(A1249="", "", IF(IFERROR(VLOOKUP(A1249, 'Base 3F'!$B:$C, 2, FALSE),"")="", "SIN CUIT", VLOOKUP(A1249, 'Base 3F'!$B:$C, 2, FALSE)))</f>
        <v>33515957133</v>
      </c>
      <c r="C1249" s="253" t="str">
        <f>IF(A1249="", "", IF(IFERROR(VLOOKUP(A1249, 'Base 3F'!$B:$J, 9, FALSE),"")="", "SIN RUBRO", VLOOKUP(A1249, 'Base 3F'!$B:$J, 9, FALSE)))</f>
        <v>Química</v>
      </c>
      <c r="D1249" s="58" t="s">
        <v>6790</v>
      </c>
      <c r="E1249" s="10" t="s">
        <v>2392</v>
      </c>
      <c r="F1249" s="46" t="s">
        <v>115</v>
      </c>
    </row>
    <row r="1250">
      <c r="A1250" s="285" t="s">
        <v>6791</v>
      </c>
      <c r="B1250" s="252">
        <f>IF(A1250="", "", IF(IFERROR(VLOOKUP(A1250, 'Base 3F'!$B:$C, 2, FALSE),"")="", "SIN CUIT", VLOOKUP(A1250, 'Base 3F'!$B:$C, 2, FALSE)))</f>
        <v>30708419121</v>
      </c>
      <c r="C1250" s="253" t="str">
        <f>IF(A1250="", "", IF(IFERROR(VLOOKUP(A1250, 'Base 3F'!$B:$J, 9, FALSE),"")="", "SIN RUBRO", VLOOKUP(A1250, 'Base 3F'!$B:$J, 9, FALSE)))</f>
        <v>Metalúrgica</v>
      </c>
      <c r="D1250" s="58" t="s">
        <v>6794</v>
      </c>
      <c r="E1250" s="10" t="s">
        <v>2392</v>
      </c>
      <c r="F1250" s="46" t="s">
        <v>115</v>
      </c>
    </row>
    <row r="1251">
      <c r="A1251" s="285" t="s">
        <v>6795</v>
      </c>
      <c r="B1251" s="252">
        <f>IF(A1251="", "", IF(IFERROR(VLOOKUP(A1251, 'Base 3F'!$B:$C, 2, FALSE),"")="", "SIN CUIT", VLOOKUP(A1251, 'Base 3F'!$B:$C, 2, FALSE)))</f>
        <v>30710819013</v>
      </c>
      <c r="C1251" s="253" t="str">
        <f>IF(A1251="", "", IF(IFERROR(VLOOKUP(A1251, 'Base 3F'!$B:$J, 9, FALSE),"")="", "SIN RUBRO", VLOOKUP(A1251, 'Base 3F'!$B:$J, 9, FALSE)))</f>
        <v>Metalúrgica</v>
      </c>
      <c r="D1251" s="58" t="s">
        <v>6798</v>
      </c>
      <c r="E1251" s="10" t="s">
        <v>2392</v>
      </c>
      <c r="F1251" s="46" t="s">
        <v>115</v>
      </c>
    </row>
    <row r="1252">
      <c r="A1252" s="285" t="s">
        <v>6799</v>
      </c>
      <c r="B1252" s="252">
        <f>IF(A1252="", "", IF(IFERROR(VLOOKUP(A1252, 'Base 3F'!$B:$C, 2, FALSE),"")="", "SIN CUIT", VLOOKUP(A1252, 'Base 3F'!$B:$C, 2, FALSE)))</f>
        <v>30708044128</v>
      </c>
      <c r="C1252" s="253" t="str">
        <f>IF(A1252="", "", IF(IFERROR(VLOOKUP(A1252, 'Base 3F'!$B:$J, 9, FALSE),"")="", "SIN RUBRO", VLOOKUP(A1252, 'Base 3F'!$B:$J, 9, FALSE)))</f>
        <v>Caucho</v>
      </c>
      <c r="D1252" s="58" t="s">
        <v>6800</v>
      </c>
      <c r="E1252" s="10" t="s">
        <v>2392</v>
      </c>
      <c r="F1252" s="46" t="s">
        <v>115</v>
      </c>
    </row>
    <row r="1253">
      <c r="A1253" s="285" t="s">
        <v>4131</v>
      </c>
      <c r="B1253" s="252">
        <f>IF(A1253="", "", IF(IFERROR(VLOOKUP(A1253, 'Base 3F'!$B:$C, 2, FALSE),"")="", "SIN CUIT", VLOOKUP(A1253, 'Base 3F'!$B:$C, 2, FALSE)))</f>
        <v>30677127240</v>
      </c>
      <c r="C1253" s="253" t="str">
        <f>IF(A1253="", "", IF(IFERROR(VLOOKUP(A1253, 'Base 3F'!$B:$J, 9, FALSE),"")="", "SIN RUBRO", VLOOKUP(A1253, 'Base 3F'!$B:$J, 9, FALSE)))</f>
        <v>Metalúrgica</v>
      </c>
      <c r="D1253" s="58" t="s">
        <v>6803</v>
      </c>
      <c r="E1253" s="10" t="s">
        <v>2392</v>
      </c>
      <c r="F1253" s="46" t="s">
        <v>115</v>
      </c>
    </row>
    <row r="1254">
      <c r="A1254" s="285" t="s">
        <v>6804</v>
      </c>
      <c r="B1254" s="252">
        <f>IF(A1254="", "", IF(IFERROR(VLOOKUP(A1254, 'Base 3F'!$B:$C, 2, FALSE),"")="", "SIN CUIT", VLOOKUP(A1254, 'Base 3F'!$B:$C, 2, FALSE)))</f>
        <v>30631369045</v>
      </c>
      <c r="C1254" s="253" t="str">
        <f>IF(A1254="", "", IF(IFERROR(VLOOKUP(A1254, 'Base 3F'!$B:$J, 9, FALSE),"")="", "SIN RUBRO", VLOOKUP(A1254, 'Base 3F'!$B:$J, 9, FALSE)))</f>
        <v>Caucho</v>
      </c>
      <c r="D1254" s="58" t="s">
        <v>6811</v>
      </c>
      <c r="E1254" s="10" t="s">
        <v>2392</v>
      </c>
      <c r="F1254" s="46" t="s">
        <v>115</v>
      </c>
    </row>
    <row r="1255">
      <c r="A1255" s="285" t="s">
        <v>6812</v>
      </c>
      <c r="B1255" s="252">
        <f>IF(A1255="", "", IF(IFERROR(VLOOKUP(A1255, 'Base 3F'!$B:$C, 2, FALSE),"")="", "SIN CUIT", VLOOKUP(A1255, 'Base 3F'!$B:$C, 2, FALSE)))</f>
        <v>30699653248</v>
      </c>
      <c r="C1255" s="253" t="str">
        <f>IF(A1255="", "", IF(IFERROR(VLOOKUP(A1255, 'Base 3F'!$B:$J, 9, FALSE),"")="", "SIN RUBRO", VLOOKUP(A1255, 'Base 3F'!$B:$J, 9, FALSE)))</f>
        <v>Servicios</v>
      </c>
      <c r="D1255" s="58" t="s">
        <v>6814</v>
      </c>
      <c r="E1255" s="10" t="s">
        <v>2392</v>
      </c>
      <c r="F1255" s="46" t="s">
        <v>115</v>
      </c>
    </row>
    <row r="1256">
      <c r="A1256" s="285" t="s">
        <v>6815</v>
      </c>
      <c r="B1256" s="252">
        <f>IF(A1256="", "", IF(IFERROR(VLOOKUP(A1256, 'Base 3F'!$B:$C, 2, FALSE),"")="", "SIN CUIT", VLOOKUP(A1256, 'Base 3F'!$B:$C, 2, FALSE)))</f>
        <v>30700884232</v>
      </c>
      <c r="C1256" s="253" t="str">
        <f>IF(A1256="", "", IF(IFERROR(VLOOKUP(A1256, 'Base 3F'!$B:$J, 9, FALSE),"")="", "SIN RUBRO", VLOOKUP(A1256, 'Base 3F'!$B:$J, 9, FALSE)))</f>
        <v>Construcción</v>
      </c>
      <c r="D1256" s="142" t="s">
        <v>6819</v>
      </c>
      <c r="E1256" s="10" t="s">
        <v>2392</v>
      </c>
      <c r="F1256" s="46" t="s">
        <v>115</v>
      </c>
    </row>
    <row r="1257">
      <c r="A1257" s="285" t="s">
        <v>6820</v>
      </c>
      <c r="B1257" s="252">
        <f>IF(A1257="", "", IF(IFERROR(VLOOKUP(A1257, 'Base 3F'!$B:$C, 2, FALSE),"")="", "SIN CUIT", VLOOKUP(A1257, 'Base 3F'!$B:$C, 2, FALSE)))</f>
        <v>30708216042</v>
      </c>
      <c r="C1257" s="253" t="str">
        <f>IF(A1257="", "", IF(IFERROR(VLOOKUP(A1257, 'Base 3F'!$B:$J, 9, FALSE),"")="", "SIN RUBRO", VLOOKUP(A1257, 'Base 3F'!$B:$J, 9, FALSE)))</f>
        <v>Textil</v>
      </c>
      <c r="D1257" s="58" t="s">
        <v>6824</v>
      </c>
      <c r="E1257" s="10" t="s">
        <v>2392</v>
      </c>
      <c r="F1257" s="46" t="s">
        <v>115</v>
      </c>
    </row>
    <row r="1258">
      <c r="A1258" s="285" t="s">
        <v>6825</v>
      </c>
      <c r="B1258" s="252">
        <f>IF(A1258="", "", IF(IFERROR(VLOOKUP(A1258, 'Base 3F'!$B:$C, 2, FALSE),"")="", "SIN CUIT", VLOOKUP(A1258, 'Base 3F'!$B:$C, 2, FALSE)))</f>
        <v>30572883015</v>
      </c>
      <c r="C1258" s="253" t="str">
        <f>IF(A1258="", "", IF(IFERROR(VLOOKUP(A1258, 'Base 3F'!$B:$J, 9, FALSE),"")="", "SIN RUBRO", VLOOKUP(A1258, 'Base 3F'!$B:$J, 9, FALSE)))</f>
        <v>Plástica</v>
      </c>
      <c r="D1258" s="58" t="s">
        <v>6826</v>
      </c>
      <c r="E1258" s="10" t="s">
        <v>2392</v>
      </c>
      <c r="F1258" s="46" t="s">
        <v>115</v>
      </c>
    </row>
    <row r="1259">
      <c r="A1259" s="285" t="s">
        <v>6827</v>
      </c>
      <c r="B1259" s="252">
        <f>IF(A1259="", "", IF(IFERROR(VLOOKUP(A1259, 'Base 3F'!$B:$C, 2, FALSE),"")="", "SIN CUIT", VLOOKUP(A1259, 'Base 3F'!$B:$C, 2, FALSE)))</f>
        <v>33712668909</v>
      </c>
      <c r="C1259" s="253" t="str">
        <f>IF(A1259="", "", IF(IFERROR(VLOOKUP(A1259, 'Base 3F'!$B:$J, 9, FALSE),"")="", "SIN RUBRO", VLOOKUP(A1259, 'Base 3F'!$B:$J, 9, FALSE)))</f>
        <v>Servicios</v>
      </c>
      <c r="D1259" s="58" t="s">
        <v>6832</v>
      </c>
      <c r="E1259" s="10" t="s">
        <v>2392</v>
      </c>
      <c r="F1259" s="46" t="s">
        <v>115</v>
      </c>
    </row>
    <row r="1260">
      <c r="A1260" s="285" t="s">
        <v>6833</v>
      </c>
      <c r="B1260" s="252">
        <f>IF(A1260="", "", IF(IFERROR(VLOOKUP(A1260, 'Base 3F'!$B:$C, 2, FALSE),"")="", "SIN CUIT", VLOOKUP(A1260, 'Base 3F'!$B:$C, 2, FALSE)))</f>
        <v>30709635650</v>
      </c>
      <c r="C1260" s="253" t="str">
        <f>IF(A1260="", "", IF(IFERROR(VLOOKUP(A1260, 'Base 3F'!$B:$J, 9, FALSE),"")="", "SIN RUBRO", VLOOKUP(A1260, 'Base 3F'!$B:$J, 9, FALSE)))</f>
        <v>Servicios</v>
      </c>
      <c r="D1260" s="58" t="s">
        <v>6841</v>
      </c>
      <c r="E1260" s="10" t="s">
        <v>2392</v>
      </c>
      <c r="F1260" s="46" t="s">
        <v>115</v>
      </c>
    </row>
    <row r="1261">
      <c r="A1261" s="285" t="s">
        <v>6842</v>
      </c>
      <c r="B1261" s="252">
        <f>IF(A1261="", "", IF(IFERROR(VLOOKUP(A1261, 'Base 3F'!$B:$C, 2, FALSE),"")="", "SIN CUIT", VLOOKUP(A1261, 'Base 3F'!$B:$C, 2, FALSE)))</f>
        <v>30605044189</v>
      </c>
      <c r="C1261" s="253" t="str">
        <f>IF(A1261="", "", IF(IFERROR(VLOOKUP(A1261, 'Base 3F'!$B:$J, 9, FALSE),"")="", "SIN RUBRO", VLOOKUP(A1261, 'Base 3F'!$B:$J, 9, FALSE)))</f>
        <v>Metalúrgica</v>
      </c>
      <c r="D1261" s="58" t="s">
        <v>6844</v>
      </c>
      <c r="E1261" s="10" t="s">
        <v>2392</v>
      </c>
      <c r="F1261" s="46" t="s">
        <v>115</v>
      </c>
    </row>
    <row r="1262">
      <c r="A1262" s="285" t="s">
        <v>6845</v>
      </c>
      <c r="B1262" s="252">
        <f>IF(A1262="", "", IF(IFERROR(VLOOKUP(A1262, 'Base 3F'!$B:$C, 2, FALSE),"")="", "SIN CUIT", VLOOKUP(A1262, 'Base 3F'!$B:$C, 2, FALSE)))</f>
        <v>30663740578</v>
      </c>
      <c r="C1262" s="253" t="str">
        <f>IF(A1262="", "", IF(IFERROR(VLOOKUP(A1262, 'Base 3F'!$B:$J, 9, FALSE),"")="", "SIN RUBRO", VLOOKUP(A1262, 'Base 3F'!$B:$J, 9, FALSE)))</f>
        <v>Metalúrgica</v>
      </c>
      <c r="D1262" s="58" t="s">
        <v>6847</v>
      </c>
      <c r="E1262" s="10" t="s">
        <v>2392</v>
      </c>
      <c r="F1262" s="46" t="s">
        <v>115</v>
      </c>
    </row>
    <row r="1263">
      <c r="A1263" s="285" t="s">
        <v>1919</v>
      </c>
      <c r="B1263" s="252">
        <f>IF(A1263="", "", IF(IFERROR(VLOOKUP(A1263, 'Base 3F'!$B:$C, 2, FALSE),"")="", "SIN CUIT", VLOOKUP(A1263, 'Base 3F'!$B:$C, 2, FALSE)))</f>
        <v>33708141769</v>
      </c>
      <c r="C1263" s="253" t="str">
        <f>IF(A1263="", "", IF(IFERROR(VLOOKUP(A1263, 'Base 3F'!$B:$J, 9, FALSE),"")="", "SIN RUBRO", VLOOKUP(A1263, 'Base 3F'!$B:$J, 9, FALSE)))</f>
        <v>Textil</v>
      </c>
      <c r="D1263" s="58" t="s">
        <v>6849</v>
      </c>
      <c r="E1263" s="10" t="s">
        <v>2392</v>
      </c>
      <c r="F1263" s="46" t="s">
        <v>115</v>
      </c>
    </row>
    <row r="1264">
      <c r="A1264" s="285" t="s">
        <v>6850</v>
      </c>
      <c r="B1264" s="252">
        <f>IF(A1264="", "", IF(IFERROR(VLOOKUP(A1264, 'Base 3F'!$B:$C, 2, FALSE),"")="", "SIN CUIT", VLOOKUP(A1264, 'Base 3F'!$B:$C, 2, FALSE)))</f>
        <v>30575766710</v>
      </c>
      <c r="C1264" s="253" t="str">
        <f>IF(A1264="", "", IF(IFERROR(VLOOKUP(A1264, 'Base 3F'!$B:$J, 9, FALSE),"")="", "SIN RUBRO", VLOOKUP(A1264, 'Base 3F'!$B:$J, 9, FALSE)))</f>
        <v>Química</v>
      </c>
      <c r="D1264" s="58" t="s">
        <v>6855</v>
      </c>
      <c r="E1264" s="10" t="s">
        <v>2392</v>
      </c>
      <c r="F1264" s="46" t="s">
        <v>115</v>
      </c>
    </row>
    <row r="1265">
      <c r="A1265" s="285" t="s">
        <v>6856</v>
      </c>
      <c r="B1265" s="252">
        <f>IF(A1265="", "", IF(IFERROR(VLOOKUP(A1265, 'Base 3F'!$B:$C, 2, FALSE),"")="", "SIN CUIT", VLOOKUP(A1265, 'Base 3F'!$B:$C, 2, FALSE)))</f>
        <v>33710754239</v>
      </c>
      <c r="C1265" s="253" t="str">
        <f>IF(A1265="", "", IF(IFERROR(VLOOKUP(A1265, 'Base 3F'!$B:$J, 9, FALSE),"")="", "SIN RUBRO", VLOOKUP(A1265, 'Base 3F'!$B:$J, 9, FALSE)))</f>
        <v>Metalúrgica</v>
      </c>
      <c r="D1265" s="58" t="s">
        <v>6857</v>
      </c>
      <c r="E1265" s="10" t="s">
        <v>2392</v>
      </c>
      <c r="F1265" s="46" t="s">
        <v>115</v>
      </c>
    </row>
    <row r="1266">
      <c r="A1266" s="285" t="s">
        <v>6859</v>
      </c>
      <c r="B1266" s="252">
        <f>IF(A1266="", "", IF(IFERROR(VLOOKUP(A1266, 'Base 3F'!$B:$C, 2, FALSE),"")="", "SIN CUIT", VLOOKUP(A1266, 'Base 3F'!$B:$C, 2, FALSE)))</f>
        <v>30621517119</v>
      </c>
      <c r="C1266" s="253" t="str">
        <f>IF(A1266="", "", IF(IFERROR(VLOOKUP(A1266, 'Base 3F'!$B:$J, 9, FALSE),"")="", "SIN RUBRO", VLOOKUP(A1266, 'Base 3F'!$B:$J, 9, FALSE)))</f>
        <v>Metalúrgica</v>
      </c>
      <c r="D1266" s="58" t="s">
        <v>6862</v>
      </c>
      <c r="E1266" s="10" t="s">
        <v>2392</v>
      </c>
      <c r="F1266" s="46" t="s">
        <v>115</v>
      </c>
    </row>
    <row r="1267">
      <c r="A1267" s="285" t="s">
        <v>6863</v>
      </c>
      <c r="B1267" s="252">
        <f>IF(A1267="", "", IF(IFERROR(VLOOKUP(A1267, 'Base 3F'!$B:$C, 2, FALSE),"")="", "SIN CUIT", VLOOKUP(A1267, 'Base 3F'!$B:$C, 2, FALSE)))</f>
        <v>30505035042</v>
      </c>
      <c r="C1267" s="253" t="str">
        <f>IF(A1267="", "", IF(IFERROR(VLOOKUP(A1267, 'Base 3F'!$B:$J, 9, FALSE),"")="", "SIN RUBRO", VLOOKUP(A1267, 'Base 3F'!$B:$J, 9, FALSE)))</f>
        <v>Plástica</v>
      </c>
      <c r="D1267" s="58" t="s">
        <v>6869</v>
      </c>
      <c r="E1267" s="10" t="s">
        <v>2392</v>
      </c>
      <c r="F1267" s="46" t="s">
        <v>115</v>
      </c>
    </row>
    <row r="1268">
      <c r="A1268" s="285" t="s">
        <v>6871</v>
      </c>
      <c r="B1268" s="252">
        <f>IF(A1268="", "", IF(IFERROR(VLOOKUP(A1268, 'Base 3F'!$B:$C, 2, FALSE),"")="", "SIN CUIT", VLOOKUP(A1268, 'Base 3F'!$B:$C, 2, FALSE)))</f>
        <v>30521766928</v>
      </c>
      <c r="C1268" s="253" t="str">
        <f>IF(A1268="", "", IF(IFERROR(VLOOKUP(A1268, 'Base 3F'!$B:$J, 9, FALSE),"")="", "SIN RUBRO", VLOOKUP(A1268, 'Base 3F'!$B:$J, 9, FALSE)))</f>
        <v>Caucho</v>
      </c>
      <c r="D1268" s="199" t="s">
        <v>6872</v>
      </c>
      <c r="E1268" s="10" t="s">
        <v>2392</v>
      </c>
      <c r="F1268" s="46" t="s">
        <v>115</v>
      </c>
    </row>
    <row r="1269">
      <c r="A1269" s="285" t="s">
        <v>1926</v>
      </c>
      <c r="B1269" s="252">
        <f>IF(A1269="", "", IF(IFERROR(VLOOKUP(A1269, 'Base 3F'!$B:$C, 2, FALSE),"")="", "SIN CUIT", VLOOKUP(A1269, 'Base 3F'!$B:$C, 2, FALSE)))</f>
        <v>30716798778</v>
      </c>
      <c r="C1269" s="253" t="str">
        <f>IF(A1269="", "", IF(IFERROR(VLOOKUP(A1269, 'Base 3F'!$B:$J, 9, FALSE),"")="", "SIN RUBRO", VLOOKUP(A1269, 'Base 3F'!$B:$J, 9, FALSE)))</f>
        <v>Metalúrgica</v>
      </c>
      <c r="D1269" s="58" t="s">
        <v>6877</v>
      </c>
      <c r="E1269" s="10" t="s">
        <v>2392</v>
      </c>
      <c r="F1269" s="46" t="s">
        <v>115</v>
      </c>
    </row>
    <row r="1270">
      <c r="A1270" s="285" t="s">
        <v>6879</v>
      </c>
      <c r="B1270" s="252">
        <f>IF(A1270="", "", IF(IFERROR(VLOOKUP(A1270, 'Base 3F'!$B:$C, 2, FALSE),"")="", "SIN CUIT", VLOOKUP(A1270, 'Base 3F'!$B:$C, 2, FALSE)))</f>
        <v>33685293949</v>
      </c>
      <c r="C1270" s="253" t="str">
        <f>IF(A1270="", "", IF(IFERROR(VLOOKUP(A1270, 'Base 3F'!$B:$J, 9, FALSE),"")="", "SIN RUBRO", VLOOKUP(A1270, 'Base 3F'!$B:$J, 9, FALSE)))</f>
        <v>Metalúrgica</v>
      </c>
      <c r="D1270" s="142" t="s">
        <v>6880</v>
      </c>
      <c r="E1270" s="10" t="s">
        <v>2392</v>
      </c>
      <c r="F1270" s="46" t="s">
        <v>115</v>
      </c>
    </row>
    <row r="1271">
      <c r="A1271" s="285" t="s">
        <v>6881</v>
      </c>
      <c r="B1271" s="252">
        <f>IF(A1271="", "", IF(IFERROR(VLOOKUP(A1271, 'Base 3F'!$B:$C, 2, FALSE),"")="", "SIN CUIT", VLOOKUP(A1271, 'Base 3F'!$B:$C, 2, FALSE)))</f>
        <v>30707474366</v>
      </c>
      <c r="C1271" s="253" t="str">
        <f>IF(A1271="", "", IF(IFERROR(VLOOKUP(A1271, 'Base 3F'!$B:$J, 9, FALSE),"")="", "SIN RUBRO", VLOOKUP(A1271, 'Base 3F'!$B:$J, 9, FALSE)))</f>
        <v>Alimenticia</v>
      </c>
      <c r="D1271" s="58" t="s">
        <v>6886</v>
      </c>
      <c r="E1271" s="10" t="s">
        <v>2392</v>
      </c>
      <c r="F1271" s="46" t="s">
        <v>115</v>
      </c>
    </row>
    <row r="1272">
      <c r="A1272" s="285" t="s">
        <v>6887</v>
      </c>
      <c r="B1272" s="252">
        <f>IF(A1272="", "", IF(IFERROR(VLOOKUP(A1272, 'Base 3F'!$B:$C, 2, FALSE),"")="", "SIN CUIT", VLOOKUP(A1272, 'Base 3F'!$B:$C, 2, FALSE)))</f>
        <v>30502847402</v>
      </c>
      <c r="C1272" s="253" t="str">
        <f>IF(A1272="", "", IF(IFERROR(VLOOKUP(A1272, 'Base 3F'!$B:$J, 9, FALSE),"")="", "SIN RUBRO", VLOOKUP(A1272, 'Base 3F'!$B:$J, 9, FALSE)))</f>
        <v>Metalúrgica</v>
      </c>
      <c r="D1272" s="58" t="s">
        <v>6891</v>
      </c>
      <c r="E1272" s="10" t="s">
        <v>2392</v>
      </c>
      <c r="F1272" s="46" t="s">
        <v>115</v>
      </c>
    </row>
    <row r="1273">
      <c r="A1273" s="285" t="s">
        <v>6892</v>
      </c>
      <c r="B1273" s="252" t="str">
        <f>IF(A1273="", "", IF(IFERROR(VLOOKUP(A1273, 'Base 3F'!$B:$C, 2, FALSE),"")="", "SIN CUIT", VLOOKUP(A1273, 'Base 3F'!$B:$C, 2, FALSE)))</f>
        <v>30709080047 / 33663808899</v>
      </c>
      <c r="C1273" s="253" t="str">
        <f>IF(A1273="", "", IF(IFERROR(VLOOKUP(A1273, 'Base 3F'!$B:$J, 9, FALSE),"")="", "SIN RUBRO", VLOOKUP(A1273, 'Base 3F'!$B:$J, 9, FALSE)))</f>
        <v>Metalúrgica</v>
      </c>
      <c r="D1273" s="58" t="s">
        <v>6894</v>
      </c>
      <c r="E1273" s="10" t="s">
        <v>2392</v>
      </c>
      <c r="F1273" s="46" t="s">
        <v>115</v>
      </c>
    </row>
    <row r="1274">
      <c r="A1274" s="285" t="s">
        <v>6897</v>
      </c>
      <c r="B1274" s="252">
        <f>IF(A1274="", "", IF(IFERROR(VLOOKUP(A1274, 'Base 3F'!$B:$C, 2, FALSE),"")="", "SIN CUIT", VLOOKUP(A1274, 'Base 3F'!$B:$C, 2, FALSE)))</f>
        <v>30710328710</v>
      </c>
      <c r="C1274" s="253" t="str">
        <f>IF(A1274="", "", IF(IFERROR(VLOOKUP(A1274, 'Base 3F'!$B:$J, 9, FALSE),"")="", "SIN RUBRO", VLOOKUP(A1274, 'Base 3F'!$B:$J, 9, FALSE)))</f>
        <v>Metalúrgica</v>
      </c>
      <c r="D1274" s="58" t="s">
        <v>6901</v>
      </c>
      <c r="E1274" s="10" t="s">
        <v>2392</v>
      </c>
      <c r="F1274" s="46" t="s">
        <v>115</v>
      </c>
    </row>
    <row r="1275">
      <c r="A1275" s="285" t="s">
        <v>6902</v>
      </c>
      <c r="B1275" s="252">
        <f>IF(A1275="", "", IF(IFERROR(VLOOKUP(A1275, 'Base 3F'!$B:$C, 2, FALSE),"")="", "SIN CUIT", VLOOKUP(A1275, 'Base 3F'!$B:$C, 2, FALSE)))</f>
        <v>30707033122</v>
      </c>
      <c r="C1275" s="253" t="str">
        <f>IF(A1275="", "", IF(IFERROR(VLOOKUP(A1275, 'Base 3F'!$B:$J, 9, FALSE),"")="", "SIN RUBRO", VLOOKUP(A1275, 'Base 3F'!$B:$J, 9, FALSE)))</f>
        <v>Química</v>
      </c>
      <c r="D1275" s="58" t="s">
        <v>6904</v>
      </c>
      <c r="E1275" s="10" t="s">
        <v>2392</v>
      </c>
      <c r="F1275" s="46" t="s">
        <v>115</v>
      </c>
    </row>
    <row r="1276">
      <c r="A1276" s="285" t="s">
        <v>6906</v>
      </c>
      <c r="B1276" s="252">
        <f>IF(A1276="", "", IF(IFERROR(VLOOKUP(A1276, 'Base 3F'!$B:$C, 2, FALSE),"")="", "SIN CUIT", VLOOKUP(A1276, 'Base 3F'!$B:$C, 2, FALSE)))</f>
        <v>30568926281</v>
      </c>
      <c r="C1276" s="253" t="str">
        <f>IF(A1276="", "", IF(IFERROR(VLOOKUP(A1276, 'Base 3F'!$B:$J, 9, FALSE),"")="", "SIN RUBRO", VLOOKUP(A1276, 'Base 3F'!$B:$J, 9, FALSE)))</f>
        <v>Papel</v>
      </c>
      <c r="D1276" s="58" t="s">
        <v>6910</v>
      </c>
      <c r="E1276" s="10" t="s">
        <v>2392</v>
      </c>
      <c r="F1276" s="46" t="s">
        <v>115</v>
      </c>
    </row>
    <row r="1277">
      <c r="A1277" s="285" t="s">
        <v>1928</v>
      </c>
      <c r="B1277" s="252">
        <f>IF(A1277="", "", IF(IFERROR(VLOOKUP(A1277, 'Base 3F'!$B:$C, 2, FALSE),"")="", "SIN CUIT", VLOOKUP(A1277, 'Base 3F'!$B:$C, 2, FALSE)))</f>
        <v>30712043039</v>
      </c>
      <c r="C1277" s="253" t="str">
        <f>IF(A1277="", "", IF(IFERROR(VLOOKUP(A1277, 'Base 3F'!$B:$J, 9, FALSE),"")="", "SIN RUBRO", VLOOKUP(A1277, 'Base 3F'!$B:$J, 9, FALSE)))</f>
        <v>Madera</v>
      </c>
      <c r="D1277" s="58" t="s">
        <v>6916</v>
      </c>
      <c r="E1277" s="10" t="s">
        <v>2392</v>
      </c>
      <c r="F1277" s="46" t="s">
        <v>115</v>
      </c>
    </row>
    <row r="1278">
      <c r="A1278" s="285" t="s">
        <v>6917</v>
      </c>
      <c r="B1278" s="252">
        <f>IF(A1278="", "", IF(IFERROR(VLOOKUP(A1278, 'Base 3F'!$B:$C, 2, FALSE),"")="", "SIN CUIT", VLOOKUP(A1278, 'Base 3F'!$B:$C, 2, FALSE)))</f>
        <v>30653926037</v>
      </c>
      <c r="C1278" s="253" t="str">
        <f>IF(A1278="", "", IF(IFERROR(VLOOKUP(A1278, 'Base 3F'!$B:$J, 9, FALSE),"")="", "SIN RUBRO", VLOOKUP(A1278, 'Base 3F'!$B:$J, 9, FALSE)))</f>
        <v>Metalúrgica</v>
      </c>
      <c r="D1278" s="58" t="s">
        <v>6919</v>
      </c>
      <c r="E1278" s="10" t="s">
        <v>2392</v>
      </c>
      <c r="F1278" s="46" t="s">
        <v>115</v>
      </c>
    </row>
    <row r="1279">
      <c r="A1279" s="285" t="s">
        <v>1937</v>
      </c>
      <c r="B1279" s="252">
        <f>IF(A1279="", "", IF(IFERROR(VLOOKUP(A1279, 'Base 3F'!$B:$C, 2, FALSE),"")="", "SIN CUIT", VLOOKUP(A1279, 'Base 3F'!$B:$C, 2, FALSE)))</f>
        <v>30710855141</v>
      </c>
      <c r="C1279" s="253" t="str">
        <f>IF(A1279="", "", IF(IFERROR(VLOOKUP(A1279, 'Base 3F'!$B:$J, 9, FALSE),"")="", "SIN RUBRO", VLOOKUP(A1279, 'Base 3F'!$B:$J, 9, FALSE)))</f>
        <v>Metalúrgica</v>
      </c>
      <c r="D1279" s="317" t="s">
        <v>6922</v>
      </c>
      <c r="E1279" s="10" t="s">
        <v>2392</v>
      </c>
      <c r="F1279" s="46" t="s">
        <v>115</v>
      </c>
    </row>
    <row r="1280">
      <c r="A1280" s="285" t="s">
        <v>6923</v>
      </c>
      <c r="B1280" s="252">
        <f>IF(A1280="", "", IF(IFERROR(VLOOKUP(A1280, 'Base 3F'!$B:$C, 2, FALSE),"")="", "SIN CUIT", VLOOKUP(A1280, 'Base 3F'!$B:$C, 2, FALSE)))</f>
        <v>30710674333</v>
      </c>
      <c r="C1280" s="253" t="str">
        <f>IF(A1280="", "", IF(IFERROR(VLOOKUP(A1280, 'Base 3F'!$B:$J, 9, FALSE),"")="", "SIN RUBRO", VLOOKUP(A1280, 'Base 3F'!$B:$J, 9, FALSE)))</f>
        <v>Metalúrgica</v>
      </c>
      <c r="D1280" s="58" t="s">
        <v>6926</v>
      </c>
      <c r="E1280" s="10" t="s">
        <v>2392</v>
      </c>
      <c r="F1280" s="46" t="s">
        <v>115</v>
      </c>
    </row>
    <row r="1281">
      <c r="A1281" s="285" t="s">
        <v>1942</v>
      </c>
      <c r="B1281" s="252">
        <f>IF(A1281="", "", IF(IFERROR(VLOOKUP(A1281, 'Base 3F'!$B:$C, 2, FALSE),"")="", "SIN CUIT", VLOOKUP(A1281, 'Base 3F'!$B:$C, 2, FALSE)))</f>
        <v>30703957540</v>
      </c>
      <c r="C1281" s="253" t="str">
        <f>IF(A1281="", "", IF(IFERROR(VLOOKUP(A1281, 'Base 3F'!$B:$J, 9, FALSE),"")="", "SIN RUBRO", VLOOKUP(A1281, 'Base 3F'!$B:$J, 9, FALSE)))</f>
        <v>Gráfica</v>
      </c>
      <c r="D1281" s="58" t="s">
        <v>6931</v>
      </c>
      <c r="E1281" s="10" t="s">
        <v>2392</v>
      </c>
      <c r="F1281" s="46" t="s">
        <v>115</v>
      </c>
    </row>
    <row r="1282">
      <c r="A1282" s="285" t="s">
        <v>6932</v>
      </c>
      <c r="B1282" s="252">
        <f>IF(A1282="", "", IF(IFERROR(VLOOKUP(A1282, 'Base 3F'!$B:$C, 2, FALSE),"")="", "SIN CUIT", VLOOKUP(A1282, 'Base 3F'!$B:$C, 2, FALSE)))</f>
        <v>33708814089</v>
      </c>
      <c r="C1282" s="253" t="str">
        <f>IF(A1282="", "", IF(IFERROR(VLOOKUP(A1282, 'Base 3F'!$B:$J, 9, FALSE),"")="", "SIN RUBRO", VLOOKUP(A1282, 'Base 3F'!$B:$J, 9, FALSE)))</f>
        <v>Manufactura</v>
      </c>
      <c r="D1282" s="58" t="s">
        <v>6934</v>
      </c>
      <c r="E1282" s="10" t="s">
        <v>2392</v>
      </c>
      <c r="F1282" s="46" t="s">
        <v>115</v>
      </c>
    </row>
    <row r="1283">
      <c r="A1283" s="285" t="s">
        <v>6935</v>
      </c>
      <c r="B1283" s="252">
        <f>IF(A1283="", "", IF(IFERROR(VLOOKUP(A1283, 'Base 3F'!$B:$C, 2, FALSE),"")="", "SIN CUIT", VLOOKUP(A1283, 'Base 3F'!$B:$C, 2, FALSE)))</f>
        <v>30657998628</v>
      </c>
      <c r="C1283" s="253" t="str">
        <f>IF(A1283="", "", IF(IFERROR(VLOOKUP(A1283, 'Base 3F'!$B:$J, 9, FALSE),"")="", "SIN RUBRO", VLOOKUP(A1283, 'Base 3F'!$B:$J, 9, FALSE)))</f>
        <v>Metalúrgica</v>
      </c>
      <c r="D1283" s="58" t="s">
        <v>6937</v>
      </c>
      <c r="E1283" s="10" t="s">
        <v>2392</v>
      </c>
      <c r="F1283" s="46" t="s">
        <v>115</v>
      </c>
    </row>
    <row r="1284">
      <c r="A1284" s="285" t="s">
        <v>6938</v>
      </c>
      <c r="B1284" s="252">
        <f>IF(A1284="", "", IF(IFERROR(VLOOKUP(A1284, 'Base 3F'!$B:$C, 2, FALSE),"")="", "SIN CUIT", VLOOKUP(A1284, 'Base 3F'!$B:$C, 2, FALSE)))</f>
        <v>30610599482</v>
      </c>
      <c r="C1284" s="253" t="str">
        <f>IF(A1284="", "", IF(IFERROR(VLOOKUP(A1284, 'Base 3F'!$B:$J, 9, FALSE),"")="", "SIN RUBRO", VLOOKUP(A1284, 'Base 3F'!$B:$J, 9, FALSE)))</f>
        <v>Servicios</v>
      </c>
      <c r="D1284" s="58" t="s">
        <v>6942</v>
      </c>
      <c r="E1284" s="10" t="s">
        <v>2392</v>
      </c>
      <c r="F1284" s="46" t="s">
        <v>115</v>
      </c>
    </row>
    <row r="1285">
      <c r="A1285" s="285" t="s">
        <v>6945</v>
      </c>
      <c r="B1285" s="252">
        <f>IF(A1285="", "", IF(IFERROR(VLOOKUP(A1285, 'Base 3F'!$B:$C, 2, FALSE),"")="", "SIN CUIT", VLOOKUP(A1285, 'Base 3F'!$B:$C, 2, FALSE)))</f>
        <v>30703094054</v>
      </c>
      <c r="C1285" s="253" t="str">
        <f>IF(A1285="", "", IF(IFERROR(VLOOKUP(A1285, 'Base 3F'!$B:$J, 9, FALSE),"")="", "SIN RUBRO", VLOOKUP(A1285, 'Base 3F'!$B:$J, 9, FALSE)))</f>
        <v>Textil</v>
      </c>
      <c r="D1285" s="58" t="s">
        <v>6946</v>
      </c>
      <c r="E1285" s="10" t="s">
        <v>2392</v>
      </c>
      <c r="F1285" s="46" t="s">
        <v>115</v>
      </c>
    </row>
    <row r="1286">
      <c r="A1286" s="285" t="s">
        <v>6947</v>
      </c>
      <c r="B1286" s="252">
        <f>IF(A1286="", "", IF(IFERROR(VLOOKUP(A1286, 'Base 3F'!$B:$C, 2, FALSE),"")="", "SIN CUIT", VLOOKUP(A1286, 'Base 3F'!$B:$C, 2, FALSE)))</f>
        <v>30685248499</v>
      </c>
      <c r="C1286" s="253" t="str">
        <f>IF(A1286="", "", IF(IFERROR(VLOOKUP(A1286, 'Base 3F'!$B:$J, 9, FALSE),"")="", "SIN RUBRO", VLOOKUP(A1286, 'Base 3F'!$B:$J, 9, FALSE)))</f>
        <v>Metalúrgica</v>
      </c>
      <c r="D1286" s="58" t="s">
        <v>6957</v>
      </c>
      <c r="E1286" s="10" t="s">
        <v>2392</v>
      </c>
      <c r="F1286" s="46" t="s">
        <v>115</v>
      </c>
    </row>
    <row r="1287">
      <c r="A1287" s="285" t="s">
        <v>6959</v>
      </c>
      <c r="B1287" s="252">
        <f>IF(A1287="", "", IF(IFERROR(VLOOKUP(A1287, 'Base 3F'!$B:$C, 2, FALSE),"")="", "SIN CUIT", VLOOKUP(A1287, 'Base 3F'!$B:$C, 2, FALSE)))</f>
        <v>30708030690</v>
      </c>
      <c r="C1287" s="253" t="str">
        <f>IF(A1287="", "", IF(IFERROR(VLOOKUP(A1287, 'Base 3F'!$B:$J, 9, FALSE),"")="", "SIN RUBRO", VLOOKUP(A1287, 'Base 3F'!$B:$J, 9, FALSE)))</f>
        <v>Metalúrgica</v>
      </c>
      <c r="D1287" s="58" t="s">
        <v>6963</v>
      </c>
      <c r="E1287" s="10" t="s">
        <v>2392</v>
      </c>
      <c r="F1287" s="46" t="s">
        <v>115</v>
      </c>
    </row>
    <row r="1288">
      <c r="A1288" s="285" t="s">
        <v>6964</v>
      </c>
      <c r="B1288" s="252">
        <f>IF(A1288="", "", IF(IFERROR(VLOOKUP(A1288, 'Base 3F'!$B:$C, 2, FALSE),"")="", "SIN CUIT", VLOOKUP(A1288, 'Base 3F'!$B:$C, 2, FALSE)))</f>
        <v>30708390409</v>
      </c>
      <c r="C1288" s="253" t="str">
        <f>IF(A1288="", "", IF(IFERROR(VLOOKUP(A1288, 'Base 3F'!$B:$J, 9, FALSE),"")="", "SIN RUBRO", VLOOKUP(A1288, 'Base 3F'!$B:$J, 9, FALSE)))</f>
        <v>Vidrio</v>
      </c>
      <c r="D1288" s="58" t="s">
        <v>6968</v>
      </c>
      <c r="E1288" s="10" t="s">
        <v>2392</v>
      </c>
      <c r="F1288" s="46" t="s">
        <v>115</v>
      </c>
    </row>
    <row r="1289">
      <c r="A1289" s="285" t="s">
        <v>6972</v>
      </c>
      <c r="B1289" s="252">
        <f>IF(A1289="", "", IF(IFERROR(VLOOKUP(A1289, 'Base 3F'!$B:$C, 2, FALSE),"")="", "SIN CUIT", VLOOKUP(A1289, 'Base 3F'!$B:$C, 2, FALSE)))</f>
        <v>30685328204</v>
      </c>
      <c r="C1289" s="253" t="str">
        <f>IF(A1289="", "", IF(IFERROR(VLOOKUP(A1289, 'Base 3F'!$B:$J, 9, FALSE),"")="", "SIN RUBRO", VLOOKUP(A1289, 'Base 3F'!$B:$J, 9, FALSE)))</f>
        <v>Metalúrgica</v>
      </c>
      <c r="D1289" s="58" t="s">
        <v>6975</v>
      </c>
      <c r="E1289" s="10" t="s">
        <v>2392</v>
      </c>
      <c r="F1289" s="46" t="s">
        <v>115</v>
      </c>
    </row>
    <row r="1290">
      <c r="A1290" s="285" t="s">
        <v>6976</v>
      </c>
      <c r="B1290" s="252">
        <f>IF(A1290="", "", IF(IFERROR(VLOOKUP(A1290, 'Base 3F'!$B:$C, 2, FALSE),"")="", "SIN CUIT", VLOOKUP(A1290, 'Base 3F'!$B:$C, 2, FALSE)))</f>
        <v>30714659576</v>
      </c>
      <c r="C1290" s="253" t="str">
        <f>IF(A1290="", "", IF(IFERROR(VLOOKUP(A1290, 'Base 3F'!$B:$J, 9, FALSE),"")="", "SIN RUBRO", VLOOKUP(A1290, 'Base 3F'!$B:$J, 9, FALSE)))</f>
        <v>Servicios</v>
      </c>
      <c r="D1290" s="58" t="s">
        <v>6982</v>
      </c>
      <c r="E1290" s="10" t="s">
        <v>2392</v>
      </c>
      <c r="F1290" s="46" t="s">
        <v>115</v>
      </c>
    </row>
    <row r="1291">
      <c r="A1291" s="285" t="s">
        <v>1950</v>
      </c>
      <c r="B1291" s="252">
        <f>IF(A1291="", "", IF(IFERROR(VLOOKUP(A1291, 'Base 3F'!$B:$C, 2, FALSE),"")="", "SIN CUIT", VLOOKUP(A1291, 'Base 3F'!$B:$C, 2, FALSE)))</f>
        <v>30715761668</v>
      </c>
      <c r="C1291" s="253" t="str">
        <f>IF(A1291="", "", IF(IFERROR(VLOOKUP(A1291, 'Base 3F'!$B:$J, 9, FALSE),"")="", "SIN RUBRO", VLOOKUP(A1291, 'Base 3F'!$B:$J, 9, FALSE)))</f>
        <v>Textil</v>
      </c>
      <c r="D1291" s="142" t="s">
        <v>6985</v>
      </c>
      <c r="E1291" s="10" t="s">
        <v>2392</v>
      </c>
      <c r="F1291" s="46" t="s">
        <v>115</v>
      </c>
    </row>
    <row r="1292">
      <c r="A1292" s="285" t="s">
        <v>6986</v>
      </c>
      <c r="B1292" s="252">
        <f>IF(A1292="", "", IF(IFERROR(VLOOKUP(A1292, 'Base 3F'!$B:$C, 2, FALSE),"")="", "SIN CUIT", VLOOKUP(A1292, 'Base 3F'!$B:$C, 2, FALSE)))</f>
        <v>30562362718</v>
      </c>
      <c r="C1292" s="253" t="str">
        <f>IF(A1292="", "", IF(IFERROR(VLOOKUP(A1292, 'Base 3F'!$B:$J, 9, FALSE),"")="", "SIN RUBRO", VLOOKUP(A1292, 'Base 3F'!$B:$J, 9, FALSE)))</f>
        <v>Madera</v>
      </c>
      <c r="D1292" s="58" t="s">
        <v>6987</v>
      </c>
      <c r="E1292" s="10" t="s">
        <v>2392</v>
      </c>
      <c r="F1292" s="46" t="s">
        <v>115</v>
      </c>
    </row>
    <row r="1293">
      <c r="A1293" s="285" t="s">
        <v>6989</v>
      </c>
      <c r="B1293" s="252">
        <f>IF(A1293="", "", IF(IFERROR(VLOOKUP(A1293, 'Base 3F'!$B:$C, 2, FALSE),"")="", "SIN CUIT", VLOOKUP(A1293, 'Base 3F'!$B:$C, 2, FALSE)))</f>
        <v>30627329810</v>
      </c>
      <c r="C1293" s="253" t="str">
        <f>IF(A1293="", "", IF(IFERROR(VLOOKUP(A1293, 'Base 3F'!$B:$J, 9, FALSE),"")="", "SIN RUBRO", VLOOKUP(A1293, 'Base 3F'!$B:$J, 9, FALSE)))</f>
        <v>Servicios</v>
      </c>
      <c r="D1293" s="58" t="s">
        <v>6994</v>
      </c>
      <c r="E1293" s="10" t="s">
        <v>2392</v>
      </c>
      <c r="F1293" s="46" t="s">
        <v>115</v>
      </c>
    </row>
    <row r="1294">
      <c r="A1294" s="285" t="s">
        <v>6996</v>
      </c>
      <c r="B1294" s="252">
        <f>IF(A1294="", "", IF(IFERROR(VLOOKUP(A1294, 'Base 3F'!$B:$C, 2, FALSE),"")="", "SIN CUIT", VLOOKUP(A1294, 'Base 3F'!$B:$C, 2, FALSE)))</f>
        <v>30521672818</v>
      </c>
      <c r="C1294" s="253" t="str">
        <f>IF(A1294="", "", IF(IFERROR(VLOOKUP(A1294, 'Base 3F'!$B:$J, 9, FALSE),"")="", "SIN RUBRO", VLOOKUP(A1294, 'Base 3F'!$B:$J, 9, FALSE)))</f>
        <v>Metalúrgica</v>
      </c>
      <c r="D1294" s="58" t="s">
        <v>7000</v>
      </c>
      <c r="E1294" s="10" t="s">
        <v>2392</v>
      </c>
      <c r="F1294" s="46" t="s">
        <v>115</v>
      </c>
    </row>
    <row r="1295">
      <c r="A1295" s="285" t="s">
        <v>7002</v>
      </c>
      <c r="B1295" s="252">
        <f>IF(A1295="", "", IF(IFERROR(VLOOKUP(A1295, 'Base 3F'!$B:$C, 2, FALSE),"")="", "SIN CUIT", VLOOKUP(A1295, 'Base 3F'!$B:$C, 2, FALSE)))</f>
        <v>30571580426</v>
      </c>
      <c r="C1295" s="253" t="str">
        <f>IF(A1295="", "", IF(IFERROR(VLOOKUP(A1295, 'Base 3F'!$B:$J, 9, FALSE),"")="", "SIN RUBRO", VLOOKUP(A1295, 'Base 3F'!$B:$J, 9, FALSE)))</f>
        <v>Metalúrgica</v>
      </c>
      <c r="D1295" s="58" t="s">
        <v>7003</v>
      </c>
      <c r="E1295" s="10" t="s">
        <v>2392</v>
      </c>
      <c r="F1295" s="46" t="s">
        <v>115</v>
      </c>
    </row>
    <row r="1296">
      <c r="A1296" s="285" t="s">
        <v>7004</v>
      </c>
      <c r="B1296" s="252">
        <f>IF(A1296="", "", IF(IFERROR(VLOOKUP(A1296, 'Base 3F'!$B:$C, 2, FALSE),"")="", "SIN CUIT", VLOOKUP(A1296, 'Base 3F'!$B:$C, 2, FALSE)))</f>
        <v>23144771699</v>
      </c>
      <c r="C1296" s="253" t="str">
        <f>IF(A1296="", "", IF(IFERROR(VLOOKUP(A1296, 'Base 3F'!$B:$J, 9, FALSE),"")="", "SIN RUBRO", VLOOKUP(A1296, 'Base 3F'!$B:$J, 9, FALSE)))</f>
        <v>Manufactura</v>
      </c>
      <c r="D1296" s="58" t="s">
        <v>7008</v>
      </c>
      <c r="E1296" s="10" t="s">
        <v>2392</v>
      </c>
      <c r="F1296" s="46" t="s">
        <v>115</v>
      </c>
    </row>
    <row r="1297">
      <c r="A1297" s="285" t="s">
        <v>4145</v>
      </c>
      <c r="B1297" s="252">
        <f>IF(A1297="", "", IF(IFERROR(VLOOKUP(A1297, 'Base 3F'!$B:$C, 2, FALSE),"")="", "SIN CUIT", VLOOKUP(A1297, 'Base 3F'!$B:$C, 2, FALSE)))</f>
        <v>33580452979</v>
      </c>
      <c r="C1297" s="253" t="str">
        <f>IF(A1297="", "", IF(IFERROR(VLOOKUP(A1297, 'Base 3F'!$B:$J, 9, FALSE),"")="", "SIN RUBRO", VLOOKUP(A1297, 'Base 3F'!$B:$J, 9, FALSE)))</f>
        <v>Caucho</v>
      </c>
      <c r="D1297" s="58" t="s">
        <v>7009</v>
      </c>
      <c r="E1297" s="10" t="s">
        <v>2392</v>
      </c>
      <c r="F1297" s="46" t="s">
        <v>115</v>
      </c>
    </row>
    <row r="1298">
      <c r="A1298" s="285" t="s">
        <v>7011</v>
      </c>
      <c r="B1298" s="252">
        <f>IF(A1298="", "", IF(IFERROR(VLOOKUP(A1298, 'Base 3F'!$B:$C, 2, FALSE),"")="", "SIN CUIT", VLOOKUP(A1298, 'Base 3F'!$B:$C, 2, FALSE)))</f>
        <v>30661172858</v>
      </c>
      <c r="C1298" s="253" t="str">
        <f>IF(A1298="", "", IF(IFERROR(VLOOKUP(A1298, 'Base 3F'!$B:$J, 9, FALSE),"")="", "SIN RUBRO", VLOOKUP(A1298, 'Base 3F'!$B:$J, 9, FALSE)))</f>
        <v>Metalmecánica</v>
      </c>
      <c r="D1298" s="58" t="s">
        <v>7016</v>
      </c>
      <c r="E1298" s="10" t="s">
        <v>2392</v>
      </c>
      <c r="F1298" s="46" t="s">
        <v>115</v>
      </c>
    </row>
    <row r="1299">
      <c r="A1299" s="285" t="s">
        <v>7017</v>
      </c>
      <c r="B1299" s="252">
        <f>IF(A1299="", "", IF(IFERROR(VLOOKUP(A1299, 'Base 3F'!$B:$C, 2, FALSE),"")="", "SIN CUIT", VLOOKUP(A1299, 'Base 3F'!$B:$C, 2, FALSE)))</f>
        <v>30707719911</v>
      </c>
      <c r="C1299" s="253" t="str">
        <f>IF(A1299="", "", IF(IFERROR(VLOOKUP(A1299, 'Base 3F'!$B:$J, 9, FALSE),"")="", "SIN RUBRO", VLOOKUP(A1299, 'Base 3F'!$B:$J, 9, FALSE)))</f>
        <v>Electrónica</v>
      </c>
      <c r="D1299" s="58" t="s">
        <v>7020</v>
      </c>
      <c r="E1299" s="10" t="s">
        <v>2392</v>
      </c>
      <c r="F1299" s="46" t="s">
        <v>115</v>
      </c>
    </row>
    <row r="1300">
      <c r="A1300" s="285" t="s">
        <v>7024</v>
      </c>
      <c r="B1300" s="252">
        <f>IF(A1300="", "", IF(IFERROR(VLOOKUP(A1300, 'Base 3F'!$B:$C, 2, FALSE),"")="", "SIN CUIT", VLOOKUP(A1300, 'Base 3F'!$B:$C, 2, FALSE)))</f>
        <v>20128022636</v>
      </c>
      <c r="C1300" s="253" t="str">
        <f>IF(A1300="", "", IF(IFERROR(VLOOKUP(A1300, 'Base 3F'!$B:$J, 9, FALSE),"")="", "SIN RUBRO", VLOOKUP(A1300, 'Base 3F'!$B:$J, 9, FALSE)))</f>
        <v>Metalúrgica</v>
      </c>
      <c r="D1300" s="58" t="s">
        <v>7026</v>
      </c>
      <c r="E1300" s="10" t="s">
        <v>2392</v>
      </c>
      <c r="F1300" s="46" t="s">
        <v>115</v>
      </c>
    </row>
    <row r="1301">
      <c r="A1301" s="285" t="s">
        <v>7027</v>
      </c>
      <c r="B1301" s="252">
        <f>IF(A1301="", "", IF(IFERROR(VLOOKUP(A1301, 'Base 3F'!$B:$C, 2, FALSE),"")="", "SIN CUIT", VLOOKUP(A1301, 'Base 3F'!$B:$C, 2, FALSE)))</f>
        <v>30711505241</v>
      </c>
      <c r="C1301" s="253" t="str">
        <f>IF(A1301="", "", IF(IFERROR(VLOOKUP(A1301, 'Base 3F'!$B:$J, 9, FALSE),"")="", "SIN RUBRO", VLOOKUP(A1301, 'Base 3F'!$B:$J, 9, FALSE)))</f>
        <v>Textil</v>
      </c>
      <c r="D1301" s="58" t="s">
        <v>7032</v>
      </c>
      <c r="E1301" s="10" t="s">
        <v>2392</v>
      </c>
      <c r="F1301" s="46" t="s">
        <v>115</v>
      </c>
    </row>
    <row r="1302">
      <c r="A1302" s="285" t="s">
        <v>7033</v>
      </c>
      <c r="B1302" s="252">
        <f>IF(A1302="", "", IF(IFERROR(VLOOKUP(A1302, 'Base 3F'!$B:$C, 2, FALSE),"")="", "SIN CUIT", VLOOKUP(A1302, 'Base 3F'!$B:$C, 2, FALSE)))</f>
        <v>30709387541</v>
      </c>
      <c r="C1302" s="253" t="str">
        <f>IF(A1302="", "", IF(IFERROR(VLOOKUP(A1302, 'Base 3F'!$B:$J, 9, FALSE),"")="", "SIN RUBRO", VLOOKUP(A1302, 'Base 3F'!$B:$J, 9, FALSE)))</f>
        <v>Textil</v>
      </c>
      <c r="D1302" s="58" t="s">
        <v>7038</v>
      </c>
      <c r="E1302" s="10" t="s">
        <v>2392</v>
      </c>
      <c r="F1302" s="46" t="s">
        <v>115</v>
      </c>
    </row>
    <row r="1303">
      <c r="A1303" s="285" t="s">
        <v>7039</v>
      </c>
      <c r="B1303" s="252" t="str">
        <f>IF(A1303="", "", IF(IFERROR(VLOOKUP(A1303, 'Base 3F'!$B:$C, 2, FALSE),"")="", "SIN CUIT", VLOOKUP(A1303, 'Base 3F'!$B:$C, 2, FALSE)))</f>
        <v>SIN CUIT</v>
      </c>
      <c r="C1303" s="253" t="str">
        <f>IF(A1303="", "", IF(IFERROR(VLOOKUP(A1303, 'Base 3F'!$B:$J, 9, FALSE),"")="", "SIN RUBRO", VLOOKUP(A1303, 'Base 3F'!$B:$J, 9, FALSE)))</f>
        <v>SIN RUBRO</v>
      </c>
      <c r="D1303" s="58" t="s">
        <v>7040</v>
      </c>
      <c r="E1303" s="10" t="s">
        <v>2392</v>
      </c>
      <c r="F1303" s="46" t="s">
        <v>115</v>
      </c>
    </row>
    <row r="1304">
      <c r="A1304" s="285" t="s">
        <v>7042</v>
      </c>
      <c r="B1304" s="252">
        <f>IF(A1304="", "", IF(IFERROR(VLOOKUP(A1304, 'Base 3F'!$B:$C, 2, FALSE),"")="", "SIN CUIT", VLOOKUP(A1304, 'Base 3F'!$B:$C, 2, FALSE)))</f>
        <v>30516933948</v>
      </c>
      <c r="C1304" s="253" t="str">
        <f>IF(A1304="", "", IF(IFERROR(VLOOKUP(A1304, 'Base 3F'!$B:$J, 9, FALSE),"")="", "SIN RUBRO", VLOOKUP(A1304, 'Base 3F'!$B:$J, 9, FALSE)))</f>
        <v>Metalúrgica</v>
      </c>
      <c r="D1304" s="96" t="s">
        <v>7047</v>
      </c>
      <c r="E1304" s="10" t="s">
        <v>2392</v>
      </c>
      <c r="F1304" s="46" t="s">
        <v>115</v>
      </c>
    </row>
    <row r="1305">
      <c r="A1305" s="285" t="s">
        <v>7048</v>
      </c>
      <c r="B1305" s="252">
        <f>IF(A1305="", "", IF(IFERROR(VLOOKUP(A1305, 'Base 3F'!$B:$C, 2, FALSE),"")="", "SIN CUIT", VLOOKUP(A1305, 'Base 3F'!$B:$C, 2, FALSE)))</f>
        <v>30630795970</v>
      </c>
      <c r="C1305" s="253" t="str">
        <f>IF(A1305="", "", IF(IFERROR(VLOOKUP(A1305, 'Base 3F'!$B:$J, 9, FALSE),"")="", "SIN RUBRO", VLOOKUP(A1305, 'Base 3F'!$B:$J, 9, FALSE)))</f>
        <v>Servicios</v>
      </c>
      <c r="D1305" s="319" t="s">
        <v>7051</v>
      </c>
      <c r="E1305" s="10" t="s">
        <v>2392</v>
      </c>
      <c r="F1305" s="46" t="s">
        <v>115</v>
      </c>
    </row>
    <row r="1306">
      <c r="A1306" s="285" t="s">
        <v>7056</v>
      </c>
      <c r="B1306" s="252">
        <f>IF(A1306="", "", IF(IFERROR(VLOOKUP(A1306, 'Base 3F'!$B:$C, 2, FALSE),"")="", "SIN CUIT", VLOOKUP(A1306, 'Base 3F'!$B:$C, 2, FALSE)))</f>
        <v>30711450153</v>
      </c>
      <c r="C1306" s="253" t="str">
        <f>IF(A1306="", "", IF(IFERROR(VLOOKUP(A1306, 'Base 3F'!$B:$J, 9, FALSE),"")="", "SIN RUBRO", VLOOKUP(A1306, 'Base 3F'!$B:$J, 9, FALSE)))</f>
        <v>Metalúrgica</v>
      </c>
      <c r="D1306" s="58" t="s">
        <v>7062</v>
      </c>
      <c r="E1306" s="10" t="s">
        <v>2392</v>
      </c>
      <c r="F1306" s="46" t="s">
        <v>115</v>
      </c>
    </row>
    <row r="1307">
      <c r="A1307" s="285" t="s">
        <v>7063</v>
      </c>
      <c r="B1307" s="252">
        <f>IF(A1307="", "", IF(IFERROR(VLOOKUP(A1307, 'Base 3F'!$B:$C, 2, FALSE),"")="", "SIN CUIT", VLOOKUP(A1307, 'Base 3F'!$B:$C, 2, FALSE)))</f>
        <v>30708823186</v>
      </c>
      <c r="C1307" s="253" t="str">
        <f>IF(A1307="", "", IF(IFERROR(VLOOKUP(A1307, 'Base 3F'!$B:$J, 9, FALSE),"")="", "SIN RUBRO", VLOOKUP(A1307, 'Base 3F'!$B:$J, 9, FALSE)))</f>
        <v>Plástica</v>
      </c>
      <c r="D1307" s="58" t="s">
        <v>7066</v>
      </c>
      <c r="E1307" s="10" t="s">
        <v>2392</v>
      </c>
      <c r="F1307" s="46" t="s">
        <v>115</v>
      </c>
    </row>
    <row r="1308">
      <c r="A1308" s="285" t="s">
        <v>1962</v>
      </c>
      <c r="B1308" s="252">
        <f>IF(A1308="", "", IF(IFERROR(VLOOKUP(A1308, 'Base 3F'!$B:$C, 2, FALSE),"")="", "SIN CUIT", VLOOKUP(A1308, 'Base 3F'!$B:$C, 2, FALSE)))</f>
        <v>33714959919</v>
      </c>
      <c r="C1308" s="253" t="str">
        <f>IF(A1308="", "", IF(IFERROR(VLOOKUP(A1308, 'Base 3F'!$B:$J, 9, FALSE),"")="", "SIN RUBRO", VLOOKUP(A1308, 'Base 3F'!$B:$J, 9, FALSE)))</f>
        <v>Alimenticia</v>
      </c>
      <c r="D1308" s="58" t="s">
        <v>7069</v>
      </c>
      <c r="E1308" s="10" t="s">
        <v>2392</v>
      </c>
      <c r="F1308" s="46" t="s">
        <v>115</v>
      </c>
    </row>
    <row r="1309">
      <c r="A1309" s="285" t="s">
        <v>7070</v>
      </c>
      <c r="B1309" s="252">
        <f>IF(A1309="", "", IF(IFERROR(VLOOKUP(A1309, 'Base 3F'!$B:$C, 2, FALSE),"")="", "SIN CUIT", VLOOKUP(A1309, 'Base 3F'!$B:$C, 2, FALSE)))</f>
        <v>30637937673</v>
      </c>
      <c r="C1309" s="253" t="str">
        <f>IF(A1309="", "", IF(IFERROR(VLOOKUP(A1309, 'Base 3F'!$B:$J, 9, FALSE),"")="", "SIN RUBRO", VLOOKUP(A1309, 'Base 3F'!$B:$J, 9, FALSE)))</f>
        <v>Química</v>
      </c>
      <c r="D1309" s="58" t="s">
        <v>7073</v>
      </c>
      <c r="E1309" s="10" t="s">
        <v>2392</v>
      </c>
      <c r="F1309" s="46" t="s">
        <v>115</v>
      </c>
    </row>
    <row r="1310">
      <c r="A1310" s="285" t="s">
        <v>7077</v>
      </c>
      <c r="B1310" s="252">
        <f>IF(A1310="", "", IF(IFERROR(VLOOKUP(A1310, 'Base 3F'!$B:$C, 2, FALSE),"")="", "SIN CUIT", VLOOKUP(A1310, 'Base 3F'!$B:$C, 2, FALSE)))</f>
        <v>30714782025</v>
      </c>
      <c r="C1310" s="253" t="str">
        <f>IF(A1310="", "", IF(IFERROR(VLOOKUP(A1310, 'Base 3F'!$B:$J, 9, FALSE),"")="", "SIN RUBRO", VLOOKUP(A1310, 'Base 3F'!$B:$J, 9, FALSE)))</f>
        <v>Metalúrgica</v>
      </c>
      <c r="D1310" s="58" t="s">
        <v>7079</v>
      </c>
      <c r="E1310" s="10" t="s">
        <v>2392</v>
      </c>
      <c r="F1310" s="46" t="s">
        <v>115</v>
      </c>
    </row>
    <row r="1311">
      <c r="A1311" s="285" t="s">
        <v>7080</v>
      </c>
      <c r="B1311" s="252">
        <f>IF(A1311="", "", IF(IFERROR(VLOOKUP(A1311, 'Base 3F'!$B:$C, 2, FALSE),"")="", "SIN CUIT", VLOOKUP(A1311, 'Base 3F'!$B:$C, 2, FALSE)))</f>
        <v>33714073759</v>
      </c>
      <c r="C1311" s="253" t="str">
        <f>IF(A1311="", "", IF(IFERROR(VLOOKUP(A1311, 'Base 3F'!$B:$J, 9, FALSE),"")="", "SIN RUBRO", VLOOKUP(A1311, 'Base 3F'!$B:$J, 9, FALSE)))</f>
        <v>Manufactura</v>
      </c>
      <c r="D1311" s="58" t="s">
        <v>7085</v>
      </c>
      <c r="E1311" s="10" t="s">
        <v>2392</v>
      </c>
      <c r="F1311" s="46" t="s">
        <v>115</v>
      </c>
    </row>
    <row r="1312">
      <c r="A1312" s="285" t="s">
        <v>7086</v>
      </c>
      <c r="B1312" s="252">
        <f>IF(A1312="", "", IF(IFERROR(VLOOKUP(A1312, 'Base 3F'!$B:$C, 2, FALSE),"")="", "SIN CUIT", VLOOKUP(A1312, 'Base 3F'!$B:$C, 2, FALSE)))</f>
        <v>30517014954</v>
      </c>
      <c r="C1312" s="253" t="str">
        <f>IF(A1312="", "", IF(IFERROR(VLOOKUP(A1312, 'Base 3F'!$B:$J, 9, FALSE),"")="", "SIN RUBRO", VLOOKUP(A1312, 'Base 3F'!$B:$J, 9, FALSE)))</f>
        <v>Bebidas</v>
      </c>
      <c r="D1312" s="58" t="s">
        <v>7089</v>
      </c>
      <c r="E1312" s="10" t="s">
        <v>2392</v>
      </c>
      <c r="F1312" s="46" t="s">
        <v>115</v>
      </c>
    </row>
    <row r="1313">
      <c r="A1313" s="285" t="s">
        <v>7090</v>
      </c>
      <c r="B1313" s="252">
        <f>IF(A1313="", "", IF(IFERROR(VLOOKUP(A1313, 'Base 3F'!$B:$C, 2, FALSE),"")="", "SIN CUIT", VLOOKUP(A1313, 'Base 3F'!$B:$C, 2, FALSE)))</f>
        <v>30585206608</v>
      </c>
      <c r="C1313" s="253" t="str">
        <f>IF(A1313="", "", IF(IFERROR(VLOOKUP(A1313, 'Base 3F'!$B:$J, 9, FALSE),"")="", "SIN RUBRO", VLOOKUP(A1313, 'Base 3F'!$B:$J, 9, FALSE)))</f>
        <v>Plástica</v>
      </c>
      <c r="D1313" s="58" t="s">
        <v>7092</v>
      </c>
      <c r="E1313" s="10" t="s">
        <v>2392</v>
      </c>
      <c r="F1313" s="46" t="s">
        <v>115</v>
      </c>
    </row>
    <row r="1314">
      <c r="A1314" s="285" t="s">
        <v>7093</v>
      </c>
      <c r="B1314" s="252">
        <f>IF(A1314="", "", IF(IFERROR(VLOOKUP(A1314, 'Base 3F'!$B:$C, 2, FALSE),"")="", "SIN CUIT", VLOOKUP(A1314, 'Base 3F'!$B:$C, 2, FALSE)))</f>
        <v>30608523886</v>
      </c>
      <c r="C1314" s="253" t="str">
        <f>IF(A1314="", "", IF(IFERROR(VLOOKUP(A1314, 'Base 3F'!$B:$J, 9, FALSE),"")="", "SIN RUBRO", VLOOKUP(A1314, 'Base 3F'!$B:$J, 9, FALSE)))</f>
        <v>Alimenticia</v>
      </c>
      <c r="D1314" s="58" t="s">
        <v>7097</v>
      </c>
      <c r="E1314" s="10" t="s">
        <v>2392</v>
      </c>
      <c r="F1314" s="46" t="s">
        <v>115</v>
      </c>
    </row>
    <row r="1315">
      <c r="A1315" s="285" t="s">
        <v>7099</v>
      </c>
      <c r="B1315" s="252">
        <f>IF(A1315="", "", IF(IFERROR(VLOOKUP(A1315, 'Base 3F'!$B:$C, 2, FALSE),"")="", "SIN CUIT", VLOOKUP(A1315, 'Base 3F'!$B:$C, 2, FALSE)))</f>
        <v>30663785091</v>
      </c>
      <c r="C1315" s="253" t="str">
        <f>IF(A1315="", "", IF(IFERROR(VLOOKUP(A1315, 'Base 3F'!$B:$J, 9, FALSE),"")="", "SIN RUBRO", VLOOKUP(A1315, 'Base 3F'!$B:$J, 9, FALSE)))</f>
        <v>Química</v>
      </c>
      <c r="D1315" s="58" t="s">
        <v>7102</v>
      </c>
      <c r="E1315" s="10" t="s">
        <v>2392</v>
      </c>
      <c r="F1315" s="46" t="s">
        <v>115</v>
      </c>
    </row>
    <row r="1316">
      <c r="A1316" s="285" t="s">
        <v>7103</v>
      </c>
      <c r="B1316" s="252">
        <f>IF(A1316="", "", IF(IFERROR(VLOOKUP(A1316, 'Base 3F'!$B:$C, 2, FALSE),"")="", "SIN CUIT", VLOOKUP(A1316, 'Base 3F'!$B:$C, 2, FALSE)))</f>
        <v>30663818828</v>
      </c>
      <c r="C1316" s="253" t="str">
        <f>IF(A1316="", "", IF(IFERROR(VLOOKUP(A1316, 'Base 3F'!$B:$J, 9, FALSE),"")="", "SIN RUBRO", VLOOKUP(A1316, 'Base 3F'!$B:$J, 9, FALSE)))</f>
        <v>Química</v>
      </c>
      <c r="D1316" s="58" t="s">
        <v>7109</v>
      </c>
      <c r="E1316" s="10" t="s">
        <v>2392</v>
      </c>
      <c r="F1316" s="46" t="s">
        <v>115</v>
      </c>
    </row>
    <row r="1317">
      <c r="A1317" s="285" t="s">
        <v>1970</v>
      </c>
      <c r="B1317" s="252">
        <f>IF(A1317="", "", IF(IFERROR(VLOOKUP(A1317, 'Base 3F'!$B:$C, 2, FALSE),"")="", "SIN CUIT", VLOOKUP(A1317, 'Base 3F'!$B:$C, 2, FALSE)))</f>
        <v>30708068477</v>
      </c>
      <c r="C1317" s="253" t="str">
        <f>IF(A1317="", "", IF(IFERROR(VLOOKUP(A1317, 'Base 3F'!$B:$J, 9, FALSE),"")="", "SIN RUBRO", VLOOKUP(A1317, 'Base 3F'!$B:$J, 9, FALSE)))</f>
        <v>Química</v>
      </c>
      <c r="D1317" s="122" t="s">
        <v>7113</v>
      </c>
      <c r="E1317" s="10" t="s">
        <v>2392</v>
      </c>
      <c r="F1317" s="46" t="s">
        <v>115</v>
      </c>
    </row>
    <row r="1318">
      <c r="A1318" s="285" t="s">
        <v>1979</v>
      </c>
      <c r="B1318" s="252">
        <f>IF(A1318="", "", IF(IFERROR(VLOOKUP(A1318, 'Base 3F'!$B:$C, 2, FALSE),"")="", "SIN CUIT", VLOOKUP(A1318, 'Base 3F'!$B:$C, 2, FALSE)))</f>
        <v>33709433089</v>
      </c>
      <c r="C1318" s="253" t="str">
        <f>IF(A1318="", "", IF(IFERROR(VLOOKUP(A1318, 'Base 3F'!$B:$J, 9, FALSE),"")="", "SIN RUBRO", VLOOKUP(A1318, 'Base 3F'!$B:$J, 9, FALSE)))</f>
        <v>Plástica</v>
      </c>
      <c r="D1318" s="58" t="s">
        <v>7120</v>
      </c>
      <c r="E1318" s="10" t="s">
        <v>2392</v>
      </c>
      <c r="F1318" s="46" t="s">
        <v>115</v>
      </c>
    </row>
    <row r="1319">
      <c r="A1319" s="285" t="s">
        <v>7121</v>
      </c>
      <c r="B1319" s="252">
        <f>IF(A1319="", "", IF(IFERROR(VLOOKUP(A1319, 'Base 3F'!$B:$C, 2, FALSE),"")="", "SIN CUIT", VLOOKUP(A1319, 'Base 3F'!$B:$C, 2, FALSE)))</f>
        <v>30708193557</v>
      </c>
      <c r="C1319" s="253" t="str">
        <f>IF(A1319="", "", IF(IFERROR(VLOOKUP(A1319, 'Base 3F'!$B:$J, 9, FALSE),"")="", "SIN RUBRO", VLOOKUP(A1319, 'Base 3F'!$B:$J, 9, FALSE)))</f>
        <v>Plástica</v>
      </c>
      <c r="D1319" s="58" t="s">
        <v>7125</v>
      </c>
      <c r="E1319" s="10" t="s">
        <v>2392</v>
      </c>
      <c r="F1319" s="46" t="s">
        <v>115</v>
      </c>
    </row>
    <row r="1320">
      <c r="A1320" s="285" t="s">
        <v>7127</v>
      </c>
      <c r="B1320" s="252">
        <f>IF(A1320="", "", IF(IFERROR(VLOOKUP(A1320, 'Base 3F'!$B:$C, 2, FALSE),"")="", "SIN CUIT", VLOOKUP(A1320, 'Base 3F'!$B:$C, 2, FALSE)))</f>
        <v>30710641249</v>
      </c>
      <c r="C1320" s="253" t="str">
        <f>IF(A1320="", "", IF(IFERROR(VLOOKUP(A1320, 'Base 3F'!$B:$J, 9, FALSE),"")="", "SIN RUBRO", VLOOKUP(A1320, 'Base 3F'!$B:$J, 9, FALSE)))</f>
        <v>Automotor</v>
      </c>
      <c r="D1320" s="58" t="s">
        <v>7130</v>
      </c>
      <c r="E1320" s="10" t="s">
        <v>2392</v>
      </c>
      <c r="F1320" s="46" t="s">
        <v>115</v>
      </c>
    </row>
    <row r="1321">
      <c r="A1321" s="285" t="s">
        <v>1994</v>
      </c>
      <c r="B1321" s="252">
        <f>IF(A1321="", "", IF(IFERROR(VLOOKUP(A1321, 'Base 3F'!$B:$C, 2, FALSE),"")="", "SIN CUIT", VLOOKUP(A1321, 'Base 3F'!$B:$C, 2, FALSE)))</f>
        <v>33714742189</v>
      </c>
      <c r="C1321" s="253" t="str">
        <f>IF(A1321="", "", IF(IFERROR(VLOOKUP(A1321, 'Base 3F'!$B:$J, 9, FALSE),"")="", "SIN RUBRO", VLOOKUP(A1321, 'Base 3F'!$B:$J, 9, FALSE)))</f>
        <v>Química</v>
      </c>
      <c r="D1321" s="58" t="s">
        <v>7136</v>
      </c>
      <c r="E1321" s="10" t="s">
        <v>2392</v>
      </c>
      <c r="F1321" s="46" t="s">
        <v>115</v>
      </c>
    </row>
    <row r="1322">
      <c r="A1322" s="285" t="s">
        <v>7137</v>
      </c>
      <c r="B1322" s="252">
        <f>IF(A1322="", "", IF(IFERROR(VLOOKUP(A1322, 'Base 3F'!$B:$C, 2, FALSE),"")="", "SIN CUIT", VLOOKUP(A1322, 'Base 3F'!$B:$C, 2, FALSE)))</f>
        <v>30709352144</v>
      </c>
      <c r="C1322" s="253" t="str">
        <f>IF(A1322="", "", IF(IFERROR(VLOOKUP(A1322, 'Base 3F'!$B:$J, 9, FALSE),"")="", "SIN RUBRO", VLOOKUP(A1322, 'Base 3F'!$B:$J, 9, FALSE)))</f>
        <v>Electrónica</v>
      </c>
      <c r="D1322" s="58" t="s">
        <v>7144</v>
      </c>
      <c r="E1322" s="10" t="s">
        <v>2392</v>
      </c>
      <c r="F1322" s="46" t="s">
        <v>115</v>
      </c>
    </row>
    <row r="1323">
      <c r="A1323" s="285" t="s">
        <v>7145</v>
      </c>
      <c r="B1323" s="252">
        <f>IF(A1323="", "", IF(IFERROR(VLOOKUP(A1323, 'Base 3F'!$B:$C, 2, FALSE),"")="", "SIN CUIT", VLOOKUP(A1323, 'Base 3F'!$B:$C, 2, FALSE)))</f>
        <v>30574192265</v>
      </c>
      <c r="C1323" s="253" t="str">
        <f>IF(A1323="", "", IF(IFERROR(VLOOKUP(A1323, 'Base 3F'!$B:$J, 9, FALSE),"")="", "SIN RUBRO", VLOOKUP(A1323, 'Base 3F'!$B:$J, 9, FALSE)))</f>
        <v>Plástica</v>
      </c>
      <c r="D1323" s="320" t="s">
        <v>7152</v>
      </c>
      <c r="E1323" s="10" t="s">
        <v>2392</v>
      </c>
      <c r="F1323" s="46" t="s">
        <v>115</v>
      </c>
    </row>
    <row r="1324">
      <c r="A1324" s="285" t="s">
        <v>7153</v>
      </c>
      <c r="B1324" s="252">
        <f>IF(A1324="", "", IF(IFERROR(VLOOKUP(A1324, 'Base 3F'!$B:$C, 2, FALSE),"")="", "SIN CUIT", VLOOKUP(A1324, 'Base 3F'!$B:$C, 2, FALSE)))</f>
        <v>30610432774</v>
      </c>
      <c r="C1324" s="253" t="str">
        <f>IF(A1324="", "", IF(IFERROR(VLOOKUP(A1324, 'Base 3F'!$B:$J, 9, FALSE),"")="", "SIN RUBRO", VLOOKUP(A1324, 'Base 3F'!$B:$J, 9, FALSE)))</f>
        <v>Servicios</v>
      </c>
      <c r="D1324" s="58" t="s">
        <v>7155</v>
      </c>
      <c r="E1324" s="10" t="s">
        <v>2392</v>
      </c>
      <c r="F1324" s="46" t="s">
        <v>115</v>
      </c>
    </row>
    <row r="1325">
      <c r="A1325" s="285" t="s">
        <v>7158</v>
      </c>
      <c r="B1325" s="252">
        <f>IF(A1325="", "", IF(IFERROR(VLOOKUP(A1325, 'Base 3F'!$B:$C, 2, FALSE),"")="", "SIN CUIT", VLOOKUP(A1325, 'Base 3F'!$B:$C, 2, FALSE)))</f>
        <v>30605224691</v>
      </c>
      <c r="C1325" s="253" t="str">
        <f>IF(A1325="", "", IF(IFERROR(VLOOKUP(A1325, 'Base 3F'!$B:$J, 9, FALSE),"")="", "SIN RUBRO", VLOOKUP(A1325, 'Base 3F'!$B:$J, 9, FALSE)))</f>
        <v>Química</v>
      </c>
      <c r="D1325" s="199" t="s">
        <v>7160</v>
      </c>
      <c r="E1325" s="10" t="s">
        <v>2392</v>
      </c>
      <c r="F1325" s="46" t="s">
        <v>115</v>
      </c>
    </row>
    <row r="1326">
      <c r="A1326" s="285" t="s">
        <v>7164</v>
      </c>
      <c r="B1326" s="252">
        <f>IF(A1326="", "", IF(IFERROR(VLOOKUP(A1326, 'Base 3F'!$B:$C, 2, FALSE),"")="", "SIN CUIT", VLOOKUP(A1326, 'Base 3F'!$B:$C, 2, FALSE)))</f>
        <v>30693463927</v>
      </c>
      <c r="C1326" s="253" t="str">
        <f>IF(A1326="", "", IF(IFERROR(VLOOKUP(A1326, 'Base 3F'!$B:$J, 9, FALSE),"")="", "SIN RUBRO", VLOOKUP(A1326, 'Base 3F'!$B:$J, 9, FALSE)))</f>
        <v>Metalúrgica</v>
      </c>
      <c r="D1326" s="58" t="s">
        <v>7170</v>
      </c>
      <c r="E1326" s="10" t="s">
        <v>2392</v>
      </c>
      <c r="F1326" s="46" t="s">
        <v>115</v>
      </c>
    </row>
    <row r="1327">
      <c r="A1327" s="285" t="s">
        <v>7171</v>
      </c>
      <c r="B1327" s="252">
        <f>IF(A1327="", "", IF(IFERROR(VLOOKUP(A1327, 'Base 3F'!$B:$C, 2, FALSE),"")="", "SIN CUIT", VLOOKUP(A1327, 'Base 3F'!$B:$C, 2, FALSE)))</f>
        <v>20133941631</v>
      </c>
      <c r="C1327" s="253" t="str">
        <f>IF(A1327="", "", IF(IFERROR(VLOOKUP(A1327, 'Base 3F'!$B:$J, 9, FALSE),"")="", "SIN RUBRO", VLOOKUP(A1327, 'Base 3F'!$B:$J, 9, FALSE)))</f>
        <v>Industria</v>
      </c>
      <c r="D1327" s="58" t="s">
        <v>7176</v>
      </c>
      <c r="E1327" s="10" t="s">
        <v>2392</v>
      </c>
      <c r="F1327" s="46" t="s">
        <v>115</v>
      </c>
    </row>
    <row r="1328">
      <c r="A1328" s="285" t="s">
        <v>7177</v>
      </c>
      <c r="B1328" s="252">
        <f>IF(A1328="", "", IF(IFERROR(VLOOKUP(A1328, 'Base 3F'!$B:$C, 2, FALSE),"")="", "SIN CUIT", VLOOKUP(A1328, 'Base 3F'!$B:$C, 2, FALSE)))</f>
        <v>30709652261</v>
      </c>
      <c r="C1328" s="253" t="str">
        <f>IF(A1328="", "", IF(IFERROR(VLOOKUP(A1328, 'Base 3F'!$B:$J, 9, FALSE),"")="", "SIN RUBRO", VLOOKUP(A1328, 'Base 3F'!$B:$J, 9, FALSE)))</f>
        <v>Metalúrgica</v>
      </c>
      <c r="D1328" s="58" t="s">
        <v>7179</v>
      </c>
      <c r="E1328" s="10" t="s">
        <v>2392</v>
      </c>
      <c r="F1328" s="46" t="s">
        <v>115</v>
      </c>
    </row>
    <row r="1329">
      <c r="A1329" s="285" t="s">
        <v>7180</v>
      </c>
      <c r="B1329" s="252">
        <f>IF(A1329="", "", IF(IFERROR(VLOOKUP(A1329, 'Base 3F'!$B:$C, 2, FALSE),"")="", "SIN CUIT", VLOOKUP(A1329, 'Base 3F'!$B:$C, 2, FALSE)))</f>
        <v>30707846239</v>
      </c>
      <c r="C1329" s="253" t="str">
        <f>IF(A1329="", "", IF(IFERROR(VLOOKUP(A1329, 'Base 3F'!$B:$J, 9, FALSE),"")="", "SIN RUBRO", VLOOKUP(A1329, 'Base 3F'!$B:$J, 9, FALSE)))</f>
        <v>Metalúrgica</v>
      </c>
      <c r="D1329" s="58" t="s">
        <v>7183</v>
      </c>
      <c r="E1329" s="10" t="s">
        <v>2392</v>
      </c>
      <c r="F1329" s="46" t="s">
        <v>115</v>
      </c>
    </row>
    <row r="1330">
      <c r="A1330" s="285" t="s">
        <v>7185</v>
      </c>
      <c r="B1330" s="252">
        <f>IF(A1330="", "", IF(IFERROR(VLOOKUP(A1330, 'Base 3F'!$B:$C, 2, FALSE),"")="", "SIN CUIT", VLOOKUP(A1330, 'Base 3F'!$B:$C, 2, FALSE)))</f>
        <v>30701148106</v>
      </c>
      <c r="C1330" s="253" t="str">
        <f>IF(A1330="", "", IF(IFERROR(VLOOKUP(A1330, 'Base 3F'!$B:$J, 9, FALSE),"")="", "SIN RUBRO", VLOOKUP(A1330, 'Base 3F'!$B:$J, 9, FALSE)))</f>
        <v>Metalúrgica</v>
      </c>
      <c r="D1330" s="58" t="s">
        <v>7189</v>
      </c>
      <c r="E1330" s="10" t="s">
        <v>2392</v>
      </c>
      <c r="F1330" s="46" t="s">
        <v>115</v>
      </c>
    </row>
    <row r="1331">
      <c r="A1331" s="285" t="s">
        <v>7190</v>
      </c>
      <c r="B1331" s="252">
        <f>IF(A1331="", "", IF(IFERROR(VLOOKUP(A1331, 'Base 3F'!$B:$C, 2, FALSE),"")="", "SIN CUIT", VLOOKUP(A1331, 'Base 3F'!$B:$C, 2, FALSE)))</f>
        <v>33711252539</v>
      </c>
      <c r="C1331" s="253" t="str">
        <f>IF(A1331="", "", IF(IFERROR(VLOOKUP(A1331, 'Base 3F'!$B:$J, 9, FALSE),"")="", "SIN RUBRO", VLOOKUP(A1331, 'Base 3F'!$B:$J, 9, FALSE)))</f>
        <v>Alimenticia</v>
      </c>
      <c r="D1331" s="58" t="s">
        <v>7195</v>
      </c>
      <c r="E1331" s="10" t="s">
        <v>2392</v>
      </c>
      <c r="F1331" s="46" t="s">
        <v>115</v>
      </c>
    </row>
    <row r="1332">
      <c r="A1332" s="285" t="s">
        <v>7196</v>
      </c>
      <c r="B1332" s="252">
        <f>IF(A1332="", "", IF(IFERROR(VLOOKUP(A1332, 'Base 3F'!$B:$C, 2, FALSE),"")="", "SIN CUIT", VLOOKUP(A1332, 'Base 3F'!$B:$C, 2, FALSE)))</f>
        <v>30708439203</v>
      </c>
      <c r="C1332" s="253" t="str">
        <f>IF(A1332="", "", IF(IFERROR(VLOOKUP(A1332, 'Base 3F'!$B:$J, 9, FALSE),"")="", "SIN RUBRO", VLOOKUP(A1332, 'Base 3F'!$B:$J, 9, FALSE)))</f>
        <v>Metalúrgica</v>
      </c>
      <c r="D1332" s="58" t="s">
        <v>7198</v>
      </c>
      <c r="E1332" s="10" t="s">
        <v>2392</v>
      </c>
      <c r="F1332" s="46" t="s">
        <v>115</v>
      </c>
    </row>
    <row r="1333">
      <c r="A1333" s="285" t="s">
        <v>7199</v>
      </c>
      <c r="B1333" s="252">
        <f>IF(A1333="", "", IF(IFERROR(VLOOKUP(A1333, 'Base 3F'!$B:$C, 2, FALSE),"")="", "SIN CUIT", VLOOKUP(A1333, 'Base 3F'!$B:$C, 2, FALSE)))</f>
        <v>20221260792</v>
      </c>
      <c r="C1333" s="253" t="str">
        <f>IF(A1333="", "", IF(IFERROR(VLOOKUP(A1333, 'Base 3F'!$B:$J, 9, FALSE),"")="", "SIN RUBRO", VLOOKUP(A1333, 'Base 3F'!$B:$J, 9, FALSE)))</f>
        <v>Gráfica</v>
      </c>
      <c r="D1333" s="58" t="s">
        <v>7200</v>
      </c>
      <c r="E1333" s="10" t="s">
        <v>2392</v>
      </c>
      <c r="F1333" s="46" t="s">
        <v>115</v>
      </c>
    </row>
    <row r="1334">
      <c r="A1334" s="285" t="s">
        <v>7202</v>
      </c>
      <c r="B1334" s="252">
        <f>IF(A1334="", "", IF(IFERROR(VLOOKUP(A1334, 'Base 3F'!$B:$C, 2, FALSE),"")="", "SIN CUIT", VLOOKUP(A1334, 'Base 3F'!$B:$C, 2, FALSE)))</f>
        <v>30710654456</v>
      </c>
      <c r="C1334" s="253" t="str">
        <f>IF(A1334="", "", IF(IFERROR(VLOOKUP(A1334, 'Base 3F'!$B:$J, 9, FALSE),"")="", "SIN RUBRO", VLOOKUP(A1334, 'Base 3F'!$B:$J, 9, FALSE)))</f>
        <v>Metalúrgica</v>
      </c>
      <c r="D1334" s="58" t="s">
        <v>7205</v>
      </c>
      <c r="E1334" s="10" t="s">
        <v>2392</v>
      </c>
      <c r="F1334" s="46" t="s">
        <v>115</v>
      </c>
    </row>
    <row r="1335">
      <c r="A1335" s="285" t="s">
        <v>7206</v>
      </c>
      <c r="B1335" s="252">
        <f>IF(A1335="", "", IF(IFERROR(VLOOKUP(A1335, 'Base 3F'!$B:$C, 2, FALSE),"")="", "SIN CUIT", VLOOKUP(A1335, 'Base 3F'!$B:$C, 2, FALSE)))</f>
        <v>20242729545</v>
      </c>
      <c r="C1335" s="253" t="str">
        <f>IF(A1335="", "", IF(IFERROR(VLOOKUP(A1335, 'Base 3F'!$B:$J, 9, FALSE),"")="", "SIN RUBRO", VLOOKUP(A1335, 'Base 3F'!$B:$J, 9, FALSE)))</f>
        <v>Madera</v>
      </c>
      <c r="D1335" s="58" t="s">
        <v>7210</v>
      </c>
      <c r="E1335" s="10" t="s">
        <v>2392</v>
      </c>
      <c r="F1335" s="46" t="s">
        <v>115</v>
      </c>
    </row>
    <row r="1336">
      <c r="A1336" s="285" t="s">
        <v>4163</v>
      </c>
      <c r="B1336" s="252">
        <f>IF(A1336="", "", IF(IFERROR(VLOOKUP(A1336, 'Base 3F'!$B:$C, 2, FALSE),"")="", "SIN CUIT", VLOOKUP(A1336, 'Base 3F'!$B:$C, 2, FALSE)))</f>
        <v>30711624372</v>
      </c>
      <c r="C1336" s="253" t="str">
        <f>IF(A1336="", "", IF(IFERROR(VLOOKUP(A1336, 'Base 3F'!$B:$J, 9, FALSE),"")="", "SIN RUBRO", VLOOKUP(A1336, 'Base 3F'!$B:$J, 9, FALSE)))</f>
        <v>Metalúrgica</v>
      </c>
      <c r="D1336" s="58" t="s">
        <v>7211</v>
      </c>
      <c r="E1336" s="10" t="s">
        <v>2392</v>
      </c>
      <c r="F1336" s="46" t="s">
        <v>115</v>
      </c>
    </row>
    <row r="1337">
      <c r="A1337" s="285" t="s">
        <v>2008</v>
      </c>
      <c r="B1337" s="252">
        <f>IF(A1337="", "", IF(IFERROR(VLOOKUP(A1337, 'Base 3F'!$B:$C, 2, FALSE),"")="", "SIN CUIT", VLOOKUP(A1337, 'Base 3F'!$B:$C, 2, FALSE)))</f>
        <v>30637443832</v>
      </c>
      <c r="C1337" s="253" t="str">
        <f>IF(A1337="", "", IF(IFERROR(VLOOKUP(A1337, 'Base 3F'!$B:$J, 9, FALSE),"")="", "SIN RUBRO", VLOOKUP(A1337, 'Base 3F'!$B:$J, 9, FALSE)))</f>
        <v>Piedra</v>
      </c>
      <c r="D1337" s="58" t="s">
        <v>7215</v>
      </c>
      <c r="E1337" s="10" t="s">
        <v>2392</v>
      </c>
      <c r="F1337" s="46" t="s">
        <v>115</v>
      </c>
    </row>
    <row r="1338">
      <c r="A1338" s="285" t="s">
        <v>7216</v>
      </c>
      <c r="B1338" s="252">
        <f>IF(A1338="", "", IF(IFERROR(VLOOKUP(A1338, 'Base 3F'!$B:$C, 2, FALSE),"")="", "SIN CUIT", VLOOKUP(A1338, 'Base 3F'!$B:$C, 2, FALSE)))</f>
        <v>30714084654</v>
      </c>
      <c r="C1338" s="253" t="str">
        <f>IF(A1338="", "", IF(IFERROR(VLOOKUP(A1338, 'Base 3F'!$B:$J, 9, FALSE),"")="", "SIN RUBRO", VLOOKUP(A1338, 'Base 3F'!$B:$J, 9, FALSE)))</f>
        <v>Bebidas</v>
      </c>
      <c r="D1338" s="58" t="s">
        <v>7217</v>
      </c>
      <c r="E1338" s="10" t="s">
        <v>2392</v>
      </c>
      <c r="F1338" s="46" t="s">
        <v>115</v>
      </c>
    </row>
    <row r="1339">
      <c r="A1339" s="285" t="s">
        <v>7219</v>
      </c>
      <c r="B1339" s="252">
        <f>IF(A1339="", "", IF(IFERROR(VLOOKUP(A1339, 'Base 3F'!$B:$C, 2, FALSE),"")="", "SIN CUIT", VLOOKUP(A1339, 'Base 3F'!$B:$C, 2, FALSE)))</f>
        <v>30707510826</v>
      </c>
      <c r="C1339" s="253" t="str">
        <f>IF(A1339="", "", IF(IFERROR(VLOOKUP(A1339, 'Base 3F'!$B:$J, 9, FALSE),"")="", "SIN RUBRO", VLOOKUP(A1339, 'Base 3F'!$B:$J, 9, FALSE)))</f>
        <v>Metalúrgica</v>
      </c>
      <c r="D1339" s="58" t="s">
        <v>7221</v>
      </c>
      <c r="E1339" s="10" t="s">
        <v>2392</v>
      </c>
      <c r="F1339" s="46" t="s">
        <v>115</v>
      </c>
    </row>
    <row r="1340">
      <c r="A1340" s="285" t="s">
        <v>7222</v>
      </c>
      <c r="B1340" s="252">
        <f>IF(A1340="", "", IF(IFERROR(VLOOKUP(A1340, 'Base 3F'!$B:$C, 2, FALSE),"")="", "SIN CUIT", VLOOKUP(A1340, 'Base 3F'!$B:$C, 2, FALSE)))</f>
        <v>30712316574</v>
      </c>
      <c r="C1340" s="253" t="str">
        <f>IF(A1340="", "", IF(IFERROR(VLOOKUP(A1340, 'Base 3F'!$B:$J, 9, FALSE),"")="", "SIN RUBRO", VLOOKUP(A1340, 'Base 3F'!$B:$J, 9, FALSE)))</f>
        <v>Servicios</v>
      </c>
      <c r="D1340" s="58" t="s">
        <v>7225</v>
      </c>
      <c r="E1340" s="10" t="s">
        <v>2392</v>
      </c>
      <c r="F1340" s="46" t="s">
        <v>115</v>
      </c>
    </row>
    <row r="1341">
      <c r="A1341" s="285" t="s">
        <v>7226</v>
      </c>
      <c r="B1341" s="252">
        <f>IF(A1341="", "", IF(IFERROR(VLOOKUP(A1341, 'Base 3F'!$B:$C, 2, FALSE),"")="", "SIN CUIT", VLOOKUP(A1341, 'Base 3F'!$B:$C, 2, FALSE)))</f>
        <v>33711503159</v>
      </c>
      <c r="C1341" s="253" t="str">
        <f>IF(A1341="", "", IF(IFERROR(VLOOKUP(A1341, 'Base 3F'!$B:$J, 9, FALSE),"")="", "SIN RUBRO", VLOOKUP(A1341, 'Base 3F'!$B:$J, 9, FALSE)))</f>
        <v>Metalmecánica</v>
      </c>
      <c r="D1341" s="58" t="s">
        <v>7229</v>
      </c>
      <c r="E1341" s="10" t="s">
        <v>2392</v>
      </c>
      <c r="F1341" s="46" t="s">
        <v>115</v>
      </c>
    </row>
    <row r="1342">
      <c r="A1342" s="285" t="s">
        <v>7230</v>
      </c>
      <c r="B1342" s="252">
        <f>IF(A1342="", "", IF(IFERROR(VLOOKUP(A1342, 'Base 3F'!$B:$C, 2, FALSE),"")="", "SIN CUIT", VLOOKUP(A1342, 'Base 3F'!$B:$C, 2, FALSE)))</f>
        <v>23146187579</v>
      </c>
      <c r="C1342" s="253" t="str">
        <f>IF(A1342="", "", IF(IFERROR(VLOOKUP(A1342, 'Base 3F'!$B:$J, 9, FALSE),"")="", "SIN RUBRO", VLOOKUP(A1342, 'Base 3F'!$B:$J, 9, FALSE)))</f>
        <v>Plástica</v>
      </c>
      <c r="D1342" s="58" t="s">
        <v>7232</v>
      </c>
      <c r="E1342" s="10" t="s">
        <v>2392</v>
      </c>
      <c r="F1342" s="46" t="s">
        <v>115</v>
      </c>
    </row>
    <row r="1343">
      <c r="A1343" s="285" t="s">
        <v>2014</v>
      </c>
      <c r="B1343" s="252">
        <f>IF(A1343="", "", IF(IFERROR(VLOOKUP(A1343, 'Base 3F'!$B:$C, 2, FALSE),"")="", "SIN CUIT", VLOOKUP(A1343, 'Base 3F'!$B:$C, 2, FALSE)))</f>
        <v>30710911602</v>
      </c>
      <c r="C1343" s="253" t="str">
        <f>IF(A1343="", "", IF(IFERROR(VLOOKUP(A1343, 'Base 3F'!$B:$J, 9, FALSE),"")="", "SIN RUBRO", VLOOKUP(A1343, 'Base 3F'!$B:$J, 9, FALSE)))</f>
        <v>Servicios</v>
      </c>
      <c r="D1343" s="58" t="s">
        <v>7237</v>
      </c>
      <c r="E1343" s="10" t="s">
        <v>2392</v>
      </c>
      <c r="F1343" s="46" t="s">
        <v>115</v>
      </c>
    </row>
    <row r="1344">
      <c r="A1344" s="285" t="s">
        <v>2021</v>
      </c>
      <c r="B1344" s="252">
        <f>IF(A1344="", "", IF(IFERROR(VLOOKUP(A1344, 'Base 3F'!$B:$C, 2, FALSE),"")="", "SIN CUIT", VLOOKUP(A1344, 'Base 3F'!$B:$C, 2, FALSE)))</f>
        <v>30519196928</v>
      </c>
      <c r="C1344" s="253" t="str">
        <f>IF(A1344="", "", IF(IFERROR(VLOOKUP(A1344, 'Base 3F'!$B:$J, 9, FALSE),"")="", "SIN RUBRO", VLOOKUP(A1344, 'Base 3F'!$B:$J, 9, FALSE)))</f>
        <v>Metalmecánica</v>
      </c>
      <c r="D1344" s="58" t="s">
        <v>7245</v>
      </c>
      <c r="E1344" s="10" t="s">
        <v>2392</v>
      </c>
      <c r="F1344" s="46" t="s">
        <v>115</v>
      </c>
    </row>
    <row r="1345">
      <c r="A1345" s="285" t="s">
        <v>7247</v>
      </c>
      <c r="B1345" s="252">
        <f>IF(A1345="", "", IF(IFERROR(VLOOKUP(A1345, 'Base 3F'!$B:$C, 2, FALSE),"")="", "SIN CUIT", VLOOKUP(A1345, 'Base 3F'!$B:$C, 2, FALSE)))</f>
        <v>30710792492</v>
      </c>
      <c r="C1345" s="253" t="str">
        <f>IF(A1345="", "", IF(IFERROR(VLOOKUP(A1345, 'Base 3F'!$B:$J, 9, FALSE),"")="", "SIN RUBRO", VLOOKUP(A1345, 'Base 3F'!$B:$J, 9, FALSE)))</f>
        <v>Química</v>
      </c>
      <c r="D1345" s="58" t="s">
        <v>7249</v>
      </c>
      <c r="E1345" s="10" t="s">
        <v>2392</v>
      </c>
      <c r="F1345" s="46" t="s">
        <v>115</v>
      </c>
    </row>
    <row r="1346">
      <c r="A1346" s="285" t="s">
        <v>7252</v>
      </c>
      <c r="B1346" s="252">
        <f>IF(A1346="", "", IF(IFERROR(VLOOKUP(A1346, 'Base 3F'!$B:$C, 2, FALSE),"")="", "SIN CUIT", VLOOKUP(A1346, 'Base 3F'!$B:$C, 2, FALSE)))</f>
        <v>23382022629</v>
      </c>
      <c r="C1346" s="253" t="str">
        <f>IF(A1346="", "", IF(IFERROR(VLOOKUP(A1346, 'Base 3F'!$B:$J, 9, FALSE),"")="", "SIN RUBRO", VLOOKUP(A1346, 'Base 3F'!$B:$J, 9, FALSE)))</f>
        <v>Metalúrgica</v>
      </c>
      <c r="D1346" s="142" t="s">
        <v>7256</v>
      </c>
      <c r="E1346" s="10" t="s">
        <v>2392</v>
      </c>
      <c r="F1346" s="46" t="s">
        <v>115</v>
      </c>
    </row>
    <row r="1347">
      <c r="A1347" s="285" t="s">
        <v>7257</v>
      </c>
      <c r="B1347" s="252">
        <f>IF(A1347="", "", IF(IFERROR(VLOOKUP(A1347, 'Base 3F'!$B:$C, 2, FALSE),"")="", "SIN CUIT", VLOOKUP(A1347, 'Base 3F'!$B:$C, 2, FALSE)))</f>
        <v>30662501863</v>
      </c>
      <c r="C1347" s="253" t="str">
        <f>IF(A1347="", "", IF(IFERROR(VLOOKUP(A1347, 'Base 3F'!$B:$J, 9, FALSE),"")="", "SIN RUBRO", VLOOKUP(A1347, 'Base 3F'!$B:$J, 9, FALSE)))</f>
        <v>Metalúrgica</v>
      </c>
      <c r="D1347" s="58" t="s">
        <v>7261</v>
      </c>
      <c r="E1347" s="10" t="s">
        <v>2392</v>
      </c>
      <c r="F1347" s="46" t="s">
        <v>115</v>
      </c>
    </row>
    <row r="1348">
      <c r="A1348" s="285" t="s">
        <v>2028</v>
      </c>
      <c r="B1348" s="252">
        <f>IF(A1348="", "", IF(IFERROR(VLOOKUP(A1348, 'Base 3F'!$B:$C, 2, FALSE),"")="", "SIN CUIT", VLOOKUP(A1348, 'Base 3F'!$B:$C, 2, FALSE)))</f>
        <v>30663753025</v>
      </c>
      <c r="C1348" s="253" t="str">
        <f>IF(A1348="", "", IF(IFERROR(VLOOKUP(A1348, 'Base 3F'!$B:$J, 9, FALSE),"")="", "SIN RUBRO", VLOOKUP(A1348, 'Base 3F'!$B:$J, 9, FALSE)))</f>
        <v>Plástica</v>
      </c>
      <c r="D1348" s="58" t="s">
        <v>7263</v>
      </c>
      <c r="E1348" s="10" t="s">
        <v>2392</v>
      </c>
      <c r="F1348" s="46" t="s">
        <v>115</v>
      </c>
    </row>
    <row r="1349">
      <c r="A1349" s="285" t="s">
        <v>7264</v>
      </c>
      <c r="B1349" s="252">
        <f>IF(A1349="", "", IF(IFERROR(VLOOKUP(A1349, 'Base 3F'!$B:$C, 2, FALSE),"")="", "SIN CUIT", VLOOKUP(A1349, 'Base 3F'!$B:$C, 2, FALSE)))</f>
        <v>30555263887</v>
      </c>
      <c r="C1349" s="253" t="str">
        <f>IF(A1349="", "", IF(IFERROR(VLOOKUP(A1349, 'Base 3F'!$B:$J, 9, FALSE),"")="", "SIN RUBRO", VLOOKUP(A1349, 'Base 3F'!$B:$J, 9, FALSE)))</f>
        <v>Metalúrgica</v>
      </c>
      <c r="D1349" s="58" t="s">
        <v>7270</v>
      </c>
      <c r="E1349" s="10" t="s">
        <v>2392</v>
      </c>
      <c r="F1349" s="46" t="s">
        <v>115</v>
      </c>
    </row>
    <row r="1350">
      <c r="A1350" s="285" t="s">
        <v>7271</v>
      </c>
      <c r="B1350" s="252">
        <f>IF(A1350="", "", IF(IFERROR(VLOOKUP(A1350, 'Base 3F'!$B:$C, 2, FALSE),"")="", "SIN CUIT", VLOOKUP(A1350, 'Base 3F'!$B:$C, 2, FALSE)))</f>
        <v>30504364174</v>
      </c>
      <c r="C1350" s="253" t="str">
        <f>IF(A1350="", "", IF(IFERROR(VLOOKUP(A1350, 'Base 3F'!$B:$J, 9, FALSE),"")="", "SIN RUBRO", VLOOKUP(A1350, 'Base 3F'!$B:$J, 9, FALSE)))</f>
        <v>Metalmecánica</v>
      </c>
      <c r="D1350" s="136" t="s">
        <v>7276</v>
      </c>
      <c r="E1350" s="10" t="s">
        <v>2392</v>
      </c>
      <c r="F1350" s="46" t="s">
        <v>115</v>
      </c>
    </row>
    <row r="1351">
      <c r="A1351" s="285" t="s">
        <v>7278</v>
      </c>
      <c r="B1351" s="252">
        <f>IF(A1351="", "", IF(IFERROR(VLOOKUP(A1351, 'Base 3F'!$B:$C, 2, FALSE),"")="", "SIN CUIT", VLOOKUP(A1351, 'Base 3F'!$B:$C, 2, FALSE)))</f>
        <v>30703943175</v>
      </c>
      <c r="C1351" s="253" t="str">
        <f>IF(A1351="", "", IF(IFERROR(VLOOKUP(A1351, 'Base 3F'!$B:$J, 9, FALSE),"")="", "SIN RUBRO", VLOOKUP(A1351, 'Base 3F'!$B:$J, 9, FALSE)))</f>
        <v>Plástica</v>
      </c>
      <c r="D1351" s="58" t="s">
        <v>7279</v>
      </c>
      <c r="E1351" s="10" t="s">
        <v>2392</v>
      </c>
      <c r="F1351" s="46" t="s">
        <v>115</v>
      </c>
    </row>
    <row r="1352">
      <c r="A1352" s="285" t="s">
        <v>7280</v>
      </c>
      <c r="B1352" s="252">
        <f>IF(A1352="", "", IF(IFERROR(VLOOKUP(A1352, 'Base 3F'!$B:$C, 2, FALSE),"")="", "SIN CUIT", VLOOKUP(A1352, 'Base 3F'!$B:$C, 2, FALSE)))</f>
        <v>30711924945</v>
      </c>
      <c r="C1352" s="253" t="str">
        <f>IF(A1352="", "", IF(IFERROR(VLOOKUP(A1352, 'Base 3F'!$B:$J, 9, FALSE),"")="", "SIN RUBRO", VLOOKUP(A1352, 'Base 3F'!$B:$J, 9, FALSE)))</f>
        <v>Textil</v>
      </c>
      <c r="D1352" s="58" t="s">
        <v>7282</v>
      </c>
      <c r="E1352" s="10" t="s">
        <v>2392</v>
      </c>
      <c r="F1352" s="46" t="s">
        <v>115</v>
      </c>
    </row>
    <row r="1353">
      <c r="A1353" s="285" t="s">
        <v>7284</v>
      </c>
      <c r="B1353" s="252">
        <f>IF(A1353="", "", IF(IFERROR(VLOOKUP(A1353, 'Base 3F'!$B:$C, 2, FALSE),"")="", "SIN CUIT", VLOOKUP(A1353, 'Base 3F'!$B:$C, 2, FALSE)))</f>
        <v>20080609265</v>
      </c>
      <c r="C1353" s="253" t="str">
        <f>IF(A1353="", "", IF(IFERROR(VLOOKUP(A1353, 'Base 3F'!$B:$J, 9, FALSE),"")="", "SIN RUBRO", VLOOKUP(A1353, 'Base 3F'!$B:$J, 9, FALSE)))</f>
        <v>Metalúrgica</v>
      </c>
      <c r="D1353" s="58" t="s">
        <v>7287</v>
      </c>
      <c r="E1353" s="10" t="s">
        <v>2392</v>
      </c>
      <c r="F1353" s="46" t="s">
        <v>115</v>
      </c>
    </row>
    <row r="1354">
      <c r="A1354" s="285" t="s">
        <v>7288</v>
      </c>
      <c r="B1354" s="252">
        <f>IF(A1354="", "", IF(IFERROR(VLOOKUP(A1354, 'Base 3F'!$B:$C, 2, FALSE),"")="", "SIN CUIT", VLOOKUP(A1354, 'Base 3F'!$B:$C, 2, FALSE)))</f>
        <v>30710884656</v>
      </c>
      <c r="C1354" s="253" t="str">
        <f>IF(A1354="", "", IF(IFERROR(VLOOKUP(A1354, 'Base 3F'!$B:$J, 9, FALSE),"")="", "SIN RUBRO", VLOOKUP(A1354, 'Base 3F'!$B:$J, 9, FALSE)))</f>
        <v>Textil</v>
      </c>
      <c r="D1354" s="58" t="s">
        <v>7293</v>
      </c>
      <c r="E1354" s="10" t="s">
        <v>2392</v>
      </c>
      <c r="F1354" s="46" t="s">
        <v>115</v>
      </c>
    </row>
    <row r="1355">
      <c r="A1355" s="285" t="s">
        <v>7295</v>
      </c>
      <c r="B1355" s="252">
        <f>IF(A1355="", "", IF(IFERROR(VLOOKUP(A1355, 'Base 3F'!$B:$C, 2, FALSE),"")="", "SIN CUIT", VLOOKUP(A1355, 'Base 3F'!$B:$C, 2, FALSE)))</f>
        <v>30559184809</v>
      </c>
      <c r="C1355" s="253" t="str">
        <f>IF(A1355="", "", IF(IFERROR(VLOOKUP(A1355, 'Base 3F'!$B:$J, 9, FALSE),"")="", "SIN RUBRO", VLOOKUP(A1355, 'Base 3F'!$B:$J, 9, FALSE)))</f>
        <v>Metalúrgica</v>
      </c>
      <c r="D1355" s="58" t="s">
        <v>7298</v>
      </c>
      <c r="E1355" s="10" t="s">
        <v>2392</v>
      </c>
      <c r="F1355" s="46" t="s">
        <v>115</v>
      </c>
    </row>
    <row r="1356">
      <c r="A1356" s="285" t="s">
        <v>2038</v>
      </c>
      <c r="B1356" s="252">
        <f>IF(A1356="", "", IF(IFERROR(VLOOKUP(A1356, 'Base 3F'!$B:$C, 2, FALSE),"")="", "SIN CUIT", VLOOKUP(A1356, 'Base 3F'!$B:$C, 2, FALSE)))</f>
        <v>30708089083</v>
      </c>
      <c r="C1356" s="253" t="str">
        <f>IF(A1356="", "", IF(IFERROR(VLOOKUP(A1356, 'Base 3F'!$B:$J, 9, FALSE),"")="", "SIN RUBRO", VLOOKUP(A1356, 'Base 3F'!$B:$J, 9, FALSE)))</f>
        <v>Caucho</v>
      </c>
      <c r="D1356" s="58" t="s">
        <v>7302</v>
      </c>
      <c r="E1356" s="10" t="s">
        <v>2392</v>
      </c>
      <c r="F1356" s="46" t="s">
        <v>115</v>
      </c>
    </row>
    <row r="1357">
      <c r="A1357" s="285" t="s">
        <v>7303</v>
      </c>
      <c r="B1357" s="252">
        <f>IF(A1357="", "", IF(IFERROR(VLOOKUP(A1357, 'Base 3F'!$B:$C, 2, FALSE),"")="", "SIN CUIT", VLOOKUP(A1357, 'Base 3F'!$B:$C, 2, FALSE)))</f>
        <v>30709045098</v>
      </c>
      <c r="C1357" s="253" t="str">
        <f>IF(A1357="", "", IF(IFERROR(VLOOKUP(A1357, 'Base 3F'!$B:$J, 9, FALSE),"")="", "SIN RUBRO", VLOOKUP(A1357, 'Base 3F'!$B:$J, 9, FALSE)))</f>
        <v>Electrónica</v>
      </c>
      <c r="D1357" s="58" t="s">
        <v>7306</v>
      </c>
      <c r="E1357" s="10" t="s">
        <v>2392</v>
      </c>
      <c r="F1357" s="46" t="s">
        <v>115</v>
      </c>
    </row>
    <row r="1358">
      <c r="A1358" s="285" t="s">
        <v>7307</v>
      </c>
      <c r="B1358" s="252">
        <f>IF(A1358="", "", IF(IFERROR(VLOOKUP(A1358, 'Base 3F'!$B:$C, 2, FALSE),"")="", "SIN CUIT", VLOOKUP(A1358, 'Base 3F'!$B:$C, 2, FALSE)))</f>
        <v>30708998229</v>
      </c>
      <c r="C1358" s="253" t="str">
        <f>IF(A1358="", "", IF(IFERROR(VLOOKUP(A1358, 'Base 3F'!$B:$J, 9, FALSE),"")="", "SIN RUBRO", VLOOKUP(A1358, 'Base 3F'!$B:$J, 9, FALSE)))</f>
        <v>Servicios</v>
      </c>
      <c r="D1358" s="58" t="s">
        <v>7310</v>
      </c>
      <c r="E1358" s="10" t="s">
        <v>2392</v>
      </c>
      <c r="F1358" s="46" t="s">
        <v>115</v>
      </c>
    </row>
    <row r="1359">
      <c r="A1359" s="285" t="s">
        <v>7311</v>
      </c>
      <c r="B1359" s="252">
        <f>IF(A1359="", "", IF(IFERROR(VLOOKUP(A1359, 'Base 3F'!$B:$C, 2, FALSE),"")="", "SIN CUIT", VLOOKUP(A1359, 'Base 3F'!$B:$C, 2, FALSE)))</f>
        <v>30505485587</v>
      </c>
      <c r="C1359" s="253" t="str">
        <f>IF(A1359="", "", IF(IFERROR(VLOOKUP(A1359, 'Base 3F'!$B:$J, 9, FALSE),"")="", "SIN RUBRO", VLOOKUP(A1359, 'Base 3F'!$B:$J, 9, FALSE)))</f>
        <v>Metalúrgica</v>
      </c>
      <c r="D1359" s="58" t="s">
        <v>7315</v>
      </c>
      <c r="E1359" s="10" t="s">
        <v>2392</v>
      </c>
      <c r="F1359" s="46" t="s">
        <v>115</v>
      </c>
    </row>
    <row r="1360">
      <c r="A1360" s="285" t="s">
        <v>7316</v>
      </c>
      <c r="B1360" s="252">
        <f>IF(A1360="", "", IF(IFERROR(VLOOKUP(A1360, 'Base 3F'!$B:$C, 2, FALSE),"")="", "SIN CUIT", VLOOKUP(A1360, 'Base 3F'!$B:$C, 2, FALSE)))</f>
        <v>23048645054</v>
      </c>
      <c r="C1360" s="253" t="str">
        <f>IF(A1360="", "", IF(IFERROR(VLOOKUP(A1360, 'Base 3F'!$B:$J, 9, FALSE),"")="", "SIN RUBRO", VLOOKUP(A1360, 'Base 3F'!$B:$J, 9, FALSE)))</f>
        <v>Papel</v>
      </c>
      <c r="D1360" s="58" t="s">
        <v>7318</v>
      </c>
      <c r="E1360" s="10" t="s">
        <v>2392</v>
      </c>
      <c r="F1360" s="46" t="s">
        <v>115</v>
      </c>
    </row>
    <row r="1361">
      <c r="A1361" s="285" t="s">
        <v>7319</v>
      </c>
      <c r="B1361" s="252">
        <f>IF(A1361="", "", IF(IFERROR(VLOOKUP(A1361, 'Base 3F'!$B:$C, 2, FALSE),"")="", "SIN CUIT", VLOOKUP(A1361, 'Base 3F'!$B:$C, 2, FALSE)))</f>
        <v>30710889437</v>
      </c>
      <c r="C1361" s="253" t="str">
        <f>IF(A1361="", "", IF(IFERROR(VLOOKUP(A1361, 'Base 3F'!$B:$J, 9, FALSE),"")="", "SIN RUBRO", VLOOKUP(A1361, 'Base 3F'!$B:$J, 9, FALSE)))</f>
        <v>Electrónica</v>
      </c>
      <c r="D1361" s="58" t="s">
        <v>7320</v>
      </c>
      <c r="E1361" s="10" t="s">
        <v>2392</v>
      </c>
      <c r="F1361" s="46" t="s">
        <v>115</v>
      </c>
    </row>
    <row r="1362">
      <c r="A1362" s="285" t="s">
        <v>7321</v>
      </c>
      <c r="B1362" s="252">
        <f>IF(A1362="", "", IF(IFERROR(VLOOKUP(A1362, 'Base 3F'!$B:$C, 2, FALSE),"")="", "SIN CUIT", VLOOKUP(A1362, 'Base 3F'!$B:$C, 2, FALSE)))</f>
        <v>33712032249</v>
      </c>
      <c r="C1362" s="253" t="str">
        <f>IF(A1362="", "", IF(IFERROR(VLOOKUP(A1362, 'Base 3F'!$B:$J, 9, FALSE),"")="", "SIN RUBRO", VLOOKUP(A1362, 'Base 3F'!$B:$J, 9, FALSE)))</f>
        <v>Metalúrgica</v>
      </c>
      <c r="D1362" s="58" t="s">
        <v>7325</v>
      </c>
      <c r="E1362" s="10" t="s">
        <v>2392</v>
      </c>
      <c r="F1362" s="46" t="s">
        <v>115</v>
      </c>
    </row>
    <row r="1363">
      <c r="A1363" s="285" t="s">
        <v>7327</v>
      </c>
      <c r="B1363" s="252">
        <f>IF(A1363="", "", IF(IFERROR(VLOOKUP(A1363, 'Base 3F'!$B:$C, 2, FALSE),"")="", "SIN CUIT", VLOOKUP(A1363, 'Base 3F'!$B:$C, 2, FALSE)))</f>
        <v>20251319481</v>
      </c>
      <c r="C1363" s="253" t="str">
        <f>IF(A1363="", "", IF(IFERROR(VLOOKUP(A1363, 'Base 3F'!$B:$J, 9, FALSE),"")="", "SIN RUBRO", VLOOKUP(A1363, 'Base 3F'!$B:$J, 9, FALSE)))</f>
        <v>Madera</v>
      </c>
      <c r="D1363" s="58" t="s">
        <v>7330</v>
      </c>
      <c r="E1363" s="10" t="s">
        <v>2392</v>
      </c>
      <c r="F1363" s="46" t="s">
        <v>115</v>
      </c>
    </row>
    <row r="1364">
      <c r="A1364" s="285" t="s">
        <v>7332</v>
      </c>
      <c r="B1364" s="252">
        <f>IF(A1364="", "", IF(IFERROR(VLOOKUP(A1364, 'Base 3F'!$B:$C, 2, FALSE),"")="", "SIN CUIT", VLOOKUP(A1364, 'Base 3F'!$B:$C, 2, FALSE)))</f>
        <v>30712802908</v>
      </c>
      <c r="C1364" s="253" t="str">
        <f>IF(A1364="", "", IF(IFERROR(VLOOKUP(A1364, 'Base 3F'!$B:$J, 9, FALSE),"")="", "SIN RUBRO", VLOOKUP(A1364, 'Base 3F'!$B:$J, 9, FALSE)))</f>
        <v>Plástica</v>
      </c>
      <c r="D1364" s="58" t="s">
        <v>7336</v>
      </c>
      <c r="E1364" s="10" t="s">
        <v>2392</v>
      </c>
      <c r="F1364" s="46" t="s">
        <v>115</v>
      </c>
    </row>
    <row r="1365">
      <c r="A1365" s="285" t="s">
        <v>7340</v>
      </c>
      <c r="B1365" s="252">
        <f>IF(A1365="", "", IF(IFERROR(VLOOKUP(A1365, 'Base 3F'!$B:$C, 2, FALSE),"")="", "SIN CUIT", VLOOKUP(A1365, 'Base 3F'!$B:$C, 2, FALSE)))</f>
        <v>30520770328</v>
      </c>
      <c r="C1365" s="253" t="str">
        <f>IF(A1365="", "", IF(IFERROR(VLOOKUP(A1365, 'Base 3F'!$B:$J, 9, FALSE),"")="", "SIN RUBRO", VLOOKUP(A1365, 'Base 3F'!$B:$J, 9, FALSE)))</f>
        <v>Metalúrgica</v>
      </c>
      <c r="D1365" s="58" t="s">
        <v>7344</v>
      </c>
      <c r="E1365" s="10" t="s">
        <v>2392</v>
      </c>
      <c r="F1365" s="46" t="s">
        <v>115</v>
      </c>
    </row>
    <row r="1366">
      <c r="A1366" s="285" t="s">
        <v>7345</v>
      </c>
      <c r="B1366" s="252">
        <f>IF(A1366="", "", IF(IFERROR(VLOOKUP(A1366, 'Base 3F'!$B:$C, 2, FALSE),"")="", "SIN CUIT", VLOOKUP(A1366, 'Base 3F'!$B:$C, 2, FALSE)))</f>
        <v>30714909998</v>
      </c>
      <c r="C1366" s="253" t="str">
        <f>IF(A1366="", "", IF(IFERROR(VLOOKUP(A1366, 'Base 3F'!$B:$J, 9, FALSE),"")="", "SIN RUBRO", VLOOKUP(A1366, 'Base 3F'!$B:$J, 9, FALSE)))</f>
        <v>Metalúrgica</v>
      </c>
      <c r="D1366" s="58" t="s">
        <v>7348</v>
      </c>
      <c r="E1366" s="10" t="s">
        <v>2392</v>
      </c>
      <c r="F1366" s="46" t="s">
        <v>115</v>
      </c>
    </row>
    <row r="1367">
      <c r="A1367" s="285" t="s">
        <v>7349</v>
      </c>
      <c r="B1367" s="252">
        <f>IF(A1367="", "", IF(IFERROR(VLOOKUP(A1367, 'Base 3F'!$B:$C, 2, FALSE),"")="", "SIN CUIT", VLOOKUP(A1367, 'Base 3F'!$B:$C, 2, FALSE)))</f>
        <v>30712132589</v>
      </c>
      <c r="C1367" s="253" t="str">
        <f>IF(A1367="", "", IF(IFERROR(VLOOKUP(A1367, 'Base 3F'!$B:$J, 9, FALSE),"")="", "SIN RUBRO", VLOOKUP(A1367, 'Base 3F'!$B:$J, 9, FALSE)))</f>
        <v>Metalmecánica</v>
      </c>
      <c r="D1367" s="236" t="s">
        <v>7356</v>
      </c>
      <c r="E1367" s="10" t="s">
        <v>2392</v>
      </c>
      <c r="F1367" s="46" t="s">
        <v>115</v>
      </c>
    </row>
    <row r="1368">
      <c r="A1368" s="285" t="s">
        <v>7358</v>
      </c>
      <c r="B1368" s="252">
        <f>IF(A1368="", "", IF(IFERROR(VLOOKUP(A1368, 'Base 3F'!$B:$C, 2, FALSE),"")="", "SIN CUIT", VLOOKUP(A1368, 'Base 3F'!$B:$C, 2, FALSE)))</f>
        <v>30708992581</v>
      </c>
      <c r="C1368" s="253" t="str">
        <f>IF(A1368="", "", IF(IFERROR(VLOOKUP(A1368, 'Base 3F'!$B:$J, 9, FALSE),"")="", "SIN RUBRO", VLOOKUP(A1368, 'Base 3F'!$B:$J, 9, FALSE)))</f>
        <v>Textil</v>
      </c>
      <c r="D1368" s="58" t="s">
        <v>7359</v>
      </c>
      <c r="E1368" s="10" t="s">
        <v>2392</v>
      </c>
      <c r="F1368" s="46" t="s">
        <v>115</v>
      </c>
    </row>
    <row r="1369">
      <c r="A1369" s="285" t="s">
        <v>2056</v>
      </c>
      <c r="B1369" s="252">
        <f>IF(A1369="", "", IF(IFERROR(VLOOKUP(A1369, 'Base 3F'!$B:$C, 2, FALSE),"")="", "SIN CUIT", VLOOKUP(A1369, 'Base 3F'!$B:$C, 2, FALSE)))</f>
        <v>20172328939</v>
      </c>
      <c r="C1369" s="253" t="str">
        <f>IF(A1369="", "", IF(IFERROR(VLOOKUP(A1369, 'Base 3F'!$B:$J, 9, FALSE),"")="", "SIN RUBRO", VLOOKUP(A1369, 'Base 3F'!$B:$J, 9, FALSE)))</f>
        <v>Construcción</v>
      </c>
      <c r="D1369" s="58" t="s">
        <v>7365</v>
      </c>
      <c r="E1369" s="10" t="s">
        <v>2392</v>
      </c>
      <c r="F1369" s="46" t="s">
        <v>115</v>
      </c>
    </row>
    <row r="1370">
      <c r="A1370" s="285" t="s">
        <v>7366</v>
      </c>
      <c r="B1370" s="252">
        <f>IF(A1370="", "", IF(IFERROR(VLOOKUP(A1370, 'Base 3F'!$B:$C, 2, FALSE),"")="", "SIN CUIT", VLOOKUP(A1370, 'Base 3F'!$B:$C, 2, FALSE)))</f>
        <v>33708871589</v>
      </c>
      <c r="C1370" s="253" t="str">
        <f>IF(A1370="", "", IF(IFERROR(VLOOKUP(A1370, 'Base 3F'!$B:$J, 9, FALSE),"")="", "SIN RUBRO", VLOOKUP(A1370, 'Base 3F'!$B:$J, 9, FALSE)))</f>
        <v>Alimenticia</v>
      </c>
      <c r="D1370" s="58" t="s">
        <v>7371</v>
      </c>
      <c r="E1370" s="10" t="s">
        <v>2392</v>
      </c>
      <c r="F1370" s="46" t="s">
        <v>115</v>
      </c>
    </row>
    <row r="1371">
      <c r="A1371" s="285" t="s">
        <v>7372</v>
      </c>
      <c r="B1371" s="252">
        <f>IF(A1371="", "", IF(IFERROR(VLOOKUP(A1371, 'Base 3F'!$B:$C, 2, FALSE),"")="", "SIN CUIT", VLOOKUP(A1371, 'Base 3F'!$B:$C, 2, FALSE)))</f>
        <v>30715671642</v>
      </c>
      <c r="C1371" s="253" t="str">
        <f>IF(A1371="", "", IF(IFERROR(VLOOKUP(A1371, 'Base 3F'!$B:$J, 9, FALSE),"")="", "SIN RUBRO", VLOOKUP(A1371, 'Base 3F'!$B:$J, 9, FALSE)))</f>
        <v>Plástica</v>
      </c>
      <c r="D1371" s="58" t="s">
        <v>7374</v>
      </c>
      <c r="E1371" s="10" t="s">
        <v>2392</v>
      </c>
      <c r="F1371" s="46" t="s">
        <v>115</v>
      </c>
    </row>
    <row r="1372">
      <c r="A1372" s="285" t="s">
        <v>7375</v>
      </c>
      <c r="B1372" s="252">
        <f>IF(A1372="", "", IF(IFERROR(VLOOKUP(A1372, 'Base 3F'!$B:$C, 2, FALSE),"")="", "SIN CUIT", VLOOKUP(A1372, 'Base 3F'!$B:$C, 2, FALSE)))</f>
        <v>30708642424</v>
      </c>
      <c r="C1372" s="253" t="str">
        <f>IF(A1372="", "", IF(IFERROR(VLOOKUP(A1372, 'Base 3F'!$B:$J, 9, FALSE),"")="", "SIN RUBRO", VLOOKUP(A1372, 'Base 3F'!$B:$J, 9, FALSE)))</f>
        <v>Metalúrgica</v>
      </c>
      <c r="D1372" s="58" t="s">
        <v>7376</v>
      </c>
      <c r="E1372" s="10" t="s">
        <v>2392</v>
      </c>
      <c r="F1372" s="46" t="s">
        <v>115</v>
      </c>
    </row>
    <row r="1373">
      <c r="A1373" s="285" t="s">
        <v>7379</v>
      </c>
      <c r="B1373" s="252">
        <f>IF(A1373="", "", IF(IFERROR(VLOOKUP(A1373, 'Base 3F'!$B:$C, 2, FALSE),"")="", "SIN CUIT", VLOOKUP(A1373, 'Base 3F'!$B:$C, 2, FALSE)))</f>
        <v>30663828920</v>
      </c>
      <c r="C1373" s="253" t="str">
        <f>IF(A1373="", "", IF(IFERROR(VLOOKUP(A1373, 'Base 3F'!$B:$J, 9, FALSE),"")="", "SIN RUBRO", VLOOKUP(A1373, 'Base 3F'!$B:$J, 9, FALSE)))</f>
        <v>Metalúrgica</v>
      </c>
      <c r="D1373" s="58" t="s">
        <v>7381</v>
      </c>
      <c r="E1373" s="10" t="s">
        <v>2392</v>
      </c>
      <c r="F1373" s="46" t="s">
        <v>115</v>
      </c>
    </row>
    <row r="1374">
      <c r="A1374" s="285" t="s">
        <v>7383</v>
      </c>
      <c r="B1374" s="252">
        <f>IF(A1374="", "", IF(IFERROR(VLOOKUP(A1374, 'Base 3F'!$B:$C, 2, FALSE),"")="", "SIN CUIT", VLOOKUP(A1374, 'Base 3F'!$B:$C, 2, FALSE)))</f>
        <v>30708399309</v>
      </c>
      <c r="C1374" s="253" t="str">
        <f>IF(A1374="", "", IF(IFERROR(VLOOKUP(A1374, 'Base 3F'!$B:$J, 9, FALSE),"")="", "SIN RUBRO", VLOOKUP(A1374, 'Base 3F'!$B:$J, 9, FALSE)))</f>
        <v>Gráfica</v>
      </c>
      <c r="D1374" s="58" t="s">
        <v>7390</v>
      </c>
      <c r="E1374" s="10" t="s">
        <v>2392</v>
      </c>
      <c r="F1374" s="46" t="s">
        <v>115</v>
      </c>
    </row>
    <row r="1375">
      <c r="A1375" s="285" t="s">
        <v>2066</v>
      </c>
      <c r="B1375" s="252">
        <f>IF(A1375="", "", IF(IFERROR(VLOOKUP(A1375, 'Base 3F'!$B:$C, 2, FALSE),"")="", "SIN CUIT", VLOOKUP(A1375, 'Base 3F'!$B:$C, 2, FALSE)))</f>
        <v>30710919425</v>
      </c>
      <c r="C1375" s="253" t="str">
        <f>IF(A1375="", "", IF(IFERROR(VLOOKUP(A1375, 'Base 3F'!$B:$J, 9, FALSE),"")="", "SIN RUBRO", VLOOKUP(A1375, 'Base 3F'!$B:$J, 9, FALSE)))</f>
        <v>Metalúrgica</v>
      </c>
      <c r="D1375" s="58" t="s">
        <v>7394</v>
      </c>
      <c r="E1375" s="10" t="s">
        <v>2392</v>
      </c>
      <c r="F1375" s="46" t="s">
        <v>115</v>
      </c>
    </row>
    <row r="1376">
      <c r="A1376" s="285" t="s">
        <v>7395</v>
      </c>
      <c r="B1376" s="252">
        <f>IF(A1376="", "", IF(IFERROR(VLOOKUP(A1376, 'Base 3F'!$B:$C, 2, FALSE),"")="", "SIN CUIT", VLOOKUP(A1376, 'Base 3F'!$B:$C, 2, FALSE)))</f>
        <v>30715845985</v>
      </c>
      <c r="C1376" s="253" t="str">
        <f>IF(A1376="", "", IF(IFERROR(VLOOKUP(A1376, 'Base 3F'!$B:$J, 9, FALSE),"")="", "SIN RUBRO", VLOOKUP(A1376, 'Base 3F'!$B:$J, 9, FALSE)))</f>
        <v>Alimenticia</v>
      </c>
      <c r="D1376" s="242" t="s">
        <v>7397</v>
      </c>
      <c r="E1376" s="10" t="s">
        <v>2392</v>
      </c>
      <c r="F1376" s="46" t="s">
        <v>1625</v>
      </c>
    </row>
    <row r="1377">
      <c r="A1377" s="285" t="s">
        <v>2072</v>
      </c>
      <c r="B1377" s="252">
        <f>IF(A1377="", "", IF(IFERROR(VLOOKUP(A1377, 'Base 3F'!$B:$C, 2, FALSE),"")="", "SIN CUIT", VLOOKUP(A1377, 'Base 3F'!$B:$C, 2, FALSE)))</f>
        <v>33708547749</v>
      </c>
      <c r="C1377" s="253" t="str">
        <f>IF(A1377="", "", IF(IFERROR(VLOOKUP(A1377, 'Base 3F'!$B:$J, 9, FALSE),"")="", "SIN RUBRO", VLOOKUP(A1377, 'Base 3F'!$B:$J, 9, FALSE)))</f>
        <v>Metalúrgica</v>
      </c>
      <c r="D1377" s="58" t="s">
        <v>7402</v>
      </c>
      <c r="E1377" s="10" t="s">
        <v>2392</v>
      </c>
      <c r="F1377" s="46" t="s">
        <v>115</v>
      </c>
    </row>
    <row r="1378">
      <c r="A1378" s="285" t="s">
        <v>7403</v>
      </c>
      <c r="B1378" s="252">
        <f>IF(A1378="", "", IF(IFERROR(VLOOKUP(A1378, 'Base 3F'!$B:$C, 2, FALSE),"")="", "SIN CUIT", VLOOKUP(A1378, 'Base 3F'!$B:$C, 2, FALSE)))</f>
        <v>20220984762</v>
      </c>
      <c r="C1378" s="253" t="str">
        <f>IF(A1378="", "", IF(IFERROR(VLOOKUP(A1378, 'Base 3F'!$B:$J, 9, FALSE),"")="", "SIN RUBRO", VLOOKUP(A1378, 'Base 3F'!$B:$J, 9, FALSE)))</f>
        <v>Metalmecánica</v>
      </c>
      <c r="D1378" s="136" t="s">
        <v>7406</v>
      </c>
      <c r="E1378" s="10" t="s">
        <v>2392</v>
      </c>
      <c r="F1378" s="46" t="s">
        <v>115</v>
      </c>
    </row>
    <row r="1379">
      <c r="A1379" s="285" t="s">
        <v>7408</v>
      </c>
      <c r="B1379" s="252">
        <f>IF(A1379="", "", IF(IFERROR(VLOOKUP(A1379, 'Base 3F'!$B:$C, 2, FALSE),"")="", "SIN CUIT", VLOOKUP(A1379, 'Base 3F'!$B:$C, 2, FALSE)))</f>
        <v>30708525002</v>
      </c>
      <c r="C1379" s="253" t="str">
        <f>IF(A1379="", "", IF(IFERROR(VLOOKUP(A1379, 'Base 3F'!$B:$J, 9, FALSE),"")="", "SIN RUBRO", VLOOKUP(A1379, 'Base 3F'!$B:$J, 9, FALSE)))</f>
        <v>Plástica</v>
      </c>
      <c r="D1379" s="58" t="s">
        <v>7410</v>
      </c>
      <c r="E1379" s="10" t="s">
        <v>2392</v>
      </c>
      <c r="F1379" s="46" t="s">
        <v>115</v>
      </c>
    </row>
    <row r="1380">
      <c r="A1380" s="285" t="s">
        <v>7412</v>
      </c>
      <c r="B1380" s="252">
        <f>IF(A1380="", "", IF(IFERROR(VLOOKUP(A1380, 'Base 3F'!$B:$C, 2, FALSE),"")="", "SIN CUIT", VLOOKUP(A1380, 'Base 3F'!$B:$C, 2, FALSE)))</f>
        <v>30656003576</v>
      </c>
      <c r="C1380" s="253" t="str">
        <f>IF(A1380="", "", IF(IFERROR(VLOOKUP(A1380, 'Base 3F'!$B:$J, 9, FALSE),"")="", "SIN RUBRO", VLOOKUP(A1380, 'Base 3F'!$B:$J, 9, FALSE)))</f>
        <v>Plástica</v>
      </c>
      <c r="D1380" s="96" t="s">
        <v>7416</v>
      </c>
      <c r="E1380" s="10" t="s">
        <v>2392</v>
      </c>
      <c r="F1380" s="46" t="s">
        <v>115</v>
      </c>
    </row>
    <row r="1381">
      <c r="A1381" s="285" t="s">
        <v>7417</v>
      </c>
      <c r="B1381" s="252">
        <f>IF(A1381="", "", IF(IFERROR(VLOOKUP(A1381, 'Base 3F'!$B:$C, 2, FALSE),"")="", "SIN CUIT", VLOOKUP(A1381, 'Base 3F'!$B:$C, 2, FALSE)))</f>
        <v>30661251294</v>
      </c>
      <c r="C1381" s="253" t="str">
        <f>IF(A1381="", "", IF(IFERROR(VLOOKUP(A1381, 'Base 3F'!$B:$J, 9, FALSE),"")="", "SIN RUBRO", VLOOKUP(A1381, 'Base 3F'!$B:$J, 9, FALSE)))</f>
        <v>Metalúrgica</v>
      </c>
      <c r="D1381" s="58" t="s">
        <v>7418</v>
      </c>
      <c r="E1381" s="10" t="s">
        <v>2392</v>
      </c>
      <c r="F1381" s="46" t="s">
        <v>115</v>
      </c>
    </row>
    <row r="1382">
      <c r="A1382" s="285" t="s">
        <v>7419</v>
      </c>
      <c r="B1382" s="252">
        <f>IF(A1382="", "", IF(IFERROR(VLOOKUP(A1382, 'Base 3F'!$B:$C, 2, FALSE),"")="", "SIN CUIT", VLOOKUP(A1382, 'Base 3F'!$B:$C, 2, FALSE)))</f>
        <v>30653293174</v>
      </c>
      <c r="C1382" s="253" t="str">
        <f>IF(A1382="", "", IF(IFERROR(VLOOKUP(A1382, 'Base 3F'!$B:$J, 9, FALSE),"")="", "SIN RUBRO", VLOOKUP(A1382, 'Base 3F'!$B:$J, 9, FALSE)))</f>
        <v>Metalmecánica</v>
      </c>
      <c r="D1382" s="58" t="s">
        <v>7422</v>
      </c>
      <c r="E1382" s="10" t="s">
        <v>2392</v>
      </c>
      <c r="F1382" s="46" t="s">
        <v>115</v>
      </c>
    </row>
    <row r="1383">
      <c r="A1383" s="285" t="s">
        <v>2074</v>
      </c>
      <c r="B1383" s="252">
        <f>IF(A1383="", "", IF(IFERROR(VLOOKUP(A1383, 'Base 3F'!$B:$C, 2, FALSE),"")="", "SIN CUIT", VLOOKUP(A1383, 'Base 3F'!$B:$C, 2, FALSE)))</f>
        <v>30594578194</v>
      </c>
      <c r="C1383" s="253" t="str">
        <f>IF(A1383="", "", IF(IFERROR(VLOOKUP(A1383, 'Base 3F'!$B:$J, 9, FALSE),"")="", "SIN RUBRO", VLOOKUP(A1383, 'Base 3F'!$B:$J, 9, FALSE)))</f>
        <v>Química</v>
      </c>
      <c r="D1383" s="58" t="s">
        <v>7424</v>
      </c>
      <c r="E1383" s="10" t="s">
        <v>2392</v>
      </c>
      <c r="F1383" s="46" t="s">
        <v>115</v>
      </c>
    </row>
    <row r="1384">
      <c r="A1384" s="285" t="s">
        <v>7426</v>
      </c>
      <c r="B1384" s="252">
        <f>IF(A1384="", "", IF(IFERROR(VLOOKUP(A1384, 'Base 3F'!$B:$C, 2, FALSE),"")="", "SIN CUIT", VLOOKUP(A1384, 'Base 3F'!$B:$C, 2, FALSE)))</f>
        <v>30708134720</v>
      </c>
      <c r="C1384" s="253" t="str">
        <f>IF(A1384="", "", IF(IFERROR(VLOOKUP(A1384, 'Base 3F'!$B:$J, 9, FALSE),"")="", "SIN RUBRO", VLOOKUP(A1384, 'Base 3F'!$B:$J, 9, FALSE)))</f>
        <v>Electrónica</v>
      </c>
      <c r="D1384" s="58" t="s">
        <v>7428</v>
      </c>
      <c r="E1384" s="10" t="s">
        <v>2392</v>
      </c>
      <c r="F1384" s="46" t="s">
        <v>115</v>
      </c>
    </row>
    <row r="1385">
      <c r="A1385" s="285" t="s">
        <v>2077</v>
      </c>
      <c r="B1385" s="252">
        <f>IF(A1385="", "", IF(IFERROR(VLOOKUP(A1385, 'Base 3F'!$B:$C, 2, FALSE),"")="", "SIN CUIT", VLOOKUP(A1385, 'Base 3F'!$B:$C, 2, FALSE)))</f>
        <v>30715662651</v>
      </c>
      <c r="C1385" s="253" t="str">
        <f>IF(A1385="", "", IF(IFERROR(VLOOKUP(A1385, 'Base 3F'!$B:$J, 9, FALSE),"")="", "SIN RUBRO", VLOOKUP(A1385, 'Base 3F'!$B:$J, 9, FALSE)))</f>
        <v>Bebidas</v>
      </c>
      <c r="D1385" s="58" t="s">
        <v>7433</v>
      </c>
      <c r="E1385" s="10" t="s">
        <v>2392</v>
      </c>
      <c r="F1385" s="46" t="s">
        <v>115</v>
      </c>
    </row>
    <row r="1386">
      <c r="A1386" s="285" t="s">
        <v>7434</v>
      </c>
      <c r="B1386" s="252">
        <f>IF(A1386="", "", IF(IFERROR(VLOOKUP(A1386, 'Base 3F'!$B:$C, 2, FALSE),"")="", "SIN CUIT", VLOOKUP(A1386, 'Base 3F'!$B:$C, 2, FALSE)))</f>
        <v>30710873093</v>
      </c>
      <c r="C1386" s="253" t="str">
        <f>IF(A1386="", "", IF(IFERROR(VLOOKUP(A1386, 'Base 3F'!$B:$J, 9, FALSE),"")="", "SIN RUBRO", VLOOKUP(A1386, 'Base 3F'!$B:$J, 9, FALSE)))</f>
        <v>Madera</v>
      </c>
      <c r="D1386" s="58" t="s">
        <v>7436</v>
      </c>
      <c r="E1386" s="10" t="s">
        <v>2392</v>
      </c>
      <c r="F1386" s="46" t="s">
        <v>115</v>
      </c>
    </row>
    <row r="1387">
      <c r="A1387" s="285" t="s">
        <v>7438</v>
      </c>
      <c r="B1387" s="252">
        <f>IF(A1387="", "", IF(IFERROR(VLOOKUP(A1387, 'Base 3F'!$B:$C, 2, FALSE),"")="", "SIN CUIT", VLOOKUP(A1387, 'Base 3F'!$B:$C, 2, FALSE)))</f>
        <v>30576314198</v>
      </c>
      <c r="C1387" s="253" t="str">
        <f>IF(A1387="", "", IF(IFERROR(VLOOKUP(A1387, 'Base 3F'!$B:$J, 9, FALSE),"")="", "SIN RUBRO", VLOOKUP(A1387, 'Base 3F'!$B:$J, 9, FALSE)))</f>
        <v>Química</v>
      </c>
      <c r="D1387" s="58" t="s">
        <v>7441</v>
      </c>
      <c r="E1387" s="10" t="s">
        <v>2392</v>
      </c>
      <c r="F1387" s="46" t="s">
        <v>115</v>
      </c>
    </row>
    <row r="1388">
      <c r="A1388" s="285" t="s">
        <v>2080</v>
      </c>
      <c r="B1388" s="252">
        <f>IF(A1388="", "", IF(IFERROR(VLOOKUP(A1388, 'Base 3F'!$B:$C, 2, FALSE),"")="", "SIN CUIT", VLOOKUP(A1388, 'Base 3F'!$B:$C, 2, FALSE)))</f>
        <v>30505232476</v>
      </c>
      <c r="C1388" s="253" t="str">
        <f>IF(A1388="", "", IF(IFERROR(VLOOKUP(A1388, 'Base 3F'!$B:$J, 9, FALSE),"")="", "SIN RUBRO", VLOOKUP(A1388, 'Base 3F'!$B:$J, 9, FALSE)))</f>
        <v>Metalúrgica</v>
      </c>
      <c r="D1388" s="142" t="s">
        <v>7443</v>
      </c>
      <c r="E1388" s="10" t="s">
        <v>2392</v>
      </c>
      <c r="F1388" s="46" t="s">
        <v>115</v>
      </c>
    </row>
    <row r="1389">
      <c r="A1389" s="285" t="s">
        <v>7444</v>
      </c>
      <c r="B1389" s="252">
        <f>IF(A1389="", "", IF(IFERROR(VLOOKUP(A1389, 'Base 3F'!$B:$C, 2, FALSE),"")="", "SIN CUIT", VLOOKUP(A1389, 'Base 3F'!$B:$C, 2, FALSE)))</f>
        <v>30505232476</v>
      </c>
      <c r="C1389" s="253" t="str">
        <f>IF(A1389="", "", IF(IFERROR(VLOOKUP(A1389, 'Base 3F'!$B:$J, 9, FALSE),"")="", "SIN RUBRO", VLOOKUP(A1389, 'Base 3F'!$B:$J, 9, FALSE)))</f>
        <v>Metalmecánica</v>
      </c>
      <c r="D1389" s="58" t="s">
        <v>7451</v>
      </c>
      <c r="E1389" s="10" t="s">
        <v>2392</v>
      </c>
      <c r="F1389" s="46" t="s">
        <v>115</v>
      </c>
    </row>
    <row r="1390">
      <c r="A1390" s="285" t="s">
        <v>7454</v>
      </c>
      <c r="B1390" s="252">
        <f>IF(A1390="", "", IF(IFERROR(VLOOKUP(A1390, 'Base 3F'!$B:$C, 2, FALSE),"")="", "SIN CUIT", VLOOKUP(A1390, 'Base 3F'!$B:$C, 2, FALSE)))</f>
        <v>30716087316</v>
      </c>
      <c r="C1390" s="253" t="str">
        <f>IF(A1390="", "", IF(IFERROR(VLOOKUP(A1390, 'Base 3F'!$B:$J, 9, FALSE),"")="", "SIN RUBRO", VLOOKUP(A1390, 'Base 3F'!$B:$J, 9, FALSE)))</f>
        <v>Metalúrgica</v>
      </c>
      <c r="D1390" s="142" t="s">
        <v>7455</v>
      </c>
      <c r="E1390" s="10" t="s">
        <v>2392</v>
      </c>
      <c r="F1390" s="46" t="s">
        <v>115</v>
      </c>
    </row>
    <row r="1391">
      <c r="A1391" s="285" t="s">
        <v>7456</v>
      </c>
      <c r="B1391" s="252">
        <f>IF(A1391="", "", IF(IFERROR(VLOOKUP(A1391, 'Base 3F'!$B:$C, 2, FALSE),"")="", "SIN CUIT", VLOOKUP(A1391, 'Base 3F'!$B:$C, 2, FALSE)))</f>
        <v>33709533229</v>
      </c>
      <c r="C1391" s="253" t="str">
        <f>IF(A1391="", "", IF(IFERROR(VLOOKUP(A1391, 'Base 3F'!$B:$J, 9, FALSE),"")="", "SIN RUBRO", VLOOKUP(A1391, 'Base 3F'!$B:$J, 9, FALSE)))</f>
        <v>Metalúrgica</v>
      </c>
      <c r="D1391" s="58" t="s">
        <v>7457</v>
      </c>
      <c r="E1391" s="10" t="s">
        <v>2392</v>
      </c>
      <c r="F1391" s="46" t="s">
        <v>115</v>
      </c>
    </row>
    <row r="1392">
      <c r="A1392" s="285" t="s">
        <v>7459</v>
      </c>
      <c r="B1392" s="252">
        <f>IF(A1392="", "", IF(IFERROR(VLOOKUP(A1392, 'Base 3F'!$B:$C, 2, FALSE),"")="", "SIN CUIT", VLOOKUP(A1392, 'Base 3F'!$B:$C, 2, FALSE)))</f>
        <v>30553574346</v>
      </c>
      <c r="C1392" s="253" t="str">
        <f>IF(A1392="", "", IF(IFERROR(VLOOKUP(A1392, 'Base 3F'!$B:$J, 9, FALSE),"")="", "SIN RUBRO", VLOOKUP(A1392, 'Base 3F'!$B:$J, 9, FALSE)))</f>
        <v>Metalúrgica</v>
      </c>
      <c r="D1392" s="58" t="s">
        <v>7462</v>
      </c>
      <c r="E1392" s="10" t="s">
        <v>2392</v>
      </c>
      <c r="F1392" s="46" t="s">
        <v>115</v>
      </c>
    </row>
    <row r="1393">
      <c r="A1393" s="285" t="s">
        <v>2091</v>
      </c>
      <c r="B1393" s="252">
        <f>IF(A1393="", "", IF(IFERROR(VLOOKUP(A1393, 'Base 3F'!$B:$C, 2, FALSE),"")="", "SIN CUIT", VLOOKUP(A1393, 'Base 3F'!$B:$C, 2, FALSE)))</f>
        <v>30559945168</v>
      </c>
      <c r="C1393" s="253" t="str">
        <f>IF(A1393="", "", IF(IFERROR(VLOOKUP(A1393, 'Base 3F'!$B:$J, 9, FALSE),"")="", "SIN RUBRO", VLOOKUP(A1393, 'Base 3F'!$B:$J, 9, FALSE)))</f>
        <v>Metalúrgica</v>
      </c>
      <c r="D1393" s="58" t="s">
        <v>7464</v>
      </c>
      <c r="E1393" s="10" t="s">
        <v>2392</v>
      </c>
      <c r="F1393" s="46" t="s">
        <v>115</v>
      </c>
    </row>
    <row r="1394">
      <c r="A1394" s="285" t="s">
        <v>2094</v>
      </c>
      <c r="B1394" s="252">
        <f>IF(A1394="", "", IF(IFERROR(VLOOKUP(A1394, 'Base 3F'!$B:$C, 2, FALSE),"")="", "SIN CUIT", VLOOKUP(A1394, 'Base 3F'!$B:$C, 2, FALSE)))</f>
        <v>30571855964</v>
      </c>
      <c r="C1394" s="253" t="str">
        <f>IF(A1394="", "", IF(IFERROR(VLOOKUP(A1394, 'Base 3F'!$B:$J, 9, FALSE),"")="", "SIN RUBRO", VLOOKUP(A1394, 'Base 3F'!$B:$J, 9, FALSE)))</f>
        <v>Metalúrgica</v>
      </c>
      <c r="D1394" s="58" t="s">
        <v>7467</v>
      </c>
      <c r="E1394" s="10" t="s">
        <v>2392</v>
      </c>
      <c r="F1394" s="46" t="s">
        <v>115</v>
      </c>
    </row>
    <row r="1395">
      <c r="A1395" s="285" t="s">
        <v>4203</v>
      </c>
      <c r="B1395" s="252">
        <f>IF(A1395="", "", IF(IFERROR(VLOOKUP(A1395, 'Base 3F'!$B:$C, 2, FALSE),"")="", "SIN CUIT", VLOOKUP(A1395, 'Base 3F'!$B:$C, 2, FALSE)))</f>
        <v>30709854298</v>
      </c>
      <c r="C1395" s="253" t="str">
        <f>IF(A1395="", "", IF(IFERROR(VLOOKUP(A1395, 'Base 3F'!$B:$J, 9, FALSE),"")="", "SIN RUBRO", VLOOKUP(A1395, 'Base 3F'!$B:$J, 9, FALSE)))</f>
        <v>Metalúrgica</v>
      </c>
      <c r="D1395" s="58" t="s">
        <v>7471</v>
      </c>
      <c r="E1395" s="10" t="s">
        <v>2392</v>
      </c>
      <c r="F1395" s="46" t="s">
        <v>115</v>
      </c>
    </row>
    <row r="1396">
      <c r="A1396" s="285" t="s">
        <v>7472</v>
      </c>
      <c r="B1396" s="252">
        <f>IF(A1396="", "", IF(IFERROR(VLOOKUP(A1396, 'Base 3F'!$B:$C, 2, FALSE),"")="", "SIN CUIT", VLOOKUP(A1396, 'Base 3F'!$B:$C, 2, FALSE)))</f>
        <v>33620768109</v>
      </c>
      <c r="C1396" s="253" t="str">
        <f>IF(A1396="", "", IF(IFERROR(VLOOKUP(A1396, 'Base 3F'!$B:$J, 9, FALSE),"")="", "SIN RUBRO", VLOOKUP(A1396, 'Base 3F'!$B:$J, 9, FALSE)))</f>
        <v>Metalúrgica</v>
      </c>
      <c r="D1396" s="142" t="s">
        <v>7473</v>
      </c>
      <c r="E1396" s="10" t="s">
        <v>2392</v>
      </c>
      <c r="F1396" s="46" t="s">
        <v>115</v>
      </c>
    </row>
    <row r="1397">
      <c r="A1397" s="285" t="s">
        <v>7476</v>
      </c>
      <c r="B1397" s="252">
        <f>IF(A1397="", "", IF(IFERROR(VLOOKUP(A1397, 'Base 3F'!$B:$C, 2, FALSE),"")="", "SIN CUIT", VLOOKUP(A1397, 'Base 3F'!$B:$C, 2, FALSE)))</f>
        <v>30710692900</v>
      </c>
      <c r="C1397" s="253" t="str">
        <f>IF(A1397="", "", IF(IFERROR(VLOOKUP(A1397, 'Base 3F'!$B:$J, 9, FALSE),"")="", "SIN RUBRO", VLOOKUP(A1397, 'Base 3F'!$B:$J, 9, FALSE)))</f>
        <v>Metalúrgica</v>
      </c>
      <c r="D1397" s="58" t="s">
        <v>7478</v>
      </c>
      <c r="E1397" s="10" t="s">
        <v>2392</v>
      </c>
      <c r="F1397" s="46" t="s">
        <v>115</v>
      </c>
    </row>
    <row r="1398">
      <c r="A1398" s="285" t="s">
        <v>7479</v>
      </c>
      <c r="B1398" s="252">
        <f>IF(A1398="", "", IF(IFERROR(VLOOKUP(A1398, 'Base 3F'!$B:$C, 2, FALSE),"")="", "SIN CUIT", VLOOKUP(A1398, 'Base 3F'!$B:$C, 2, FALSE)))</f>
        <v>30709343404</v>
      </c>
      <c r="C1398" s="253" t="str">
        <f>IF(A1398="", "", IF(IFERROR(VLOOKUP(A1398, 'Base 3F'!$B:$J, 9, FALSE),"")="", "SIN RUBRO", VLOOKUP(A1398, 'Base 3F'!$B:$J, 9, FALSE)))</f>
        <v>Metalúrgica</v>
      </c>
      <c r="D1398" s="58" t="s">
        <v>7485</v>
      </c>
      <c r="E1398" s="10" t="s">
        <v>2392</v>
      </c>
      <c r="F1398" s="46" t="s">
        <v>115</v>
      </c>
    </row>
    <row r="1399">
      <c r="A1399" s="285" t="s">
        <v>7486</v>
      </c>
      <c r="B1399" s="252">
        <f>IF(A1399="", "", IF(IFERROR(VLOOKUP(A1399, 'Base 3F'!$B:$C, 2, FALSE),"")="", "SIN CUIT", VLOOKUP(A1399, 'Base 3F'!$B:$C, 2, FALSE)))</f>
        <v>30714137383</v>
      </c>
      <c r="C1399" s="253" t="str">
        <f>IF(A1399="", "", IF(IFERROR(VLOOKUP(A1399, 'Base 3F'!$B:$J, 9, FALSE),"")="", "SIN RUBRO", VLOOKUP(A1399, 'Base 3F'!$B:$J, 9, FALSE)))</f>
        <v>Metalúrgica</v>
      </c>
      <c r="D1399" s="58" t="s">
        <v>7491</v>
      </c>
      <c r="E1399" s="10" t="s">
        <v>2392</v>
      </c>
      <c r="F1399" s="46" t="s">
        <v>115</v>
      </c>
    </row>
    <row r="1400">
      <c r="A1400" s="285" t="s">
        <v>7492</v>
      </c>
      <c r="B1400" s="252">
        <f>IF(A1400="", "", IF(IFERROR(VLOOKUP(A1400, 'Base 3F'!$B:$C, 2, FALSE),"")="", "SIN CUIT", VLOOKUP(A1400, 'Base 3F'!$B:$C, 2, FALSE)))</f>
        <v>30711579636</v>
      </c>
      <c r="C1400" s="253" t="str">
        <f>IF(A1400="", "", IF(IFERROR(VLOOKUP(A1400, 'Base 3F'!$B:$J, 9, FALSE),"")="", "SIN RUBRO", VLOOKUP(A1400, 'Base 3F'!$B:$J, 9, FALSE)))</f>
        <v>Metalúrgica</v>
      </c>
      <c r="D1400" s="58" t="s">
        <v>7495</v>
      </c>
      <c r="E1400" s="10" t="s">
        <v>2392</v>
      </c>
      <c r="F1400" s="46" t="s">
        <v>115</v>
      </c>
    </row>
    <row r="1401">
      <c r="A1401" s="285" t="s">
        <v>7499</v>
      </c>
      <c r="B1401" s="252">
        <f>IF(A1401="", "", IF(IFERROR(VLOOKUP(A1401, 'Base 3F'!$B:$C, 2, FALSE),"")="", "SIN CUIT", VLOOKUP(A1401, 'Base 3F'!$B:$C, 2, FALSE)))</f>
        <v>30711756686</v>
      </c>
      <c r="C1401" s="253" t="str">
        <f>IF(A1401="", "", IF(IFERROR(VLOOKUP(A1401, 'Base 3F'!$B:$J, 9, FALSE),"")="", "SIN RUBRO", VLOOKUP(A1401, 'Base 3F'!$B:$J, 9, FALSE)))</f>
        <v>Metalúrgica</v>
      </c>
      <c r="D1401" s="58" t="s">
        <v>7504</v>
      </c>
      <c r="E1401" s="10" t="s">
        <v>2392</v>
      </c>
      <c r="F1401" s="46" t="s">
        <v>115</v>
      </c>
    </row>
    <row r="1402">
      <c r="A1402" s="285" t="s">
        <v>7506</v>
      </c>
      <c r="B1402" s="252">
        <f>IF(A1402="", "", IF(IFERROR(VLOOKUP(A1402, 'Base 3F'!$B:$C, 2, FALSE),"")="", "SIN CUIT", VLOOKUP(A1402, 'Base 3F'!$B:$C, 2, FALSE)))</f>
        <v>30661187766</v>
      </c>
      <c r="C1402" s="253" t="str">
        <f>IF(A1402="", "", IF(IFERROR(VLOOKUP(A1402, 'Base 3F'!$B:$J, 9, FALSE),"")="", "SIN RUBRO", VLOOKUP(A1402, 'Base 3F'!$B:$J, 9, FALSE)))</f>
        <v>Metalúrgica</v>
      </c>
      <c r="D1402" s="58" t="s">
        <v>7509</v>
      </c>
      <c r="E1402" s="10" t="s">
        <v>2392</v>
      </c>
      <c r="F1402" s="46" t="s">
        <v>115</v>
      </c>
    </row>
    <row r="1403">
      <c r="A1403" s="285" t="s">
        <v>7510</v>
      </c>
      <c r="B1403" s="252">
        <f>IF(A1403="", "", IF(IFERROR(VLOOKUP(A1403, 'Base 3F'!$B:$C, 2, FALSE),"")="", "SIN CUIT", VLOOKUP(A1403, 'Base 3F'!$B:$C, 2, FALSE)))</f>
        <v>30633349572</v>
      </c>
      <c r="C1403" s="253" t="str">
        <f>IF(A1403="", "", IF(IFERROR(VLOOKUP(A1403, 'Base 3F'!$B:$J, 9, FALSE),"")="", "SIN RUBRO", VLOOKUP(A1403, 'Base 3F'!$B:$J, 9, FALSE)))</f>
        <v>Metalúrgica</v>
      </c>
      <c r="D1403" s="58" t="s">
        <v>7512</v>
      </c>
      <c r="E1403" s="10" t="s">
        <v>2392</v>
      </c>
      <c r="F1403" s="46" t="s">
        <v>115</v>
      </c>
    </row>
    <row r="1404">
      <c r="A1404" s="285" t="s">
        <v>7514</v>
      </c>
      <c r="B1404" s="252">
        <f>IF(A1404="", "", IF(IFERROR(VLOOKUP(A1404, 'Base 3F'!$B:$C, 2, FALSE),"")="", "SIN CUIT", VLOOKUP(A1404, 'Base 3F'!$B:$C, 2, FALSE)))</f>
        <v>30516217738</v>
      </c>
      <c r="C1404" s="253" t="str">
        <f>IF(A1404="", "", IF(IFERROR(VLOOKUP(A1404, 'Base 3F'!$B:$J, 9, FALSE),"")="", "SIN RUBRO", VLOOKUP(A1404, 'Base 3F'!$B:$J, 9, FALSE)))</f>
        <v>Metalúrgica</v>
      </c>
      <c r="D1404" s="58" t="s">
        <v>7515</v>
      </c>
      <c r="E1404" s="10" t="s">
        <v>2392</v>
      </c>
      <c r="F1404" s="46" t="s">
        <v>115</v>
      </c>
    </row>
    <row r="1405">
      <c r="A1405" s="285" t="s">
        <v>2110</v>
      </c>
      <c r="B1405" s="252">
        <f>IF(A1405="", "", IF(IFERROR(VLOOKUP(A1405, 'Base 3F'!$B:$C, 2, FALSE),"")="", "SIN CUIT", VLOOKUP(A1405, 'Base 3F'!$B:$C, 2, FALSE)))</f>
        <v>30504755629</v>
      </c>
      <c r="C1405" s="253" t="str">
        <f>IF(A1405="", "", IF(IFERROR(VLOOKUP(A1405, 'Base 3F'!$B:$J, 9, FALSE),"")="", "SIN RUBRO", VLOOKUP(A1405, 'Base 3F'!$B:$J, 9, FALSE)))</f>
        <v>Metalúrgica</v>
      </c>
      <c r="D1405" s="58" t="s">
        <v>7523</v>
      </c>
      <c r="E1405" s="10" t="s">
        <v>2392</v>
      </c>
      <c r="F1405" s="46" t="s">
        <v>115</v>
      </c>
    </row>
    <row r="1406">
      <c r="A1406" s="285" t="s">
        <v>7524</v>
      </c>
      <c r="B1406" s="252">
        <f>IF(A1406="", "", IF(IFERROR(VLOOKUP(A1406, 'Base 3F'!$B:$C, 2, FALSE),"")="", "SIN CUIT", VLOOKUP(A1406, 'Base 3F'!$B:$C, 2, FALSE)))</f>
        <v>30701149951</v>
      </c>
      <c r="C1406" s="253" t="str">
        <f>IF(A1406="", "", IF(IFERROR(VLOOKUP(A1406, 'Base 3F'!$B:$J, 9, FALSE),"")="", "SIN RUBRO", VLOOKUP(A1406, 'Base 3F'!$B:$J, 9, FALSE)))</f>
        <v>Metalúrgica</v>
      </c>
      <c r="D1406" s="58" t="s">
        <v>7528</v>
      </c>
      <c r="E1406" s="10" t="s">
        <v>2392</v>
      </c>
      <c r="F1406" s="46" t="s">
        <v>115</v>
      </c>
    </row>
    <row r="1407">
      <c r="A1407" s="285" t="s">
        <v>7530</v>
      </c>
      <c r="B1407" s="252">
        <f>IF(A1407="", "", IF(IFERROR(VLOOKUP(A1407, 'Base 3F'!$B:$C, 2, FALSE),"")="", "SIN CUIT", VLOOKUP(A1407, 'Base 3F'!$B:$C, 2, FALSE)))</f>
        <v>33715742549</v>
      </c>
      <c r="C1407" s="253" t="str">
        <f>IF(A1407="", "", IF(IFERROR(VLOOKUP(A1407, 'Base 3F'!$B:$J, 9, FALSE),"")="", "SIN RUBRO", VLOOKUP(A1407, 'Base 3F'!$B:$J, 9, FALSE)))</f>
        <v>Textil</v>
      </c>
      <c r="D1407" s="58" t="s">
        <v>7534</v>
      </c>
      <c r="E1407" s="10" t="s">
        <v>2392</v>
      </c>
      <c r="F1407" s="46" t="s">
        <v>115</v>
      </c>
    </row>
    <row r="1408">
      <c r="A1408" s="285" t="s">
        <v>2115</v>
      </c>
      <c r="B1408" s="252">
        <f>IF(A1408="", "", IF(IFERROR(VLOOKUP(A1408, 'Base 3F'!$B:$C, 2, FALSE),"")="", "SIN CUIT", VLOOKUP(A1408, 'Base 3F'!$B:$C, 2, FALSE)))</f>
        <v>30624469077</v>
      </c>
      <c r="C1408" s="253" t="str">
        <f>IF(A1408="", "", IF(IFERROR(VLOOKUP(A1408, 'Base 3F'!$B:$J, 9, FALSE),"")="", "SIN RUBRO", VLOOKUP(A1408, 'Base 3F'!$B:$J, 9, FALSE)))</f>
        <v>Metalúrgica</v>
      </c>
      <c r="D1408" s="58" t="s">
        <v>7537</v>
      </c>
      <c r="E1408" s="10" t="s">
        <v>2392</v>
      </c>
      <c r="F1408" s="46" t="s">
        <v>115</v>
      </c>
    </row>
    <row r="1409">
      <c r="A1409" s="285" t="s">
        <v>7538</v>
      </c>
      <c r="B1409" s="252">
        <f>IF(A1409="", "", IF(IFERROR(VLOOKUP(A1409, 'Base 3F'!$B:$C, 2, FALSE),"")="", "SIN CUIT", VLOOKUP(A1409, 'Base 3F'!$B:$C, 2, FALSE)))</f>
        <v>30707258663</v>
      </c>
      <c r="C1409" s="253" t="str">
        <f>IF(A1409="", "", IF(IFERROR(VLOOKUP(A1409, 'Base 3F'!$B:$J, 9, FALSE),"")="", "SIN RUBRO", VLOOKUP(A1409, 'Base 3F'!$B:$J, 9, FALSE)))</f>
        <v>Metalúrgica</v>
      </c>
      <c r="D1409" s="58" t="s">
        <v>7547</v>
      </c>
      <c r="E1409" s="10" t="s">
        <v>2392</v>
      </c>
      <c r="F1409" s="46" t="s">
        <v>115</v>
      </c>
    </row>
    <row r="1410">
      <c r="A1410" s="285" t="s">
        <v>2121</v>
      </c>
      <c r="B1410" s="252">
        <f>IF(A1410="", "", IF(IFERROR(VLOOKUP(A1410, 'Base 3F'!$B:$C, 2, FALSE),"")="", "SIN CUIT", VLOOKUP(A1410, 'Base 3F'!$B:$C, 2, FALSE)))</f>
        <v>30711524351</v>
      </c>
      <c r="C1410" s="253" t="str">
        <f>IF(A1410="", "", IF(IFERROR(VLOOKUP(A1410, 'Base 3F'!$B:$J, 9, FALSE),"")="", "SIN RUBRO", VLOOKUP(A1410, 'Base 3F'!$B:$J, 9, FALSE)))</f>
        <v>Metalúrgica</v>
      </c>
      <c r="D1410" s="58" t="s">
        <v>7550</v>
      </c>
      <c r="E1410" s="10" t="s">
        <v>2392</v>
      </c>
      <c r="F1410" s="46" t="s">
        <v>115</v>
      </c>
    </row>
    <row r="1411">
      <c r="A1411" s="285" t="s">
        <v>7551</v>
      </c>
      <c r="B1411" s="252">
        <f>IF(A1411="", "", IF(IFERROR(VLOOKUP(A1411, 'Base 3F'!$B:$C, 2, FALSE),"")="", "SIN CUIT", VLOOKUP(A1411, 'Base 3F'!$B:$C, 2, FALSE)))</f>
        <v>30503785192</v>
      </c>
      <c r="C1411" s="253" t="str">
        <f>IF(A1411="", "", IF(IFERROR(VLOOKUP(A1411, 'Base 3F'!$B:$J, 9, FALSE),"")="", "SIN RUBRO", VLOOKUP(A1411, 'Base 3F'!$B:$J, 9, FALSE)))</f>
        <v>Metalúrgica</v>
      </c>
      <c r="D1411" s="58" t="s">
        <v>7554</v>
      </c>
      <c r="E1411" s="10" t="s">
        <v>2392</v>
      </c>
      <c r="F1411" s="46" t="s">
        <v>115</v>
      </c>
    </row>
    <row r="1412">
      <c r="A1412" s="285" t="s">
        <v>7556</v>
      </c>
      <c r="B1412" s="252">
        <f>IF(A1412="", "", IF(IFERROR(VLOOKUP(A1412, 'Base 3F'!$B:$C, 2, FALSE),"")="", "SIN CUIT", VLOOKUP(A1412, 'Base 3F'!$B:$C, 2, FALSE)))</f>
        <v>30584386068</v>
      </c>
      <c r="C1412" s="253" t="str">
        <f>IF(A1412="", "", IF(IFERROR(VLOOKUP(A1412, 'Base 3F'!$B:$J, 9, FALSE),"")="", "SIN RUBRO", VLOOKUP(A1412, 'Base 3F'!$B:$J, 9, FALSE)))</f>
        <v>Metalúrgica</v>
      </c>
      <c r="D1412" s="58" t="s">
        <v>7559</v>
      </c>
      <c r="E1412" s="10" t="s">
        <v>2392</v>
      </c>
      <c r="F1412" s="46" t="s">
        <v>115</v>
      </c>
    </row>
    <row r="1413">
      <c r="A1413" s="285" t="s">
        <v>7560</v>
      </c>
      <c r="B1413" s="252">
        <f>IF(A1413="", "", IF(IFERROR(VLOOKUP(A1413, 'Base 3F'!$B:$C, 2, FALSE),"")="", "SIN CUIT", VLOOKUP(A1413, 'Base 3F'!$B:$C, 2, FALSE)))</f>
        <v>30711809313</v>
      </c>
      <c r="C1413" s="253" t="str">
        <f>IF(A1413="", "", IF(IFERROR(VLOOKUP(A1413, 'Base 3F'!$B:$J, 9, FALSE),"")="", "SIN RUBRO", VLOOKUP(A1413, 'Base 3F'!$B:$J, 9, FALSE)))</f>
        <v>Alimenticia</v>
      </c>
      <c r="D1413" s="58" t="s">
        <v>7563</v>
      </c>
      <c r="E1413" s="10" t="s">
        <v>2392</v>
      </c>
      <c r="F1413" s="46" t="s">
        <v>115</v>
      </c>
    </row>
    <row r="1414">
      <c r="A1414" s="285" t="s">
        <v>7565</v>
      </c>
      <c r="B1414" s="252">
        <f>IF(A1414="", "", IF(IFERROR(VLOOKUP(A1414, 'Base 3F'!$B:$C, 2, FALSE),"")="", "SIN CUIT", VLOOKUP(A1414, 'Base 3F'!$B:$C, 2, FALSE)))</f>
        <v>30710153201</v>
      </c>
      <c r="C1414" s="253" t="str">
        <f>IF(A1414="", "", IF(IFERROR(VLOOKUP(A1414, 'Base 3F'!$B:$J, 9, FALSE),"")="", "SIN RUBRO", VLOOKUP(A1414, 'Base 3F'!$B:$J, 9, FALSE)))</f>
        <v>Metalúrgica</v>
      </c>
      <c r="D1414" s="58" t="s">
        <v>7569</v>
      </c>
      <c r="E1414" s="10" t="s">
        <v>2392</v>
      </c>
      <c r="F1414" s="46" t="s">
        <v>115</v>
      </c>
    </row>
    <row r="1415">
      <c r="A1415" s="285" t="s">
        <v>2134</v>
      </c>
      <c r="B1415" s="252">
        <f>IF(A1415="", "", IF(IFERROR(VLOOKUP(A1415, 'Base 3F'!$B:$C, 2, FALSE),"")="", "SIN CUIT", VLOOKUP(A1415, 'Base 3F'!$B:$C, 2, FALSE)))</f>
        <v>30708938021</v>
      </c>
      <c r="C1415" s="253" t="str">
        <f>IF(A1415="", "", IF(IFERROR(VLOOKUP(A1415, 'Base 3F'!$B:$J, 9, FALSE),"")="", "SIN RUBRO", VLOOKUP(A1415, 'Base 3F'!$B:$J, 9, FALSE)))</f>
        <v>Alimenticia</v>
      </c>
      <c r="D1415" s="58" t="s">
        <v>7575</v>
      </c>
      <c r="E1415" s="10" t="s">
        <v>2392</v>
      </c>
      <c r="F1415" s="46" t="s">
        <v>115</v>
      </c>
    </row>
    <row r="1416">
      <c r="A1416" s="285" t="s">
        <v>2141</v>
      </c>
      <c r="B1416" s="252" t="str">
        <f>IF(A1416="", "", IF(IFERROR(VLOOKUP(A1416, 'Base 3F'!$B:$C, 2, FALSE),"")="", "SIN CUIT", VLOOKUP(A1416, 'Base 3F'!$B:$C, 2, FALSE)))</f>
        <v>SIN CUIT</v>
      </c>
      <c r="C1416" s="253" t="str">
        <f>IF(A1416="", "", IF(IFERROR(VLOOKUP(A1416, 'Base 3F'!$B:$J, 9, FALSE),"")="", "SIN RUBRO", VLOOKUP(A1416, 'Base 3F'!$B:$J, 9, FALSE)))</f>
        <v>SIN RUBRO</v>
      </c>
      <c r="D1416" s="58" t="s">
        <v>7583</v>
      </c>
      <c r="E1416" s="10" t="s">
        <v>2392</v>
      </c>
      <c r="F1416" s="46" t="s">
        <v>115</v>
      </c>
    </row>
    <row r="1417">
      <c r="A1417" s="285" t="s">
        <v>2145</v>
      </c>
      <c r="B1417" s="252">
        <f>IF(A1417="", "", IF(IFERROR(VLOOKUP(A1417, 'Base 3F'!$B:$C, 2, FALSE),"")="", "SIN CUIT", VLOOKUP(A1417, 'Base 3F'!$B:$C, 2, FALSE)))</f>
        <v>30560494757</v>
      </c>
      <c r="C1417" s="253" t="str">
        <f>IF(A1417="", "", IF(IFERROR(VLOOKUP(A1417, 'Base 3F'!$B:$J, 9, FALSE),"")="", "SIN RUBRO", VLOOKUP(A1417, 'Base 3F'!$B:$J, 9, FALSE)))</f>
        <v>Piedra</v>
      </c>
      <c r="D1417" s="58" t="s">
        <v>7585</v>
      </c>
      <c r="E1417" s="10" t="s">
        <v>2392</v>
      </c>
      <c r="F1417" s="46" t="s">
        <v>115</v>
      </c>
    </row>
    <row r="1418">
      <c r="A1418" s="285" t="s">
        <v>7586</v>
      </c>
      <c r="B1418" s="252">
        <f>IF(A1418="", "", IF(IFERROR(VLOOKUP(A1418, 'Base 3F'!$B:$C, 2, FALSE),"")="", "SIN CUIT", VLOOKUP(A1418, 'Base 3F'!$B:$C, 2, FALSE)))</f>
        <v>20285044015</v>
      </c>
      <c r="C1418" s="253" t="str">
        <f>IF(A1418="", "", IF(IFERROR(VLOOKUP(A1418, 'Base 3F'!$B:$J, 9, FALSE),"")="", "SIN RUBRO", VLOOKUP(A1418, 'Base 3F'!$B:$J, 9, FALSE)))</f>
        <v>Servicios</v>
      </c>
      <c r="D1418" s="58" t="s">
        <v>7591</v>
      </c>
      <c r="E1418" s="10" t="s">
        <v>2392</v>
      </c>
      <c r="F1418" s="46" t="s">
        <v>115</v>
      </c>
    </row>
    <row r="1419">
      <c r="A1419" s="285" t="s">
        <v>7592</v>
      </c>
      <c r="B1419" s="252">
        <f>IF(A1419="", "", IF(IFERROR(VLOOKUP(A1419, 'Base 3F'!$B:$C, 2, FALSE),"")="", "SIN CUIT", VLOOKUP(A1419, 'Base 3F'!$B:$C, 2, FALSE)))</f>
        <v>30551434512</v>
      </c>
      <c r="C1419" s="253" t="str">
        <f>IF(A1419="", "", IF(IFERROR(VLOOKUP(A1419, 'Base 3F'!$B:$J, 9, FALSE),"")="", "SIN RUBRO", VLOOKUP(A1419, 'Base 3F'!$B:$J, 9, FALSE)))</f>
        <v>Metalúrgica</v>
      </c>
      <c r="D1419" s="58" t="s">
        <v>7596</v>
      </c>
      <c r="E1419" s="10" t="s">
        <v>2392</v>
      </c>
      <c r="F1419" s="46" t="s">
        <v>115</v>
      </c>
    </row>
    <row r="1420">
      <c r="A1420" s="285" t="s">
        <v>7597</v>
      </c>
      <c r="B1420" s="252">
        <f>IF(A1420="", "", IF(IFERROR(VLOOKUP(A1420, 'Base 3F'!$B:$C, 2, FALSE),"")="", "SIN CUIT", VLOOKUP(A1420, 'Base 3F'!$B:$C, 2, FALSE)))</f>
        <v>30687497895</v>
      </c>
      <c r="C1420" s="253" t="str">
        <f>IF(A1420="", "", IF(IFERROR(VLOOKUP(A1420, 'Base 3F'!$B:$J, 9, FALSE),"")="", "SIN RUBRO", VLOOKUP(A1420, 'Base 3F'!$B:$J, 9, FALSE)))</f>
        <v>Alimenticia</v>
      </c>
      <c r="D1420" s="58" t="s">
        <v>7599</v>
      </c>
      <c r="E1420" s="10" t="s">
        <v>2392</v>
      </c>
      <c r="F1420" s="46" t="s">
        <v>115</v>
      </c>
    </row>
    <row r="1421">
      <c r="A1421" s="285" t="s">
        <v>7602</v>
      </c>
      <c r="B1421" s="252">
        <f>IF(A1421="", "", IF(IFERROR(VLOOKUP(A1421, 'Base 3F'!$B:$C, 2, FALSE),"")="", "SIN CUIT", VLOOKUP(A1421, 'Base 3F'!$B:$C, 2, FALSE)))</f>
        <v>30709975575</v>
      </c>
      <c r="C1421" s="253" t="str">
        <f>IF(A1421="", "", IF(IFERROR(VLOOKUP(A1421, 'Base 3F'!$B:$J, 9, FALSE),"")="", "SIN RUBRO", VLOOKUP(A1421, 'Base 3F'!$B:$J, 9, FALSE)))</f>
        <v>Madera</v>
      </c>
      <c r="D1421" s="58" t="s">
        <v>7604</v>
      </c>
      <c r="E1421" s="10" t="s">
        <v>2392</v>
      </c>
      <c r="F1421" s="46" t="s">
        <v>115</v>
      </c>
    </row>
    <row r="1422">
      <c r="A1422" s="285" t="s">
        <v>7606</v>
      </c>
      <c r="B1422" s="252">
        <f>IF(A1422="", "", IF(IFERROR(VLOOKUP(A1422, 'Base 3F'!$B:$C, 2, FALSE),"")="", "SIN CUIT", VLOOKUP(A1422, 'Base 3F'!$B:$C, 2, FALSE)))</f>
        <v>30710267894</v>
      </c>
      <c r="C1422" s="253" t="str">
        <f>IF(A1422="", "", IF(IFERROR(VLOOKUP(A1422, 'Base 3F'!$B:$J, 9, FALSE),"")="", "SIN RUBRO", VLOOKUP(A1422, 'Base 3F'!$B:$J, 9, FALSE)))</f>
        <v>Madera</v>
      </c>
      <c r="D1422" s="58" t="s">
        <v>7608</v>
      </c>
      <c r="E1422" s="10" t="s">
        <v>2392</v>
      </c>
      <c r="F1422" s="46" t="s">
        <v>115</v>
      </c>
    </row>
    <row r="1423">
      <c r="A1423" s="285" t="s">
        <v>2164</v>
      </c>
      <c r="B1423" s="252">
        <f>IF(A1423="", "", IF(IFERROR(VLOOKUP(A1423, 'Base 3F'!$B:$C, 2, FALSE),"")="", "SIN CUIT", VLOOKUP(A1423, 'Base 3F'!$B:$C, 2, FALSE)))</f>
        <v>20115940237</v>
      </c>
      <c r="C1423" s="253" t="str">
        <f>IF(A1423="", "", IF(IFERROR(VLOOKUP(A1423, 'Base 3F'!$B:$J, 9, FALSE),"")="", "SIN RUBRO", VLOOKUP(A1423, 'Base 3F'!$B:$J, 9, FALSE)))</f>
        <v>Manufactura</v>
      </c>
      <c r="D1423" s="58" t="s">
        <v>7612</v>
      </c>
      <c r="E1423" s="10" t="s">
        <v>2392</v>
      </c>
      <c r="F1423" s="46" t="s">
        <v>115</v>
      </c>
    </row>
    <row r="1424">
      <c r="A1424" s="285" t="s">
        <v>7613</v>
      </c>
      <c r="B1424" s="252">
        <f>IF(A1424="", "", IF(IFERROR(VLOOKUP(A1424, 'Base 3F'!$B:$C, 2, FALSE),"")="", "SIN CUIT", VLOOKUP(A1424, 'Base 3F'!$B:$C, 2, FALSE)))</f>
        <v>30711790175</v>
      </c>
      <c r="C1424" s="253" t="str">
        <f>IF(A1424="", "", IF(IFERROR(VLOOKUP(A1424, 'Base 3F'!$B:$J, 9, FALSE),"")="", "SIN RUBRO", VLOOKUP(A1424, 'Base 3F'!$B:$J, 9, FALSE)))</f>
        <v>Metalmecánica</v>
      </c>
      <c r="D1424" s="58" t="s">
        <v>7617</v>
      </c>
      <c r="E1424" s="10" t="s">
        <v>2392</v>
      </c>
      <c r="F1424" s="46" t="s">
        <v>115</v>
      </c>
    </row>
    <row r="1425">
      <c r="A1425" s="285" t="s">
        <v>7619</v>
      </c>
      <c r="B1425" s="252">
        <f>IF(A1425="", "", IF(IFERROR(VLOOKUP(A1425, 'Base 3F'!$B:$C, 2, FALSE),"")="", "SIN CUIT", VLOOKUP(A1425, 'Base 3F'!$B:$C, 2, FALSE)))</f>
        <v>30685329677</v>
      </c>
      <c r="C1425" s="253" t="str">
        <f>IF(A1425="", "", IF(IFERROR(VLOOKUP(A1425, 'Base 3F'!$B:$J, 9, FALSE),"")="", "SIN RUBRO", VLOOKUP(A1425, 'Base 3F'!$B:$J, 9, FALSE)))</f>
        <v>Alimenticia</v>
      </c>
      <c r="D1425" s="58" t="s">
        <v>7623</v>
      </c>
      <c r="E1425" s="10" t="s">
        <v>2392</v>
      </c>
      <c r="F1425" s="46" t="s">
        <v>115</v>
      </c>
    </row>
    <row r="1426">
      <c r="A1426" s="285" t="s">
        <v>7624</v>
      </c>
      <c r="B1426" s="252">
        <f>IF(A1426="", "", IF(IFERROR(VLOOKUP(A1426, 'Base 3F'!$B:$C, 2, FALSE),"")="", "SIN CUIT", VLOOKUP(A1426, 'Base 3F'!$B:$C, 2, FALSE)))</f>
        <v>30709588652</v>
      </c>
      <c r="C1426" s="253" t="str">
        <f>IF(A1426="", "", IF(IFERROR(VLOOKUP(A1426, 'Base 3F'!$B:$J, 9, FALSE),"")="", "SIN RUBRO", VLOOKUP(A1426, 'Base 3F'!$B:$J, 9, FALSE)))</f>
        <v>Alimenticia</v>
      </c>
      <c r="D1426" s="242" t="s">
        <v>7629</v>
      </c>
      <c r="E1426" s="10" t="s">
        <v>2392</v>
      </c>
      <c r="F1426" s="46" t="s">
        <v>1625</v>
      </c>
    </row>
    <row r="1427">
      <c r="A1427" s="285" t="s">
        <v>7631</v>
      </c>
      <c r="B1427" s="252">
        <f>IF(A1427="", "", IF(IFERROR(VLOOKUP(A1427, 'Base 3F'!$B:$C, 2, FALSE),"")="", "SIN CUIT", VLOOKUP(A1427, 'Base 3F'!$B:$C, 2, FALSE)))</f>
        <v>30610028434</v>
      </c>
      <c r="C1427" s="253" t="str">
        <f>IF(A1427="", "", IF(IFERROR(VLOOKUP(A1427, 'Base 3F'!$B:$J, 9, FALSE),"")="", "SIN RUBRO", VLOOKUP(A1427, 'Base 3F'!$B:$J, 9, FALSE)))</f>
        <v>Textil</v>
      </c>
      <c r="D1427" s="58" t="s">
        <v>7634</v>
      </c>
      <c r="E1427" s="10" t="s">
        <v>2392</v>
      </c>
      <c r="F1427" s="46" t="s">
        <v>115</v>
      </c>
    </row>
    <row r="1428">
      <c r="A1428" s="285" t="s">
        <v>2168</v>
      </c>
      <c r="B1428" s="252">
        <f>IF(A1428="", "", IF(IFERROR(VLOOKUP(A1428, 'Base 3F'!$B:$C, 2, FALSE),"")="", "SIN CUIT", VLOOKUP(A1428, 'Base 3F'!$B:$C, 2, FALSE)))</f>
        <v>30500786937</v>
      </c>
      <c r="C1428" s="253" t="str">
        <f>IF(A1428="", "", IF(IFERROR(VLOOKUP(A1428, 'Base 3F'!$B:$J, 9, FALSE),"")="", "SIN RUBRO", VLOOKUP(A1428, 'Base 3F'!$B:$J, 9, FALSE)))</f>
        <v>Metalúrgica</v>
      </c>
      <c r="D1428" s="58" t="s">
        <v>7636</v>
      </c>
      <c r="E1428" s="10" t="s">
        <v>2392</v>
      </c>
      <c r="F1428" s="46" t="s">
        <v>115</v>
      </c>
    </row>
    <row r="1429">
      <c r="A1429" s="285" t="s">
        <v>7638</v>
      </c>
      <c r="B1429" s="252">
        <f>IF(A1429="", "", IF(IFERROR(VLOOKUP(A1429, 'Base 3F'!$B:$C, 2, FALSE),"")="", "SIN CUIT", VLOOKUP(A1429, 'Base 3F'!$B:$C, 2, FALSE)))</f>
        <v>30683676027</v>
      </c>
      <c r="C1429" s="253" t="str">
        <f>IF(A1429="", "", IF(IFERROR(VLOOKUP(A1429, 'Base 3F'!$B:$J, 9, FALSE),"")="", "SIN RUBRO", VLOOKUP(A1429, 'Base 3F'!$B:$J, 9, FALSE)))</f>
        <v>Metalúrgica</v>
      </c>
      <c r="D1429" s="58" t="s">
        <v>7641</v>
      </c>
      <c r="E1429" s="10" t="s">
        <v>2392</v>
      </c>
      <c r="F1429" s="46" t="s">
        <v>115</v>
      </c>
    </row>
    <row r="1430">
      <c r="A1430" s="285" t="s">
        <v>7642</v>
      </c>
      <c r="B1430" s="252">
        <f>IF(A1430="", "", IF(IFERROR(VLOOKUP(A1430, 'Base 3F'!$B:$C, 2, FALSE),"")="", "SIN CUIT", VLOOKUP(A1430, 'Base 3F'!$B:$C, 2, FALSE)))</f>
        <v>30708877138</v>
      </c>
      <c r="C1430" s="253" t="str">
        <f>IF(A1430="", "", IF(IFERROR(VLOOKUP(A1430, 'Base 3F'!$B:$J, 9, FALSE),"")="", "SIN RUBRO", VLOOKUP(A1430, 'Base 3F'!$B:$J, 9, FALSE)))</f>
        <v>Servicios</v>
      </c>
      <c r="D1430" s="58" t="s">
        <v>7643</v>
      </c>
      <c r="E1430" s="10" t="s">
        <v>2392</v>
      </c>
      <c r="F1430" s="46" t="s">
        <v>115</v>
      </c>
    </row>
    <row r="1431">
      <c r="A1431" s="285" t="s">
        <v>7644</v>
      </c>
      <c r="B1431" s="252">
        <f>IF(A1431="", "", IF(IFERROR(VLOOKUP(A1431, 'Base 3F'!$B:$C, 2, FALSE),"")="", "SIN CUIT", VLOOKUP(A1431, 'Base 3F'!$B:$C, 2, FALSE)))</f>
        <v>30708371056</v>
      </c>
      <c r="C1431" s="253" t="str">
        <f>IF(A1431="", "", IF(IFERROR(VLOOKUP(A1431, 'Base 3F'!$B:$J, 9, FALSE),"")="", "SIN RUBRO", VLOOKUP(A1431, 'Base 3F'!$B:$J, 9, FALSE)))</f>
        <v>Construcción</v>
      </c>
      <c r="D1431" s="58" t="s">
        <v>7647</v>
      </c>
      <c r="E1431" s="10" t="s">
        <v>2392</v>
      </c>
      <c r="F1431" s="46" t="s">
        <v>115</v>
      </c>
    </row>
    <row r="1432">
      <c r="A1432" s="285" t="s">
        <v>2173</v>
      </c>
      <c r="B1432" s="252">
        <f>IF(A1432="", "", IF(IFERROR(VLOOKUP(A1432, 'Base 3F'!$B:$C, 2, FALSE),"")="", "SIN CUIT", VLOOKUP(A1432, 'Base 3F'!$B:$C, 2, FALSE)))</f>
        <v>30716126451</v>
      </c>
      <c r="C1432" s="253" t="str">
        <f>IF(A1432="", "", IF(IFERROR(VLOOKUP(A1432, 'Base 3F'!$B:$J, 9, FALSE),"")="", "SIN RUBRO", VLOOKUP(A1432, 'Base 3F'!$B:$J, 9, FALSE)))</f>
        <v>Madera</v>
      </c>
      <c r="D1432" s="58" t="s">
        <v>7648</v>
      </c>
      <c r="E1432" s="10" t="s">
        <v>2392</v>
      </c>
      <c r="F1432" s="46" t="s">
        <v>115</v>
      </c>
    </row>
    <row r="1433">
      <c r="A1433" s="285" t="s">
        <v>2183</v>
      </c>
      <c r="B1433" s="252">
        <f>IF(A1433="", "", IF(IFERROR(VLOOKUP(A1433, 'Base 3F'!$B:$C, 2, FALSE),"")="", "SIN CUIT", VLOOKUP(A1433, 'Base 3F'!$B:$C, 2, FALSE)))</f>
        <v>30557281289</v>
      </c>
      <c r="C1433" s="253" t="str">
        <f>IF(A1433="", "", IF(IFERROR(VLOOKUP(A1433, 'Base 3F'!$B:$J, 9, FALSE),"")="", "SIN RUBRO", VLOOKUP(A1433, 'Base 3F'!$B:$J, 9, FALSE)))</f>
        <v>Plástica</v>
      </c>
      <c r="D1433" s="96" t="s">
        <v>7651</v>
      </c>
      <c r="E1433" s="10" t="s">
        <v>2392</v>
      </c>
      <c r="F1433" s="46" t="s">
        <v>115</v>
      </c>
    </row>
    <row r="1434">
      <c r="A1434" s="285" t="s">
        <v>7652</v>
      </c>
      <c r="B1434" s="252">
        <f>IF(A1434="", "", IF(IFERROR(VLOOKUP(A1434, 'Base 3F'!$B:$C, 2, FALSE),"")="", "SIN CUIT", VLOOKUP(A1434, 'Base 3F'!$B:$C, 2, FALSE)))</f>
        <v>30650256979</v>
      </c>
      <c r="C1434" s="253" t="str">
        <f>IF(A1434="", "", IF(IFERROR(VLOOKUP(A1434, 'Base 3F'!$B:$J, 9, FALSE),"")="", "SIN RUBRO", VLOOKUP(A1434, 'Base 3F'!$B:$J, 9, FALSE)))</f>
        <v>Madera</v>
      </c>
      <c r="D1434" s="58" t="s">
        <v>7657</v>
      </c>
      <c r="E1434" s="10" t="s">
        <v>2392</v>
      </c>
      <c r="F1434" s="46" t="s">
        <v>115</v>
      </c>
    </row>
    <row r="1435">
      <c r="A1435" s="285" t="s">
        <v>2187</v>
      </c>
      <c r="B1435" s="252">
        <f>IF(A1435="", "", IF(IFERROR(VLOOKUP(A1435, 'Base 3F'!$B:$C, 2, FALSE),"")="", "SIN CUIT", VLOOKUP(A1435, 'Base 3F'!$B:$C, 2, FALSE)))</f>
        <v>30639072076</v>
      </c>
      <c r="C1435" s="253" t="str">
        <f>IF(A1435="", "", IF(IFERROR(VLOOKUP(A1435, 'Base 3F'!$B:$J, 9, FALSE),"")="", "SIN RUBRO", VLOOKUP(A1435, 'Base 3F'!$B:$J, 9, FALSE)))</f>
        <v>Textil</v>
      </c>
      <c r="D1435" s="58" t="s">
        <v>7662</v>
      </c>
      <c r="E1435" s="10" t="s">
        <v>2392</v>
      </c>
      <c r="F1435" s="46" t="s">
        <v>115</v>
      </c>
    </row>
    <row r="1436">
      <c r="A1436" s="285" t="s">
        <v>2191</v>
      </c>
      <c r="B1436" s="252">
        <f>IF(A1436="", "", IF(IFERROR(VLOOKUP(A1436, 'Base 3F'!$B:$C, 2, FALSE),"")="", "SIN CUIT", VLOOKUP(A1436, 'Base 3F'!$B:$C, 2, FALSE)))</f>
        <v>33644674059</v>
      </c>
      <c r="C1436" s="253" t="str">
        <f>IF(A1436="", "", IF(IFERROR(VLOOKUP(A1436, 'Base 3F'!$B:$J, 9, FALSE),"")="", "SIN RUBRO", VLOOKUP(A1436, 'Base 3F'!$B:$J, 9, FALSE)))</f>
        <v>Plástica</v>
      </c>
      <c r="D1436" s="58" t="s">
        <v>7664</v>
      </c>
      <c r="E1436" s="10" t="s">
        <v>2392</v>
      </c>
      <c r="F1436" s="46" t="s">
        <v>115</v>
      </c>
    </row>
    <row r="1437">
      <c r="A1437" s="285" t="s">
        <v>2196</v>
      </c>
      <c r="B1437" s="252">
        <f>IF(A1437="", "", IF(IFERROR(VLOOKUP(A1437, 'Base 3F'!$B:$C, 2, FALSE),"")="", "SIN CUIT", VLOOKUP(A1437, 'Base 3F'!$B:$C, 2, FALSE)))</f>
        <v>30689645131</v>
      </c>
      <c r="C1437" s="253" t="str">
        <f>IF(A1437="", "", IF(IFERROR(VLOOKUP(A1437, 'Base 3F'!$B:$J, 9, FALSE),"")="", "SIN RUBRO", VLOOKUP(A1437, 'Base 3F'!$B:$J, 9, FALSE)))</f>
        <v>Madera</v>
      </c>
      <c r="D1437" s="58" t="s">
        <v>7669</v>
      </c>
      <c r="E1437" s="10" t="s">
        <v>2392</v>
      </c>
      <c r="F1437" s="46" t="s">
        <v>115</v>
      </c>
    </row>
    <row r="1438">
      <c r="A1438" s="285" t="s">
        <v>2208</v>
      </c>
      <c r="B1438" s="252">
        <f>IF(A1438="", "", IF(IFERROR(VLOOKUP(A1438, 'Base 3F'!$B:$C, 2, FALSE),"")="", "SIN CUIT", VLOOKUP(A1438, 'Base 3F'!$B:$C, 2, FALSE)))</f>
        <v>30642724211</v>
      </c>
      <c r="C1438" s="253" t="str">
        <f>IF(A1438="", "", IF(IFERROR(VLOOKUP(A1438, 'Base 3F'!$B:$J, 9, FALSE),"")="", "SIN RUBRO", VLOOKUP(A1438, 'Base 3F'!$B:$J, 9, FALSE)))</f>
        <v>Electrónica</v>
      </c>
      <c r="D1438" s="58" t="s">
        <v>7673</v>
      </c>
      <c r="E1438" s="10" t="s">
        <v>2392</v>
      </c>
      <c r="F1438" s="46" t="s">
        <v>115</v>
      </c>
    </row>
    <row r="1439">
      <c r="A1439" s="285" t="s">
        <v>7674</v>
      </c>
      <c r="B1439" s="252">
        <f>IF(A1439="", "", IF(IFERROR(VLOOKUP(A1439, 'Base 3F'!$B:$C, 2, FALSE),"")="", "SIN CUIT", VLOOKUP(A1439, 'Base 3F'!$B:$C, 2, FALSE)))</f>
        <v>33710082869</v>
      </c>
      <c r="C1439" s="253" t="str">
        <f>IF(A1439="", "", IF(IFERROR(VLOOKUP(A1439, 'Base 3F'!$B:$J, 9, FALSE),"")="", "SIN RUBRO", VLOOKUP(A1439, 'Base 3F'!$B:$J, 9, FALSE)))</f>
        <v>Plástica</v>
      </c>
      <c r="D1439" s="58" t="s">
        <v>7678</v>
      </c>
      <c r="E1439" s="10" t="s">
        <v>2392</v>
      </c>
      <c r="F1439" s="46" t="s">
        <v>115</v>
      </c>
    </row>
    <row r="1440">
      <c r="A1440" s="285" t="s">
        <v>7680</v>
      </c>
      <c r="B1440" s="252">
        <f>IF(A1440="", "", IF(IFERROR(VLOOKUP(A1440, 'Base 3F'!$B:$C, 2, FALSE),"")="", "SIN CUIT", VLOOKUP(A1440, 'Base 3F'!$B:$C, 2, FALSE)))</f>
        <v>30707997865</v>
      </c>
      <c r="C1440" s="253" t="str">
        <f>IF(A1440="", "", IF(IFERROR(VLOOKUP(A1440, 'Base 3F'!$B:$J, 9, FALSE),"")="", "SIN RUBRO", VLOOKUP(A1440, 'Base 3F'!$B:$J, 9, FALSE)))</f>
        <v>Metalmecánica</v>
      </c>
      <c r="D1440" s="58" t="s">
        <v>7683</v>
      </c>
      <c r="E1440" s="10" t="s">
        <v>2392</v>
      </c>
      <c r="F1440" s="46" t="s">
        <v>115</v>
      </c>
    </row>
    <row r="1441">
      <c r="A1441" s="285" t="s">
        <v>7684</v>
      </c>
      <c r="B1441" s="252">
        <f>IF(A1441="", "", IF(IFERROR(VLOOKUP(A1441, 'Base 3F'!$B:$C, 2, FALSE),"")="", "SIN CUIT", VLOOKUP(A1441, 'Base 3F'!$B:$C, 2, FALSE)))</f>
        <v>33714944679</v>
      </c>
      <c r="C1441" s="253" t="str">
        <f>IF(A1441="", "", IF(IFERROR(VLOOKUP(A1441, 'Base 3F'!$B:$J, 9, FALSE),"")="", "SIN RUBRO", VLOOKUP(A1441, 'Base 3F'!$B:$J, 9, FALSE)))</f>
        <v>Metalúrgica</v>
      </c>
      <c r="D1441" s="58" t="s">
        <v>7688</v>
      </c>
      <c r="E1441" s="10" t="s">
        <v>2392</v>
      </c>
      <c r="F1441" s="46" t="s">
        <v>115</v>
      </c>
    </row>
    <row r="1442">
      <c r="A1442" s="285" t="s">
        <v>7689</v>
      </c>
      <c r="B1442" s="252">
        <f>IF(A1442="", "", IF(IFERROR(VLOOKUP(A1442, 'Base 3F'!$B:$C, 2, FALSE),"")="", "SIN CUIT", VLOOKUP(A1442, 'Base 3F'!$B:$C, 2, FALSE)))</f>
        <v>30709212997</v>
      </c>
      <c r="C1442" s="253" t="str">
        <f>IF(A1442="", "", IF(IFERROR(VLOOKUP(A1442, 'Base 3F'!$B:$J, 9, FALSE),"")="", "SIN RUBRO", VLOOKUP(A1442, 'Base 3F'!$B:$J, 9, FALSE)))</f>
        <v>Metalmecánica</v>
      </c>
      <c r="D1442" s="58" t="s">
        <v>7694</v>
      </c>
      <c r="E1442" s="10" t="s">
        <v>2392</v>
      </c>
      <c r="F1442" s="46" t="s">
        <v>115</v>
      </c>
    </row>
    <row r="1443">
      <c r="A1443" s="285" t="s">
        <v>2214</v>
      </c>
      <c r="B1443" s="252">
        <f>IF(A1443="", "", IF(IFERROR(VLOOKUP(A1443, 'Base 3F'!$B:$C, 2, FALSE),"")="", "SIN CUIT", VLOOKUP(A1443, 'Base 3F'!$B:$C, 2, FALSE)))</f>
        <v>20265232176</v>
      </c>
      <c r="C1443" s="253" t="str">
        <f>IF(A1443="", "", IF(IFERROR(VLOOKUP(A1443, 'Base 3F'!$B:$J, 9, FALSE),"")="", "SIN RUBRO", VLOOKUP(A1443, 'Base 3F'!$B:$J, 9, FALSE)))</f>
        <v>Alimenticia</v>
      </c>
      <c r="D1443" s="58" t="s">
        <v>7696</v>
      </c>
      <c r="E1443" s="10" t="s">
        <v>2392</v>
      </c>
      <c r="F1443" s="46" t="s">
        <v>115</v>
      </c>
    </row>
    <row r="1444">
      <c r="A1444" s="285" t="s">
        <v>7698</v>
      </c>
      <c r="B1444" s="252">
        <f>IF(A1444="", "", IF(IFERROR(VLOOKUP(A1444, 'Base 3F'!$B:$C, 2, FALSE),"")="", "SIN CUIT", VLOOKUP(A1444, 'Base 3F'!$B:$C, 2, FALSE)))</f>
        <v>33708678649</v>
      </c>
      <c r="C1444" s="253" t="str">
        <f>IF(A1444="", "", IF(IFERROR(VLOOKUP(A1444, 'Base 3F'!$B:$J, 9, FALSE),"")="", "SIN RUBRO", VLOOKUP(A1444, 'Base 3F'!$B:$J, 9, FALSE)))</f>
        <v>Metalúrgica</v>
      </c>
      <c r="D1444" s="58" t="s">
        <v>7699</v>
      </c>
      <c r="E1444" s="10" t="s">
        <v>2392</v>
      </c>
      <c r="F1444" s="46" t="s">
        <v>115</v>
      </c>
    </row>
    <row r="1445">
      <c r="A1445" s="285" t="s">
        <v>7700</v>
      </c>
      <c r="B1445" s="252">
        <f>IF(A1445="", "", IF(IFERROR(VLOOKUP(A1445, 'Base 3F'!$B:$C, 2, FALSE),"")="", "SIN CUIT", VLOOKUP(A1445, 'Base 3F'!$B:$C, 2, FALSE)))</f>
        <v>33709045119</v>
      </c>
      <c r="C1445" s="253" t="str">
        <f>IF(A1445="", "", IF(IFERROR(VLOOKUP(A1445, 'Base 3F'!$B:$J, 9, FALSE),"")="", "SIN RUBRO", VLOOKUP(A1445, 'Base 3F'!$B:$J, 9, FALSE)))</f>
        <v>Metalúrgica</v>
      </c>
      <c r="D1445" s="58" t="s">
        <v>7703</v>
      </c>
      <c r="E1445" s="10" t="s">
        <v>2392</v>
      </c>
      <c r="F1445" s="46" t="s">
        <v>115</v>
      </c>
    </row>
    <row r="1446">
      <c r="A1446" s="285" t="s">
        <v>7704</v>
      </c>
      <c r="B1446" s="252">
        <f>IF(A1446="", "", IF(IFERROR(VLOOKUP(A1446, 'Base 3F'!$B:$C, 2, FALSE),"")="", "SIN CUIT", VLOOKUP(A1446, 'Base 3F'!$B:$C, 2, FALSE)))</f>
        <v>33552966509</v>
      </c>
      <c r="C1446" s="253" t="str">
        <f>IF(A1446="", "", IF(IFERROR(VLOOKUP(A1446, 'Base 3F'!$B:$J, 9, FALSE),"")="", "SIN RUBRO", VLOOKUP(A1446, 'Base 3F'!$B:$J, 9, FALSE)))</f>
        <v>Caucho</v>
      </c>
      <c r="D1446" s="58" t="s">
        <v>7709</v>
      </c>
      <c r="E1446" s="10" t="s">
        <v>2392</v>
      </c>
      <c r="F1446" s="46" t="s">
        <v>115</v>
      </c>
    </row>
    <row r="1447">
      <c r="A1447" s="285" t="s">
        <v>7710</v>
      </c>
      <c r="B1447" s="252">
        <f>IF(A1447="", "", IF(IFERROR(VLOOKUP(A1447, 'Base 3F'!$B:$C, 2, FALSE),"")="", "SIN CUIT", VLOOKUP(A1447, 'Base 3F'!$B:$C, 2, FALSE)))</f>
        <v>30580975573</v>
      </c>
      <c r="C1447" s="253" t="str">
        <f>IF(A1447="", "", IF(IFERROR(VLOOKUP(A1447, 'Base 3F'!$B:$J, 9, FALSE),"")="", "SIN RUBRO", VLOOKUP(A1447, 'Base 3F'!$B:$J, 9, FALSE)))</f>
        <v>Electrónica</v>
      </c>
      <c r="D1447" s="58" t="s">
        <v>7713</v>
      </c>
      <c r="E1447" s="10" t="s">
        <v>2392</v>
      </c>
      <c r="F1447" s="46" t="s">
        <v>115</v>
      </c>
    </row>
    <row r="1448">
      <c r="A1448" s="285" t="s">
        <v>7715</v>
      </c>
      <c r="B1448" s="252">
        <f>IF(A1448="", "", IF(IFERROR(VLOOKUP(A1448, 'Base 3F'!$B:$C, 2, FALSE),"")="", "SIN CUIT", VLOOKUP(A1448, 'Base 3F'!$B:$C, 2, FALSE)))</f>
        <v>33627599779</v>
      </c>
      <c r="C1448" s="253" t="str">
        <f>IF(A1448="", "", IF(IFERROR(VLOOKUP(A1448, 'Base 3F'!$B:$J, 9, FALSE),"")="", "SIN RUBRO", VLOOKUP(A1448, 'Base 3F'!$B:$J, 9, FALSE)))</f>
        <v>Electrónica</v>
      </c>
      <c r="D1448" s="58" t="s">
        <v>7717</v>
      </c>
      <c r="E1448" s="10" t="s">
        <v>2392</v>
      </c>
      <c r="F1448" s="46" t="s">
        <v>115</v>
      </c>
    </row>
    <row r="1449">
      <c r="A1449" s="285" t="s">
        <v>7718</v>
      </c>
      <c r="B1449" s="252">
        <f>IF(A1449="", "", IF(IFERROR(VLOOKUP(A1449, 'Base 3F'!$B:$C, 2, FALSE),"")="", "SIN CUIT", VLOOKUP(A1449, 'Base 3F'!$B:$C, 2, FALSE)))</f>
        <v>30516752684</v>
      </c>
      <c r="C1449" s="253" t="str">
        <f>IF(A1449="", "", IF(IFERROR(VLOOKUP(A1449, 'Base 3F'!$B:$J, 9, FALSE),"")="", "SIN RUBRO", VLOOKUP(A1449, 'Base 3F'!$B:$J, 9, FALSE)))</f>
        <v>Química</v>
      </c>
      <c r="D1449" s="58" t="s">
        <v>7721</v>
      </c>
      <c r="E1449" s="10" t="s">
        <v>2392</v>
      </c>
      <c r="F1449" s="46" t="s">
        <v>115</v>
      </c>
    </row>
    <row r="1450">
      <c r="A1450" s="285" t="s">
        <v>7722</v>
      </c>
      <c r="B1450" s="252">
        <f>IF(A1450="", "", IF(IFERROR(VLOOKUP(A1450, 'Base 3F'!$B:$C, 2, FALSE),"")="", "SIN CUIT", VLOOKUP(A1450, 'Base 3F'!$B:$C, 2, FALSE)))</f>
        <v>30654024347</v>
      </c>
      <c r="C1450" s="253" t="str">
        <f>IF(A1450="", "", IF(IFERROR(VLOOKUP(A1450, 'Base 3F'!$B:$J, 9, FALSE),"")="", "SIN RUBRO", VLOOKUP(A1450, 'Base 3F'!$B:$J, 9, FALSE)))</f>
        <v>Metalúrgica</v>
      </c>
      <c r="D1450" s="58" t="s">
        <v>7725</v>
      </c>
      <c r="E1450" s="10" t="s">
        <v>2392</v>
      </c>
      <c r="F1450" s="46" t="s">
        <v>115</v>
      </c>
    </row>
    <row r="1451">
      <c r="A1451" s="285" t="s">
        <v>7728</v>
      </c>
      <c r="B1451" s="252">
        <f>IF(A1451="", "", IF(IFERROR(VLOOKUP(A1451, 'Base 3F'!$B:$C, 2, FALSE),"")="", "SIN CUIT", VLOOKUP(A1451, 'Base 3F'!$B:$C, 2, FALSE)))</f>
        <v>30646978919</v>
      </c>
      <c r="C1451" s="253" t="str">
        <f>IF(A1451="", "", IF(IFERROR(VLOOKUP(A1451, 'Base 3F'!$B:$J, 9, FALSE),"")="", "SIN RUBRO", VLOOKUP(A1451, 'Base 3F'!$B:$J, 9, FALSE)))</f>
        <v>Servicios</v>
      </c>
      <c r="D1451" s="58" t="s">
        <v>7729</v>
      </c>
      <c r="E1451" s="10" t="s">
        <v>2392</v>
      </c>
      <c r="F1451" s="46" t="s">
        <v>115</v>
      </c>
    </row>
    <row r="1452">
      <c r="A1452" s="285" t="s">
        <v>7730</v>
      </c>
      <c r="B1452" s="252">
        <f>IF(A1452="", "", IF(IFERROR(VLOOKUP(A1452, 'Base 3F'!$B:$C, 2, FALSE),"")="", "SIN CUIT", VLOOKUP(A1452, 'Base 3F'!$B:$C, 2, FALSE)))</f>
        <v>33708597509</v>
      </c>
      <c r="C1452" s="253" t="str">
        <f>IF(A1452="", "", IF(IFERROR(VLOOKUP(A1452, 'Base 3F'!$B:$J, 9, FALSE),"")="", "SIN RUBRO", VLOOKUP(A1452, 'Base 3F'!$B:$J, 9, FALSE)))</f>
        <v>Metalúrgica</v>
      </c>
      <c r="D1452" s="58" t="s">
        <v>7733</v>
      </c>
      <c r="E1452" s="10" t="s">
        <v>2392</v>
      </c>
      <c r="F1452" s="46" t="s">
        <v>115</v>
      </c>
    </row>
    <row r="1453">
      <c r="A1453" s="285" t="s">
        <v>2216</v>
      </c>
      <c r="B1453" s="252">
        <f>IF(A1453="", "", IF(IFERROR(VLOOKUP(A1453, 'Base 3F'!$B:$C, 2, FALSE),"")="", "SIN CUIT", VLOOKUP(A1453, 'Base 3F'!$B:$C, 2, FALSE)))</f>
        <v>30504812649</v>
      </c>
      <c r="C1453" s="253" t="str">
        <f>IF(A1453="", "", IF(IFERROR(VLOOKUP(A1453, 'Base 3F'!$B:$J, 9, FALSE),"")="", "SIN RUBRO", VLOOKUP(A1453, 'Base 3F'!$B:$J, 9, FALSE)))</f>
        <v>Metalúrgica</v>
      </c>
      <c r="D1453" s="58" t="s">
        <v>7735</v>
      </c>
      <c r="E1453" s="10" t="s">
        <v>2392</v>
      </c>
      <c r="F1453" s="46" t="s">
        <v>115</v>
      </c>
    </row>
    <row r="1454">
      <c r="A1454" s="285" t="s">
        <v>7737</v>
      </c>
      <c r="B1454" s="252">
        <f>IF(A1454="", "", IF(IFERROR(VLOOKUP(A1454, 'Base 3F'!$B:$C, 2, FALSE),"")="", "SIN CUIT", VLOOKUP(A1454, 'Base 3F'!$B:$C, 2, FALSE)))</f>
        <v>30709010235</v>
      </c>
      <c r="C1454" s="253" t="str">
        <f>IF(A1454="", "", IF(IFERROR(VLOOKUP(A1454, 'Base 3F'!$B:$J, 9, FALSE),"")="", "SIN RUBRO", VLOOKUP(A1454, 'Base 3F'!$B:$J, 9, FALSE)))</f>
        <v>Servicios</v>
      </c>
      <c r="D1454" s="58" t="s">
        <v>7740</v>
      </c>
      <c r="E1454" s="10" t="s">
        <v>2392</v>
      </c>
      <c r="F1454" s="46" t="s">
        <v>115</v>
      </c>
    </row>
    <row r="1455">
      <c r="A1455" s="285" t="s">
        <v>7741</v>
      </c>
      <c r="B1455" s="252" t="str">
        <f>IF(A1455="", "", IF(IFERROR(VLOOKUP(A1455, 'Base 3F'!$B:$C, 2, FALSE),"")="", "SIN CUIT", VLOOKUP(A1455, 'Base 3F'!$B:$C, 2, FALSE)))</f>
        <v>Averiguar</v>
      </c>
      <c r="C1455" s="253" t="str">
        <f>IF(A1455="", "", IF(IFERROR(VLOOKUP(A1455, 'Base 3F'!$B:$J, 9, FALSE),"")="", "SIN RUBRO", VLOOKUP(A1455, 'Base 3F'!$B:$J, 9, FALSE)))</f>
        <v>-</v>
      </c>
      <c r="D1455" s="58" t="s">
        <v>7747</v>
      </c>
      <c r="E1455" s="10" t="s">
        <v>2392</v>
      </c>
      <c r="F1455" s="46" t="s">
        <v>115</v>
      </c>
    </row>
    <row r="1456">
      <c r="A1456" s="285" t="s">
        <v>2227</v>
      </c>
      <c r="B1456" s="252">
        <f>IF(A1456="", "", IF(IFERROR(VLOOKUP(A1456, 'Base 3F'!$B:$C, 2, FALSE),"")="", "SIN CUIT", VLOOKUP(A1456, 'Base 3F'!$B:$C, 2, FALSE)))</f>
        <v>30575198348</v>
      </c>
      <c r="C1456" s="253" t="str">
        <f>IF(A1456="", "", IF(IFERROR(VLOOKUP(A1456, 'Base 3F'!$B:$J, 9, FALSE),"")="", "SIN RUBRO", VLOOKUP(A1456, 'Base 3F'!$B:$J, 9, FALSE)))</f>
        <v>Metalúrgica</v>
      </c>
      <c r="D1456" s="58" t="s">
        <v>7752</v>
      </c>
      <c r="E1456" s="10" t="s">
        <v>2392</v>
      </c>
      <c r="F1456" s="46" t="s">
        <v>115</v>
      </c>
    </row>
    <row r="1457">
      <c r="A1457" s="285" t="s">
        <v>7754</v>
      </c>
      <c r="B1457" s="252">
        <f>IF(A1457="", "", IF(IFERROR(VLOOKUP(A1457, 'Base 3F'!$B:$C, 2, FALSE),"")="", "SIN CUIT", VLOOKUP(A1457, 'Base 3F'!$B:$C, 2, FALSE)))</f>
        <v>30708093536</v>
      </c>
      <c r="C1457" s="253" t="str">
        <f>IF(A1457="", "", IF(IFERROR(VLOOKUP(A1457, 'Base 3F'!$B:$J, 9, FALSE),"")="", "SIN RUBRO", VLOOKUP(A1457, 'Base 3F'!$B:$J, 9, FALSE)))</f>
        <v>Alimenticia</v>
      </c>
      <c r="D1457" s="242" t="s">
        <v>7756</v>
      </c>
      <c r="E1457" s="10" t="s">
        <v>2392</v>
      </c>
      <c r="F1457" s="46" t="s">
        <v>7757</v>
      </c>
    </row>
    <row r="1458">
      <c r="A1458" s="285" t="s">
        <v>2237</v>
      </c>
      <c r="B1458" s="252">
        <f>IF(A1458="", "", IF(IFERROR(VLOOKUP(A1458, 'Base 3F'!$B:$C, 2, FALSE),"")="", "SIN CUIT", VLOOKUP(A1458, 'Base 3F'!$B:$C, 2, FALSE)))</f>
        <v>20302795801</v>
      </c>
      <c r="C1458" s="253" t="str">
        <f>IF(A1458="", "", IF(IFERROR(VLOOKUP(A1458, 'Base 3F'!$B:$J, 9, FALSE),"")="", "SIN RUBRO", VLOOKUP(A1458, 'Base 3F'!$B:$J, 9, FALSE)))</f>
        <v>Alimenticia</v>
      </c>
      <c r="D1458" s="58" t="s">
        <v>7761</v>
      </c>
      <c r="E1458" s="10" t="s">
        <v>2392</v>
      </c>
      <c r="F1458" s="46" t="s">
        <v>115</v>
      </c>
    </row>
    <row r="1459">
      <c r="A1459" s="285" t="s">
        <v>7764</v>
      </c>
      <c r="B1459" s="252">
        <f>IF(A1459="", "", IF(IFERROR(VLOOKUP(A1459, 'Base 3F'!$B:$C, 2, FALSE),"")="", "SIN CUIT", VLOOKUP(A1459, 'Base 3F'!$B:$C, 2, FALSE)))</f>
        <v>30709705470</v>
      </c>
      <c r="C1459" s="253" t="str">
        <f>IF(A1459="", "", IF(IFERROR(VLOOKUP(A1459, 'Base 3F'!$B:$J, 9, FALSE),"")="", "SIN RUBRO", VLOOKUP(A1459, 'Base 3F'!$B:$J, 9, FALSE)))</f>
        <v>Plástica</v>
      </c>
      <c r="D1459" s="58" t="s">
        <v>7766</v>
      </c>
      <c r="E1459" s="10" t="s">
        <v>2392</v>
      </c>
      <c r="F1459" s="46" t="s">
        <v>115</v>
      </c>
    </row>
    <row r="1460">
      <c r="A1460" s="285" t="s">
        <v>7767</v>
      </c>
      <c r="B1460" s="252">
        <f>IF(A1460="", "", IF(IFERROR(VLOOKUP(A1460, 'Base 3F'!$B:$C, 2, FALSE),"")="", "SIN CUIT", VLOOKUP(A1460, 'Base 3F'!$B:$C, 2, FALSE)))</f>
        <v>30710652755</v>
      </c>
      <c r="C1460" s="253" t="str">
        <f>IF(A1460="", "", IF(IFERROR(VLOOKUP(A1460, 'Base 3F'!$B:$J, 9, FALSE),"")="", "SIN RUBRO", VLOOKUP(A1460, 'Base 3F'!$B:$J, 9, FALSE)))</f>
        <v>Metalúrgica</v>
      </c>
      <c r="D1460" s="58" t="s">
        <v>7770</v>
      </c>
      <c r="E1460" s="10" t="s">
        <v>2392</v>
      </c>
      <c r="F1460" s="46" t="s">
        <v>115</v>
      </c>
    </row>
    <row r="1461">
      <c r="A1461" s="285" t="s">
        <v>7771</v>
      </c>
      <c r="B1461" s="252">
        <f>IF(A1461="", "", IF(IFERROR(VLOOKUP(A1461, 'Base 3F'!$B:$C, 2, FALSE),"")="", "SIN CUIT", VLOOKUP(A1461, 'Base 3F'!$B:$C, 2, FALSE)))</f>
        <v>33710854489</v>
      </c>
      <c r="C1461" s="253" t="str">
        <f>IF(A1461="", "", IF(IFERROR(VLOOKUP(A1461, 'Base 3F'!$B:$J, 9, FALSE),"")="", "SIN RUBRO", VLOOKUP(A1461, 'Base 3F'!$B:$J, 9, FALSE)))</f>
        <v>Plástica</v>
      </c>
      <c r="D1461" s="58" t="s">
        <v>7775</v>
      </c>
      <c r="E1461" s="10" t="s">
        <v>2392</v>
      </c>
      <c r="F1461" s="46" t="s">
        <v>115</v>
      </c>
    </row>
    <row r="1462">
      <c r="A1462" s="285" t="s">
        <v>7779</v>
      </c>
      <c r="B1462" s="252">
        <f>IF(A1462="", "", IF(IFERROR(VLOOKUP(A1462, 'Base 3F'!$B:$C, 2, FALSE),"")="", "SIN CUIT", VLOOKUP(A1462, 'Base 3F'!$B:$C, 2, FALSE)))</f>
        <v>30583346070</v>
      </c>
      <c r="C1462" s="253" t="str">
        <f>IF(A1462="", "", IF(IFERROR(VLOOKUP(A1462, 'Base 3F'!$B:$J, 9, FALSE),"")="", "SIN RUBRO", VLOOKUP(A1462, 'Base 3F'!$B:$J, 9, FALSE)))</f>
        <v>Servicios</v>
      </c>
      <c r="D1462" s="58" t="s">
        <v>7780</v>
      </c>
      <c r="E1462" s="10" t="s">
        <v>2392</v>
      </c>
      <c r="F1462" s="46" t="s">
        <v>115</v>
      </c>
    </row>
    <row r="1463">
      <c r="A1463" s="285" t="s">
        <v>2252</v>
      </c>
      <c r="B1463" s="252">
        <f>IF(A1463="", "", IF(IFERROR(VLOOKUP(A1463, 'Base 3F'!$B:$C, 2, FALSE),"")="", "SIN CUIT", VLOOKUP(A1463, 'Base 3F'!$B:$C, 2, FALSE)))</f>
        <v>30710373716</v>
      </c>
      <c r="C1463" s="253" t="str">
        <f>IF(A1463="", "", IF(IFERROR(VLOOKUP(A1463, 'Base 3F'!$B:$J, 9, FALSE),"")="", "SIN RUBRO", VLOOKUP(A1463, 'Base 3F'!$B:$J, 9, FALSE)))</f>
        <v>Electrónica</v>
      </c>
      <c r="D1463" s="58" t="s">
        <v>7785</v>
      </c>
      <c r="E1463" s="10" t="s">
        <v>2392</v>
      </c>
      <c r="F1463" s="46" t="s">
        <v>115</v>
      </c>
    </row>
    <row r="1464">
      <c r="A1464" s="285" t="s">
        <v>7786</v>
      </c>
      <c r="B1464" s="252">
        <f>IF(A1464="", "", IF(IFERROR(VLOOKUP(A1464, 'Base 3F'!$B:$C, 2, FALSE),"")="", "SIN CUIT", VLOOKUP(A1464, 'Base 3F'!$B:$C, 2, FALSE)))</f>
        <v>30710227337</v>
      </c>
      <c r="C1464" s="253" t="str">
        <f>IF(A1464="", "", IF(IFERROR(VLOOKUP(A1464, 'Base 3F'!$B:$J, 9, FALSE),"")="", "SIN RUBRO", VLOOKUP(A1464, 'Base 3F'!$B:$J, 9, FALSE)))</f>
        <v>Servicios</v>
      </c>
      <c r="D1464" s="58" t="s">
        <v>7787</v>
      </c>
      <c r="E1464" s="10" t="s">
        <v>2392</v>
      </c>
      <c r="F1464" s="46" t="s">
        <v>115</v>
      </c>
    </row>
    <row r="1465">
      <c r="A1465" s="285" t="s">
        <v>7788</v>
      </c>
      <c r="B1465" s="252">
        <f>IF(A1465="", "", IF(IFERROR(VLOOKUP(A1465, 'Base 3F'!$B:$C, 2, FALSE),"")="", "SIN CUIT", VLOOKUP(A1465, 'Base 3F'!$B:$C, 2, FALSE)))</f>
        <v>30712218157</v>
      </c>
      <c r="C1465" s="253" t="str">
        <f>IF(A1465="", "", IF(IFERROR(VLOOKUP(A1465, 'Base 3F'!$B:$J, 9, FALSE),"")="", "SIN RUBRO", VLOOKUP(A1465, 'Base 3F'!$B:$J, 9, FALSE)))</f>
        <v>Metalúrgica</v>
      </c>
      <c r="D1465" s="58" t="s">
        <v>7792</v>
      </c>
      <c r="E1465" s="10" t="s">
        <v>2392</v>
      </c>
      <c r="F1465" s="46" t="s">
        <v>115</v>
      </c>
    </row>
    <row r="1466">
      <c r="A1466" s="285" t="s">
        <v>7793</v>
      </c>
      <c r="B1466" s="252">
        <f>IF(A1466="", "", IF(IFERROR(VLOOKUP(A1466, 'Base 3F'!$B:$C, 2, FALSE),"")="", "SIN CUIT", VLOOKUP(A1466, 'Base 3F'!$B:$C, 2, FALSE)))</f>
        <v>30711915288</v>
      </c>
      <c r="C1466" s="253" t="str">
        <f>IF(A1466="", "", IF(IFERROR(VLOOKUP(A1466, 'Base 3F'!$B:$J, 9, FALSE),"")="", "SIN RUBRO", VLOOKUP(A1466, 'Base 3F'!$B:$J, 9, FALSE)))</f>
        <v>Plástica</v>
      </c>
      <c r="D1466" s="58" t="s">
        <v>7795</v>
      </c>
      <c r="E1466" s="10" t="s">
        <v>2392</v>
      </c>
      <c r="F1466" s="46" t="s">
        <v>115</v>
      </c>
    </row>
    <row r="1467">
      <c r="A1467" s="285" t="s">
        <v>7796</v>
      </c>
      <c r="B1467" s="252">
        <f>IF(A1467="", "", IF(IFERROR(VLOOKUP(A1467, 'Base 3F'!$B:$C, 2, FALSE),"")="", "SIN CUIT", VLOOKUP(A1467, 'Base 3F'!$B:$C, 2, FALSE)))</f>
        <v>30709986283</v>
      </c>
      <c r="C1467" s="253" t="str">
        <f>IF(A1467="", "", IF(IFERROR(VLOOKUP(A1467, 'Base 3F'!$B:$J, 9, FALSE),"")="", "SIN RUBRO", VLOOKUP(A1467, 'Base 3F'!$B:$J, 9, FALSE)))</f>
        <v>Caucho</v>
      </c>
      <c r="D1467" s="58" t="s">
        <v>7798</v>
      </c>
      <c r="E1467" s="10" t="s">
        <v>2392</v>
      </c>
      <c r="F1467" s="46" t="s">
        <v>115</v>
      </c>
    </row>
    <row r="1468">
      <c r="A1468" s="285" t="s">
        <v>7800</v>
      </c>
      <c r="B1468" s="252">
        <f>IF(A1468="", "", IF(IFERROR(VLOOKUP(A1468, 'Base 3F'!$B:$C, 2, FALSE),"")="", "SIN CUIT", VLOOKUP(A1468, 'Base 3F'!$B:$C, 2, FALSE)))</f>
        <v>30710237804</v>
      </c>
      <c r="C1468" s="253" t="str">
        <f>IF(A1468="", "", IF(IFERROR(VLOOKUP(A1468, 'Base 3F'!$B:$J, 9, FALSE),"")="", "SIN RUBRO", VLOOKUP(A1468, 'Base 3F'!$B:$J, 9, FALSE)))</f>
        <v>Plástica</v>
      </c>
      <c r="D1468" s="58" t="s">
        <v>7801</v>
      </c>
      <c r="E1468" s="10" t="s">
        <v>2392</v>
      </c>
      <c r="F1468" s="46" t="s">
        <v>115</v>
      </c>
    </row>
    <row r="1469">
      <c r="A1469" s="285" t="s">
        <v>2261</v>
      </c>
      <c r="B1469" s="252">
        <f>IF(A1469="", "", IF(IFERROR(VLOOKUP(A1469, 'Base 3F'!$B:$C, 2, FALSE),"")="", "SIN CUIT", VLOOKUP(A1469, 'Base 3F'!$B:$C, 2, FALSE)))</f>
        <v>30716347865</v>
      </c>
      <c r="C1469" s="253" t="str">
        <f>IF(A1469="", "", IF(IFERROR(VLOOKUP(A1469, 'Base 3F'!$B:$J, 9, FALSE),"")="", "SIN RUBRO", VLOOKUP(A1469, 'Base 3F'!$B:$J, 9, FALSE)))</f>
        <v>Automotor</v>
      </c>
      <c r="D1469" s="58" t="s">
        <v>7805</v>
      </c>
      <c r="E1469" s="10" t="s">
        <v>2392</v>
      </c>
      <c r="F1469" s="46" t="s">
        <v>115</v>
      </c>
    </row>
    <row r="1470">
      <c r="A1470" s="285" t="s">
        <v>2266</v>
      </c>
      <c r="B1470" s="252">
        <f>IF(A1470="", "", IF(IFERROR(VLOOKUP(A1470, 'Base 3F'!$B:$C, 2, FALSE),"")="", "SIN CUIT", VLOOKUP(A1470, 'Base 3F'!$B:$C, 2, FALSE)))</f>
        <v>30685322710</v>
      </c>
      <c r="C1470" s="253" t="str">
        <f>IF(A1470="", "", IF(IFERROR(VLOOKUP(A1470, 'Base 3F'!$B:$J, 9, FALSE),"")="", "SIN RUBRO", VLOOKUP(A1470, 'Base 3F'!$B:$J, 9, FALSE)))</f>
        <v>Servicios</v>
      </c>
      <c r="D1470" s="58" t="s">
        <v>7810</v>
      </c>
      <c r="E1470" s="10" t="s">
        <v>2392</v>
      </c>
      <c r="F1470" s="46" t="s">
        <v>115</v>
      </c>
    </row>
    <row r="1471">
      <c r="A1471" s="285" t="s">
        <v>7811</v>
      </c>
      <c r="B1471" s="252">
        <f>IF(A1471="", "", IF(IFERROR(VLOOKUP(A1471, 'Base 3F'!$B:$C, 2, FALSE),"")="", "SIN CUIT", VLOOKUP(A1471, 'Base 3F'!$B:$C, 2, FALSE)))</f>
        <v>30685293877</v>
      </c>
      <c r="C1471" s="253" t="str">
        <f>IF(A1471="", "", IF(IFERROR(VLOOKUP(A1471, 'Base 3F'!$B:$J, 9, FALSE),"")="", "SIN RUBRO", VLOOKUP(A1471, 'Base 3F'!$B:$J, 9, FALSE)))</f>
        <v>Metalúrgica</v>
      </c>
      <c r="D1471" s="58" t="s">
        <v>7814</v>
      </c>
      <c r="E1471" s="10" t="s">
        <v>2392</v>
      </c>
      <c r="F1471" s="46" t="s">
        <v>115</v>
      </c>
    </row>
    <row r="1472">
      <c r="A1472" s="285" t="s">
        <v>7815</v>
      </c>
      <c r="B1472" s="252">
        <f>IF(A1472="", "", IF(IFERROR(VLOOKUP(A1472, 'Base 3F'!$B:$C, 2, FALSE),"")="", "SIN CUIT", VLOOKUP(A1472, 'Base 3F'!$B:$C, 2, FALSE)))</f>
        <v>30709306851</v>
      </c>
      <c r="C1472" s="253" t="str">
        <f>IF(A1472="", "", IF(IFERROR(VLOOKUP(A1472, 'Base 3F'!$B:$J, 9, FALSE),"")="", "SIN RUBRO", VLOOKUP(A1472, 'Base 3F'!$B:$J, 9, FALSE)))</f>
        <v>Cuero</v>
      </c>
      <c r="D1472" s="58" t="s">
        <v>7826</v>
      </c>
      <c r="E1472" s="10" t="s">
        <v>2392</v>
      </c>
      <c r="F1472" s="46" t="s">
        <v>115</v>
      </c>
    </row>
    <row r="1473">
      <c r="A1473" s="285" t="s">
        <v>4257</v>
      </c>
      <c r="B1473" s="252">
        <f>IF(A1473="", "", IF(IFERROR(VLOOKUP(A1473, 'Base 3F'!$B:$C, 2, FALSE),"")="", "SIN CUIT", VLOOKUP(A1473, 'Base 3F'!$B:$C, 2, FALSE)))</f>
        <v>30707413677</v>
      </c>
      <c r="C1473" s="253" t="str">
        <f>IF(A1473="", "", IF(IFERROR(VLOOKUP(A1473, 'Base 3F'!$B:$J, 9, FALSE),"")="", "SIN RUBRO", VLOOKUP(A1473, 'Base 3F'!$B:$J, 9, FALSE)))</f>
        <v>Alimenticia</v>
      </c>
      <c r="D1473" s="58" t="s">
        <v>7827</v>
      </c>
      <c r="E1473" s="10" t="s">
        <v>2392</v>
      </c>
      <c r="F1473" s="46" t="s">
        <v>115</v>
      </c>
    </row>
    <row r="1474">
      <c r="A1474" s="285" t="s">
        <v>2270</v>
      </c>
      <c r="B1474" s="252">
        <f>IF(A1474="", "", IF(IFERROR(VLOOKUP(A1474, 'Base 3F'!$B:$C, 2, FALSE),"")="", "SIN CUIT", VLOOKUP(A1474, 'Base 3F'!$B:$C, 2, FALSE)))</f>
        <v>30715807668</v>
      </c>
      <c r="C1474" s="253" t="str">
        <f>IF(A1474="", "", IF(IFERROR(VLOOKUP(A1474, 'Base 3F'!$B:$J, 9, FALSE),"")="", "SIN RUBRO", VLOOKUP(A1474, 'Base 3F'!$B:$J, 9, FALSE)))</f>
        <v>Alimenticia</v>
      </c>
      <c r="D1474" s="242" t="s">
        <v>7837</v>
      </c>
      <c r="E1474" s="10" t="s">
        <v>2392</v>
      </c>
      <c r="F1474" s="46" t="s">
        <v>1625</v>
      </c>
    </row>
    <row r="1475">
      <c r="A1475" s="285" t="s">
        <v>7838</v>
      </c>
      <c r="B1475" s="252">
        <f>IF(A1475="", "", IF(IFERROR(VLOOKUP(A1475, 'Base 3F'!$B:$C, 2, FALSE),"")="", "SIN CUIT", VLOOKUP(A1475, 'Base 3F'!$B:$C, 2, FALSE)))</f>
        <v>33709853339</v>
      </c>
      <c r="C1475" s="253" t="str">
        <f>IF(A1475="", "", IF(IFERROR(VLOOKUP(A1475, 'Base 3F'!$B:$J, 9, FALSE),"")="", "SIN RUBRO", VLOOKUP(A1475, 'Base 3F'!$B:$J, 9, FALSE)))</f>
        <v>Alimenticia</v>
      </c>
      <c r="D1475" s="58" t="s">
        <v>7843</v>
      </c>
      <c r="E1475" s="10" t="s">
        <v>2392</v>
      </c>
      <c r="F1475" s="46" t="s">
        <v>115</v>
      </c>
    </row>
    <row r="1476">
      <c r="A1476" s="285" t="s">
        <v>2277</v>
      </c>
      <c r="B1476" s="252">
        <f>IF(A1476="", "", IF(IFERROR(VLOOKUP(A1476, 'Base 3F'!$B:$C, 2, FALSE),"")="", "SIN CUIT", VLOOKUP(A1476, 'Base 3F'!$B:$C, 2, FALSE)))</f>
        <v>30503969358</v>
      </c>
      <c r="C1476" s="253" t="str">
        <f>IF(A1476="", "", IF(IFERROR(VLOOKUP(A1476, 'Base 3F'!$B:$J, 9, FALSE),"")="", "SIN RUBRO", VLOOKUP(A1476, 'Base 3F'!$B:$J, 9, FALSE)))</f>
        <v>Química</v>
      </c>
      <c r="D1476" s="58" t="s">
        <v>7846</v>
      </c>
      <c r="E1476" s="10" t="s">
        <v>2392</v>
      </c>
      <c r="F1476" s="46" t="s">
        <v>115</v>
      </c>
    </row>
    <row r="1477">
      <c r="A1477" s="285" t="s">
        <v>7847</v>
      </c>
      <c r="B1477" s="252">
        <f>IF(A1477="", "", IF(IFERROR(VLOOKUP(A1477, 'Base 3F'!$B:$C, 2, FALSE),"")="", "SIN CUIT", VLOOKUP(A1477, 'Base 3F'!$B:$C, 2, FALSE)))</f>
        <v>30625210204</v>
      </c>
      <c r="C1477" s="253" t="str">
        <f>IF(A1477="", "", IF(IFERROR(VLOOKUP(A1477, 'Base 3F'!$B:$J, 9, FALSE),"")="", "SIN RUBRO", VLOOKUP(A1477, 'Base 3F'!$B:$J, 9, FALSE)))</f>
        <v>Papel</v>
      </c>
      <c r="D1477" s="58" t="s">
        <v>7851</v>
      </c>
      <c r="E1477" s="10" t="s">
        <v>2392</v>
      </c>
      <c r="F1477" s="46" t="s">
        <v>115</v>
      </c>
    </row>
    <row r="1478">
      <c r="A1478" s="285" t="s">
        <v>2281</v>
      </c>
      <c r="B1478" s="252">
        <f>IF(A1478="", "", IF(IFERROR(VLOOKUP(A1478, 'Base 3F'!$B:$C, 2, FALSE),"")="", "SIN CUIT", VLOOKUP(A1478, 'Base 3F'!$B:$C, 2, FALSE)))</f>
        <v>30708167823</v>
      </c>
      <c r="C1478" s="253" t="str">
        <f>IF(A1478="", "", IF(IFERROR(VLOOKUP(A1478, 'Base 3F'!$B:$J, 9, FALSE),"")="", "SIN RUBRO", VLOOKUP(A1478, 'Base 3F'!$B:$J, 9, FALSE)))</f>
        <v>Papel</v>
      </c>
      <c r="D1478" s="58" t="s">
        <v>7855</v>
      </c>
      <c r="E1478" s="10" t="s">
        <v>2392</v>
      </c>
      <c r="F1478" s="46" t="s">
        <v>115</v>
      </c>
    </row>
    <row r="1479">
      <c r="A1479" s="285" t="s">
        <v>7857</v>
      </c>
      <c r="B1479" s="252" t="str">
        <f>IF(A1479="", "", IF(IFERROR(VLOOKUP(A1479, 'Base 3F'!$B:$C, 2, FALSE),"")="", "SIN CUIT", VLOOKUP(A1479, 'Base 3F'!$B:$C, 2, FALSE)))</f>
        <v>SIN CUIT</v>
      </c>
      <c r="C1479" s="253" t="str">
        <f>IF(A1479="", "", IF(IFERROR(VLOOKUP(A1479, 'Base 3F'!$B:$J, 9, FALSE),"")="", "SIN RUBRO", VLOOKUP(A1479, 'Base 3F'!$B:$J, 9, FALSE)))</f>
        <v>Metalmecánica</v>
      </c>
      <c r="D1479" s="58" t="s">
        <v>7861</v>
      </c>
      <c r="E1479" s="10" t="s">
        <v>2392</v>
      </c>
      <c r="F1479" s="46" t="s">
        <v>115</v>
      </c>
    </row>
    <row r="1480">
      <c r="A1480" s="285" t="s">
        <v>7862</v>
      </c>
      <c r="B1480" s="252">
        <f>IF(A1480="", "", IF(IFERROR(VLOOKUP(A1480, 'Base 3F'!$B:$C, 2, FALSE),"")="", "SIN CUIT", VLOOKUP(A1480, 'Base 3F'!$B:$C, 2, FALSE)))</f>
        <v>30612548559</v>
      </c>
      <c r="C1480" s="253" t="str">
        <f>IF(A1480="", "", IF(IFERROR(VLOOKUP(A1480, 'Base 3F'!$B:$J, 9, FALSE),"")="", "SIN RUBRO", VLOOKUP(A1480, 'Base 3F'!$B:$J, 9, FALSE)))</f>
        <v>Metalúrgica</v>
      </c>
      <c r="D1480" s="58" t="s">
        <v>7867</v>
      </c>
      <c r="E1480" s="10" t="s">
        <v>2392</v>
      </c>
      <c r="F1480" s="46" t="s">
        <v>115</v>
      </c>
    </row>
    <row r="1481">
      <c r="A1481" s="285" t="s">
        <v>7868</v>
      </c>
      <c r="B1481" s="252">
        <f>IF(A1481="", "", IF(IFERROR(VLOOKUP(A1481, 'Base 3F'!$B:$C, 2, FALSE),"")="", "SIN CUIT", VLOOKUP(A1481, 'Base 3F'!$B:$C, 2, FALSE)))</f>
        <v>27274097804</v>
      </c>
      <c r="C1481" s="253" t="str">
        <f>IF(A1481="", "", IF(IFERROR(VLOOKUP(A1481, 'Base 3F'!$B:$J, 9, FALSE),"")="", "SIN RUBRO", VLOOKUP(A1481, 'Base 3F'!$B:$J, 9, FALSE)))</f>
        <v>Metalúrgica</v>
      </c>
      <c r="D1481" s="136" t="s">
        <v>7876</v>
      </c>
      <c r="E1481" s="10" t="s">
        <v>2392</v>
      </c>
      <c r="F1481" s="46" t="s">
        <v>115</v>
      </c>
    </row>
    <row r="1482">
      <c r="A1482" s="285" t="s">
        <v>7879</v>
      </c>
      <c r="B1482" s="252">
        <f>IF(A1482="", "", IF(IFERROR(VLOOKUP(A1482, 'Base 3F'!$B:$C, 2, FALSE),"")="", "SIN CUIT", VLOOKUP(A1482, 'Base 3F'!$B:$C, 2, FALSE)))</f>
        <v>30596973430</v>
      </c>
      <c r="C1482" s="253" t="str">
        <f>IF(A1482="", "", IF(IFERROR(VLOOKUP(A1482, 'Base 3F'!$B:$J, 9, FALSE),"")="", "SIN RUBRO", VLOOKUP(A1482, 'Base 3F'!$B:$J, 9, FALSE)))</f>
        <v>Metalúrgica</v>
      </c>
      <c r="D1482" s="58" t="s">
        <v>7881</v>
      </c>
      <c r="E1482" s="10" t="s">
        <v>2392</v>
      </c>
      <c r="F1482" s="46" t="s">
        <v>115</v>
      </c>
    </row>
    <row r="1483">
      <c r="A1483" s="285" t="s">
        <v>7882</v>
      </c>
      <c r="B1483" s="252">
        <f>IF(A1483="", "", IF(IFERROR(VLOOKUP(A1483, 'Base 3F'!$B:$C, 2, FALSE),"")="", "SIN CUIT", VLOOKUP(A1483, 'Base 3F'!$B:$C, 2, FALSE)))</f>
        <v>30546793806</v>
      </c>
      <c r="C1483" s="253" t="str">
        <f>IF(A1483="", "", IF(IFERROR(VLOOKUP(A1483, 'Base 3F'!$B:$J, 9, FALSE),"")="", "SIN RUBRO", VLOOKUP(A1483, 'Base 3F'!$B:$J, 9, FALSE)))</f>
        <v>Metalúrgica</v>
      </c>
      <c r="D1483" s="122" t="s">
        <v>7885</v>
      </c>
      <c r="E1483" s="10" t="s">
        <v>2392</v>
      </c>
      <c r="F1483" s="46" t="s">
        <v>115</v>
      </c>
    </row>
    <row r="1484">
      <c r="A1484" s="285" t="s">
        <v>4270</v>
      </c>
      <c r="B1484" s="252">
        <f>IF(A1484="", "", IF(IFERROR(VLOOKUP(A1484, 'Base 3F'!$B:$C, 2, FALSE),"")="", "SIN CUIT", VLOOKUP(A1484, 'Base 3F'!$B:$C, 2, FALSE)))</f>
        <v>33682770649</v>
      </c>
      <c r="C1484" s="253" t="str">
        <f>IF(A1484="", "", IF(IFERROR(VLOOKUP(A1484, 'Base 3F'!$B:$J, 9, FALSE),"")="", "SIN RUBRO", VLOOKUP(A1484, 'Base 3F'!$B:$J, 9, FALSE)))</f>
        <v>Metalúrgica</v>
      </c>
      <c r="D1484" s="58" t="s">
        <v>7889</v>
      </c>
      <c r="E1484" s="10" t="s">
        <v>2392</v>
      </c>
      <c r="F1484" s="46" t="s">
        <v>115</v>
      </c>
    </row>
    <row r="1485">
      <c r="A1485" s="285" t="s">
        <v>7890</v>
      </c>
      <c r="B1485" s="252">
        <f>IF(A1485="", "", IF(IFERROR(VLOOKUP(A1485, 'Base 3F'!$B:$C, 2, FALSE),"")="", "SIN CUIT", VLOOKUP(A1485, 'Base 3F'!$B:$C, 2, FALSE)))</f>
        <v>30708820489</v>
      </c>
      <c r="C1485" s="253" t="str">
        <f>IF(A1485="", "", IF(IFERROR(VLOOKUP(A1485, 'Base 3F'!$B:$J, 9, FALSE),"")="", "SIN RUBRO", VLOOKUP(A1485, 'Base 3F'!$B:$J, 9, FALSE)))</f>
        <v>Plástica</v>
      </c>
      <c r="D1485" s="58" t="s">
        <v>7892</v>
      </c>
      <c r="E1485" s="10" t="s">
        <v>2392</v>
      </c>
      <c r="F1485" s="46" t="s">
        <v>115</v>
      </c>
    </row>
    <row r="1486">
      <c r="A1486" s="285" t="s">
        <v>7893</v>
      </c>
      <c r="B1486" s="252">
        <f>IF(A1486="", "", IF(IFERROR(VLOOKUP(A1486, 'Base 3F'!$B:$C, 2, FALSE),"")="", "SIN CUIT", VLOOKUP(A1486, 'Base 3F'!$B:$C, 2, FALSE)))</f>
        <v>30541782210</v>
      </c>
      <c r="C1486" s="253" t="str">
        <f>IF(A1486="", "", IF(IFERROR(VLOOKUP(A1486, 'Base 3F'!$B:$J, 9, FALSE),"")="", "SIN RUBRO", VLOOKUP(A1486, 'Base 3F'!$B:$J, 9, FALSE)))</f>
        <v>Metalúrgica</v>
      </c>
      <c r="D1486" s="58" t="s">
        <v>7895</v>
      </c>
      <c r="E1486" s="10" t="s">
        <v>2392</v>
      </c>
      <c r="F1486" s="46" t="s">
        <v>115</v>
      </c>
    </row>
    <row r="1487">
      <c r="A1487" s="285" t="s">
        <v>2287</v>
      </c>
      <c r="B1487" s="252">
        <f>IF(A1487="", "", IF(IFERROR(VLOOKUP(A1487, 'Base 3F'!$B:$C, 2, FALSE),"")="", "SIN CUIT", VLOOKUP(A1487, 'Base 3F'!$B:$C, 2, FALSE)))</f>
        <v>30504594943</v>
      </c>
      <c r="C1487" s="253" t="str">
        <f>IF(A1487="", "", IF(IFERROR(VLOOKUP(A1487, 'Base 3F'!$B:$J, 9, FALSE),"")="", "SIN RUBRO", VLOOKUP(A1487, 'Base 3F'!$B:$J, 9, FALSE)))</f>
        <v>Bebidas</v>
      </c>
      <c r="D1487" s="58" t="s">
        <v>7899</v>
      </c>
      <c r="E1487" s="10" t="s">
        <v>2392</v>
      </c>
      <c r="F1487" s="46" t="s">
        <v>115</v>
      </c>
    </row>
    <row r="1488">
      <c r="A1488" s="285" t="s">
        <v>2291</v>
      </c>
      <c r="B1488" s="252">
        <f>IF(A1488="", "", IF(IFERROR(VLOOKUP(A1488, 'Base 3F'!$B:$C, 2, FALSE),"")="", "SIN CUIT", VLOOKUP(A1488, 'Base 3F'!$B:$C, 2, FALSE)))</f>
        <v>20108334836</v>
      </c>
      <c r="C1488" s="253" t="str">
        <f>IF(A1488="", "", IF(IFERROR(VLOOKUP(A1488, 'Base 3F'!$B:$J, 9, FALSE),"")="", "SIN RUBRO", VLOOKUP(A1488, 'Base 3F'!$B:$J, 9, FALSE)))</f>
        <v>Metalúrgica</v>
      </c>
      <c r="D1488" s="58" t="s">
        <v>7904</v>
      </c>
      <c r="E1488" s="10" t="s">
        <v>2392</v>
      </c>
      <c r="F1488" s="46" t="s">
        <v>115</v>
      </c>
    </row>
    <row r="1489">
      <c r="A1489" s="285" t="s">
        <v>2294</v>
      </c>
      <c r="B1489" s="252">
        <f>IF(A1489="", "", IF(IFERROR(VLOOKUP(A1489, 'Base 3F'!$B:$C, 2, FALSE),"")="", "SIN CUIT", VLOOKUP(A1489, 'Base 3F'!$B:$C, 2, FALSE)))</f>
        <v>20251778273</v>
      </c>
      <c r="C1489" s="253" t="str">
        <f>IF(A1489="", "", IF(IFERROR(VLOOKUP(A1489, 'Base 3F'!$B:$J, 9, FALSE),"")="", "SIN RUBRO", VLOOKUP(A1489, 'Base 3F'!$B:$J, 9, FALSE)))</f>
        <v>Informática</v>
      </c>
      <c r="D1489" s="58" t="s">
        <v>7906</v>
      </c>
      <c r="E1489" s="10" t="s">
        <v>2392</v>
      </c>
      <c r="F1489" s="46" t="s">
        <v>115</v>
      </c>
    </row>
    <row r="1490">
      <c r="A1490" s="285" t="s">
        <v>7907</v>
      </c>
      <c r="B1490" s="252">
        <f>IF(A1490="", "", IF(IFERROR(VLOOKUP(A1490, 'Base 3F'!$B:$C, 2, FALSE),"")="", "SIN CUIT", VLOOKUP(A1490, 'Base 3F'!$B:$C, 2, FALSE)))</f>
        <v>30710629516</v>
      </c>
      <c r="C1490" s="253" t="str">
        <f>IF(A1490="", "", IF(IFERROR(VLOOKUP(A1490, 'Base 3F'!$B:$J, 9, FALSE),"")="", "SIN RUBRO", VLOOKUP(A1490, 'Base 3F'!$B:$J, 9, FALSE)))</f>
        <v>Química</v>
      </c>
      <c r="D1490" s="58" t="s">
        <v>7911</v>
      </c>
      <c r="E1490" s="10" t="s">
        <v>2392</v>
      </c>
      <c r="F1490" s="46" t="s">
        <v>115</v>
      </c>
    </row>
    <row r="1491">
      <c r="A1491" s="285" t="s">
        <v>2299</v>
      </c>
      <c r="B1491" s="252">
        <f>IF(A1491="", "", IF(IFERROR(VLOOKUP(A1491, 'Base 3F'!$B:$C, 2, FALSE),"")="", "SIN CUIT", VLOOKUP(A1491, 'Base 3F'!$B:$C, 2, FALSE)))</f>
        <v>27286942356</v>
      </c>
      <c r="C1491" s="253" t="str">
        <f>IF(A1491="", "", IF(IFERROR(VLOOKUP(A1491, 'Base 3F'!$B:$J, 9, FALSE),"")="", "SIN RUBRO", VLOOKUP(A1491, 'Base 3F'!$B:$J, 9, FALSE)))</f>
        <v>Madera</v>
      </c>
      <c r="D1491" s="58" t="s">
        <v>7914</v>
      </c>
      <c r="E1491" s="10" t="s">
        <v>2392</v>
      </c>
      <c r="F1491" s="46" t="s">
        <v>115</v>
      </c>
    </row>
    <row r="1492">
      <c r="A1492" s="285" t="s">
        <v>7915</v>
      </c>
      <c r="B1492" s="252">
        <f>IF(A1492="", "", IF(IFERROR(VLOOKUP(A1492, 'Base 3F'!$B:$C, 2, FALSE),"")="", "SIN CUIT", VLOOKUP(A1492, 'Base 3F'!$B:$C, 2, FALSE)))</f>
        <v>33714514429</v>
      </c>
      <c r="C1492" s="253" t="str">
        <f>IF(A1492="", "", IF(IFERROR(VLOOKUP(A1492, 'Base 3F'!$B:$J, 9, FALSE),"")="", "SIN RUBRO", VLOOKUP(A1492, 'Base 3F'!$B:$J, 9, FALSE)))</f>
        <v>Alimenticia</v>
      </c>
      <c r="D1492" s="58" t="s">
        <v>7920</v>
      </c>
      <c r="E1492" s="10" t="s">
        <v>2392</v>
      </c>
      <c r="F1492" s="46" t="s">
        <v>115</v>
      </c>
    </row>
    <row r="1493">
      <c r="A1493" s="285" t="s">
        <v>7921</v>
      </c>
      <c r="B1493" s="252">
        <f>IF(A1493="", "", IF(IFERROR(VLOOKUP(A1493, 'Base 3F'!$B:$C, 2, FALSE),"")="", "SIN CUIT", VLOOKUP(A1493, 'Base 3F'!$B:$C, 2, FALSE)))</f>
        <v>30591246700</v>
      </c>
      <c r="C1493" s="253" t="str">
        <f>IF(A1493="", "", IF(IFERROR(VLOOKUP(A1493, 'Base 3F'!$B:$J, 9, FALSE),"")="", "SIN RUBRO", VLOOKUP(A1493, 'Base 3F'!$B:$J, 9, FALSE)))</f>
        <v>Madera</v>
      </c>
      <c r="D1493" s="58" t="s">
        <v>7922</v>
      </c>
      <c r="E1493" s="10" t="s">
        <v>2392</v>
      </c>
      <c r="F1493" s="46" t="s">
        <v>115</v>
      </c>
    </row>
    <row r="1494">
      <c r="A1494" s="285" t="s">
        <v>7923</v>
      </c>
      <c r="B1494" s="252">
        <f>IF(A1494="", "", IF(IFERROR(VLOOKUP(A1494, 'Base 3F'!$B:$C, 2, FALSE),"")="", "SIN CUIT", VLOOKUP(A1494, 'Base 3F'!$B:$C, 2, FALSE)))</f>
        <v>20934208200</v>
      </c>
      <c r="C1494" s="253" t="str">
        <f>IF(A1494="", "", IF(IFERROR(VLOOKUP(A1494, 'Base 3F'!$B:$J, 9, FALSE),"")="", "SIN RUBRO", VLOOKUP(A1494, 'Base 3F'!$B:$J, 9, FALSE)))</f>
        <v>Madera</v>
      </c>
      <c r="D1494" s="58" t="s">
        <v>7927</v>
      </c>
      <c r="E1494" s="10" t="s">
        <v>2392</v>
      </c>
      <c r="F1494" s="46" t="s">
        <v>115</v>
      </c>
    </row>
    <row r="1495">
      <c r="A1495" s="285" t="s">
        <v>7929</v>
      </c>
      <c r="B1495" s="252">
        <f>IF(A1495="", "", IF(IFERROR(VLOOKUP(A1495, 'Base 3F'!$B:$C, 2, FALSE),"")="", "SIN CUIT", VLOOKUP(A1495, 'Base 3F'!$B:$C, 2, FALSE)))</f>
        <v>30521119981</v>
      </c>
      <c r="C1495" s="253" t="str">
        <f>IF(A1495="", "", IF(IFERROR(VLOOKUP(A1495, 'Base 3F'!$B:$J, 9, FALSE),"")="", "SIN RUBRO", VLOOKUP(A1495, 'Base 3F'!$B:$J, 9, FALSE)))</f>
        <v>Metalúrgica</v>
      </c>
      <c r="D1495" s="58" t="s">
        <v>7931</v>
      </c>
      <c r="E1495" s="10" t="s">
        <v>2392</v>
      </c>
      <c r="F1495" s="46" t="s">
        <v>115</v>
      </c>
    </row>
    <row r="1496">
      <c r="A1496" s="285" t="s">
        <v>7932</v>
      </c>
      <c r="B1496" s="252">
        <f>IF(A1496="", "", IF(IFERROR(VLOOKUP(A1496, 'Base 3F'!$B:$C, 2, FALSE),"")="", "SIN CUIT", VLOOKUP(A1496, 'Base 3F'!$B:$C, 2, FALSE)))</f>
        <v>30555765122</v>
      </c>
      <c r="C1496" s="253" t="str">
        <f>IF(A1496="", "", IF(IFERROR(VLOOKUP(A1496, 'Base 3F'!$B:$J, 9, FALSE),"")="", "SIN RUBRO", VLOOKUP(A1496, 'Base 3F'!$B:$J, 9, FALSE)))</f>
        <v>Química</v>
      </c>
      <c r="D1496" s="58" t="s">
        <v>7936</v>
      </c>
      <c r="E1496" s="10" t="s">
        <v>2392</v>
      </c>
      <c r="F1496" s="46" t="s">
        <v>115</v>
      </c>
    </row>
    <row r="1497">
      <c r="A1497" s="285" t="s">
        <v>7938</v>
      </c>
      <c r="B1497" s="252">
        <f>IF(A1497="", "", IF(IFERROR(VLOOKUP(A1497, 'Base 3F'!$B:$C, 2, FALSE),"")="", "SIN CUIT", VLOOKUP(A1497, 'Base 3F'!$B:$C, 2, FALSE)))</f>
        <v>30708513748</v>
      </c>
      <c r="C1497" s="253" t="str">
        <f>IF(A1497="", "", IF(IFERROR(VLOOKUP(A1497, 'Base 3F'!$B:$J, 9, FALSE),"")="", "SIN RUBRO", VLOOKUP(A1497, 'Base 3F'!$B:$J, 9, FALSE)))</f>
        <v>Madera</v>
      </c>
      <c r="D1497" s="58" t="s">
        <v>7941</v>
      </c>
      <c r="E1497" s="10" t="s">
        <v>2392</v>
      </c>
      <c r="F1497" s="46" t="s">
        <v>115</v>
      </c>
    </row>
    <row r="1498">
      <c r="A1498" s="285" t="s">
        <v>7943</v>
      </c>
      <c r="B1498" s="252">
        <f>IF(A1498="", "", IF(IFERROR(VLOOKUP(A1498, 'Base 3F'!$B:$C, 2, FALSE),"")="", "SIN CUIT", VLOOKUP(A1498, 'Base 3F'!$B:$C, 2, FALSE)))</f>
        <v>30709727636</v>
      </c>
      <c r="C1498" s="253" t="str">
        <f>IF(A1498="", "", IF(IFERROR(VLOOKUP(A1498, 'Base 3F'!$B:$J, 9, FALSE),"")="", "SIN RUBRO", VLOOKUP(A1498, 'Base 3F'!$B:$J, 9, FALSE)))</f>
        <v>Textil</v>
      </c>
      <c r="D1498" s="58" t="s">
        <v>7944</v>
      </c>
      <c r="E1498" s="10" t="s">
        <v>2392</v>
      </c>
      <c r="F1498" s="46" t="s">
        <v>115</v>
      </c>
    </row>
    <row r="1499">
      <c r="A1499" s="285" t="s">
        <v>7945</v>
      </c>
      <c r="B1499" s="252">
        <f>IF(A1499="", "", IF(IFERROR(VLOOKUP(A1499, 'Base 3F'!$B:$C, 2, FALSE),"")="", "SIN CUIT", VLOOKUP(A1499, 'Base 3F'!$B:$C, 2, FALSE)))</f>
        <v>30711626707</v>
      </c>
      <c r="C1499" s="253" t="str">
        <f>IF(A1499="", "", IF(IFERROR(VLOOKUP(A1499, 'Base 3F'!$B:$J, 9, FALSE),"")="", "SIN RUBRO", VLOOKUP(A1499, 'Base 3F'!$B:$J, 9, FALSE)))</f>
        <v>Plástica</v>
      </c>
      <c r="D1499" s="58" t="s">
        <v>7949</v>
      </c>
      <c r="E1499" s="10" t="s">
        <v>2392</v>
      </c>
      <c r="F1499" s="46" t="s">
        <v>115</v>
      </c>
    </row>
    <row r="1500">
      <c r="A1500" s="285" t="s">
        <v>7950</v>
      </c>
      <c r="B1500" s="252">
        <f>IF(A1500="", "", IF(IFERROR(VLOOKUP(A1500, 'Base 3F'!$B:$C, 2, FALSE),"")="", "SIN CUIT", VLOOKUP(A1500, 'Base 3F'!$B:$C, 2, FALSE)))</f>
        <v>30708070676</v>
      </c>
      <c r="C1500" s="253" t="str">
        <f>IF(A1500="", "", IF(IFERROR(VLOOKUP(A1500, 'Base 3F'!$B:$J, 9, FALSE),"")="", "SIN RUBRO", VLOOKUP(A1500, 'Base 3F'!$B:$J, 9, FALSE)))</f>
        <v>Plástica</v>
      </c>
      <c r="D1500" s="58" t="s">
        <v>7955</v>
      </c>
      <c r="E1500" s="10" t="s">
        <v>2392</v>
      </c>
      <c r="F1500" s="46" t="s">
        <v>115</v>
      </c>
    </row>
    <row r="1501">
      <c r="A1501" s="285" t="s">
        <v>7956</v>
      </c>
      <c r="B1501" s="252">
        <f>IF(A1501="", "", IF(IFERROR(VLOOKUP(A1501, 'Base 3F'!$B:$C, 2, FALSE),"")="", "SIN CUIT", VLOOKUP(A1501, 'Base 3F'!$B:$C, 2, FALSE)))</f>
        <v>30504160269</v>
      </c>
      <c r="C1501" s="253" t="str">
        <f>IF(A1501="", "", IF(IFERROR(VLOOKUP(A1501, 'Base 3F'!$B:$J, 9, FALSE),"")="", "SIN RUBRO", VLOOKUP(A1501, 'Base 3F'!$B:$J, 9, FALSE)))</f>
        <v>Metalúrgica</v>
      </c>
      <c r="D1501" s="58" t="s">
        <v>7965</v>
      </c>
      <c r="E1501" s="10" t="s">
        <v>2392</v>
      </c>
      <c r="F1501" s="46" t="s">
        <v>115</v>
      </c>
    </row>
    <row r="1502">
      <c r="A1502" s="285" t="s">
        <v>7966</v>
      </c>
      <c r="B1502" s="252">
        <f>IF(A1502="", "", IF(IFERROR(VLOOKUP(A1502, 'Base 3F'!$B:$C, 2, FALSE),"")="", "SIN CUIT", VLOOKUP(A1502, 'Base 3F'!$B:$C, 2, FALSE)))</f>
        <v>30687706869</v>
      </c>
      <c r="C1502" s="253" t="str">
        <f>IF(A1502="", "", IF(IFERROR(VLOOKUP(A1502, 'Base 3F'!$B:$J, 9, FALSE),"")="", "SIN RUBRO", VLOOKUP(A1502, 'Base 3F'!$B:$J, 9, FALSE)))</f>
        <v>Plástica</v>
      </c>
      <c r="D1502" s="58" t="s">
        <v>7968</v>
      </c>
      <c r="E1502" s="10" t="s">
        <v>2392</v>
      </c>
      <c r="F1502" s="46" t="s">
        <v>115</v>
      </c>
    </row>
    <row r="1503">
      <c r="A1503" s="285" t="s">
        <v>7969</v>
      </c>
      <c r="B1503" s="252">
        <f>IF(A1503="", "", IF(IFERROR(VLOOKUP(A1503, 'Base 3F'!$B:$C, 2, FALSE),"")="", "SIN CUIT", VLOOKUP(A1503, 'Base 3F'!$B:$C, 2, FALSE)))</f>
        <v>30609327584</v>
      </c>
      <c r="C1503" s="253" t="str">
        <f>IF(A1503="", "", IF(IFERROR(VLOOKUP(A1503, 'Base 3F'!$B:$J, 9, FALSE),"")="", "SIN RUBRO", VLOOKUP(A1503, 'Base 3F'!$B:$J, 9, FALSE)))</f>
        <v>Plástica</v>
      </c>
      <c r="D1503" s="136" t="s">
        <v>7973</v>
      </c>
      <c r="E1503" s="10" t="s">
        <v>2392</v>
      </c>
      <c r="F1503" s="46" t="s">
        <v>115</v>
      </c>
    </row>
    <row r="1504">
      <c r="A1504" s="285" t="s">
        <v>7974</v>
      </c>
      <c r="B1504" s="252">
        <f>IF(A1504="", "", IF(IFERROR(VLOOKUP(A1504, 'Base 3F'!$B:$C, 2, FALSE),"")="", "SIN CUIT", VLOOKUP(A1504, 'Base 3F'!$B:$C, 2, FALSE)))</f>
        <v>30711622302</v>
      </c>
      <c r="C1504" s="253" t="str">
        <f>IF(A1504="", "", IF(IFERROR(VLOOKUP(A1504, 'Base 3F'!$B:$J, 9, FALSE),"")="", "SIN RUBRO", VLOOKUP(A1504, 'Base 3F'!$B:$J, 9, FALSE)))</f>
        <v>Plástica</v>
      </c>
      <c r="D1504" s="58" t="s">
        <v>7981</v>
      </c>
      <c r="E1504" s="10" t="s">
        <v>2392</v>
      </c>
      <c r="F1504" s="46" t="s">
        <v>115</v>
      </c>
    </row>
    <row r="1505">
      <c r="A1505" s="285" t="s">
        <v>2301</v>
      </c>
      <c r="B1505" s="252">
        <f>IF(A1505="", "", IF(IFERROR(VLOOKUP(A1505, 'Base 3F'!$B:$C, 2, FALSE),"")="", "SIN CUIT", VLOOKUP(A1505, 'Base 3F'!$B:$C, 2, FALSE)))</f>
        <v>30708397225</v>
      </c>
      <c r="C1505" s="253" t="str">
        <f>IF(A1505="", "", IF(IFERROR(VLOOKUP(A1505, 'Base 3F'!$B:$J, 9, FALSE),"")="", "SIN RUBRO", VLOOKUP(A1505, 'Base 3F'!$B:$J, 9, FALSE)))</f>
        <v>Textil</v>
      </c>
      <c r="D1505" s="58" t="s">
        <v>7982</v>
      </c>
      <c r="E1505" s="10" t="s">
        <v>2392</v>
      </c>
      <c r="F1505" s="46" t="s">
        <v>115</v>
      </c>
    </row>
    <row r="1506">
      <c r="A1506" s="285" t="s">
        <v>2308</v>
      </c>
      <c r="B1506" s="252">
        <f>IF(A1506="", "", IF(IFERROR(VLOOKUP(A1506, 'Base 3F'!$B:$C, 2, FALSE),"")="", "SIN CUIT", VLOOKUP(A1506, 'Base 3F'!$B:$C, 2, FALSE)))</f>
        <v>30708843055</v>
      </c>
      <c r="C1506" s="253" t="str">
        <f>IF(A1506="", "", IF(IFERROR(VLOOKUP(A1506, 'Base 3F'!$B:$J, 9, FALSE),"")="", "SIN RUBRO", VLOOKUP(A1506, 'Base 3F'!$B:$J, 9, FALSE)))</f>
        <v>Plástica</v>
      </c>
      <c r="D1506" s="58" t="s">
        <v>7985</v>
      </c>
      <c r="E1506" s="10" t="s">
        <v>2392</v>
      </c>
      <c r="F1506" s="46" t="s">
        <v>115</v>
      </c>
    </row>
    <row r="1507">
      <c r="A1507" s="285" t="s">
        <v>4286</v>
      </c>
      <c r="B1507" s="252">
        <f>IF(A1507="", "", IF(IFERROR(VLOOKUP(A1507, 'Base 3F'!$B:$C, 2, FALSE),"")="", "SIN CUIT", VLOOKUP(A1507, 'Base 3F'!$B:$C, 2, FALSE)))</f>
        <v>30519198386</v>
      </c>
      <c r="C1507" s="253" t="str">
        <f>IF(A1507="", "", IF(IFERROR(VLOOKUP(A1507, 'Base 3F'!$B:$J, 9, FALSE),"")="", "SIN RUBRO", VLOOKUP(A1507, 'Base 3F'!$B:$J, 9, FALSE)))</f>
        <v>Alimenticia</v>
      </c>
      <c r="D1507" s="242" t="s">
        <v>7989</v>
      </c>
      <c r="E1507" s="10" t="s">
        <v>2392</v>
      </c>
      <c r="F1507" s="46" t="s">
        <v>1625</v>
      </c>
    </row>
    <row r="1508">
      <c r="A1508" s="285" t="s">
        <v>2310</v>
      </c>
      <c r="B1508" s="252">
        <f>IF(A1508="", "", IF(IFERROR(VLOOKUP(A1508, 'Base 3F'!$B:$C, 2, FALSE),"")="", "SIN CUIT", VLOOKUP(A1508, 'Base 3F'!$B:$C, 2, FALSE)))</f>
        <v>30617044354</v>
      </c>
      <c r="C1508" s="253" t="str">
        <f>IF(A1508="", "", IF(IFERROR(VLOOKUP(A1508, 'Base 3F'!$B:$J, 9, FALSE),"")="", "SIN RUBRO", VLOOKUP(A1508, 'Base 3F'!$B:$J, 9, FALSE)))</f>
        <v>Servicios</v>
      </c>
      <c r="D1508" s="58" t="s">
        <v>7992</v>
      </c>
      <c r="E1508" s="10" t="s">
        <v>2392</v>
      </c>
      <c r="F1508" s="46" t="s">
        <v>115</v>
      </c>
    </row>
    <row r="1509">
      <c r="A1509" s="285" t="s">
        <v>2313</v>
      </c>
      <c r="B1509" s="252">
        <f>IF(A1509="", "", IF(IFERROR(VLOOKUP(A1509, 'Base 3F'!$B:$C, 2, FALSE),"")="", "SIN CUIT", VLOOKUP(A1509, 'Base 3F'!$B:$C, 2, FALSE)))</f>
        <v>30551504774</v>
      </c>
      <c r="C1509" s="253" t="str">
        <f>IF(A1509="", "", IF(IFERROR(VLOOKUP(A1509, 'Base 3F'!$B:$J, 9, FALSE),"")="", "SIN RUBRO", VLOOKUP(A1509, 'Base 3F'!$B:$J, 9, FALSE)))</f>
        <v>Plástica</v>
      </c>
      <c r="D1509" s="58" t="s">
        <v>7997</v>
      </c>
      <c r="E1509" s="10" t="s">
        <v>2392</v>
      </c>
      <c r="F1509" s="46" t="s">
        <v>115</v>
      </c>
    </row>
    <row r="1510">
      <c r="A1510" s="285" t="s">
        <v>7998</v>
      </c>
      <c r="B1510" s="252">
        <f>IF(A1510="", "", IF(IFERROR(VLOOKUP(A1510, 'Base 3F'!$B:$C, 2, FALSE),"")="", "SIN CUIT", VLOOKUP(A1510, 'Base 3F'!$B:$C, 2, FALSE)))</f>
        <v>30663114960</v>
      </c>
      <c r="C1510" s="253" t="str">
        <f>IF(A1510="", "", IF(IFERROR(VLOOKUP(A1510, 'Base 3F'!$B:$J, 9, FALSE),"")="", "SIN RUBRO", VLOOKUP(A1510, 'Base 3F'!$B:$J, 9, FALSE)))</f>
        <v>Caucho</v>
      </c>
      <c r="D1510" s="58" t="s">
        <v>8003</v>
      </c>
      <c r="E1510" s="10" t="s">
        <v>2392</v>
      </c>
      <c r="F1510" s="46" t="s">
        <v>115</v>
      </c>
    </row>
    <row r="1511">
      <c r="A1511" s="285" t="s">
        <v>8007</v>
      </c>
      <c r="B1511" s="252">
        <f>IF(A1511="", "", IF(IFERROR(VLOOKUP(A1511, 'Base 3F'!$B:$C, 2, FALSE),"")="", "SIN CUIT", VLOOKUP(A1511, 'Base 3F'!$B:$C, 2, FALSE)))</f>
        <v>30710919492</v>
      </c>
      <c r="C1511" s="253" t="str">
        <f>IF(A1511="", "", IF(IFERROR(VLOOKUP(A1511, 'Base 3F'!$B:$J, 9, FALSE),"")="", "SIN RUBRO", VLOOKUP(A1511, 'Base 3F'!$B:$J, 9, FALSE)))</f>
        <v>Plástica</v>
      </c>
      <c r="D1511" s="58" t="s">
        <v>8011</v>
      </c>
      <c r="E1511" s="10" t="s">
        <v>2392</v>
      </c>
      <c r="F1511" s="46" t="s">
        <v>115</v>
      </c>
    </row>
    <row r="1512">
      <c r="A1512" s="285" t="s">
        <v>8012</v>
      </c>
      <c r="B1512" s="252">
        <f>IF(A1512="", "", IF(IFERROR(VLOOKUP(A1512, 'Base 3F'!$B:$C, 2, FALSE),"")="", "SIN CUIT", VLOOKUP(A1512, 'Base 3F'!$B:$C, 2, FALSE)))</f>
        <v>30680315015</v>
      </c>
      <c r="C1512" s="253" t="str">
        <f>IF(A1512="", "", IF(IFERROR(VLOOKUP(A1512, 'Base 3F'!$B:$J, 9, FALSE),"")="", "SIN RUBRO", VLOOKUP(A1512, 'Base 3F'!$B:$J, 9, FALSE)))</f>
        <v>Metalúrgica</v>
      </c>
      <c r="D1512" s="58" t="s">
        <v>8015</v>
      </c>
      <c r="E1512" s="10" t="s">
        <v>2392</v>
      </c>
      <c r="F1512" s="46" t="s">
        <v>115</v>
      </c>
    </row>
    <row r="1513">
      <c r="A1513" s="285" t="s">
        <v>8017</v>
      </c>
      <c r="B1513" s="252">
        <f>IF(A1513="", "", IF(IFERROR(VLOOKUP(A1513, 'Base 3F'!$B:$C, 2, FALSE),"")="", "SIN CUIT", VLOOKUP(A1513, 'Base 3F'!$B:$C, 2, FALSE)))</f>
        <v>33504891769</v>
      </c>
      <c r="C1513" s="253" t="str">
        <f>IF(A1513="", "", IF(IFERROR(VLOOKUP(A1513, 'Base 3F'!$B:$J, 9, FALSE),"")="", "SIN RUBRO", VLOOKUP(A1513, 'Base 3F'!$B:$J, 9, FALSE)))</f>
        <v>Metalúrgica</v>
      </c>
      <c r="D1513" s="58" t="s">
        <v>8021</v>
      </c>
      <c r="E1513" s="10" t="s">
        <v>2392</v>
      </c>
      <c r="F1513" s="46" t="s">
        <v>115</v>
      </c>
    </row>
    <row r="1514">
      <c r="A1514" s="285" t="s">
        <v>2321</v>
      </c>
      <c r="B1514" s="252">
        <f>IF(A1514="", "", IF(IFERROR(VLOOKUP(A1514, 'Base 3F'!$B:$C, 2, FALSE),"")="", "SIN CUIT", VLOOKUP(A1514, 'Base 3F'!$B:$C, 2, FALSE)))</f>
        <v>30709417408</v>
      </c>
      <c r="C1514" s="253" t="str">
        <f>IF(A1514="", "", IF(IFERROR(VLOOKUP(A1514, 'Base 3F'!$B:$J, 9, FALSE),"")="", "SIN RUBRO", VLOOKUP(A1514, 'Base 3F'!$B:$J, 9, FALSE)))</f>
        <v>Metalúrgica</v>
      </c>
      <c r="D1514" s="58" t="s">
        <v>8024</v>
      </c>
      <c r="E1514" s="10" t="s">
        <v>2392</v>
      </c>
      <c r="F1514" s="46" t="s">
        <v>115</v>
      </c>
    </row>
    <row r="1515">
      <c r="A1515" s="285" t="s">
        <v>8027</v>
      </c>
      <c r="B1515" s="252">
        <f>IF(A1515="", "", IF(IFERROR(VLOOKUP(A1515, 'Base 3F'!$B:$C, 2, FALSE),"")="", "SIN CUIT", VLOOKUP(A1515, 'Base 3F'!$B:$C, 2, FALSE)))</f>
        <v>30708188634</v>
      </c>
      <c r="C1515" s="253" t="str">
        <f>IF(A1515="", "", IF(IFERROR(VLOOKUP(A1515, 'Base 3F'!$B:$J, 9, FALSE),"")="", "SIN RUBRO", VLOOKUP(A1515, 'Base 3F'!$B:$J, 9, FALSE)))</f>
        <v>Automotor</v>
      </c>
      <c r="D1515" s="58" t="s">
        <v>8030</v>
      </c>
      <c r="E1515" s="10" t="s">
        <v>2392</v>
      </c>
      <c r="F1515" s="46" t="s">
        <v>115</v>
      </c>
    </row>
    <row r="1516">
      <c r="A1516" s="285" t="s">
        <v>8032</v>
      </c>
      <c r="B1516" s="252">
        <f>IF(A1516="", "", IF(IFERROR(VLOOKUP(A1516, 'Base 3F'!$B:$C, 2, FALSE),"")="", "SIN CUIT", VLOOKUP(A1516, 'Base 3F'!$B:$C, 2, FALSE)))</f>
        <v>20257790097</v>
      </c>
      <c r="C1516" s="253" t="str">
        <f>IF(A1516="", "", IF(IFERROR(VLOOKUP(A1516, 'Base 3F'!$B:$J, 9, FALSE),"")="", "SIN RUBRO", VLOOKUP(A1516, 'Base 3F'!$B:$J, 9, FALSE)))</f>
        <v>Servicios</v>
      </c>
      <c r="D1516" s="58" t="s">
        <v>8040</v>
      </c>
      <c r="E1516" s="10" t="s">
        <v>2392</v>
      </c>
      <c r="F1516" s="46" t="s">
        <v>115</v>
      </c>
    </row>
    <row r="1517">
      <c r="A1517" s="285" t="s">
        <v>8041</v>
      </c>
      <c r="B1517" s="252">
        <f>IF(A1517="", "", IF(IFERROR(VLOOKUP(A1517, 'Base 3F'!$B:$C, 2, FALSE),"")="", "SIN CUIT", VLOOKUP(A1517, 'Base 3F'!$B:$C, 2, FALSE)))</f>
        <v>30693330196</v>
      </c>
      <c r="C1517" s="253" t="str">
        <f>IF(A1517="", "", IF(IFERROR(VLOOKUP(A1517, 'Base 3F'!$B:$J, 9, FALSE),"")="", "SIN RUBRO", VLOOKUP(A1517, 'Base 3F'!$B:$J, 9, FALSE)))</f>
        <v>Servicios</v>
      </c>
      <c r="D1517" s="58" t="s">
        <v>8043</v>
      </c>
      <c r="E1517" s="10" t="s">
        <v>2392</v>
      </c>
      <c r="F1517" s="46" t="s">
        <v>115</v>
      </c>
    </row>
    <row r="1518">
      <c r="A1518" s="285" t="s">
        <v>8044</v>
      </c>
      <c r="B1518" s="252">
        <f>IF(A1518="", "", IF(IFERROR(VLOOKUP(A1518, 'Base 3F'!$B:$C, 2, FALSE),"")="", "SIN CUIT", VLOOKUP(A1518, 'Base 3F'!$B:$C, 2, FALSE)))</f>
        <v>30709388513</v>
      </c>
      <c r="C1518" s="253" t="str">
        <f>IF(A1518="", "", IF(IFERROR(VLOOKUP(A1518, 'Base 3F'!$B:$J, 9, FALSE),"")="", "SIN RUBRO", VLOOKUP(A1518, 'Base 3F'!$B:$J, 9, FALSE)))</f>
        <v>Servicios</v>
      </c>
      <c r="D1518" s="58" t="s">
        <v>8047</v>
      </c>
      <c r="E1518" s="10" t="s">
        <v>2392</v>
      </c>
      <c r="F1518" s="46" t="s">
        <v>115</v>
      </c>
    </row>
    <row r="1519">
      <c r="A1519" s="285" t="s">
        <v>8049</v>
      </c>
      <c r="B1519" s="252">
        <f>IF(A1519="", "", IF(IFERROR(VLOOKUP(A1519, 'Base 3F'!$B:$C, 2, FALSE),"")="", "SIN CUIT", VLOOKUP(A1519, 'Base 3F'!$B:$C, 2, FALSE)))</f>
        <v>30711737886</v>
      </c>
      <c r="C1519" s="253" t="str">
        <f>IF(A1519="", "", IF(IFERROR(VLOOKUP(A1519, 'Base 3F'!$B:$J, 9, FALSE),"")="", "SIN RUBRO", VLOOKUP(A1519, 'Base 3F'!$B:$J, 9, FALSE)))</f>
        <v>Papel</v>
      </c>
      <c r="D1519" s="58" t="s">
        <v>8051</v>
      </c>
      <c r="E1519" s="10" t="s">
        <v>2392</v>
      </c>
      <c r="F1519" s="46" t="s">
        <v>115</v>
      </c>
    </row>
    <row r="1520">
      <c r="A1520" s="285" t="s">
        <v>2334</v>
      </c>
      <c r="B1520" s="252">
        <f>IF(A1520="", "", IF(IFERROR(VLOOKUP(A1520, 'Base 3F'!$B:$C, 2, FALSE),"")="", "SIN CUIT", VLOOKUP(A1520, 'Base 3F'!$B:$C, 2, FALSE)))</f>
        <v>30709992917</v>
      </c>
      <c r="C1520" s="253" t="str">
        <f>IF(A1520="", "", IF(IFERROR(VLOOKUP(A1520, 'Base 3F'!$B:$J, 9, FALSE),"")="", "SIN RUBRO", VLOOKUP(A1520, 'Base 3F'!$B:$J, 9, FALSE)))</f>
        <v>Textil</v>
      </c>
      <c r="D1520" s="58" t="s">
        <v>8057</v>
      </c>
      <c r="E1520" s="10" t="s">
        <v>2392</v>
      </c>
      <c r="F1520" s="46" t="s">
        <v>115</v>
      </c>
    </row>
    <row r="1521">
      <c r="A1521" s="285" t="s">
        <v>8058</v>
      </c>
      <c r="B1521" s="252">
        <f>IF(A1521="", "", IF(IFERROR(VLOOKUP(A1521, 'Base 3F'!$B:$C, 2, FALSE),"")="", "SIN CUIT", VLOOKUP(A1521, 'Base 3F'!$B:$C, 2, FALSE)))</f>
        <v>30699026715</v>
      </c>
      <c r="C1521" s="253" t="str">
        <f>IF(A1521="", "", IF(IFERROR(VLOOKUP(A1521, 'Base 3F'!$B:$J, 9, FALSE),"")="", "SIN RUBRO", VLOOKUP(A1521, 'Base 3F'!$B:$J, 9, FALSE)))</f>
        <v>Electrónica</v>
      </c>
      <c r="D1521" s="58" t="s">
        <v>8061</v>
      </c>
      <c r="E1521" s="10" t="s">
        <v>2392</v>
      </c>
      <c r="F1521" s="46" t="s">
        <v>115</v>
      </c>
    </row>
    <row r="1522">
      <c r="A1522" s="285" t="s">
        <v>8062</v>
      </c>
      <c r="B1522" s="252">
        <f>IF(A1522="", "", IF(IFERROR(VLOOKUP(A1522, 'Base 3F'!$B:$C, 2, FALSE),"")="", "SIN CUIT", VLOOKUP(A1522, 'Base 3F'!$B:$C, 2, FALSE)))</f>
        <v>30577379889</v>
      </c>
      <c r="C1522" s="253" t="str">
        <f>IF(A1522="", "", IF(IFERROR(VLOOKUP(A1522, 'Base 3F'!$B:$J, 9, FALSE),"")="", "SIN RUBRO", VLOOKUP(A1522, 'Base 3F'!$B:$J, 9, FALSE)))</f>
        <v>Servicios</v>
      </c>
      <c r="D1522" s="58" t="s">
        <v>8065</v>
      </c>
      <c r="E1522" s="10" t="s">
        <v>2392</v>
      </c>
      <c r="F1522" s="46" t="s">
        <v>115</v>
      </c>
    </row>
    <row r="1523">
      <c r="A1523" s="285" t="s">
        <v>8066</v>
      </c>
      <c r="B1523" s="252">
        <f>IF(A1523="", "", IF(IFERROR(VLOOKUP(A1523, 'Base 3F'!$B:$C, 2, FALSE),"")="", "SIN CUIT", VLOOKUP(A1523, 'Base 3F'!$B:$C, 2, FALSE)))</f>
        <v>30711899126</v>
      </c>
      <c r="C1523" s="253" t="str">
        <f>IF(A1523="", "", IF(IFERROR(VLOOKUP(A1523, 'Base 3F'!$B:$J, 9, FALSE),"")="", "SIN RUBRO", VLOOKUP(A1523, 'Base 3F'!$B:$J, 9, FALSE)))</f>
        <v>Plástica</v>
      </c>
      <c r="D1523" s="58" t="s">
        <v>8068</v>
      </c>
      <c r="E1523" s="10" t="s">
        <v>2392</v>
      </c>
      <c r="F1523" s="46" t="s">
        <v>115</v>
      </c>
    </row>
    <row r="1524">
      <c r="A1524" s="285" t="s">
        <v>8069</v>
      </c>
      <c r="B1524" s="252">
        <f>IF(A1524="", "", IF(IFERROR(VLOOKUP(A1524, 'Base 3F'!$B:$C, 2, FALSE),"")="", "SIN CUIT", VLOOKUP(A1524, 'Base 3F'!$B:$C, 2, FALSE)))</f>
        <v>30654096267</v>
      </c>
      <c r="C1524" s="253" t="str">
        <f>IF(A1524="", "", IF(IFERROR(VLOOKUP(A1524, 'Base 3F'!$B:$J, 9, FALSE),"")="", "SIN RUBRO", VLOOKUP(A1524, 'Base 3F'!$B:$J, 9, FALSE)))</f>
        <v>Servicios</v>
      </c>
      <c r="D1524" s="58" t="s">
        <v>8076</v>
      </c>
      <c r="E1524" s="10" t="s">
        <v>2392</v>
      </c>
      <c r="F1524" s="46" t="s">
        <v>115</v>
      </c>
    </row>
    <row r="1525">
      <c r="A1525" s="285" t="s">
        <v>8077</v>
      </c>
      <c r="B1525" s="252">
        <f>IF(A1525="", "", IF(IFERROR(VLOOKUP(A1525, 'Base 3F'!$B:$C, 2, FALSE),"")="", "SIN CUIT", VLOOKUP(A1525, 'Base 3F'!$B:$C, 2, FALSE)))</f>
        <v>30712119663</v>
      </c>
      <c r="C1525" s="253" t="str">
        <f>IF(A1525="", "", IF(IFERROR(VLOOKUP(A1525, 'Base 3F'!$B:$J, 9, FALSE),"")="", "SIN RUBRO", VLOOKUP(A1525, 'Base 3F'!$B:$J, 9, FALSE)))</f>
        <v>Construcción</v>
      </c>
      <c r="D1525" s="58" t="s">
        <v>8079</v>
      </c>
      <c r="E1525" s="10" t="s">
        <v>2392</v>
      </c>
      <c r="F1525" s="46" t="s">
        <v>115</v>
      </c>
    </row>
    <row r="1526">
      <c r="A1526" s="285" t="s">
        <v>8080</v>
      </c>
      <c r="B1526" s="252">
        <f>IF(A1526="", "", IF(IFERROR(VLOOKUP(A1526, 'Base 3F'!$B:$C, 2, FALSE),"")="", "SIN CUIT", VLOOKUP(A1526, 'Base 3F'!$B:$C, 2, FALSE)))</f>
        <v>30711737789</v>
      </c>
      <c r="C1526" s="253" t="str">
        <f>IF(A1526="", "", IF(IFERROR(VLOOKUP(A1526, 'Base 3F'!$B:$J, 9, FALSE),"")="", "SIN RUBRO", VLOOKUP(A1526, 'Base 3F'!$B:$J, 9, FALSE)))</f>
        <v>Calzado</v>
      </c>
      <c r="D1526" s="58" t="s">
        <v>8084</v>
      </c>
      <c r="E1526" s="10" t="s">
        <v>2392</v>
      </c>
      <c r="F1526" s="46" t="s">
        <v>115</v>
      </c>
    </row>
    <row r="1527">
      <c r="A1527" s="285" t="s">
        <v>8086</v>
      </c>
      <c r="B1527" s="252">
        <f>IF(A1527="", "", IF(IFERROR(VLOOKUP(A1527, 'Base 3F'!$B:$C, 2, FALSE),"")="", "SIN CUIT", VLOOKUP(A1527, 'Base 3F'!$B:$C, 2, FALSE)))</f>
        <v>30714112216</v>
      </c>
      <c r="C1527" s="253" t="str">
        <f>IF(A1527="", "", IF(IFERROR(VLOOKUP(A1527, 'Base 3F'!$B:$J, 9, FALSE),"")="", "SIN RUBRO", VLOOKUP(A1527, 'Base 3F'!$B:$J, 9, FALSE)))</f>
        <v>Metalmecánica</v>
      </c>
      <c r="D1527" s="58" t="s">
        <v>8087</v>
      </c>
      <c r="E1527" s="10" t="s">
        <v>2392</v>
      </c>
      <c r="F1527" s="46" t="s">
        <v>115</v>
      </c>
    </row>
    <row r="1528">
      <c r="A1528" s="285" t="s">
        <v>8088</v>
      </c>
      <c r="B1528" s="252">
        <f>IF(A1528="", "", IF(IFERROR(VLOOKUP(A1528, 'Base 3F'!$B:$C, 2, FALSE),"")="", "SIN CUIT", VLOOKUP(A1528, 'Base 3F'!$B:$C, 2, FALSE)))</f>
        <v>30522020342</v>
      </c>
      <c r="C1528" s="253" t="str">
        <f>IF(A1528="", "", IF(IFERROR(VLOOKUP(A1528, 'Base 3F'!$B:$J, 9, FALSE),"")="", "SIN RUBRO", VLOOKUP(A1528, 'Base 3F'!$B:$J, 9, FALSE)))</f>
        <v>Química</v>
      </c>
      <c r="D1528" s="58" t="s">
        <v>8091</v>
      </c>
      <c r="E1528" s="10" t="s">
        <v>2392</v>
      </c>
      <c r="F1528" s="46" t="s">
        <v>115</v>
      </c>
    </row>
    <row r="1529">
      <c r="A1529" s="285" t="s">
        <v>8092</v>
      </c>
      <c r="B1529" s="252">
        <f>IF(A1529="", "", IF(IFERROR(VLOOKUP(A1529, 'Base 3F'!$B:$C, 2, FALSE),"")="", "SIN CUIT", VLOOKUP(A1529, 'Base 3F'!$B:$C, 2, FALSE)))</f>
        <v>20169739073</v>
      </c>
      <c r="C1529" s="253" t="str">
        <f>IF(A1529="", "", IF(IFERROR(VLOOKUP(A1529, 'Base 3F'!$B:$J, 9, FALSE),"")="", "SIN RUBRO", VLOOKUP(A1529, 'Base 3F'!$B:$J, 9, FALSE)))</f>
        <v>Madera</v>
      </c>
      <c r="D1529" s="58" t="s">
        <v>8094</v>
      </c>
      <c r="E1529" s="10" t="s">
        <v>2392</v>
      </c>
      <c r="F1529" s="46" t="s">
        <v>115</v>
      </c>
    </row>
    <row r="1530">
      <c r="A1530" s="285" t="s">
        <v>2338</v>
      </c>
      <c r="B1530" s="252">
        <f>IF(A1530="", "", IF(IFERROR(VLOOKUP(A1530, 'Base 3F'!$B:$C, 2, FALSE),"")="", "SIN CUIT", VLOOKUP(A1530, 'Base 3F'!$B:$C, 2, FALSE)))</f>
        <v>30593166488</v>
      </c>
      <c r="C1530" s="253" t="str">
        <f>IF(A1530="", "", IF(IFERROR(VLOOKUP(A1530, 'Base 3F'!$B:$J, 9, FALSE),"")="", "SIN RUBRO", VLOOKUP(A1530, 'Base 3F'!$B:$J, 9, FALSE)))</f>
        <v>Plástica</v>
      </c>
      <c r="D1530" s="58" t="s">
        <v>8102</v>
      </c>
      <c r="E1530" s="10" t="s">
        <v>2392</v>
      </c>
      <c r="F1530" s="46" t="s">
        <v>115</v>
      </c>
    </row>
    <row r="1531">
      <c r="A1531" s="285" t="s">
        <v>8103</v>
      </c>
      <c r="B1531" s="252">
        <f>IF(A1531="", "", IF(IFERROR(VLOOKUP(A1531, 'Base 3F'!$B:$C, 2, FALSE),"")="", "SIN CUIT", VLOOKUP(A1531, 'Base 3F'!$B:$C, 2, FALSE)))</f>
        <v>30691692074</v>
      </c>
      <c r="C1531" s="253" t="str">
        <f>IF(A1531="", "", IF(IFERROR(VLOOKUP(A1531, 'Base 3F'!$B:$J, 9, FALSE),"")="", "SIN RUBRO", VLOOKUP(A1531, 'Base 3F'!$B:$J, 9, FALSE)))</f>
        <v>Gráfica</v>
      </c>
      <c r="D1531" s="58" t="s">
        <v>8106</v>
      </c>
      <c r="E1531" s="10" t="s">
        <v>2392</v>
      </c>
      <c r="F1531" s="46" t="s">
        <v>115</v>
      </c>
    </row>
    <row r="1532">
      <c r="A1532" s="285" t="s">
        <v>8109</v>
      </c>
      <c r="B1532" s="252">
        <f>IF(A1532="", "", IF(IFERROR(VLOOKUP(A1532, 'Base 3F'!$B:$C, 2, FALSE),"")="", "SIN CUIT", VLOOKUP(A1532, 'Base 3F'!$B:$C, 2, FALSE)))</f>
        <v>30554594820</v>
      </c>
      <c r="C1532" s="253" t="str">
        <f>IF(A1532="", "", IF(IFERROR(VLOOKUP(A1532, 'Base 3F'!$B:$J, 9, FALSE),"")="", "SIN RUBRO", VLOOKUP(A1532, 'Base 3F'!$B:$J, 9, FALSE)))</f>
        <v>Química</v>
      </c>
      <c r="D1532" s="58" t="s">
        <v>8112</v>
      </c>
      <c r="E1532" s="10" t="s">
        <v>2392</v>
      </c>
      <c r="F1532" s="46" t="s">
        <v>115</v>
      </c>
    </row>
    <row r="1533">
      <c r="A1533" s="285" t="s">
        <v>8113</v>
      </c>
      <c r="B1533" s="252">
        <f>IF(A1533="", "", IF(IFERROR(VLOOKUP(A1533, 'Base 3F'!$B:$C, 2, FALSE),"")="", "SIN CUIT", VLOOKUP(A1533, 'Base 3F'!$B:$C, 2, FALSE)))</f>
        <v>30620229810</v>
      </c>
      <c r="C1533" s="253" t="str">
        <f>IF(A1533="", "", IF(IFERROR(VLOOKUP(A1533, 'Base 3F'!$B:$J, 9, FALSE),"")="", "SIN RUBRO", VLOOKUP(A1533, 'Base 3F'!$B:$J, 9, FALSE)))</f>
        <v>Química</v>
      </c>
      <c r="D1533" s="58" t="s">
        <v>8115</v>
      </c>
      <c r="E1533" s="10" t="s">
        <v>2392</v>
      </c>
      <c r="F1533" s="46" t="s">
        <v>115</v>
      </c>
    </row>
    <row r="1534">
      <c r="A1534" s="285" t="s">
        <v>8116</v>
      </c>
      <c r="B1534" s="252">
        <f>IF(A1534="", "", IF(IFERROR(VLOOKUP(A1534, 'Base 3F'!$B:$C, 2, FALSE),"")="", "SIN CUIT", VLOOKUP(A1534, 'Base 3F'!$B:$C, 2, FALSE)))</f>
        <v>30708393211</v>
      </c>
      <c r="C1534" s="253" t="str">
        <f>IF(A1534="", "", IF(IFERROR(VLOOKUP(A1534, 'Base 3F'!$B:$J, 9, FALSE),"")="", "SIN RUBRO", VLOOKUP(A1534, 'Base 3F'!$B:$J, 9, FALSE)))</f>
        <v>Química</v>
      </c>
      <c r="D1534" s="58" t="s">
        <v>8118</v>
      </c>
      <c r="E1534" s="10" t="s">
        <v>2392</v>
      </c>
      <c r="F1534" s="46" t="s">
        <v>115</v>
      </c>
    </row>
    <row r="1535">
      <c r="A1535" s="285" t="s">
        <v>8121</v>
      </c>
      <c r="B1535" s="252">
        <f>IF(A1535="", "", IF(IFERROR(VLOOKUP(A1535, 'Base 3F'!$B:$C, 2, FALSE),"")="", "SIN CUIT", VLOOKUP(A1535, 'Base 3F'!$B:$C, 2, FALSE)))</f>
        <v>30647246636</v>
      </c>
      <c r="C1535" s="253" t="str">
        <f>IF(A1535="", "", IF(IFERROR(VLOOKUP(A1535, 'Base 3F'!$B:$J, 9, FALSE),"")="", "SIN RUBRO", VLOOKUP(A1535, 'Base 3F'!$B:$J, 9, FALSE)))</f>
        <v>Metalúrgica</v>
      </c>
      <c r="D1535" s="58" t="s">
        <v>8126</v>
      </c>
      <c r="E1535" s="10" t="s">
        <v>2392</v>
      </c>
      <c r="F1535" s="46" t="s">
        <v>115</v>
      </c>
    </row>
    <row r="1536">
      <c r="A1536" s="285" t="s">
        <v>8128</v>
      </c>
      <c r="B1536" s="252">
        <f>IF(A1536="", "", IF(IFERROR(VLOOKUP(A1536, 'Base 3F'!$B:$C, 2, FALSE),"")="", "SIN CUIT", VLOOKUP(A1536, 'Base 3F'!$B:$C, 2, FALSE)))</f>
        <v>30695475043</v>
      </c>
      <c r="C1536" s="253" t="str">
        <f>IF(A1536="", "", IF(IFERROR(VLOOKUP(A1536, 'Base 3F'!$B:$J, 9, FALSE),"")="", "SIN RUBRO", VLOOKUP(A1536, 'Base 3F'!$B:$J, 9, FALSE)))</f>
        <v>Metalmecánica</v>
      </c>
      <c r="D1536" s="58" t="s">
        <v>8134</v>
      </c>
      <c r="E1536" s="10" t="s">
        <v>2392</v>
      </c>
      <c r="F1536" s="46" t="s">
        <v>115</v>
      </c>
    </row>
    <row r="1537">
      <c r="A1537" s="285" t="s">
        <v>8135</v>
      </c>
      <c r="B1537" s="252">
        <f>IF(A1537="", "", IF(IFERROR(VLOOKUP(A1537, 'Base 3F'!$B:$C, 2, FALSE),"")="", "SIN CUIT", VLOOKUP(A1537, 'Base 3F'!$B:$C, 2, FALSE)))</f>
        <v>30709526452</v>
      </c>
      <c r="C1537" s="253" t="str">
        <f>IF(A1537="", "", IF(IFERROR(VLOOKUP(A1537, 'Base 3F'!$B:$J, 9, FALSE),"")="", "SIN RUBRO", VLOOKUP(A1537, 'Base 3F'!$B:$J, 9, FALSE)))</f>
        <v>Caucho</v>
      </c>
      <c r="D1537" s="58" t="s">
        <v>8138</v>
      </c>
      <c r="E1537" s="10" t="s">
        <v>2392</v>
      </c>
      <c r="F1537" s="46" t="s">
        <v>115</v>
      </c>
    </row>
    <row r="1538">
      <c r="A1538" s="285" t="s">
        <v>8139</v>
      </c>
      <c r="B1538" s="252">
        <f>IF(A1538="", "", IF(IFERROR(VLOOKUP(A1538, 'Base 3F'!$B:$C, 2, FALSE),"")="", "SIN CUIT", VLOOKUP(A1538, 'Base 3F'!$B:$C, 2, FALSE)))</f>
        <v>30560671292</v>
      </c>
      <c r="C1538" s="253" t="str">
        <f>IF(A1538="", "", IF(IFERROR(VLOOKUP(A1538, 'Base 3F'!$B:$J, 9, FALSE),"")="", "SIN RUBRO", VLOOKUP(A1538, 'Base 3F'!$B:$J, 9, FALSE)))</f>
        <v>Plástica</v>
      </c>
      <c r="D1538" s="58" t="s">
        <v>8143</v>
      </c>
      <c r="E1538" s="10" t="s">
        <v>2392</v>
      </c>
      <c r="F1538" s="46" t="s">
        <v>115</v>
      </c>
    </row>
    <row r="1539">
      <c r="A1539" s="285" t="s">
        <v>2349</v>
      </c>
      <c r="B1539" s="252">
        <f>IF(A1539="", "", IF(IFERROR(VLOOKUP(A1539, 'Base 3F'!$B:$C, 2, FALSE),"")="", "SIN CUIT", VLOOKUP(A1539, 'Base 3F'!$B:$C, 2, FALSE)))</f>
        <v>33610921189</v>
      </c>
      <c r="C1539" s="253" t="str">
        <f>IF(A1539="", "", IF(IFERROR(VLOOKUP(A1539, 'Base 3F'!$B:$J, 9, FALSE),"")="", "SIN RUBRO", VLOOKUP(A1539, 'Base 3F'!$B:$J, 9, FALSE)))</f>
        <v>Metalúrgica</v>
      </c>
      <c r="D1539" s="142" t="s">
        <v>430</v>
      </c>
      <c r="E1539" s="10" t="s">
        <v>2392</v>
      </c>
      <c r="F1539" s="46" t="s">
        <v>115</v>
      </c>
    </row>
    <row r="1540">
      <c r="A1540" s="285" t="s">
        <v>8148</v>
      </c>
      <c r="B1540" s="252">
        <f>IF(A1540="", "", IF(IFERROR(VLOOKUP(A1540, 'Base 3F'!$B:$C, 2, FALSE),"")="", "SIN CUIT", VLOOKUP(A1540, 'Base 3F'!$B:$C, 2, FALSE)))</f>
        <v>30714664758</v>
      </c>
      <c r="C1540" s="253" t="str">
        <f>IF(A1540="", "", IF(IFERROR(VLOOKUP(A1540, 'Base 3F'!$B:$J, 9, FALSE),"")="", "SIN RUBRO", VLOOKUP(A1540, 'Base 3F'!$B:$J, 9, FALSE)))</f>
        <v>Gráfica</v>
      </c>
      <c r="D1540" s="58" t="s">
        <v>8152</v>
      </c>
      <c r="E1540" s="10" t="s">
        <v>2392</v>
      </c>
      <c r="F1540" s="46" t="s">
        <v>115</v>
      </c>
    </row>
    <row r="1541">
      <c r="A1541" s="285" t="s">
        <v>8153</v>
      </c>
      <c r="B1541" s="252">
        <f>IF(A1541="", "", IF(IFERROR(VLOOKUP(A1541, 'Base 3F'!$B:$C, 2, FALSE),"")="", "SIN CUIT", VLOOKUP(A1541, 'Base 3F'!$B:$C, 2, FALSE)))</f>
        <v>20921028297</v>
      </c>
      <c r="C1541" s="253" t="str">
        <f>IF(A1541="", "", IF(IFERROR(VLOOKUP(A1541, 'Base 3F'!$B:$J, 9, FALSE),"")="", "SIN RUBRO", VLOOKUP(A1541, 'Base 3F'!$B:$J, 9, FALSE)))</f>
        <v>Madera</v>
      </c>
      <c r="D1541" s="58" t="s">
        <v>8155</v>
      </c>
      <c r="E1541" s="10" t="s">
        <v>2392</v>
      </c>
      <c r="F1541" s="46" t="s">
        <v>115</v>
      </c>
    </row>
    <row r="1542">
      <c r="A1542" s="285" t="s">
        <v>8156</v>
      </c>
      <c r="B1542" s="252">
        <f>IF(A1542="", "", IF(IFERROR(VLOOKUP(A1542, 'Base 3F'!$B:$C, 2, FALSE),"")="", "SIN CUIT", VLOOKUP(A1542, 'Base 3F'!$B:$C, 2, FALSE)))</f>
        <v>30663735973</v>
      </c>
      <c r="C1542" s="253" t="str">
        <f>IF(A1542="", "", IF(IFERROR(VLOOKUP(A1542, 'Base 3F'!$B:$J, 9, FALSE),"")="", "SIN RUBRO", VLOOKUP(A1542, 'Base 3F'!$B:$J, 9, FALSE)))</f>
        <v>Madera</v>
      </c>
      <c r="D1542" s="58" t="s">
        <v>8161</v>
      </c>
      <c r="E1542" s="10" t="s">
        <v>2392</v>
      </c>
      <c r="F1542" s="46" t="s">
        <v>115</v>
      </c>
    </row>
    <row r="1543">
      <c r="A1543" s="285" t="s">
        <v>2361</v>
      </c>
      <c r="B1543" s="252">
        <f>IF(A1543="", "", IF(IFERROR(VLOOKUP(A1543, 'Base 3F'!$B:$C, 2, FALSE),"")="", "SIN CUIT", VLOOKUP(A1543, 'Base 3F'!$B:$C, 2, FALSE)))</f>
        <v>30709585890</v>
      </c>
      <c r="C1543" s="253" t="str">
        <f>IF(A1543="", "", IF(IFERROR(VLOOKUP(A1543, 'Base 3F'!$B:$J, 9, FALSE),"")="", "SIN RUBRO", VLOOKUP(A1543, 'Base 3F'!$B:$J, 9, FALSE)))</f>
        <v>Madera</v>
      </c>
      <c r="D1543" s="58" t="s">
        <v>8165</v>
      </c>
      <c r="E1543" s="10" t="s">
        <v>2392</v>
      </c>
      <c r="F1543" s="46" t="s">
        <v>115</v>
      </c>
    </row>
    <row r="1544">
      <c r="A1544" s="285" t="s">
        <v>8167</v>
      </c>
      <c r="B1544" s="252">
        <f>IF(A1544="", "", IF(IFERROR(VLOOKUP(A1544, 'Base 3F'!$B:$C, 2, FALSE),"")="", "SIN CUIT", VLOOKUP(A1544, 'Base 3F'!$B:$C, 2, FALSE)))</f>
        <v>30711134057</v>
      </c>
      <c r="C1544" s="253" t="str">
        <f>IF(A1544="", "", IF(IFERROR(VLOOKUP(A1544, 'Base 3F'!$B:$J, 9, FALSE),"")="", "SIN RUBRO", VLOOKUP(A1544, 'Base 3F'!$B:$J, 9, FALSE)))</f>
        <v>Plástica</v>
      </c>
      <c r="D1544" s="58" t="s">
        <v>8170</v>
      </c>
      <c r="E1544" s="10" t="s">
        <v>2392</v>
      </c>
      <c r="F1544" s="46" t="s">
        <v>115</v>
      </c>
    </row>
    <row r="1545">
      <c r="A1545" s="285" t="s">
        <v>2364</v>
      </c>
      <c r="B1545" s="252">
        <f>IF(A1545="", "", IF(IFERROR(VLOOKUP(A1545, 'Base 3F'!$B:$C, 2, FALSE),"")="", "SIN CUIT", VLOOKUP(A1545, 'Base 3F'!$B:$C, 2, FALSE)))</f>
        <v>30689670624</v>
      </c>
      <c r="C1545" s="253" t="str">
        <f>IF(A1545="", "", IF(IFERROR(VLOOKUP(A1545, 'Base 3F'!$B:$J, 9, FALSE),"")="", "SIN RUBRO", VLOOKUP(A1545, 'Base 3F'!$B:$J, 9, FALSE)))</f>
        <v>Papel</v>
      </c>
      <c r="D1545" s="58" t="s">
        <v>8173</v>
      </c>
      <c r="E1545" s="10" t="s">
        <v>2392</v>
      </c>
      <c r="F1545" s="46" t="s">
        <v>115</v>
      </c>
    </row>
    <row r="1546">
      <c r="A1546" s="285" t="s">
        <v>8174</v>
      </c>
      <c r="B1546" s="252">
        <f>IF(A1546="", "", IF(IFERROR(VLOOKUP(A1546, 'Base 3F'!$B:$C, 2, FALSE),"")="", "SIN CUIT", VLOOKUP(A1546, 'Base 3F'!$B:$C, 2, FALSE)))</f>
        <v>30707425454</v>
      </c>
      <c r="C1546" s="253" t="str">
        <f>IF(A1546="", "", IF(IFERROR(VLOOKUP(A1546, 'Base 3F'!$B:$J, 9, FALSE),"")="", "SIN RUBRO", VLOOKUP(A1546, 'Base 3F'!$B:$J, 9, FALSE)))</f>
        <v>Servicios</v>
      </c>
      <c r="D1546" s="58" t="s">
        <v>8176</v>
      </c>
      <c r="E1546" s="10" t="s">
        <v>2392</v>
      </c>
      <c r="F1546" s="46" t="s">
        <v>115</v>
      </c>
    </row>
    <row r="1547">
      <c r="A1547" s="285" t="s">
        <v>8177</v>
      </c>
      <c r="B1547" s="252">
        <f>IF(A1547="", "", IF(IFERROR(VLOOKUP(A1547, 'Base 3F'!$B:$C, 2, FALSE),"")="", "SIN CUIT", VLOOKUP(A1547, 'Base 3F'!$B:$C, 2, FALSE)))</f>
        <v>30708964707</v>
      </c>
      <c r="C1547" s="253" t="str">
        <f>IF(A1547="", "", IF(IFERROR(VLOOKUP(A1547, 'Base 3F'!$B:$J, 9, FALSE),"")="", "SIN RUBRO", VLOOKUP(A1547, 'Base 3F'!$B:$J, 9, FALSE)))</f>
        <v>Metalúrgica</v>
      </c>
      <c r="D1547" s="142" t="s">
        <v>8180</v>
      </c>
      <c r="E1547" s="10" t="s">
        <v>2392</v>
      </c>
      <c r="F1547" s="46" t="s">
        <v>115</v>
      </c>
    </row>
    <row r="1548">
      <c r="A1548" s="285" t="s">
        <v>2374</v>
      </c>
      <c r="B1548" s="252">
        <f>IF(A1548="", "", IF(IFERROR(VLOOKUP(A1548, 'Base 3F'!$B:$C, 2, FALSE),"")="", "SIN CUIT", VLOOKUP(A1548, 'Base 3F'!$B:$C, 2, FALSE)))</f>
        <v>30596296633</v>
      </c>
      <c r="C1548" s="253" t="str">
        <f>IF(A1548="", "", IF(IFERROR(VLOOKUP(A1548, 'Base 3F'!$B:$J, 9, FALSE),"")="", "SIN RUBRO", VLOOKUP(A1548, 'Base 3F'!$B:$J, 9, FALSE)))</f>
        <v>Metalúrgica</v>
      </c>
      <c r="D1548" s="58" t="s">
        <v>8183</v>
      </c>
      <c r="E1548" s="10" t="s">
        <v>2392</v>
      </c>
      <c r="F1548" s="46" t="s">
        <v>115</v>
      </c>
    </row>
    <row r="1549">
      <c r="A1549" s="285" t="s">
        <v>8186</v>
      </c>
      <c r="B1549" s="252">
        <f>IF(A1549="", "", IF(IFERROR(VLOOKUP(A1549, 'Base 3F'!$B:$C, 2, FALSE),"")="", "SIN CUIT", VLOOKUP(A1549, 'Base 3F'!$B:$C, 2, FALSE)))</f>
        <v>33643430849</v>
      </c>
      <c r="C1549" s="253" t="str">
        <f>IF(A1549="", "", IF(IFERROR(VLOOKUP(A1549, 'Base 3F'!$B:$J, 9, FALSE),"")="", "SIN RUBRO", VLOOKUP(A1549, 'Base 3F'!$B:$J, 9, FALSE)))</f>
        <v>Metalmecánica</v>
      </c>
      <c r="D1549" s="58" t="s">
        <v>8189</v>
      </c>
      <c r="E1549" s="10" t="s">
        <v>2392</v>
      </c>
      <c r="F1549" s="46" t="s">
        <v>115</v>
      </c>
    </row>
    <row r="1550">
      <c r="A1550" s="285" t="s">
        <v>8191</v>
      </c>
      <c r="B1550" s="252">
        <f>IF(A1550="", "", IF(IFERROR(VLOOKUP(A1550, 'Base 3F'!$B:$C, 2, FALSE),"")="", "SIN CUIT", VLOOKUP(A1550, 'Base 3F'!$B:$C, 2, FALSE)))</f>
        <v>20186281919</v>
      </c>
      <c r="C1550" s="253" t="str">
        <f>IF(A1550="", "", IF(IFERROR(VLOOKUP(A1550, 'Base 3F'!$B:$J, 9, FALSE),"")="", "SIN RUBRO", VLOOKUP(A1550, 'Base 3F'!$B:$J, 9, FALSE)))</f>
        <v>Metalúrgica</v>
      </c>
      <c r="D1550" s="58" t="s">
        <v>8194</v>
      </c>
      <c r="E1550" s="10" t="s">
        <v>2392</v>
      </c>
      <c r="F1550" s="46" t="s">
        <v>115</v>
      </c>
    </row>
    <row r="1551">
      <c r="A1551" s="285" t="s">
        <v>8195</v>
      </c>
      <c r="B1551" s="252">
        <f>IF(A1551="", "", IF(IFERROR(VLOOKUP(A1551, 'Base 3F'!$B:$C, 2, FALSE),"")="", "SIN CUIT", VLOOKUP(A1551, 'Base 3F'!$B:$C, 2, FALSE)))</f>
        <v>20315505691</v>
      </c>
      <c r="C1551" s="253" t="str">
        <f>IF(A1551="", "", IF(IFERROR(VLOOKUP(A1551, 'Base 3F'!$B:$J, 9, FALSE),"")="", "SIN RUBRO", VLOOKUP(A1551, 'Base 3F'!$B:$J, 9, FALSE)))</f>
        <v>Metalúrgica</v>
      </c>
      <c r="D1551" s="58" t="s">
        <v>8200</v>
      </c>
      <c r="E1551" s="10" t="s">
        <v>2392</v>
      </c>
      <c r="F1551" s="46" t="s">
        <v>115</v>
      </c>
    </row>
    <row r="1552">
      <c r="A1552" s="285" t="s">
        <v>2380</v>
      </c>
      <c r="B1552" s="252">
        <f>IF(A1552="", "", IF(IFERROR(VLOOKUP(A1552, 'Base 3F'!$B:$C, 2, FALSE),"")="", "SIN CUIT", VLOOKUP(A1552, 'Base 3F'!$B:$C, 2, FALSE)))</f>
        <v>30709089583</v>
      </c>
      <c r="C1552" s="253" t="str">
        <f>IF(A1552="", "", IF(IFERROR(VLOOKUP(A1552, 'Base 3F'!$B:$J, 9, FALSE),"")="", "SIN RUBRO", VLOOKUP(A1552, 'Base 3F'!$B:$J, 9, FALSE)))</f>
        <v>Metalúrgica</v>
      </c>
      <c r="D1552" s="58" t="s">
        <v>8203</v>
      </c>
      <c r="E1552" s="10" t="s">
        <v>2392</v>
      </c>
      <c r="F1552" s="46" t="s">
        <v>115</v>
      </c>
    </row>
    <row r="1553">
      <c r="A1553" s="285" t="s">
        <v>8204</v>
      </c>
      <c r="B1553" s="252">
        <f>IF(A1553="", "", IF(IFERROR(VLOOKUP(A1553, 'Base 3F'!$B:$C, 2, FALSE),"")="", "SIN CUIT", VLOOKUP(A1553, 'Base 3F'!$B:$C, 2, FALSE)))</f>
        <v>30712272372</v>
      </c>
      <c r="C1553" s="253" t="str">
        <f>IF(A1553="", "", IF(IFERROR(VLOOKUP(A1553, 'Base 3F'!$B:$J, 9, FALSE),"")="", "SIN RUBRO", VLOOKUP(A1553, 'Base 3F'!$B:$J, 9, FALSE)))</f>
        <v>Metalúrgica</v>
      </c>
      <c r="D1553" s="58" t="s">
        <v>8210</v>
      </c>
      <c r="E1553" s="10" t="s">
        <v>2392</v>
      </c>
      <c r="F1553" s="46" t="s">
        <v>115</v>
      </c>
    </row>
    <row r="1554">
      <c r="A1554" s="285" t="s">
        <v>2384</v>
      </c>
      <c r="B1554" s="252">
        <f>IF(A1554="", "", IF(IFERROR(VLOOKUP(A1554, 'Base 3F'!$B:$C, 2, FALSE),"")="", "SIN CUIT", VLOOKUP(A1554, 'Base 3F'!$B:$C, 2, FALSE)))</f>
        <v>30707522557</v>
      </c>
      <c r="C1554" s="253" t="str">
        <f>IF(A1554="", "", IF(IFERROR(VLOOKUP(A1554, 'Base 3F'!$B:$J, 9, FALSE),"")="", "SIN RUBRO", VLOOKUP(A1554, 'Base 3F'!$B:$J, 9, FALSE)))</f>
        <v>Textil</v>
      </c>
      <c r="D1554" s="58" t="s">
        <v>440</v>
      </c>
      <c r="E1554" s="10" t="s">
        <v>2392</v>
      </c>
      <c r="F1554" s="46" t="s">
        <v>115</v>
      </c>
    </row>
    <row r="1555">
      <c r="A1555" s="285" t="s">
        <v>2393</v>
      </c>
      <c r="B1555" s="252">
        <f>IF(A1555="", "", IF(IFERROR(VLOOKUP(A1555, 'Base 3F'!$B:$C, 2, FALSE),"")="", "SIN CUIT", VLOOKUP(A1555, 'Base 3F'!$B:$C, 2, FALSE)))</f>
        <v>30682593101</v>
      </c>
      <c r="C1555" s="253" t="str">
        <f>IF(A1555="", "", IF(IFERROR(VLOOKUP(A1555, 'Base 3F'!$B:$J, 9, FALSE),"")="", "SIN RUBRO", VLOOKUP(A1555, 'Base 3F'!$B:$J, 9, FALSE)))</f>
        <v>Química</v>
      </c>
      <c r="D1555" s="58" t="s">
        <v>8214</v>
      </c>
      <c r="E1555" s="10" t="s">
        <v>2392</v>
      </c>
      <c r="F1555" s="46" t="s">
        <v>115</v>
      </c>
    </row>
    <row r="1556">
      <c r="A1556" s="285" t="s">
        <v>8215</v>
      </c>
      <c r="B1556" s="252">
        <f>IF(A1556="", "", IF(IFERROR(VLOOKUP(A1556, 'Base 3F'!$B:$C, 2, FALSE),"")="", "SIN CUIT", VLOOKUP(A1556, 'Base 3F'!$B:$C, 2, FALSE)))</f>
        <v>30708614269</v>
      </c>
      <c r="C1556" s="253" t="str">
        <f>IF(A1556="", "", IF(IFERROR(VLOOKUP(A1556, 'Base 3F'!$B:$J, 9, FALSE),"")="", "SIN RUBRO", VLOOKUP(A1556, 'Base 3F'!$B:$J, 9, FALSE)))</f>
        <v>Metalmecánica</v>
      </c>
      <c r="D1556" s="58" t="s">
        <v>8218</v>
      </c>
      <c r="E1556" s="10" t="s">
        <v>2392</v>
      </c>
      <c r="F1556" s="46" t="s">
        <v>115</v>
      </c>
    </row>
    <row r="1557">
      <c r="A1557" s="285" t="s">
        <v>8219</v>
      </c>
      <c r="B1557" s="252">
        <f>IF(A1557="", "", IF(IFERROR(VLOOKUP(A1557, 'Base 3F'!$B:$C, 2, FALSE),"")="", "SIN CUIT", VLOOKUP(A1557, 'Base 3F'!$B:$C, 2, FALSE)))</f>
        <v>20172311017</v>
      </c>
      <c r="C1557" s="253" t="str">
        <f>IF(A1557="", "", IF(IFERROR(VLOOKUP(A1557, 'Base 3F'!$B:$J, 9, FALSE),"")="", "SIN RUBRO", VLOOKUP(A1557, 'Base 3F'!$B:$J, 9, FALSE)))</f>
        <v>Electrónica</v>
      </c>
      <c r="D1557" s="58" t="s">
        <v>8224</v>
      </c>
      <c r="E1557" s="10" t="s">
        <v>2392</v>
      </c>
      <c r="F1557" s="46" t="s">
        <v>115</v>
      </c>
    </row>
    <row r="1558">
      <c r="A1558" s="285" t="s">
        <v>8226</v>
      </c>
      <c r="B1558" s="252">
        <f>IF(A1558="", "", IF(IFERROR(VLOOKUP(A1558, 'Base 3F'!$B:$C, 2, FALSE),"")="", "SIN CUIT", VLOOKUP(A1558, 'Base 3F'!$B:$C, 2, FALSE)))</f>
        <v>30709310603</v>
      </c>
      <c r="C1558" s="253" t="str">
        <f>IF(A1558="", "", IF(IFERROR(VLOOKUP(A1558, 'Base 3F'!$B:$J, 9, FALSE),"")="", "SIN RUBRO", VLOOKUP(A1558, 'Base 3F'!$B:$J, 9, FALSE)))</f>
        <v>Textil</v>
      </c>
      <c r="D1558" s="58" t="s">
        <v>8229</v>
      </c>
      <c r="E1558" s="10" t="s">
        <v>2392</v>
      </c>
      <c r="F1558" s="46" t="s">
        <v>115</v>
      </c>
    </row>
    <row r="1559">
      <c r="A1559" s="285" t="s">
        <v>8231</v>
      </c>
      <c r="B1559" s="252">
        <f>IF(A1559="", "", IF(IFERROR(VLOOKUP(A1559, 'Base 3F'!$B:$C, 2, FALSE),"")="", "SIN CUIT", VLOOKUP(A1559, 'Base 3F'!$B:$C, 2, FALSE)))</f>
        <v>30502183326</v>
      </c>
      <c r="C1559" s="253" t="str">
        <f>IF(A1559="", "", IF(IFERROR(VLOOKUP(A1559, 'Base 3F'!$B:$J, 9, FALSE),"")="", "SIN RUBRO", VLOOKUP(A1559, 'Base 3F'!$B:$J, 9, FALSE)))</f>
        <v>Metalúrgica</v>
      </c>
      <c r="D1559" s="58" t="s">
        <v>8234</v>
      </c>
      <c r="E1559" s="10" t="s">
        <v>2392</v>
      </c>
      <c r="F1559" s="46" t="s">
        <v>115</v>
      </c>
    </row>
    <row r="1560">
      <c r="A1560" s="285" t="s">
        <v>2398</v>
      </c>
      <c r="B1560" s="252">
        <f>IF(A1560="", "", IF(IFERROR(VLOOKUP(A1560, 'Base 3F'!$B:$C, 2, FALSE),"")="", "SIN CUIT", VLOOKUP(A1560, 'Base 3F'!$B:$C, 2, FALSE)))</f>
        <v>33504596309</v>
      </c>
      <c r="C1560" s="253" t="str">
        <f>IF(A1560="", "", IF(IFERROR(VLOOKUP(A1560, 'Base 3F'!$B:$J, 9, FALSE),"")="", "SIN RUBRO", VLOOKUP(A1560, 'Base 3F'!$B:$J, 9, FALSE)))</f>
        <v>Metalúrgica</v>
      </c>
      <c r="D1560" s="58" t="s">
        <v>8235</v>
      </c>
      <c r="E1560" s="10" t="s">
        <v>2392</v>
      </c>
      <c r="F1560" s="46" t="s">
        <v>115</v>
      </c>
    </row>
    <row r="1561">
      <c r="A1561" s="285" t="s">
        <v>8236</v>
      </c>
      <c r="B1561" s="252">
        <f>IF(A1561="", "", IF(IFERROR(VLOOKUP(A1561, 'Base 3F'!$B:$C, 2, FALSE),"")="", "SIN CUIT", VLOOKUP(A1561, 'Base 3F'!$B:$C, 2, FALSE)))</f>
        <v>30709779741</v>
      </c>
      <c r="C1561" s="253" t="str">
        <f>IF(A1561="", "", IF(IFERROR(VLOOKUP(A1561, 'Base 3F'!$B:$J, 9, FALSE),"")="", "SIN RUBRO", VLOOKUP(A1561, 'Base 3F'!$B:$J, 9, FALSE)))</f>
        <v>Servicios</v>
      </c>
      <c r="D1561" s="330" t="s">
        <v>8242</v>
      </c>
      <c r="E1561" s="10" t="s">
        <v>2392</v>
      </c>
      <c r="F1561" s="46" t="s">
        <v>115</v>
      </c>
    </row>
    <row r="1562">
      <c r="A1562" s="285" t="s">
        <v>4339</v>
      </c>
      <c r="B1562" s="252">
        <f>IF(A1562="", "", IF(IFERROR(VLOOKUP(A1562, 'Base 3F'!$B:$C, 2, FALSE),"")="", "SIN CUIT", VLOOKUP(A1562, 'Base 3F'!$B:$C, 2, FALSE)))</f>
        <v>30709702285</v>
      </c>
      <c r="C1562" s="253" t="str">
        <f>IF(A1562="", "", IF(IFERROR(VLOOKUP(A1562, 'Base 3F'!$B:$J, 9, FALSE),"")="", "SIN RUBRO", VLOOKUP(A1562, 'Base 3F'!$B:$J, 9, FALSE)))</f>
        <v>Metalúrgica</v>
      </c>
      <c r="D1562" s="58" t="s">
        <v>8248</v>
      </c>
      <c r="E1562" s="10" t="s">
        <v>2392</v>
      </c>
      <c r="F1562" s="46" t="s">
        <v>115</v>
      </c>
    </row>
    <row r="1563">
      <c r="A1563" s="285" t="s">
        <v>2411</v>
      </c>
      <c r="B1563" s="252">
        <f>IF(A1563="", "", IF(IFERROR(VLOOKUP(A1563, 'Base 3F'!$B:$C, 2, FALSE),"")="", "SIN CUIT", VLOOKUP(A1563, 'Base 3F'!$B:$C, 2, FALSE)))</f>
        <v>20251287881</v>
      </c>
      <c r="C1563" s="253" t="str">
        <f>IF(A1563="", "", IF(IFERROR(VLOOKUP(A1563, 'Base 3F'!$B:$J, 9, FALSE),"")="", "SIN RUBRO", VLOOKUP(A1563, 'Base 3F'!$B:$J, 9, FALSE)))</f>
        <v>Metalúrgica</v>
      </c>
      <c r="D1563" s="58" t="s">
        <v>8251</v>
      </c>
      <c r="E1563" s="10" t="s">
        <v>2392</v>
      </c>
      <c r="F1563" s="46" t="s">
        <v>115</v>
      </c>
    </row>
    <row r="1564">
      <c r="A1564" s="285" t="s">
        <v>8252</v>
      </c>
      <c r="B1564" s="252">
        <f>IF(A1564="", "", IF(IFERROR(VLOOKUP(A1564, 'Base 3F'!$B:$C, 2, FALSE),"")="", "SIN CUIT", VLOOKUP(A1564, 'Base 3F'!$B:$C, 2, FALSE)))</f>
        <v>20238028869</v>
      </c>
      <c r="C1564" s="253" t="str">
        <f>IF(A1564="", "", IF(IFERROR(VLOOKUP(A1564, 'Base 3F'!$B:$J, 9, FALSE),"")="", "SIN RUBRO", VLOOKUP(A1564, 'Base 3F'!$B:$J, 9, FALSE)))</f>
        <v>Metalúrgica</v>
      </c>
      <c r="D1564" s="142" t="s">
        <v>8258</v>
      </c>
      <c r="E1564" s="10" t="s">
        <v>2392</v>
      </c>
      <c r="F1564" s="46" t="s">
        <v>115</v>
      </c>
    </row>
    <row r="1565">
      <c r="A1565" s="285" t="s">
        <v>2420</v>
      </c>
      <c r="B1565" s="252">
        <f>IF(A1565="", "", IF(IFERROR(VLOOKUP(A1565, 'Base 3F'!$B:$C, 2, FALSE),"")="", "SIN CUIT", VLOOKUP(A1565, 'Base 3F'!$B:$C, 2, FALSE)))</f>
        <v>30557662320</v>
      </c>
      <c r="C1565" s="253" t="str">
        <f>IF(A1565="", "", IF(IFERROR(VLOOKUP(A1565, 'Base 3F'!$B:$J, 9, FALSE),"")="", "SIN RUBRO", VLOOKUP(A1565, 'Base 3F'!$B:$J, 9, FALSE)))</f>
        <v>Metalúrgica</v>
      </c>
      <c r="D1565" s="58" t="s">
        <v>8261</v>
      </c>
      <c r="E1565" s="10" t="s">
        <v>2392</v>
      </c>
      <c r="F1565" s="46" t="s">
        <v>115</v>
      </c>
    </row>
    <row r="1566">
      <c r="A1566" s="285" t="s">
        <v>8264</v>
      </c>
      <c r="B1566" s="252">
        <f>IF(A1566="", "", IF(IFERROR(VLOOKUP(A1566, 'Base 3F'!$B:$C, 2, FALSE),"")="", "SIN CUIT", VLOOKUP(A1566, 'Base 3F'!$B:$C, 2, FALSE)))</f>
        <v>20162525930</v>
      </c>
      <c r="C1566" s="253" t="str">
        <f>IF(A1566="", "", IF(IFERROR(VLOOKUP(A1566, 'Base 3F'!$B:$J, 9, FALSE),"")="", "SIN RUBRO", VLOOKUP(A1566, 'Base 3F'!$B:$J, 9, FALSE)))</f>
        <v>Metalúrgica</v>
      </c>
      <c r="D1566" s="58" t="s">
        <v>8265</v>
      </c>
      <c r="E1566" s="10" t="s">
        <v>2392</v>
      </c>
      <c r="F1566" s="46" t="s">
        <v>115</v>
      </c>
    </row>
    <row r="1567">
      <c r="A1567" s="285" t="s">
        <v>8266</v>
      </c>
      <c r="B1567" s="252">
        <f>IF(A1567="", "", IF(IFERROR(VLOOKUP(A1567, 'Base 3F'!$B:$C, 2, FALSE),"")="", "SIN CUIT", VLOOKUP(A1567, 'Base 3F'!$B:$C, 2, FALSE)))</f>
        <v>33643652809</v>
      </c>
      <c r="C1567" s="253" t="str">
        <f>IF(A1567="", "", IF(IFERROR(VLOOKUP(A1567, 'Base 3F'!$B:$J, 9, FALSE),"")="", "SIN RUBRO", VLOOKUP(A1567, 'Base 3F'!$B:$J, 9, FALSE)))</f>
        <v>Plástica</v>
      </c>
      <c r="D1567" s="58" t="s">
        <v>8267</v>
      </c>
      <c r="E1567" s="10" t="s">
        <v>2392</v>
      </c>
      <c r="F1567" s="46" t="s">
        <v>115</v>
      </c>
    </row>
    <row r="1568">
      <c r="A1568" s="285" t="s">
        <v>8268</v>
      </c>
      <c r="B1568" s="252">
        <f>IF(A1568="", "", IF(IFERROR(VLOOKUP(A1568, 'Base 3F'!$B:$C, 2, FALSE),"")="", "SIN CUIT", VLOOKUP(A1568, 'Base 3F'!$B:$C, 2, FALSE)))</f>
        <v>30605457815</v>
      </c>
      <c r="C1568" s="253" t="str">
        <f>IF(A1568="", "", IF(IFERROR(VLOOKUP(A1568, 'Base 3F'!$B:$J, 9, FALSE),"")="", "SIN RUBRO", VLOOKUP(A1568, 'Base 3F'!$B:$J, 9, FALSE)))</f>
        <v>Química</v>
      </c>
      <c r="D1568" s="58" t="s">
        <v>8273</v>
      </c>
      <c r="E1568" s="10" t="s">
        <v>2392</v>
      </c>
      <c r="F1568" s="46" t="s">
        <v>115</v>
      </c>
    </row>
    <row r="1569">
      <c r="A1569" s="285" t="s">
        <v>8274</v>
      </c>
      <c r="B1569" s="252">
        <f>IF(A1569="", "", IF(IFERROR(VLOOKUP(A1569, 'Base 3F'!$B:$C, 2, FALSE),"")="", "SIN CUIT", VLOOKUP(A1569, 'Base 3F'!$B:$C, 2, FALSE)))</f>
        <v>30683637234</v>
      </c>
      <c r="C1569" s="253" t="str">
        <f>IF(A1569="", "", IF(IFERROR(VLOOKUP(A1569, 'Base 3F'!$B:$J, 9, FALSE),"")="", "SIN RUBRO", VLOOKUP(A1569, 'Base 3F'!$B:$J, 9, FALSE)))</f>
        <v>Metalúrgica</v>
      </c>
      <c r="D1569" s="58" t="s">
        <v>8275</v>
      </c>
      <c r="E1569" s="10" t="s">
        <v>2392</v>
      </c>
      <c r="F1569" s="46" t="s">
        <v>115</v>
      </c>
    </row>
    <row r="1570">
      <c r="A1570" s="285" t="s">
        <v>8277</v>
      </c>
      <c r="B1570" s="252">
        <f>IF(A1570="", "", IF(IFERROR(VLOOKUP(A1570, 'Base 3F'!$B:$C, 2, FALSE),"")="", "SIN CUIT", VLOOKUP(A1570, 'Base 3F'!$B:$C, 2, FALSE)))</f>
        <v>30711977917</v>
      </c>
      <c r="C1570" s="253" t="str">
        <f>IF(A1570="", "", IF(IFERROR(VLOOKUP(A1570, 'Base 3F'!$B:$J, 9, FALSE),"")="", "SIN RUBRO", VLOOKUP(A1570, 'Base 3F'!$B:$J, 9, FALSE)))</f>
        <v>Metalúrgica</v>
      </c>
      <c r="D1570" s="58" t="s">
        <v>8283</v>
      </c>
      <c r="E1570" s="10" t="s">
        <v>2392</v>
      </c>
      <c r="F1570" s="46" t="s">
        <v>115</v>
      </c>
    </row>
    <row r="1571">
      <c r="A1571" s="285" t="s">
        <v>2435</v>
      </c>
      <c r="B1571" s="252">
        <f>IF(A1571="", "", IF(IFERROR(VLOOKUP(A1571, 'Base 3F'!$B:$C, 2, FALSE),"")="", "SIN CUIT", VLOOKUP(A1571, 'Base 3F'!$B:$C, 2, FALSE)))</f>
        <v>30599132453</v>
      </c>
      <c r="C1571" s="253" t="str">
        <f>IF(A1571="", "", IF(IFERROR(VLOOKUP(A1571, 'Base 3F'!$B:$J, 9, FALSE),"")="", "SIN RUBRO", VLOOKUP(A1571, 'Base 3F'!$B:$J, 9, FALSE)))</f>
        <v>Metalúrgica</v>
      </c>
      <c r="D1571" s="58" t="s">
        <v>8284</v>
      </c>
      <c r="E1571" s="10" t="s">
        <v>2392</v>
      </c>
      <c r="F1571" s="46" t="s">
        <v>115</v>
      </c>
    </row>
    <row r="1572">
      <c r="A1572" s="285" t="s">
        <v>8285</v>
      </c>
      <c r="B1572" s="252">
        <f>IF(A1572="", "", IF(IFERROR(VLOOKUP(A1572, 'Base 3F'!$B:$C, 2, FALSE),"")="", "SIN CUIT", VLOOKUP(A1572, 'Base 3F'!$B:$C, 2, FALSE)))</f>
        <v>33501088469</v>
      </c>
      <c r="C1572" s="253" t="str">
        <f>IF(A1572="", "", IF(IFERROR(VLOOKUP(A1572, 'Base 3F'!$B:$J, 9, FALSE),"")="", "SIN RUBRO", VLOOKUP(A1572, 'Base 3F'!$B:$J, 9, FALSE)))</f>
        <v>Bebidas</v>
      </c>
      <c r="D1572" s="58" t="s">
        <v>8288</v>
      </c>
      <c r="E1572" s="10" t="s">
        <v>2392</v>
      </c>
      <c r="F1572" s="46" t="s">
        <v>115</v>
      </c>
    </row>
    <row r="1573">
      <c r="A1573" s="285" t="s">
        <v>8289</v>
      </c>
      <c r="B1573" s="252">
        <f>IF(A1573="", "", IF(IFERROR(VLOOKUP(A1573, 'Base 3F'!$B:$C, 2, FALSE),"")="", "SIN CUIT", VLOOKUP(A1573, 'Base 3F'!$B:$C, 2, FALSE)))</f>
        <v>30712456163</v>
      </c>
      <c r="C1573" s="253" t="str">
        <f>IF(A1573="", "", IF(IFERROR(VLOOKUP(A1573, 'Base 3F'!$B:$J, 9, FALSE),"")="", "SIN RUBRO", VLOOKUP(A1573, 'Base 3F'!$B:$J, 9, FALSE)))</f>
        <v>Plástica</v>
      </c>
      <c r="D1573" s="58" t="s">
        <v>8291</v>
      </c>
      <c r="E1573" s="10" t="s">
        <v>2392</v>
      </c>
      <c r="F1573" s="46" t="s">
        <v>115</v>
      </c>
    </row>
    <row r="1574">
      <c r="A1574" s="285" t="s">
        <v>8292</v>
      </c>
      <c r="B1574" s="252">
        <f>IF(A1574="", "", IF(IFERROR(VLOOKUP(A1574, 'Base 3F'!$B:$C, 2, FALSE),"")="", "SIN CUIT", VLOOKUP(A1574, 'Base 3F'!$B:$C, 2, FALSE)))</f>
        <v>30711398720</v>
      </c>
      <c r="C1574" s="253" t="str">
        <f>IF(A1574="", "", IF(IFERROR(VLOOKUP(A1574, 'Base 3F'!$B:$J, 9, FALSE),"")="", "SIN RUBRO", VLOOKUP(A1574, 'Base 3F'!$B:$J, 9, FALSE)))</f>
        <v>Textil</v>
      </c>
      <c r="D1574" s="58" t="s">
        <v>8297</v>
      </c>
      <c r="E1574" s="10" t="s">
        <v>2392</v>
      </c>
      <c r="F1574" s="46" t="s">
        <v>115</v>
      </c>
    </row>
    <row r="1575">
      <c r="A1575" s="285" t="s">
        <v>8298</v>
      </c>
      <c r="B1575" s="252">
        <f>IF(A1575="", "", IF(IFERROR(VLOOKUP(A1575, 'Base 3F'!$B:$C, 2, FALSE),"")="", "SIN CUIT", VLOOKUP(A1575, 'Base 3F'!$B:$C, 2, FALSE)))</f>
        <v>30715322974</v>
      </c>
      <c r="C1575" s="253" t="str">
        <f>IF(A1575="", "", IF(IFERROR(VLOOKUP(A1575, 'Base 3F'!$B:$J, 9, FALSE),"")="", "SIN RUBRO", VLOOKUP(A1575, 'Base 3F'!$B:$J, 9, FALSE)))</f>
        <v>Textil</v>
      </c>
      <c r="D1575" s="58" t="s">
        <v>8300</v>
      </c>
      <c r="E1575" s="10" t="s">
        <v>2392</v>
      </c>
      <c r="F1575" s="46" t="s">
        <v>115</v>
      </c>
    </row>
    <row r="1576">
      <c r="A1576" s="285" t="s">
        <v>8303</v>
      </c>
      <c r="B1576" s="252">
        <f>IF(A1576="", "", IF(IFERROR(VLOOKUP(A1576, 'Base 3F'!$B:$C, 2, FALSE),"")="", "SIN CUIT", VLOOKUP(A1576, 'Base 3F'!$B:$C, 2, FALSE)))</f>
        <v>30688340329</v>
      </c>
      <c r="C1576" s="253" t="str">
        <f>IF(A1576="", "", IF(IFERROR(VLOOKUP(A1576, 'Base 3F'!$B:$J, 9, FALSE),"")="", "SIN RUBRO", VLOOKUP(A1576, 'Base 3F'!$B:$J, 9, FALSE)))</f>
        <v>Metalúrgica</v>
      </c>
      <c r="D1576" s="58" t="s">
        <v>8306</v>
      </c>
      <c r="E1576" s="10" t="s">
        <v>2392</v>
      </c>
      <c r="F1576" s="46" t="s">
        <v>115</v>
      </c>
    </row>
    <row r="1577">
      <c r="A1577" s="285" t="s">
        <v>8307</v>
      </c>
      <c r="B1577" s="252">
        <f>IF(A1577="", "", IF(IFERROR(VLOOKUP(A1577, 'Base 3F'!$B:$C, 2, FALSE),"")="", "SIN CUIT", VLOOKUP(A1577, 'Base 3F'!$B:$C, 2, FALSE)))</f>
        <v>23937282079</v>
      </c>
      <c r="C1577" s="253" t="str">
        <f>IF(A1577="", "", IF(IFERROR(VLOOKUP(A1577, 'Base 3F'!$B:$J, 9, FALSE),"")="", "SIN RUBRO", VLOOKUP(A1577, 'Base 3F'!$B:$J, 9, FALSE)))</f>
        <v>Manufactura</v>
      </c>
      <c r="D1577" s="58" t="s">
        <v>8309</v>
      </c>
      <c r="E1577" s="10" t="s">
        <v>2392</v>
      </c>
      <c r="F1577" s="46" t="s">
        <v>115</v>
      </c>
    </row>
    <row r="1578">
      <c r="A1578" s="285" t="s">
        <v>8313</v>
      </c>
      <c r="B1578" s="252">
        <f>IF(A1578="", "", IF(IFERROR(VLOOKUP(A1578, 'Base 3F'!$B:$C, 2, FALSE),"")="", "SIN CUIT", VLOOKUP(A1578, 'Base 3F'!$B:$C, 2, FALSE)))</f>
        <v>33685306889</v>
      </c>
      <c r="C1578" s="253" t="str">
        <f>IF(A1578="", "", IF(IFERROR(VLOOKUP(A1578, 'Base 3F'!$B:$J, 9, FALSE),"")="", "SIN RUBRO", VLOOKUP(A1578, 'Base 3F'!$B:$J, 9, FALSE)))</f>
        <v>Metalúrgica</v>
      </c>
      <c r="D1578" s="58" t="s">
        <v>8316</v>
      </c>
      <c r="E1578" s="10" t="s">
        <v>2392</v>
      </c>
      <c r="F1578" s="46" t="s">
        <v>115</v>
      </c>
    </row>
    <row r="1579">
      <c r="A1579" s="285" t="s">
        <v>8317</v>
      </c>
      <c r="B1579" s="252">
        <f>IF(A1579="", "", IF(IFERROR(VLOOKUP(A1579, 'Base 3F'!$B:$C, 2, FALSE),"")="", "SIN CUIT", VLOOKUP(A1579, 'Base 3F'!$B:$C, 2, FALSE)))</f>
        <v>30711449988</v>
      </c>
      <c r="C1579" s="253" t="str">
        <f>IF(A1579="", "", IF(IFERROR(VLOOKUP(A1579, 'Base 3F'!$B:$J, 9, FALSE),"")="", "SIN RUBRO", VLOOKUP(A1579, 'Base 3F'!$B:$J, 9, FALSE)))</f>
        <v>Papel</v>
      </c>
      <c r="D1579" s="58" t="s">
        <v>8321</v>
      </c>
      <c r="E1579" s="10" t="s">
        <v>2392</v>
      </c>
      <c r="F1579" s="46" t="s">
        <v>115</v>
      </c>
    </row>
    <row r="1580">
      <c r="A1580" s="285" t="s">
        <v>8322</v>
      </c>
      <c r="B1580" s="252">
        <f>IF(A1580="", "", IF(IFERROR(VLOOKUP(A1580, 'Base 3F'!$B:$C, 2, FALSE),"")="", "SIN CUIT", VLOOKUP(A1580, 'Base 3F'!$B:$C, 2, FALSE)))</f>
        <v>20049263598</v>
      </c>
      <c r="C1580" s="253" t="str">
        <f>IF(A1580="", "", IF(IFERROR(VLOOKUP(A1580, 'Base 3F'!$B:$J, 9, FALSE),"")="", "SIN RUBRO", VLOOKUP(A1580, 'Base 3F'!$B:$J, 9, FALSE)))</f>
        <v>Alimenticia</v>
      </c>
      <c r="D1580" s="242" t="s">
        <v>8324</v>
      </c>
      <c r="E1580" s="10" t="s">
        <v>2392</v>
      </c>
      <c r="F1580" s="46" t="s">
        <v>7757</v>
      </c>
    </row>
    <row r="1581">
      <c r="A1581" s="285" t="s">
        <v>8325</v>
      </c>
      <c r="B1581" s="252">
        <f>IF(A1581="", "", IF(IFERROR(VLOOKUP(A1581, 'Base 3F'!$B:$C, 2, FALSE),"")="", "SIN CUIT", VLOOKUP(A1581, 'Base 3F'!$B:$C, 2, FALSE)))</f>
        <v>33626217139</v>
      </c>
      <c r="C1581" s="253" t="str">
        <f>IF(A1581="", "", IF(IFERROR(VLOOKUP(A1581, 'Base 3F'!$B:$J, 9, FALSE),"")="", "SIN RUBRO", VLOOKUP(A1581, 'Base 3F'!$B:$J, 9, FALSE)))</f>
        <v>Madera</v>
      </c>
      <c r="D1581" s="58" t="s">
        <v>8327</v>
      </c>
      <c r="E1581" s="10" t="s">
        <v>2392</v>
      </c>
      <c r="F1581" s="46" t="s">
        <v>115</v>
      </c>
    </row>
    <row r="1582">
      <c r="A1582" s="285" t="s">
        <v>8329</v>
      </c>
      <c r="B1582" s="252">
        <f>IF(A1582="", "", IF(IFERROR(VLOOKUP(A1582, 'Base 3F'!$B:$C, 2, FALSE),"")="", "SIN CUIT", VLOOKUP(A1582, 'Base 3F'!$B:$C, 2, FALSE)))</f>
        <v>30643843958</v>
      </c>
      <c r="C1582" s="253" t="str">
        <f>IF(A1582="", "", IF(IFERROR(VLOOKUP(A1582, 'Base 3F'!$B:$J, 9, FALSE),"")="", "SIN RUBRO", VLOOKUP(A1582, 'Base 3F'!$B:$J, 9, FALSE)))</f>
        <v>Madera</v>
      </c>
      <c r="D1582" s="58" t="s">
        <v>8331</v>
      </c>
      <c r="E1582" s="10" t="s">
        <v>2392</v>
      </c>
      <c r="F1582" s="46" t="s">
        <v>115</v>
      </c>
    </row>
    <row r="1583">
      <c r="A1583" s="285" t="s">
        <v>8333</v>
      </c>
      <c r="B1583" s="252" t="str">
        <f>IF(A1583="", "", IF(IFERROR(VLOOKUP(A1583, 'Base 3F'!$B:$C, 2, FALSE),"")="", "SIN CUIT", VLOOKUP(A1583, 'Base 3F'!$B:$C, 2, FALSE)))</f>
        <v>SIN CUIT</v>
      </c>
      <c r="C1583" s="253" t="str">
        <f>IF(A1583="", "", IF(IFERROR(VLOOKUP(A1583, 'Base 3F'!$B:$J, 9, FALSE),"")="", "SIN RUBRO", VLOOKUP(A1583, 'Base 3F'!$B:$J, 9, FALSE)))</f>
        <v>SIN RUBRO</v>
      </c>
      <c r="D1583" s="58" t="s">
        <v>8335</v>
      </c>
      <c r="E1583" s="10" t="s">
        <v>2392</v>
      </c>
      <c r="F1583" s="46" t="s">
        <v>115</v>
      </c>
    </row>
    <row r="1584">
      <c r="A1584" s="285" t="s">
        <v>8336</v>
      </c>
      <c r="B1584" s="252">
        <f>IF(A1584="", "", IF(IFERROR(VLOOKUP(A1584, 'Base 3F'!$B:$C, 2, FALSE),"")="", "SIN CUIT", VLOOKUP(A1584, 'Base 3F'!$B:$C, 2, FALSE)))</f>
        <v>20260005570</v>
      </c>
      <c r="C1584" s="253" t="str">
        <f>IF(A1584="", "", IF(IFERROR(VLOOKUP(A1584, 'Base 3F'!$B:$J, 9, FALSE),"")="", "SIN RUBRO", VLOOKUP(A1584, 'Base 3F'!$B:$J, 9, FALSE)))</f>
        <v>Alimenticia</v>
      </c>
      <c r="D1584" s="242" t="s">
        <v>8341</v>
      </c>
      <c r="E1584" s="10" t="s">
        <v>2392</v>
      </c>
      <c r="F1584" s="46" t="s">
        <v>1625</v>
      </c>
    </row>
    <row r="1585">
      <c r="A1585" s="285" t="s">
        <v>8342</v>
      </c>
      <c r="B1585" s="252">
        <f>IF(A1585="", "", IF(IFERROR(VLOOKUP(A1585, 'Base 3F'!$B:$C, 2, FALSE),"")="", "SIN CUIT", VLOOKUP(A1585, 'Base 3F'!$B:$C, 2, FALSE)))</f>
        <v>20171216053</v>
      </c>
      <c r="C1585" s="253" t="str">
        <f>IF(A1585="", "", IF(IFERROR(VLOOKUP(A1585, 'Base 3F'!$B:$J, 9, FALSE),"")="", "SIN RUBRO", VLOOKUP(A1585, 'Base 3F'!$B:$J, 9, FALSE)))</f>
        <v>Metalmecánica</v>
      </c>
      <c r="D1585" s="58" t="s">
        <v>8345</v>
      </c>
      <c r="E1585" s="10" t="s">
        <v>2392</v>
      </c>
      <c r="F1585" s="46" t="s">
        <v>115</v>
      </c>
    </row>
    <row r="1586">
      <c r="A1586" s="285" t="s">
        <v>8347</v>
      </c>
      <c r="B1586" s="252">
        <f>IF(A1586="", "", IF(IFERROR(VLOOKUP(A1586, 'Base 3F'!$B:$C, 2, FALSE),"")="", "SIN CUIT", VLOOKUP(A1586, 'Base 3F'!$B:$C, 2, FALSE)))</f>
        <v>30613593388</v>
      </c>
      <c r="C1586" s="253" t="str">
        <f>IF(A1586="", "", IF(IFERROR(VLOOKUP(A1586, 'Base 3F'!$B:$J, 9, FALSE),"")="", "SIN RUBRO", VLOOKUP(A1586, 'Base 3F'!$B:$J, 9, FALSE)))</f>
        <v>Metalmecánica</v>
      </c>
      <c r="D1586" s="58" t="s">
        <v>8351</v>
      </c>
      <c r="E1586" s="10" t="s">
        <v>2392</v>
      </c>
      <c r="F1586" s="46" t="s">
        <v>115</v>
      </c>
    </row>
    <row r="1587">
      <c r="A1587" s="285" t="s">
        <v>8352</v>
      </c>
      <c r="B1587" s="252">
        <f>IF(A1587="", "", IF(IFERROR(VLOOKUP(A1587, 'Base 3F'!$B:$C, 2, FALSE),"")="", "SIN CUIT", VLOOKUP(A1587, 'Base 3F'!$B:$C, 2, FALSE)))</f>
        <v>27223172682</v>
      </c>
      <c r="C1587" s="253" t="str">
        <f>IF(A1587="", "", IF(IFERROR(VLOOKUP(A1587, 'Base 3F'!$B:$J, 9, FALSE),"")="", "SIN RUBRO", VLOOKUP(A1587, 'Base 3F'!$B:$J, 9, FALSE)))</f>
        <v>Alimenticia</v>
      </c>
      <c r="D1587" s="58" t="s">
        <v>8354</v>
      </c>
      <c r="E1587" s="10" t="s">
        <v>2392</v>
      </c>
      <c r="F1587" s="46" t="s">
        <v>115</v>
      </c>
    </row>
    <row r="1588">
      <c r="A1588" s="285" t="s">
        <v>8356</v>
      </c>
      <c r="B1588" s="252">
        <f>IF(A1588="", "", IF(IFERROR(VLOOKUP(A1588, 'Base 3F'!$B:$C, 2, FALSE),"")="", "SIN CUIT", VLOOKUP(A1588, 'Base 3F'!$B:$C, 2, FALSE)))</f>
        <v>30708541385</v>
      </c>
      <c r="C1588" s="253" t="str">
        <f>IF(A1588="", "", IF(IFERROR(VLOOKUP(A1588, 'Base 3F'!$B:$J, 9, FALSE),"")="", "SIN RUBRO", VLOOKUP(A1588, 'Base 3F'!$B:$J, 9, FALSE)))</f>
        <v>Química</v>
      </c>
      <c r="D1588" s="58" t="s">
        <v>8360</v>
      </c>
      <c r="E1588" s="10" t="s">
        <v>2392</v>
      </c>
      <c r="F1588" s="46" t="s">
        <v>115</v>
      </c>
    </row>
    <row r="1589">
      <c r="A1589" s="285" t="s">
        <v>8361</v>
      </c>
      <c r="B1589" s="252">
        <f>IF(A1589="", "", IF(IFERROR(VLOOKUP(A1589, 'Base 3F'!$B:$C, 2, FALSE),"")="", "SIN CUIT", VLOOKUP(A1589, 'Base 3F'!$B:$C, 2, FALSE)))</f>
        <v>30712535780</v>
      </c>
      <c r="C1589" s="253" t="str">
        <f>IF(A1589="", "", IF(IFERROR(VLOOKUP(A1589, 'Base 3F'!$B:$J, 9, FALSE),"")="", "SIN RUBRO", VLOOKUP(A1589, 'Base 3F'!$B:$J, 9, FALSE)))</f>
        <v>Alimenticia</v>
      </c>
      <c r="D1589" s="273" t="s">
        <v>8364</v>
      </c>
      <c r="E1589" s="10" t="s">
        <v>2392</v>
      </c>
      <c r="F1589" s="46" t="s">
        <v>7757</v>
      </c>
    </row>
    <row r="1590">
      <c r="A1590" s="285" t="s">
        <v>8365</v>
      </c>
      <c r="B1590" s="252">
        <f>IF(A1590="", "", IF(IFERROR(VLOOKUP(A1590, 'Base 3F'!$B:$C, 2, FALSE),"")="", "SIN CUIT", VLOOKUP(A1590, 'Base 3F'!$B:$C, 2, FALSE)))</f>
        <v>30710059787</v>
      </c>
      <c r="C1590" s="253" t="str">
        <f>IF(A1590="", "", IF(IFERROR(VLOOKUP(A1590, 'Base 3F'!$B:$J, 9, FALSE),"")="", "SIN RUBRO", VLOOKUP(A1590, 'Base 3F'!$B:$J, 9, FALSE)))</f>
        <v>Textil</v>
      </c>
      <c r="D1590" s="58" t="s">
        <v>8370</v>
      </c>
      <c r="E1590" s="10" t="s">
        <v>2392</v>
      </c>
      <c r="F1590" s="46" t="s">
        <v>115</v>
      </c>
    </row>
    <row r="1591">
      <c r="A1591" s="285" t="s">
        <v>8371</v>
      </c>
      <c r="B1591" s="252">
        <f>IF(A1591="", "", IF(IFERROR(VLOOKUP(A1591, 'Base 3F'!$B:$C, 2, FALSE),"")="", "SIN CUIT", VLOOKUP(A1591, 'Base 3F'!$B:$C, 2, FALSE)))</f>
        <v>20049834811</v>
      </c>
      <c r="C1591" s="253" t="str">
        <f>IF(A1591="", "", IF(IFERROR(VLOOKUP(A1591, 'Base 3F'!$B:$J, 9, FALSE),"")="", "SIN RUBRO", VLOOKUP(A1591, 'Base 3F'!$B:$J, 9, FALSE)))</f>
        <v>Alimenticia</v>
      </c>
      <c r="D1591" s="58" t="s">
        <v>8373</v>
      </c>
      <c r="E1591" s="10" t="s">
        <v>2392</v>
      </c>
      <c r="F1591" s="46" t="s">
        <v>115</v>
      </c>
    </row>
    <row r="1592">
      <c r="A1592" s="285" t="s">
        <v>2452</v>
      </c>
      <c r="B1592" s="252">
        <f>IF(A1592="", "", IF(IFERROR(VLOOKUP(A1592, 'Base 3F'!$B:$C, 2, FALSE),"")="", "SIN CUIT", VLOOKUP(A1592, 'Base 3F'!$B:$C, 2, FALSE)))</f>
        <v>33710012259</v>
      </c>
      <c r="C1592" s="253" t="str">
        <f>IF(A1592="", "", IF(IFERROR(VLOOKUP(A1592, 'Base 3F'!$B:$J, 9, FALSE),"")="", "SIN RUBRO", VLOOKUP(A1592, 'Base 3F'!$B:$J, 9, FALSE)))</f>
        <v>Metalúrgica</v>
      </c>
      <c r="D1592" s="58" t="s">
        <v>8377</v>
      </c>
      <c r="E1592" s="10" t="s">
        <v>2392</v>
      </c>
      <c r="F1592" s="46" t="s">
        <v>115</v>
      </c>
    </row>
    <row r="1593">
      <c r="A1593" s="285" t="s">
        <v>8378</v>
      </c>
      <c r="B1593" s="252">
        <f>IF(A1593="", "", IF(IFERROR(VLOOKUP(A1593, 'Base 3F'!$B:$C, 2, FALSE),"")="", "SIN CUIT", VLOOKUP(A1593, 'Base 3F'!$B:$C, 2, FALSE)))</f>
        <v>30708938242</v>
      </c>
      <c r="C1593" s="253" t="str">
        <f>IF(A1593="", "", IF(IFERROR(VLOOKUP(A1593, 'Base 3F'!$B:$J, 9, FALSE),"")="", "SIN RUBRO", VLOOKUP(A1593, 'Base 3F'!$B:$J, 9, FALSE)))</f>
        <v>Química</v>
      </c>
      <c r="D1593" s="58" t="s">
        <v>8380</v>
      </c>
      <c r="E1593" s="10" t="s">
        <v>2392</v>
      </c>
      <c r="F1593" s="46" t="s">
        <v>115</v>
      </c>
    </row>
    <row r="1594">
      <c r="A1594" s="285" t="s">
        <v>8382</v>
      </c>
      <c r="B1594" s="252">
        <f>IF(A1594="", "", IF(IFERROR(VLOOKUP(A1594, 'Base 3F'!$B:$C, 2, FALSE),"")="", "SIN CUIT", VLOOKUP(A1594, 'Base 3F'!$B:$C, 2, FALSE)))</f>
        <v>33711503299</v>
      </c>
      <c r="C1594" s="253" t="str">
        <f>IF(A1594="", "", IF(IFERROR(VLOOKUP(A1594, 'Base 3F'!$B:$J, 9, FALSE),"")="", "SIN RUBRO", VLOOKUP(A1594, 'Base 3F'!$B:$J, 9, FALSE)))</f>
        <v>Metalúrgica</v>
      </c>
      <c r="D1594" s="58" t="s">
        <v>8385</v>
      </c>
      <c r="E1594" s="10" t="s">
        <v>2392</v>
      </c>
      <c r="F1594" s="46" t="s">
        <v>115</v>
      </c>
    </row>
    <row r="1595">
      <c r="A1595" s="285" t="s">
        <v>2458</v>
      </c>
      <c r="B1595" s="252">
        <f>IF(A1595="", "", IF(IFERROR(VLOOKUP(A1595, 'Base 3F'!$B:$C, 2, FALSE),"")="", "SIN CUIT", VLOOKUP(A1595, 'Base 3F'!$B:$C, 2, FALSE)))</f>
        <v>30500719687</v>
      </c>
      <c r="C1595" s="253" t="str">
        <f>IF(A1595="", "", IF(IFERROR(VLOOKUP(A1595, 'Base 3F'!$B:$J, 9, FALSE),"")="", "SIN RUBRO", VLOOKUP(A1595, 'Base 3F'!$B:$J, 9, FALSE)))</f>
        <v>Química</v>
      </c>
      <c r="D1595" s="58" t="s">
        <v>8387</v>
      </c>
      <c r="E1595" s="10" t="s">
        <v>2392</v>
      </c>
      <c r="F1595" s="46" t="s">
        <v>115</v>
      </c>
    </row>
    <row r="1596">
      <c r="A1596" s="285" t="s">
        <v>2465</v>
      </c>
      <c r="B1596" s="252">
        <f>IF(A1596="", "", IF(IFERROR(VLOOKUP(A1596, 'Base 3F'!$B:$C, 2, FALSE),"")="", "SIN CUIT", VLOOKUP(A1596, 'Base 3F'!$B:$C, 2, FALSE)))</f>
        <v>30624140148</v>
      </c>
      <c r="C1596" s="253" t="str">
        <f>IF(A1596="", "", IF(IFERROR(VLOOKUP(A1596, 'Base 3F'!$B:$J, 9, FALSE),"")="", "SIN RUBRO", VLOOKUP(A1596, 'Base 3F'!$B:$J, 9, FALSE)))</f>
        <v>Textil</v>
      </c>
      <c r="D1596" s="142" t="s">
        <v>8389</v>
      </c>
      <c r="E1596" s="10" t="s">
        <v>2392</v>
      </c>
      <c r="F1596" s="46" t="s">
        <v>115</v>
      </c>
    </row>
    <row r="1597">
      <c r="A1597" s="285" t="s">
        <v>8391</v>
      </c>
      <c r="B1597" s="252" t="str">
        <f>IF(A1597="", "", IF(IFERROR(VLOOKUP(A1597, 'Base 3F'!$B:$C, 2, FALSE),"")="", "SIN CUIT", VLOOKUP(A1597, 'Base 3F'!$B:$C, 2, FALSE)))</f>
        <v>Averiguar</v>
      </c>
      <c r="C1597" s="253" t="str">
        <f>IF(A1597="", "", IF(IFERROR(VLOOKUP(A1597, 'Base 3F'!$B:$J, 9, FALSE),"")="", "SIN RUBRO", VLOOKUP(A1597, 'Base 3F'!$B:$J, 9, FALSE)))</f>
        <v>Electrónica</v>
      </c>
      <c r="D1597" s="58" t="s">
        <v>8393</v>
      </c>
      <c r="E1597" s="10" t="s">
        <v>2392</v>
      </c>
      <c r="F1597" s="46" t="s">
        <v>115</v>
      </c>
    </row>
    <row r="1598">
      <c r="A1598" s="285" t="s">
        <v>8396</v>
      </c>
      <c r="B1598" s="252">
        <f>IF(A1598="", "", IF(IFERROR(VLOOKUP(A1598, 'Base 3F'!$B:$C, 2, FALSE),"")="", "SIN CUIT", VLOOKUP(A1598, 'Base 3F'!$B:$C, 2, FALSE)))</f>
        <v>30710632177</v>
      </c>
      <c r="C1598" s="253" t="str">
        <f>IF(A1598="", "", IF(IFERROR(VLOOKUP(A1598, 'Base 3F'!$B:$J, 9, FALSE),"")="", "SIN RUBRO", VLOOKUP(A1598, 'Base 3F'!$B:$J, 9, FALSE)))</f>
        <v>Servicios</v>
      </c>
      <c r="D1598" s="58" t="s">
        <v>8398</v>
      </c>
      <c r="E1598" s="10" t="s">
        <v>2392</v>
      </c>
      <c r="F1598" s="46" t="s">
        <v>115</v>
      </c>
    </row>
    <row r="1599">
      <c r="A1599" s="285" t="s">
        <v>2475</v>
      </c>
      <c r="B1599" s="252">
        <f>IF(A1599="", "", IF(IFERROR(VLOOKUP(A1599, 'Base 3F'!$B:$C, 2, FALSE),"")="", "SIN CUIT", VLOOKUP(A1599, 'Base 3F'!$B:$C, 2, FALSE)))</f>
        <v>33501880049</v>
      </c>
      <c r="C1599" s="253" t="str">
        <f>IF(A1599="", "", IF(IFERROR(VLOOKUP(A1599, 'Base 3F'!$B:$J, 9, FALSE),"")="", "SIN RUBRO", VLOOKUP(A1599, 'Base 3F'!$B:$J, 9, FALSE)))</f>
        <v>Química</v>
      </c>
      <c r="D1599" s="58" t="s">
        <v>8404</v>
      </c>
      <c r="E1599" s="10" t="s">
        <v>2392</v>
      </c>
      <c r="F1599" s="46" t="s">
        <v>115</v>
      </c>
    </row>
    <row r="1600">
      <c r="A1600" s="285" t="s">
        <v>2482</v>
      </c>
      <c r="B1600" s="252">
        <f>IF(A1600="", "", IF(IFERROR(VLOOKUP(A1600, 'Base 3F'!$B:$C, 2, FALSE),"")="", "SIN CUIT", VLOOKUP(A1600, 'Base 3F'!$B:$C, 2, FALSE)))</f>
        <v>30648203094</v>
      </c>
      <c r="C1600" s="253" t="str">
        <f>IF(A1600="", "", IF(IFERROR(VLOOKUP(A1600, 'Base 3F'!$B:$J, 9, FALSE),"")="", "SIN RUBRO", VLOOKUP(A1600, 'Base 3F'!$B:$J, 9, FALSE)))</f>
        <v>Metalúrgica</v>
      </c>
      <c r="D1600" s="142" t="s">
        <v>8407</v>
      </c>
      <c r="E1600" s="10" t="s">
        <v>2392</v>
      </c>
      <c r="F1600" s="46" t="s">
        <v>115</v>
      </c>
    </row>
    <row r="1601">
      <c r="A1601" s="285" t="s">
        <v>8408</v>
      </c>
      <c r="B1601" s="252">
        <f>IF(A1601="", "", IF(IFERROR(VLOOKUP(A1601, 'Base 3F'!$B:$C, 2, FALSE),"")="", "SIN CUIT", VLOOKUP(A1601, 'Base 3F'!$B:$C, 2, FALSE)))</f>
        <v>30708492945</v>
      </c>
      <c r="C1601" s="253" t="str">
        <f>IF(A1601="", "", IF(IFERROR(VLOOKUP(A1601, 'Base 3F'!$B:$J, 9, FALSE),"")="", "SIN RUBRO", VLOOKUP(A1601, 'Base 3F'!$B:$J, 9, FALSE)))</f>
        <v>Servicios</v>
      </c>
      <c r="D1601" s="58" t="s">
        <v>8411</v>
      </c>
      <c r="E1601" s="10" t="s">
        <v>2392</v>
      </c>
      <c r="F1601" s="46" t="s">
        <v>115</v>
      </c>
    </row>
    <row r="1602">
      <c r="A1602" s="285" t="s">
        <v>8412</v>
      </c>
      <c r="B1602" s="252">
        <f>IF(A1602="", "", IF(IFERROR(VLOOKUP(A1602, 'Base 3F'!$B:$C, 2, FALSE),"")="", "SIN CUIT", VLOOKUP(A1602, 'Base 3F'!$B:$C, 2, FALSE)))</f>
        <v>30712537767</v>
      </c>
      <c r="C1602" s="253" t="str">
        <f>IF(A1602="", "", IF(IFERROR(VLOOKUP(A1602, 'Base 3F'!$B:$J, 9, FALSE),"")="", "SIN RUBRO", VLOOKUP(A1602, 'Base 3F'!$B:$J, 9, FALSE)))</f>
        <v>Madera</v>
      </c>
      <c r="D1602" s="58" t="s">
        <v>8415</v>
      </c>
      <c r="E1602" s="10" t="s">
        <v>2392</v>
      </c>
      <c r="F1602" s="46" t="s">
        <v>115</v>
      </c>
    </row>
    <row r="1603">
      <c r="A1603" s="285" t="s">
        <v>8412</v>
      </c>
      <c r="B1603" s="252">
        <f>IF(A1603="", "", IF(IFERROR(VLOOKUP(A1603, 'Base 3F'!$B:$C, 2, FALSE),"")="", "SIN CUIT", VLOOKUP(A1603, 'Base 3F'!$B:$C, 2, FALSE)))</f>
        <v>30712537767</v>
      </c>
      <c r="C1603" s="253" t="str">
        <f>IF(A1603="", "", IF(IFERROR(VLOOKUP(A1603, 'Base 3F'!$B:$J, 9, FALSE),"")="", "SIN RUBRO", VLOOKUP(A1603, 'Base 3F'!$B:$J, 9, FALSE)))</f>
        <v>Madera</v>
      </c>
      <c r="D1603" s="58" t="s">
        <v>8422</v>
      </c>
      <c r="E1603" s="10" t="s">
        <v>2392</v>
      </c>
      <c r="F1603" s="46" t="s">
        <v>115</v>
      </c>
    </row>
    <row r="1604">
      <c r="A1604" s="285" t="s">
        <v>2486</v>
      </c>
      <c r="B1604" s="252">
        <f>IF(A1604="", "", IF(IFERROR(VLOOKUP(A1604, 'Base 3F'!$B:$C, 2, FALSE),"")="", "SIN CUIT", VLOOKUP(A1604, 'Base 3F'!$B:$C, 2, FALSE)))</f>
        <v>30643786172</v>
      </c>
      <c r="C1604" s="253" t="str">
        <f>IF(A1604="", "", IF(IFERROR(VLOOKUP(A1604, 'Base 3F'!$B:$J, 9, FALSE),"")="", "SIN RUBRO", VLOOKUP(A1604, 'Base 3F'!$B:$J, 9, FALSE)))</f>
        <v>Electrónica</v>
      </c>
      <c r="D1604" s="58" t="s">
        <v>8424</v>
      </c>
      <c r="E1604" s="10" t="s">
        <v>2392</v>
      </c>
      <c r="F1604" s="46" t="s">
        <v>115</v>
      </c>
    </row>
    <row r="1605">
      <c r="A1605" s="285" t="s">
        <v>8425</v>
      </c>
      <c r="B1605" s="252">
        <f>IF(A1605="", "", IF(IFERROR(VLOOKUP(A1605, 'Base 3F'!$B:$C, 2, FALSE),"")="", "SIN CUIT", VLOOKUP(A1605, 'Base 3F'!$B:$C, 2, FALSE)))</f>
        <v>33695264319</v>
      </c>
      <c r="C1605" s="253" t="str">
        <f>IF(A1605="", "", IF(IFERROR(VLOOKUP(A1605, 'Base 3F'!$B:$J, 9, FALSE),"")="", "SIN RUBRO", VLOOKUP(A1605, 'Base 3F'!$B:$J, 9, FALSE)))</f>
        <v>Plástica</v>
      </c>
      <c r="D1605" s="58" t="s">
        <v>8432</v>
      </c>
      <c r="E1605" s="10" t="s">
        <v>2392</v>
      </c>
      <c r="F1605" s="46" t="s">
        <v>115</v>
      </c>
    </row>
    <row r="1606">
      <c r="A1606" s="285" t="s">
        <v>2492</v>
      </c>
      <c r="B1606" s="252">
        <f>IF(A1606="", "", IF(IFERROR(VLOOKUP(A1606, 'Base 3F'!$B:$C, 2, FALSE),"")="", "SIN CUIT", VLOOKUP(A1606, 'Base 3F'!$B:$C, 2, FALSE)))</f>
        <v>30711889368</v>
      </c>
      <c r="C1606" s="253" t="str">
        <f>IF(A1606="", "", IF(IFERROR(VLOOKUP(A1606, 'Base 3F'!$B:$J, 9, FALSE),"")="", "SIN RUBRO", VLOOKUP(A1606, 'Base 3F'!$B:$J, 9, FALSE)))</f>
        <v>Metalúrgica</v>
      </c>
      <c r="D1606" s="58" t="s">
        <v>8434</v>
      </c>
      <c r="E1606" s="10" t="s">
        <v>2392</v>
      </c>
      <c r="F1606" s="46" t="s">
        <v>115</v>
      </c>
    </row>
    <row r="1607">
      <c r="A1607" s="285" t="s">
        <v>8435</v>
      </c>
      <c r="B1607" s="252">
        <f>IF(A1607="", "", IF(IFERROR(VLOOKUP(A1607, 'Base 3F'!$B:$C, 2, FALSE),"")="", "SIN CUIT", VLOOKUP(A1607, 'Base 3F'!$B:$C, 2, FALSE)))</f>
        <v>30712049924</v>
      </c>
      <c r="C1607" s="253" t="str">
        <f>IF(A1607="", "", IF(IFERROR(VLOOKUP(A1607, 'Base 3F'!$B:$J, 9, FALSE),"")="", "SIN RUBRO", VLOOKUP(A1607, 'Base 3F'!$B:$J, 9, FALSE)))</f>
        <v>Industria</v>
      </c>
      <c r="D1607" s="58" t="s">
        <v>8436</v>
      </c>
      <c r="E1607" s="10" t="s">
        <v>2392</v>
      </c>
      <c r="F1607" s="46" t="s">
        <v>115</v>
      </c>
    </row>
    <row r="1608">
      <c r="A1608" s="285" t="s">
        <v>2497</v>
      </c>
      <c r="B1608" s="252">
        <f>IF(A1608="", "", IF(IFERROR(VLOOKUP(A1608, 'Base 3F'!$B:$C, 2, FALSE),"")="", "SIN CUIT", VLOOKUP(A1608, 'Base 3F'!$B:$C, 2, FALSE)))</f>
        <v>30550960830</v>
      </c>
      <c r="C1608" s="253" t="str">
        <f>IF(A1608="", "", IF(IFERROR(VLOOKUP(A1608, 'Base 3F'!$B:$J, 9, FALSE),"")="", "SIN RUBRO", VLOOKUP(A1608, 'Base 3F'!$B:$J, 9, FALSE)))</f>
        <v>Alimenticia</v>
      </c>
      <c r="D1608" s="58" t="s">
        <v>8443</v>
      </c>
      <c r="E1608" s="10" t="s">
        <v>2392</v>
      </c>
      <c r="F1608" s="46" t="s">
        <v>115</v>
      </c>
    </row>
    <row r="1609">
      <c r="A1609" s="285" t="s">
        <v>8444</v>
      </c>
      <c r="B1609" s="252">
        <f>IF(A1609="", "", IF(IFERROR(VLOOKUP(A1609, 'Base 3F'!$B:$C, 2, FALSE),"")="", "SIN CUIT", VLOOKUP(A1609, 'Base 3F'!$B:$C, 2, FALSE)))</f>
        <v>30710848358</v>
      </c>
      <c r="C1609" s="253" t="str">
        <f>IF(A1609="", "", IF(IFERROR(VLOOKUP(A1609, 'Base 3F'!$B:$J, 9, FALSE),"")="", "SIN RUBRO", VLOOKUP(A1609, 'Base 3F'!$B:$J, 9, FALSE)))</f>
        <v>Química</v>
      </c>
      <c r="D1609" s="58" t="s">
        <v>8449</v>
      </c>
      <c r="E1609" s="10" t="s">
        <v>2392</v>
      </c>
      <c r="F1609" s="46" t="s">
        <v>115</v>
      </c>
    </row>
    <row r="1610">
      <c r="A1610" s="285" t="s">
        <v>8450</v>
      </c>
      <c r="B1610" s="252">
        <f>IF(A1610="", "", IF(IFERROR(VLOOKUP(A1610, 'Base 3F'!$B:$C, 2, FALSE),"")="", "SIN CUIT", VLOOKUP(A1610, 'Base 3F'!$B:$C, 2, FALSE)))</f>
        <v>30709943800</v>
      </c>
      <c r="C1610" s="253" t="str">
        <f>IF(A1610="", "", IF(IFERROR(VLOOKUP(A1610, 'Base 3F'!$B:$J, 9, FALSE),"")="", "SIN RUBRO", VLOOKUP(A1610, 'Base 3F'!$B:$J, 9, FALSE)))</f>
        <v>Calzado</v>
      </c>
      <c r="D1610" s="58" t="s">
        <v>8454</v>
      </c>
      <c r="E1610" s="10" t="s">
        <v>2392</v>
      </c>
      <c r="F1610" s="46" t="s">
        <v>115</v>
      </c>
    </row>
    <row r="1611">
      <c r="A1611" s="285" t="s">
        <v>8455</v>
      </c>
      <c r="B1611" s="252">
        <f>IF(A1611="", "", IF(IFERROR(VLOOKUP(A1611, 'Base 3F'!$B:$C, 2, FALSE),"")="", "SIN CUIT", VLOOKUP(A1611, 'Base 3F'!$B:$C, 2, FALSE)))</f>
        <v>30650276171</v>
      </c>
      <c r="C1611" s="253" t="str">
        <f>IF(A1611="", "", IF(IFERROR(VLOOKUP(A1611, 'Base 3F'!$B:$J, 9, FALSE),"")="", "SIN RUBRO", VLOOKUP(A1611, 'Base 3F'!$B:$J, 9, FALSE)))</f>
        <v>Plástica</v>
      </c>
      <c r="D1611" s="58" t="s">
        <v>8457</v>
      </c>
      <c r="E1611" s="10" t="s">
        <v>2392</v>
      </c>
      <c r="F1611" s="46" t="s">
        <v>115</v>
      </c>
    </row>
    <row r="1612">
      <c r="A1612" s="285" t="s">
        <v>8458</v>
      </c>
      <c r="B1612" s="252">
        <f>IF(A1612="", "", IF(IFERROR(VLOOKUP(A1612, 'Base 3F'!$B:$C, 2, FALSE),"")="", "SIN CUIT", VLOOKUP(A1612, 'Base 3F'!$B:$C, 2, FALSE)))</f>
        <v>30712327061</v>
      </c>
      <c r="C1612" s="253" t="str">
        <f>IF(A1612="", "", IF(IFERROR(VLOOKUP(A1612, 'Base 3F'!$B:$J, 9, FALSE),"")="", "SIN RUBRO", VLOOKUP(A1612, 'Base 3F'!$B:$J, 9, FALSE)))</f>
        <v>Calzado</v>
      </c>
      <c r="D1612" s="58" t="s">
        <v>8461</v>
      </c>
      <c r="E1612" s="10" t="s">
        <v>2392</v>
      </c>
      <c r="F1612" s="46" t="s">
        <v>115</v>
      </c>
    </row>
    <row r="1613">
      <c r="A1613" s="285" t="s">
        <v>2506</v>
      </c>
      <c r="B1613" s="252">
        <f>IF(A1613="", "", IF(IFERROR(VLOOKUP(A1613, 'Base 3F'!$B:$C, 2, FALSE),"")="", "SIN CUIT", VLOOKUP(A1613, 'Base 3F'!$B:$C, 2, FALSE)))</f>
        <v>30707227253</v>
      </c>
      <c r="C1613" s="253" t="str">
        <f>IF(A1613="", "", IF(IFERROR(VLOOKUP(A1613, 'Base 3F'!$B:$J, 9, FALSE),"")="", "SIN RUBRO", VLOOKUP(A1613, 'Base 3F'!$B:$J, 9, FALSE)))</f>
        <v>Servicios</v>
      </c>
      <c r="D1613" s="58" t="s">
        <v>8464</v>
      </c>
      <c r="E1613" s="10" t="s">
        <v>2392</v>
      </c>
      <c r="F1613" s="46" t="s">
        <v>115</v>
      </c>
    </row>
    <row r="1614">
      <c r="A1614" s="285" t="s">
        <v>8465</v>
      </c>
      <c r="B1614" s="252">
        <f>IF(A1614="", "", IF(IFERROR(VLOOKUP(A1614, 'Base 3F'!$B:$C, 2, FALSE),"")="", "SIN CUIT", VLOOKUP(A1614, 'Base 3F'!$B:$C, 2, FALSE)))</f>
        <v>30708609877</v>
      </c>
      <c r="C1614" s="253" t="str">
        <f>IF(A1614="", "", IF(IFERROR(VLOOKUP(A1614, 'Base 3F'!$B:$J, 9, FALSE),"")="", "SIN RUBRO", VLOOKUP(A1614, 'Base 3F'!$B:$J, 9, FALSE)))</f>
        <v>Metalúrgica</v>
      </c>
      <c r="D1614" s="58" t="s">
        <v>8467</v>
      </c>
      <c r="E1614" s="10" t="s">
        <v>2392</v>
      </c>
      <c r="F1614" s="46" t="s">
        <v>115</v>
      </c>
    </row>
    <row r="1615">
      <c r="A1615" s="285" t="s">
        <v>8468</v>
      </c>
      <c r="B1615" s="252">
        <f>IF(A1615="", "", IF(IFERROR(VLOOKUP(A1615, 'Base 3F'!$B:$C, 2, FALSE),"")="", "SIN CUIT", VLOOKUP(A1615, 'Base 3F'!$B:$C, 2, FALSE)))</f>
        <v>33685235329</v>
      </c>
      <c r="C1615" s="253" t="str">
        <f>IF(A1615="", "", IF(IFERROR(VLOOKUP(A1615, 'Base 3F'!$B:$J, 9, FALSE),"")="", "SIN RUBRO", VLOOKUP(A1615, 'Base 3F'!$B:$J, 9, FALSE)))</f>
        <v>Textil</v>
      </c>
      <c r="D1615" s="58" t="s">
        <v>8471</v>
      </c>
      <c r="E1615" s="10" t="s">
        <v>2392</v>
      </c>
      <c r="F1615" s="46" t="s">
        <v>115</v>
      </c>
    </row>
    <row r="1616">
      <c r="A1616" s="285" t="s">
        <v>8472</v>
      </c>
      <c r="B1616" s="252">
        <f>IF(A1616="", "", IF(IFERROR(VLOOKUP(A1616, 'Base 3F'!$B:$C, 2, FALSE),"")="", "SIN CUIT", VLOOKUP(A1616, 'Base 3F'!$B:$C, 2, FALSE)))</f>
        <v>30714729876</v>
      </c>
      <c r="C1616" s="253" t="str">
        <f>IF(A1616="", "", IF(IFERROR(VLOOKUP(A1616, 'Base 3F'!$B:$J, 9, FALSE),"")="", "SIN RUBRO", VLOOKUP(A1616, 'Base 3F'!$B:$J, 9, FALSE)))</f>
        <v>Metalúrgica</v>
      </c>
      <c r="D1616" s="58" t="s">
        <v>8474</v>
      </c>
      <c r="E1616" s="10" t="s">
        <v>2392</v>
      </c>
      <c r="F1616" s="46" t="s">
        <v>115</v>
      </c>
    </row>
    <row r="1617">
      <c r="A1617" s="285" t="s">
        <v>8476</v>
      </c>
      <c r="B1617" s="252">
        <f>IF(A1617="", "", IF(IFERROR(VLOOKUP(A1617, 'Base 3F'!$B:$C, 2, FALSE),"")="", "SIN CUIT", VLOOKUP(A1617, 'Base 3F'!$B:$C, 2, FALSE)))</f>
        <v>30501130024</v>
      </c>
      <c r="C1617" s="253" t="str">
        <f>IF(A1617="", "", IF(IFERROR(VLOOKUP(A1617, 'Base 3F'!$B:$J, 9, FALSE),"")="", "SIN RUBRO", VLOOKUP(A1617, 'Base 3F'!$B:$J, 9, FALSE)))</f>
        <v>Metalúrgica</v>
      </c>
      <c r="D1617" s="58" t="s">
        <v>8477</v>
      </c>
      <c r="E1617" s="10" t="s">
        <v>2392</v>
      </c>
      <c r="F1617" s="46" t="s">
        <v>115</v>
      </c>
    </row>
    <row r="1618">
      <c r="A1618" s="285" t="s">
        <v>8478</v>
      </c>
      <c r="B1618" s="252">
        <f>IF(A1618="", "", IF(IFERROR(VLOOKUP(A1618, 'Base 3F'!$B:$C, 2, FALSE),"")="", "SIN CUIT", VLOOKUP(A1618, 'Base 3F'!$B:$C, 2, FALSE)))</f>
        <v>30516385460</v>
      </c>
      <c r="C1618" s="253" t="str">
        <f>IF(A1618="", "", IF(IFERROR(VLOOKUP(A1618, 'Base 3F'!$B:$J, 9, FALSE),"")="", "SIN RUBRO", VLOOKUP(A1618, 'Base 3F'!$B:$J, 9, FALSE)))</f>
        <v>Servicios</v>
      </c>
      <c r="D1618" s="58" t="s">
        <v>8484</v>
      </c>
      <c r="E1618" s="10" t="s">
        <v>2392</v>
      </c>
      <c r="F1618" s="46" t="s">
        <v>115</v>
      </c>
    </row>
    <row r="1619">
      <c r="A1619" s="285" t="s">
        <v>2524</v>
      </c>
      <c r="B1619" s="252">
        <f>IF(A1619="", "", IF(IFERROR(VLOOKUP(A1619, 'Base 3F'!$B:$C, 2, FALSE),"")="", "SIN CUIT", VLOOKUP(A1619, 'Base 3F'!$B:$C, 2, FALSE)))</f>
        <v>30710424493</v>
      </c>
      <c r="C1619" s="253" t="str">
        <f>IF(A1619="", "", IF(IFERROR(VLOOKUP(A1619, 'Base 3F'!$B:$J, 9, FALSE),"")="", "SIN RUBRO", VLOOKUP(A1619, 'Base 3F'!$B:$J, 9, FALSE)))</f>
        <v>Servicios</v>
      </c>
      <c r="D1619" s="58" t="s">
        <v>8487</v>
      </c>
      <c r="E1619" s="10" t="s">
        <v>2392</v>
      </c>
      <c r="F1619" s="46" t="s">
        <v>115</v>
      </c>
    </row>
    <row r="1620">
      <c r="A1620" s="285" t="s">
        <v>2531</v>
      </c>
      <c r="B1620" s="252">
        <f>IF(A1620="", "", IF(IFERROR(VLOOKUP(A1620, 'Base 3F'!$B:$C, 2, FALSE),"")="", "SIN CUIT", VLOOKUP(A1620, 'Base 3F'!$B:$C, 2, FALSE)))</f>
        <v>30709382817</v>
      </c>
      <c r="C1620" s="253" t="str">
        <f>IF(A1620="", "", IF(IFERROR(VLOOKUP(A1620, 'Base 3F'!$B:$J, 9, FALSE),"")="", "SIN RUBRO", VLOOKUP(A1620, 'Base 3F'!$B:$J, 9, FALSE)))</f>
        <v>Metalúrgica</v>
      </c>
      <c r="D1620" s="58" t="s">
        <v>8492</v>
      </c>
      <c r="E1620" s="10" t="s">
        <v>2392</v>
      </c>
      <c r="F1620" s="46" t="s">
        <v>115</v>
      </c>
    </row>
    <row r="1621">
      <c r="A1621" s="285" t="s">
        <v>8493</v>
      </c>
      <c r="B1621" s="252">
        <f>IF(A1621="", "", IF(IFERROR(VLOOKUP(A1621, 'Base 3F'!$B:$C, 2, FALSE),"")="", "SIN CUIT", VLOOKUP(A1621, 'Base 3F'!$B:$C, 2, FALSE)))</f>
        <v>30503853686</v>
      </c>
      <c r="C1621" s="253" t="str">
        <f>IF(A1621="", "", IF(IFERROR(VLOOKUP(A1621, 'Base 3F'!$B:$J, 9, FALSE),"")="", "SIN RUBRO", VLOOKUP(A1621, 'Base 3F'!$B:$J, 9, FALSE)))</f>
        <v>Metalúrgica</v>
      </c>
      <c r="D1621" s="58" t="s">
        <v>8497</v>
      </c>
      <c r="E1621" s="10" t="s">
        <v>2392</v>
      </c>
      <c r="F1621" s="46" t="s">
        <v>115</v>
      </c>
    </row>
    <row r="1622">
      <c r="A1622" s="285" t="s">
        <v>8498</v>
      </c>
      <c r="B1622" s="252">
        <f>IF(A1622="", "", IF(IFERROR(VLOOKUP(A1622, 'Base 3F'!$B:$C, 2, FALSE),"")="", "SIN CUIT", VLOOKUP(A1622, 'Base 3F'!$B:$C, 2, FALSE)))</f>
        <v>30709153311</v>
      </c>
      <c r="C1622" s="253" t="str">
        <f>IF(A1622="", "", IF(IFERROR(VLOOKUP(A1622, 'Base 3F'!$B:$J, 9, FALSE),"")="", "SIN RUBRO", VLOOKUP(A1622, 'Base 3F'!$B:$J, 9, FALSE)))</f>
        <v>Metalúrgica</v>
      </c>
      <c r="D1622" s="58" t="s">
        <v>8502</v>
      </c>
      <c r="E1622" s="10" t="s">
        <v>2392</v>
      </c>
      <c r="F1622" s="46" t="s">
        <v>115</v>
      </c>
    </row>
    <row r="1623">
      <c r="A1623" s="285" t="s">
        <v>8505</v>
      </c>
      <c r="B1623" s="252">
        <f>IF(A1623="", "", IF(IFERROR(VLOOKUP(A1623, 'Base 3F'!$B:$C, 2, FALSE),"")="", "SIN CUIT", VLOOKUP(A1623, 'Base 3F'!$B:$C, 2, FALSE)))</f>
        <v>30531668819</v>
      </c>
      <c r="C1623" s="253" t="str">
        <f>IF(A1623="", "", IF(IFERROR(VLOOKUP(A1623, 'Base 3F'!$B:$J, 9, FALSE),"")="", "SIN RUBRO", VLOOKUP(A1623, 'Base 3F'!$B:$J, 9, FALSE)))</f>
        <v>Comercio</v>
      </c>
      <c r="D1623" s="58" t="s">
        <v>8508</v>
      </c>
      <c r="E1623" s="10" t="s">
        <v>2392</v>
      </c>
      <c r="F1623" s="46" t="s">
        <v>115</v>
      </c>
    </row>
    <row r="1624">
      <c r="A1624" s="285" t="s">
        <v>8509</v>
      </c>
      <c r="B1624" s="252">
        <f>IF(A1624="", "", IF(IFERROR(VLOOKUP(A1624, 'Base 3F'!$B:$C, 2, FALSE),"")="", "SIN CUIT", VLOOKUP(A1624, 'Base 3F'!$B:$C, 2, FALSE)))</f>
        <v>30716480778</v>
      </c>
      <c r="C1624" s="253" t="str">
        <f>IF(A1624="", "", IF(IFERROR(VLOOKUP(A1624, 'Base 3F'!$B:$J, 9, FALSE),"")="", "SIN RUBRO", VLOOKUP(A1624, 'Base 3F'!$B:$J, 9, FALSE)))</f>
        <v>Plástica</v>
      </c>
      <c r="D1624" s="136" t="s">
        <v>8512</v>
      </c>
      <c r="E1624" s="10" t="s">
        <v>2392</v>
      </c>
      <c r="F1624" s="46" t="s">
        <v>115</v>
      </c>
    </row>
    <row r="1625">
      <c r="A1625" s="285" t="s">
        <v>4375</v>
      </c>
      <c r="B1625" s="252">
        <f>IF(A1625="", "", IF(IFERROR(VLOOKUP(A1625, 'Base 3F'!$B:$C, 2, FALSE),"")="", "SIN CUIT", VLOOKUP(A1625, 'Base 3F'!$B:$C, 2, FALSE)))</f>
        <v>20045616615</v>
      </c>
      <c r="C1625" s="253" t="str">
        <f>IF(A1625="", "", IF(IFERROR(VLOOKUP(A1625, 'Base 3F'!$B:$J, 9, FALSE),"")="", "SIN RUBRO", VLOOKUP(A1625, 'Base 3F'!$B:$J, 9, FALSE)))</f>
        <v>Alimenticia</v>
      </c>
      <c r="D1625" s="58" t="s">
        <v>8515</v>
      </c>
      <c r="E1625" s="10" t="s">
        <v>2392</v>
      </c>
      <c r="F1625" s="46" t="s">
        <v>115</v>
      </c>
    </row>
    <row r="1626">
      <c r="A1626" s="285" t="s">
        <v>8516</v>
      </c>
      <c r="B1626" s="252">
        <f>IF(A1626="", "", IF(IFERROR(VLOOKUP(A1626, 'Base 3F'!$B:$C, 2, FALSE),"")="", "SIN CUIT", VLOOKUP(A1626, 'Base 3F'!$B:$C, 2, FALSE)))</f>
        <v>23041737549</v>
      </c>
      <c r="C1626" s="253" t="str">
        <f>IF(A1626="", "", IF(IFERROR(VLOOKUP(A1626, 'Base 3F'!$B:$J, 9, FALSE),"")="", "SIN RUBRO", VLOOKUP(A1626, 'Base 3F'!$B:$J, 9, FALSE)))</f>
        <v>Plástica</v>
      </c>
      <c r="D1626" s="58" t="s">
        <v>8519</v>
      </c>
      <c r="E1626" s="10" t="s">
        <v>2392</v>
      </c>
      <c r="F1626" s="46" t="s">
        <v>115</v>
      </c>
    </row>
    <row r="1627">
      <c r="A1627" s="285" t="s">
        <v>8520</v>
      </c>
      <c r="B1627" s="252">
        <f>IF(A1627="", "", IF(IFERROR(VLOOKUP(A1627, 'Base 3F'!$B:$C, 2, FALSE),"")="", "SIN CUIT", VLOOKUP(A1627, 'Base 3F'!$B:$C, 2, FALSE)))</f>
        <v>20937116188</v>
      </c>
      <c r="C1627" s="253" t="str">
        <f>IF(A1627="", "", IF(IFERROR(VLOOKUP(A1627, 'Base 3F'!$B:$J, 9, FALSE),"")="", "SIN RUBRO", VLOOKUP(A1627, 'Base 3F'!$B:$J, 9, FALSE)))</f>
        <v>Plástica</v>
      </c>
      <c r="D1627" s="58" t="s">
        <v>8523</v>
      </c>
      <c r="E1627" s="10" t="s">
        <v>2392</v>
      </c>
      <c r="F1627" s="46" t="s">
        <v>115</v>
      </c>
    </row>
    <row r="1628">
      <c r="A1628" s="285" t="s">
        <v>8524</v>
      </c>
      <c r="B1628" s="252">
        <f>IF(A1628="", "", IF(IFERROR(VLOOKUP(A1628, 'Base 3F'!$B:$C, 2, FALSE),"")="", "SIN CUIT", VLOOKUP(A1628, 'Base 3F'!$B:$C, 2, FALSE)))</f>
        <v>30708960698</v>
      </c>
      <c r="C1628" s="253" t="str">
        <f>IF(A1628="", "", IF(IFERROR(VLOOKUP(A1628, 'Base 3F'!$B:$J, 9, FALSE),"")="", "SIN RUBRO", VLOOKUP(A1628, 'Base 3F'!$B:$J, 9, FALSE)))</f>
        <v>Madera</v>
      </c>
      <c r="D1628" s="58" t="s">
        <v>8526</v>
      </c>
      <c r="E1628" s="10" t="s">
        <v>2392</v>
      </c>
      <c r="F1628" s="46" t="s">
        <v>115</v>
      </c>
    </row>
    <row r="1629">
      <c r="A1629" s="285" t="s">
        <v>8528</v>
      </c>
      <c r="B1629" s="252">
        <f>IF(A1629="", "", IF(IFERROR(VLOOKUP(A1629, 'Base 3F'!$B:$C, 2, FALSE),"")="", "SIN CUIT", VLOOKUP(A1629, 'Base 3F'!$B:$C, 2, FALSE)))</f>
        <v>30663786772</v>
      </c>
      <c r="C1629" s="253" t="str">
        <f>IF(A1629="", "", IF(IFERROR(VLOOKUP(A1629, 'Base 3F'!$B:$J, 9, FALSE),"")="", "SIN RUBRO", VLOOKUP(A1629, 'Base 3F'!$B:$J, 9, FALSE)))</f>
        <v>Calzado</v>
      </c>
      <c r="D1629" s="58" t="s">
        <v>8534</v>
      </c>
      <c r="E1629" s="10" t="s">
        <v>2392</v>
      </c>
      <c r="F1629" s="46" t="s">
        <v>115</v>
      </c>
    </row>
    <row r="1630">
      <c r="A1630" s="285" t="s">
        <v>2537</v>
      </c>
      <c r="B1630" s="252">
        <f>IF(A1630="", "", IF(IFERROR(VLOOKUP(A1630, 'Base 3F'!$B:$C, 2, FALSE),"")="", "SIN CUIT", VLOOKUP(A1630, 'Base 3F'!$B:$C, 2, FALSE)))</f>
        <v>30516326782</v>
      </c>
      <c r="C1630" s="253" t="str">
        <f>IF(A1630="", "", IF(IFERROR(VLOOKUP(A1630, 'Base 3F'!$B:$J, 9, FALSE),"")="", "SIN RUBRO", VLOOKUP(A1630, 'Base 3F'!$B:$J, 9, FALSE)))</f>
        <v>Química</v>
      </c>
      <c r="D1630" s="122" t="s">
        <v>8537</v>
      </c>
      <c r="E1630" s="10" t="s">
        <v>2392</v>
      </c>
      <c r="F1630" s="46" t="s">
        <v>115</v>
      </c>
    </row>
    <row r="1631">
      <c r="A1631" s="285" t="s">
        <v>8538</v>
      </c>
      <c r="B1631" s="252">
        <f>IF(A1631="", "", IF(IFERROR(VLOOKUP(A1631, 'Base 3F'!$B:$C, 2, FALSE),"")="", "SIN CUIT", VLOOKUP(A1631, 'Base 3F'!$B:$C, 2, FALSE)))</f>
        <v>30701147355</v>
      </c>
      <c r="C1631" s="253" t="str">
        <f>IF(A1631="", "", IF(IFERROR(VLOOKUP(A1631, 'Base 3F'!$B:$J, 9, FALSE),"")="", "SIN RUBRO", VLOOKUP(A1631, 'Base 3F'!$B:$J, 9, FALSE)))</f>
        <v>Construcción</v>
      </c>
      <c r="D1631" s="58" t="s">
        <v>8545</v>
      </c>
      <c r="E1631" s="10" t="s">
        <v>2392</v>
      </c>
      <c r="F1631" s="46" t="s">
        <v>115</v>
      </c>
    </row>
    <row r="1632">
      <c r="A1632" s="285" t="s">
        <v>8547</v>
      </c>
      <c r="B1632" s="252">
        <f>IF(A1632="", "", IF(IFERROR(VLOOKUP(A1632, 'Base 3F'!$B:$C, 2, FALSE),"")="", "SIN CUIT", VLOOKUP(A1632, 'Base 3F'!$B:$C, 2, FALSE)))</f>
        <v>30711875340</v>
      </c>
      <c r="C1632" s="253" t="str">
        <f>IF(A1632="", "", IF(IFERROR(VLOOKUP(A1632, 'Base 3F'!$B:$J, 9, FALSE),"")="", "SIN RUBRO", VLOOKUP(A1632, 'Base 3F'!$B:$J, 9, FALSE)))</f>
        <v>Electrónica</v>
      </c>
      <c r="D1632" s="58" t="s">
        <v>8549</v>
      </c>
      <c r="E1632" s="10" t="s">
        <v>2392</v>
      </c>
      <c r="F1632" s="46" t="s">
        <v>115</v>
      </c>
    </row>
    <row r="1633">
      <c r="A1633" s="285" t="s">
        <v>8551</v>
      </c>
      <c r="B1633" s="252">
        <f>IF(A1633="", "", IF(IFERROR(VLOOKUP(A1633, 'Base 3F'!$B:$C, 2, FALSE),"")="", "SIN CUIT", VLOOKUP(A1633, 'Base 3F'!$B:$C, 2, FALSE)))</f>
        <v>30573189813</v>
      </c>
      <c r="C1633" s="253" t="str">
        <f>IF(A1633="", "", IF(IFERROR(VLOOKUP(A1633, 'Base 3F'!$B:$J, 9, FALSE),"")="", "SIN RUBRO", VLOOKUP(A1633, 'Base 3F'!$B:$J, 9, FALSE)))</f>
        <v>Madera</v>
      </c>
      <c r="D1633" s="58" t="s">
        <v>8553</v>
      </c>
      <c r="E1633" s="10" t="s">
        <v>2392</v>
      </c>
      <c r="F1633" s="46" t="s">
        <v>115</v>
      </c>
    </row>
    <row r="1634">
      <c r="A1634" s="285" t="s">
        <v>2539</v>
      </c>
      <c r="B1634" s="252">
        <f>IF(A1634="", "", IF(IFERROR(VLOOKUP(A1634, 'Base 3F'!$B:$C, 2, FALSE),"")="", "SIN CUIT", VLOOKUP(A1634, 'Base 3F'!$B:$C, 2, FALSE)))</f>
        <v>30710478720</v>
      </c>
      <c r="C1634" s="253" t="str">
        <f>IF(A1634="", "", IF(IFERROR(VLOOKUP(A1634, 'Base 3F'!$B:$J, 9, FALSE),"")="", "SIN RUBRO", VLOOKUP(A1634, 'Base 3F'!$B:$J, 9, FALSE)))</f>
        <v>Metalúrgica</v>
      </c>
      <c r="D1634" s="58" t="s">
        <v>8556</v>
      </c>
      <c r="E1634" s="10" t="s">
        <v>2392</v>
      </c>
      <c r="F1634" s="46" t="s">
        <v>115</v>
      </c>
    </row>
    <row r="1635">
      <c r="A1635" s="285" t="s">
        <v>8559</v>
      </c>
      <c r="B1635" s="252">
        <f>IF(A1635="", "", IF(IFERROR(VLOOKUP(A1635, 'Base 3F'!$B:$C, 2, FALSE),"")="", "SIN CUIT", VLOOKUP(A1635, 'Base 3F'!$B:$C, 2, FALSE)))</f>
        <v>30708283726</v>
      </c>
      <c r="C1635" s="253" t="str">
        <f>IF(A1635="", "", IF(IFERROR(VLOOKUP(A1635, 'Base 3F'!$B:$J, 9, FALSE),"")="", "SIN RUBRO", VLOOKUP(A1635, 'Base 3F'!$B:$J, 9, FALSE)))</f>
        <v>Servicios</v>
      </c>
      <c r="D1635" s="58" t="s">
        <v>8561</v>
      </c>
      <c r="E1635" s="10" t="s">
        <v>2392</v>
      </c>
      <c r="F1635" s="46" t="s">
        <v>115</v>
      </c>
    </row>
    <row r="1636">
      <c r="A1636" s="285" t="s">
        <v>8562</v>
      </c>
      <c r="B1636" s="252">
        <f>IF(A1636="", "", IF(IFERROR(VLOOKUP(A1636, 'Base 3F'!$B:$C, 2, FALSE),"")="", "SIN CUIT", VLOOKUP(A1636, 'Base 3F'!$B:$C, 2, FALSE)))</f>
        <v>33601567569</v>
      </c>
      <c r="C1636" s="253" t="str">
        <f>IF(A1636="", "", IF(IFERROR(VLOOKUP(A1636, 'Base 3F'!$B:$J, 9, FALSE),"")="", "SIN RUBRO", VLOOKUP(A1636, 'Base 3F'!$B:$J, 9, FALSE)))</f>
        <v>Textil</v>
      </c>
      <c r="D1636" s="58" t="s">
        <v>8567</v>
      </c>
      <c r="E1636" s="10" t="s">
        <v>2392</v>
      </c>
      <c r="F1636" s="46" t="s">
        <v>115</v>
      </c>
    </row>
    <row r="1637">
      <c r="A1637" s="285" t="s">
        <v>8568</v>
      </c>
      <c r="B1637" s="252">
        <f>IF(A1637="", "", IF(IFERROR(VLOOKUP(A1637, 'Base 3F'!$B:$C, 2, FALSE),"")="", "SIN CUIT", VLOOKUP(A1637, 'Base 3F'!$B:$C, 2, FALSE)))</f>
        <v>30708377496</v>
      </c>
      <c r="C1637" s="253" t="str">
        <f>IF(A1637="", "", IF(IFERROR(VLOOKUP(A1637, 'Base 3F'!$B:$J, 9, FALSE),"")="", "SIN RUBRO", VLOOKUP(A1637, 'Base 3F'!$B:$J, 9, FALSE)))</f>
        <v>Metalúrgica</v>
      </c>
      <c r="D1637" s="58" t="s">
        <v>8572</v>
      </c>
      <c r="E1637" s="10" t="s">
        <v>2392</v>
      </c>
      <c r="F1637" s="46" t="s">
        <v>115</v>
      </c>
    </row>
    <row r="1638">
      <c r="A1638" s="285" t="s">
        <v>8573</v>
      </c>
      <c r="B1638" s="252">
        <f>IF(A1638="", "", IF(IFERROR(VLOOKUP(A1638, 'Base 3F'!$B:$C, 2, FALSE),"")="", "SIN CUIT", VLOOKUP(A1638, 'Base 3F'!$B:$C, 2, FALSE)))</f>
        <v>30707010475</v>
      </c>
      <c r="C1638" s="253" t="str">
        <f>IF(A1638="", "", IF(IFERROR(VLOOKUP(A1638, 'Base 3F'!$B:$J, 9, FALSE),"")="", "SIN RUBRO", VLOOKUP(A1638, 'Base 3F'!$B:$J, 9, FALSE)))</f>
        <v>Servicios</v>
      </c>
      <c r="D1638" s="58" t="s">
        <v>8575</v>
      </c>
      <c r="E1638" s="10" t="s">
        <v>2392</v>
      </c>
      <c r="F1638" s="46" t="s">
        <v>115</v>
      </c>
    </row>
    <row r="1639">
      <c r="A1639" s="285" t="s">
        <v>8576</v>
      </c>
      <c r="B1639" s="252">
        <f>IF(A1639="", "", IF(IFERROR(VLOOKUP(A1639, 'Base 3F'!$B:$C, 2, FALSE),"")="", "SIN CUIT", VLOOKUP(A1639, 'Base 3F'!$B:$C, 2, FALSE)))</f>
        <v>27238037242</v>
      </c>
      <c r="C1639" s="253" t="str">
        <f>IF(A1639="", "", IF(IFERROR(VLOOKUP(A1639, 'Base 3F'!$B:$J, 9, FALSE),"")="", "SIN RUBRO", VLOOKUP(A1639, 'Base 3F'!$B:$J, 9, FALSE)))</f>
        <v>Industria</v>
      </c>
      <c r="D1639" s="96" t="s">
        <v>8581</v>
      </c>
      <c r="E1639" s="10" t="s">
        <v>2392</v>
      </c>
      <c r="F1639" s="46" t="s">
        <v>115</v>
      </c>
    </row>
    <row r="1640">
      <c r="A1640" s="285" t="s">
        <v>8582</v>
      </c>
      <c r="B1640" s="252">
        <f>IF(A1640="", "", IF(IFERROR(VLOOKUP(A1640, 'Base 3F'!$B:$C, 2, FALSE),"")="", "SIN CUIT", VLOOKUP(A1640, 'Base 3F'!$B:$C, 2, FALSE)))</f>
        <v>20075192410</v>
      </c>
      <c r="C1640" s="253" t="str">
        <f>IF(A1640="", "", IF(IFERROR(VLOOKUP(A1640, 'Base 3F'!$B:$J, 9, FALSE),"")="", "SIN RUBRO", VLOOKUP(A1640, 'Base 3F'!$B:$J, 9, FALSE)))</f>
        <v>Metalúrgica</v>
      </c>
      <c r="D1640" s="58" t="s">
        <v>8585</v>
      </c>
      <c r="E1640" s="10" t="s">
        <v>2392</v>
      </c>
      <c r="F1640" s="46" t="s">
        <v>115</v>
      </c>
    </row>
    <row r="1641">
      <c r="A1641" s="285" t="s">
        <v>8587</v>
      </c>
      <c r="B1641" s="252">
        <f>IF(A1641="", "", IF(IFERROR(VLOOKUP(A1641, 'Base 3F'!$B:$C, 2, FALSE),"")="", "SIN CUIT", VLOOKUP(A1641, 'Base 3F'!$B:$C, 2, FALSE)))</f>
        <v>30709949523</v>
      </c>
      <c r="C1641" s="253" t="str">
        <f>IF(A1641="", "", IF(IFERROR(VLOOKUP(A1641, 'Base 3F'!$B:$J, 9, FALSE),"")="", "SIN RUBRO", VLOOKUP(A1641, 'Base 3F'!$B:$J, 9, FALSE)))</f>
        <v>Calzado</v>
      </c>
      <c r="D1641" s="58" t="s">
        <v>8588</v>
      </c>
      <c r="E1641" s="10" t="s">
        <v>2392</v>
      </c>
      <c r="F1641" s="46" t="s">
        <v>115</v>
      </c>
    </row>
    <row r="1642">
      <c r="A1642" s="285" t="s">
        <v>2555</v>
      </c>
      <c r="B1642" s="252">
        <f>IF(A1642="", "", IF(IFERROR(VLOOKUP(A1642, 'Base 3F'!$B:$C, 2, FALSE),"")="", "SIN CUIT", VLOOKUP(A1642, 'Base 3F'!$B:$C, 2, FALSE)))</f>
        <v>30709629901</v>
      </c>
      <c r="C1642" s="253" t="str">
        <f>IF(A1642="", "", IF(IFERROR(VLOOKUP(A1642, 'Base 3F'!$B:$J, 9, FALSE),"")="", "SIN RUBRO", VLOOKUP(A1642, 'Base 3F'!$B:$J, 9, FALSE)))</f>
        <v>Metalmecánica</v>
      </c>
      <c r="D1642" s="58" t="s">
        <v>8591</v>
      </c>
      <c r="E1642" s="10" t="s">
        <v>2392</v>
      </c>
      <c r="F1642" s="46" t="s">
        <v>115</v>
      </c>
    </row>
    <row r="1643">
      <c r="A1643" s="285" t="s">
        <v>8592</v>
      </c>
      <c r="B1643" s="252">
        <f>IF(A1643="", "", IF(IFERROR(VLOOKUP(A1643, 'Base 3F'!$B:$C, 2, FALSE),"")="", "SIN CUIT", VLOOKUP(A1643, 'Base 3F'!$B:$C, 2, FALSE)))</f>
        <v>30566679090</v>
      </c>
      <c r="C1643" s="253" t="str">
        <f>IF(A1643="", "", IF(IFERROR(VLOOKUP(A1643, 'Base 3F'!$B:$J, 9, FALSE),"")="", "SIN RUBRO", VLOOKUP(A1643, 'Base 3F'!$B:$J, 9, FALSE)))</f>
        <v>Metalúrgica</v>
      </c>
      <c r="D1643" s="58" t="s">
        <v>8598</v>
      </c>
      <c r="E1643" s="10" t="s">
        <v>2392</v>
      </c>
      <c r="F1643" s="46" t="s">
        <v>115</v>
      </c>
    </row>
    <row r="1644">
      <c r="A1644" s="285" t="s">
        <v>8601</v>
      </c>
      <c r="B1644" s="252">
        <f>IF(A1644="", "", IF(IFERROR(VLOOKUP(A1644, 'Base 3F'!$B:$C, 2, FALSE),"")="", "SIN CUIT", VLOOKUP(A1644, 'Base 3F'!$B:$C, 2, FALSE)))</f>
        <v>30502504173</v>
      </c>
      <c r="C1644" s="253" t="str">
        <f>IF(A1644="", "", IF(IFERROR(VLOOKUP(A1644, 'Base 3F'!$B:$J, 9, FALSE),"")="", "SIN RUBRO", VLOOKUP(A1644, 'Base 3F'!$B:$J, 9, FALSE)))</f>
        <v>Metalúrgica</v>
      </c>
      <c r="D1644" s="58" t="s">
        <v>8604</v>
      </c>
      <c r="E1644" s="10" t="s">
        <v>2392</v>
      </c>
      <c r="F1644" s="46" t="s">
        <v>115</v>
      </c>
    </row>
    <row r="1645">
      <c r="A1645" s="285" t="s">
        <v>2562</v>
      </c>
      <c r="B1645" s="252">
        <f>IF(A1645="", "", IF(IFERROR(VLOOKUP(A1645, 'Base 3F'!$B:$C, 2, FALSE),"")="", "SIN CUIT", VLOOKUP(A1645, 'Base 3F'!$B:$C, 2, FALSE)))</f>
        <v>30663025739</v>
      </c>
      <c r="C1645" s="253" t="str">
        <f>IF(A1645="", "", IF(IFERROR(VLOOKUP(A1645, 'Base 3F'!$B:$J, 9, FALSE),"")="", "SIN RUBRO", VLOOKUP(A1645, 'Base 3F'!$B:$J, 9, FALSE)))</f>
        <v>Metalúrgica</v>
      </c>
      <c r="D1645" s="58" t="s">
        <v>8607</v>
      </c>
      <c r="E1645" s="10" t="s">
        <v>2392</v>
      </c>
      <c r="F1645" s="46" t="s">
        <v>115</v>
      </c>
    </row>
    <row r="1646">
      <c r="A1646" s="285" t="s">
        <v>2567</v>
      </c>
      <c r="B1646" s="252">
        <f>IF(A1646="", "", IF(IFERROR(VLOOKUP(A1646, 'Base 3F'!$B:$C, 2, FALSE),"")="", "SIN CUIT", VLOOKUP(A1646, 'Base 3F'!$B:$C, 2, FALSE)))</f>
        <v>30561990715</v>
      </c>
      <c r="C1646" s="253" t="str">
        <f>IF(A1646="", "", IF(IFERROR(VLOOKUP(A1646, 'Base 3F'!$B:$J, 9, FALSE),"")="", "SIN RUBRO", VLOOKUP(A1646, 'Base 3F'!$B:$J, 9, FALSE)))</f>
        <v>Química</v>
      </c>
      <c r="D1646" s="58" t="s">
        <v>8611</v>
      </c>
      <c r="E1646" s="10" t="s">
        <v>2392</v>
      </c>
      <c r="F1646" s="46" t="s">
        <v>115</v>
      </c>
    </row>
    <row r="1647">
      <c r="A1647" s="285" t="s">
        <v>8612</v>
      </c>
      <c r="B1647" s="252">
        <f>IF(A1647="", "", IF(IFERROR(VLOOKUP(A1647, 'Base 3F'!$B:$C, 2, FALSE),"")="", "SIN CUIT", VLOOKUP(A1647, 'Base 3F'!$B:$C, 2, FALSE)))</f>
        <v>30709110167</v>
      </c>
      <c r="C1647" s="253" t="str">
        <f>IF(A1647="", "", IF(IFERROR(VLOOKUP(A1647, 'Base 3F'!$B:$J, 9, FALSE),"")="", "SIN RUBRO", VLOOKUP(A1647, 'Base 3F'!$B:$J, 9, FALSE)))</f>
        <v>Textil</v>
      </c>
      <c r="D1647" s="58" t="s">
        <v>8614</v>
      </c>
      <c r="E1647" s="10" t="s">
        <v>2392</v>
      </c>
      <c r="F1647" s="46" t="s">
        <v>115</v>
      </c>
    </row>
    <row r="1648">
      <c r="A1648" s="285" t="s">
        <v>2572</v>
      </c>
      <c r="B1648" s="252">
        <f>IF(A1648="", "", IF(IFERROR(VLOOKUP(A1648, 'Base 3F'!$B:$C, 2, FALSE),"")="", "SIN CUIT", VLOOKUP(A1648, 'Base 3F'!$B:$C, 2, FALSE)))</f>
        <v>30549477263</v>
      </c>
      <c r="C1648" s="253" t="str">
        <f>IF(A1648="", "", IF(IFERROR(VLOOKUP(A1648, 'Base 3F'!$B:$J, 9, FALSE),"")="", "SIN RUBRO", VLOOKUP(A1648, 'Base 3F'!$B:$J, 9, FALSE)))</f>
        <v>Electrónica</v>
      </c>
      <c r="D1648" s="58" t="s">
        <v>8619</v>
      </c>
      <c r="E1648" s="10" t="s">
        <v>2392</v>
      </c>
      <c r="F1648" s="46" t="s">
        <v>115</v>
      </c>
    </row>
    <row r="1649">
      <c r="A1649" s="285" t="s">
        <v>2586</v>
      </c>
      <c r="B1649" s="252">
        <f>IF(A1649="", "", IF(IFERROR(VLOOKUP(A1649, 'Base 3F'!$B:$C, 2, FALSE),"")="", "SIN CUIT", VLOOKUP(A1649, 'Base 3F'!$B:$C, 2, FALSE)))</f>
        <v>30551470578</v>
      </c>
      <c r="C1649" s="253" t="str">
        <f>IF(A1649="", "", IF(IFERROR(VLOOKUP(A1649, 'Base 3F'!$B:$J, 9, FALSE),"")="", "SIN RUBRO", VLOOKUP(A1649, 'Base 3F'!$B:$J, 9, FALSE)))</f>
        <v>Metalúrgica</v>
      </c>
      <c r="D1649" s="58" t="s">
        <v>8626</v>
      </c>
      <c r="E1649" s="10" t="s">
        <v>2392</v>
      </c>
      <c r="F1649" s="46" t="s">
        <v>115</v>
      </c>
    </row>
    <row r="1650">
      <c r="A1650" s="285" t="s">
        <v>2591</v>
      </c>
      <c r="B1650" s="252">
        <f>IF(A1650="", "", IF(IFERROR(VLOOKUP(A1650, 'Base 3F'!$B:$C, 2, FALSE),"")="", "SIN CUIT", VLOOKUP(A1650, 'Base 3F'!$B:$C, 2, FALSE)))</f>
        <v>30695261418</v>
      </c>
      <c r="C1650" s="253" t="str">
        <f>IF(A1650="", "", IF(IFERROR(VLOOKUP(A1650, 'Base 3F'!$B:$J, 9, FALSE),"")="", "SIN RUBRO", VLOOKUP(A1650, 'Base 3F'!$B:$J, 9, FALSE)))</f>
        <v>Electrónica</v>
      </c>
      <c r="D1650" s="58" t="s">
        <v>8629</v>
      </c>
      <c r="E1650" s="10" t="s">
        <v>2392</v>
      </c>
      <c r="F1650" s="46" t="s">
        <v>115</v>
      </c>
    </row>
    <row r="1651">
      <c r="A1651" s="285" t="s">
        <v>2597</v>
      </c>
      <c r="B1651" s="252">
        <f>IF(A1651="", "", IF(IFERROR(VLOOKUP(A1651, 'Base 3F'!$B:$C, 2, FALSE),"")="", "SIN CUIT", VLOOKUP(A1651, 'Base 3F'!$B:$C, 2, FALSE)))</f>
        <v>30708574224</v>
      </c>
      <c r="C1651" s="253" t="str">
        <f>IF(A1651="", "", IF(IFERROR(VLOOKUP(A1651, 'Base 3F'!$B:$J, 9, FALSE),"")="", "SIN RUBRO", VLOOKUP(A1651, 'Base 3F'!$B:$J, 9, FALSE)))</f>
        <v>Madera</v>
      </c>
      <c r="D1651" s="58" t="s">
        <v>8632</v>
      </c>
      <c r="E1651" s="10" t="s">
        <v>2392</v>
      </c>
      <c r="F1651" s="46" t="s">
        <v>115</v>
      </c>
    </row>
    <row r="1652">
      <c r="A1652" s="285" t="s">
        <v>2606</v>
      </c>
      <c r="B1652" s="252">
        <f>IF(A1652="", "", IF(IFERROR(VLOOKUP(A1652, 'Base 3F'!$B:$C, 2, FALSE),"")="", "SIN CUIT", VLOOKUP(A1652, 'Base 3F'!$B:$C, 2, FALSE)))</f>
        <v>30710460759</v>
      </c>
      <c r="C1652" s="253" t="str">
        <f>IF(A1652="", "", IF(IFERROR(VLOOKUP(A1652, 'Base 3F'!$B:$J, 9, FALSE),"")="", "SIN RUBRO", VLOOKUP(A1652, 'Base 3F'!$B:$J, 9, FALSE)))</f>
        <v>Metalúrgica</v>
      </c>
      <c r="D1652" s="58" t="s">
        <v>8635</v>
      </c>
      <c r="E1652" s="10" t="s">
        <v>2392</v>
      </c>
      <c r="F1652" s="46" t="s">
        <v>115</v>
      </c>
    </row>
    <row r="1653">
      <c r="A1653" s="285" t="s">
        <v>2611</v>
      </c>
      <c r="B1653" s="252">
        <f>IF(A1653="", "", IF(IFERROR(VLOOKUP(A1653, 'Base 3F'!$B:$C, 2, FALSE),"")="", "SIN CUIT", VLOOKUP(A1653, 'Base 3F'!$B:$C, 2, FALSE)))</f>
        <v>30708875992</v>
      </c>
      <c r="C1653" s="253" t="str">
        <f>IF(A1653="", "", IF(IFERROR(VLOOKUP(A1653, 'Base 3F'!$B:$J, 9, FALSE),"")="", "SIN RUBRO", VLOOKUP(A1653, 'Base 3F'!$B:$J, 9, FALSE)))</f>
        <v>Metalúrgica</v>
      </c>
      <c r="D1653" s="96" t="s">
        <v>491</v>
      </c>
      <c r="E1653" s="10" t="s">
        <v>2392</v>
      </c>
      <c r="F1653" s="46" t="s">
        <v>115</v>
      </c>
    </row>
    <row r="1654">
      <c r="A1654" s="285" t="s">
        <v>2619</v>
      </c>
      <c r="B1654" s="252">
        <f>IF(A1654="", "", IF(IFERROR(VLOOKUP(A1654, 'Base 3F'!$B:$C, 2, FALSE),"")="", "SIN CUIT", VLOOKUP(A1654, 'Base 3F'!$B:$C, 2, FALSE)))</f>
        <v>30711999929</v>
      </c>
      <c r="C1654" s="253" t="str">
        <f>IF(A1654="", "", IF(IFERROR(VLOOKUP(A1654, 'Base 3F'!$B:$J, 9, FALSE),"")="", "SIN RUBRO", VLOOKUP(A1654, 'Base 3F'!$B:$J, 9, FALSE)))</f>
        <v>Metalmecánica</v>
      </c>
      <c r="D1654" s="58" t="s">
        <v>493</v>
      </c>
      <c r="E1654" s="10" t="s">
        <v>2392</v>
      </c>
      <c r="F1654" s="46" t="s">
        <v>115</v>
      </c>
    </row>
    <row r="1655">
      <c r="A1655" s="285" t="s">
        <v>2628</v>
      </c>
      <c r="B1655" s="252">
        <f>IF(A1655="", "", IF(IFERROR(VLOOKUP(A1655, 'Base 3F'!$B:$C, 2, FALSE),"")="", "SIN CUIT", VLOOKUP(A1655, 'Base 3F'!$B:$C, 2, FALSE)))</f>
        <v>33685032339</v>
      </c>
      <c r="C1655" s="253" t="str">
        <f>IF(A1655="", "", IF(IFERROR(VLOOKUP(A1655, 'Base 3F'!$B:$J, 9, FALSE),"")="", "SIN RUBRO", VLOOKUP(A1655, 'Base 3F'!$B:$J, 9, FALSE)))</f>
        <v>Electricidad</v>
      </c>
      <c r="D1655" s="58" t="s">
        <v>8651</v>
      </c>
      <c r="E1655" s="10" t="s">
        <v>2392</v>
      </c>
      <c r="F1655" s="46" t="s">
        <v>115</v>
      </c>
    </row>
    <row r="1656">
      <c r="A1656" s="285" t="s">
        <v>2633</v>
      </c>
      <c r="B1656" s="252">
        <f>IF(A1656="", "", IF(IFERROR(VLOOKUP(A1656, 'Base 3F'!$B:$C, 2, FALSE),"")="", "SIN CUIT", VLOOKUP(A1656, 'Base 3F'!$B:$C, 2, FALSE)))</f>
        <v>30644425831</v>
      </c>
      <c r="C1656" s="253" t="str">
        <f>IF(A1656="", "", IF(IFERROR(VLOOKUP(A1656, 'Base 3F'!$B:$J, 9, FALSE),"")="", "SIN RUBRO", VLOOKUP(A1656, 'Base 3F'!$B:$J, 9, FALSE)))</f>
        <v>Química</v>
      </c>
      <c r="D1656" s="58" t="s">
        <v>8657</v>
      </c>
      <c r="E1656" s="10" t="s">
        <v>2392</v>
      </c>
      <c r="F1656" s="46" t="s">
        <v>115</v>
      </c>
    </row>
    <row r="1657">
      <c r="A1657" s="285" t="s">
        <v>8658</v>
      </c>
      <c r="B1657" s="252">
        <f>IF(A1657="", "", IF(IFERROR(VLOOKUP(A1657, 'Base 3F'!$B:$C, 2, FALSE),"")="", "SIN CUIT", VLOOKUP(A1657, 'Base 3F'!$B:$C, 2, FALSE)))</f>
        <v>30634093520</v>
      </c>
      <c r="C1657" s="253" t="str">
        <f>IF(A1657="", "", IF(IFERROR(VLOOKUP(A1657, 'Base 3F'!$B:$J, 9, FALSE),"")="", "SIN RUBRO", VLOOKUP(A1657, 'Base 3F'!$B:$J, 9, FALSE)))</f>
        <v>Metalúrgica</v>
      </c>
      <c r="D1657" s="58" t="s">
        <v>8661</v>
      </c>
      <c r="E1657" s="10" t="s">
        <v>2392</v>
      </c>
      <c r="F1657" s="46" t="s">
        <v>115</v>
      </c>
    </row>
    <row r="1658">
      <c r="A1658" s="285" t="s">
        <v>8662</v>
      </c>
      <c r="B1658" s="252">
        <f>IF(A1658="", "", IF(IFERROR(VLOOKUP(A1658, 'Base 3F'!$B:$C, 2, FALSE),"")="", "SIN CUIT", VLOOKUP(A1658, 'Base 3F'!$B:$C, 2, FALSE)))</f>
        <v>30710947410</v>
      </c>
      <c r="C1658" s="253" t="str">
        <f>IF(A1658="", "", IF(IFERROR(VLOOKUP(A1658, 'Base 3F'!$B:$J, 9, FALSE),"")="", "SIN RUBRO", VLOOKUP(A1658, 'Base 3F'!$B:$J, 9, FALSE)))</f>
        <v>Metalúrgica</v>
      </c>
      <c r="D1658" s="58" t="s">
        <v>8666</v>
      </c>
      <c r="E1658" s="10" t="s">
        <v>2392</v>
      </c>
      <c r="F1658" s="46" t="s">
        <v>115</v>
      </c>
    </row>
    <row r="1659">
      <c r="A1659" s="285" t="s">
        <v>2640</v>
      </c>
      <c r="B1659" s="252">
        <f>IF(A1659="", "", IF(IFERROR(VLOOKUP(A1659, 'Base 3F'!$B:$C, 2, FALSE),"")="", "SIN CUIT", VLOOKUP(A1659, 'Base 3F'!$B:$C, 2, FALSE)))</f>
        <v>30714532215</v>
      </c>
      <c r="C1659" s="253" t="str">
        <f>IF(A1659="", "", IF(IFERROR(VLOOKUP(A1659, 'Base 3F'!$B:$J, 9, FALSE),"")="", "SIN RUBRO", VLOOKUP(A1659, 'Base 3F'!$B:$J, 9, FALSE)))</f>
        <v>Plástica</v>
      </c>
      <c r="D1659" s="58" t="s">
        <v>8675</v>
      </c>
      <c r="E1659" s="10" t="s">
        <v>2392</v>
      </c>
      <c r="F1659" s="46" t="s">
        <v>115</v>
      </c>
    </row>
    <row r="1660">
      <c r="A1660" s="285" t="s">
        <v>8676</v>
      </c>
      <c r="B1660" s="252">
        <f>IF(A1660="", "", IF(IFERROR(VLOOKUP(A1660, 'Base 3F'!$B:$C, 2, FALSE),"")="", "SIN CUIT", VLOOKUP(A1660, 'Base 3F'!$B:$C, 2, FALSE)))</f>
        <v>30701157695</v>
      </c>
      <c r="C1660" s="253" t="str">
        <f>IF(A1660="", "", IF(IFERROR(VLOOKUP(A1660, 'Base 3F'!$B:$J, 9, FALSE),"")="", "SIN RUBRO", VLOOKUP(A1660, 'Base 3F'!$B:$J, 9, FALSE)))</f>
        <v>Servicios</v>
      </c>
      <c r="D1660" s="58" t="s">
        <v>8680</v>
      </c>
      <c r="E1660" s="10" t="s">
        <v>2392</v>
      </c>
      <c r="F1660" s="46" t="s">
        <v>115</v>
      </c>
    </row>
    <row r="1661">
      <c r="A1661" s="285" t="s">
        <v>8682</v>
      </c>
      <c r="B1661" s="252">
        <f>IF(A1661="", "", IF(IFERROR(VLOOKUP(A1661, 'Base 3F'!$B:$C, 2, FALSE),"")="", "SIN CUIT", VLOOKUP(A1661, 'Base 3F'!$B:$C, 2, FALSE)))</f>
        <v>30708430389</v>
      </c>
      <c r="C1661" s="253" t="str">
        <f>IF(A1661="", "", IF(IFERROR(VLOOKUP(A1661, 'Base 3F'!$B:$J, 9, FALSE),"")="", "SIN RUBRO", VLOOKUP(A1661, 'Base 3F'!$B:$J, 9, FALSE)))</f>
        <v>Madera</v>
      </c>
      <c r="D1661" s="58" t="s">
        <v>8684</v>
      </c>
      <c r="E1661" s="10" t="s">
        <v>2392</v>
      </c>
      <c r="F1661" s="46" t="s">
        <v>115</v>
      </c>
    </row>
    <row r="1662">
      <c r="A1662" s="285" t="s">
        <v>2647</v>
      </c>
      <c r="B1662" s="252">
        <f>IF(A1662="", "", IF(IFERROR(VLOOKUP(A1662, 'Base 3F'!$B:$C, 2, FALSE),"")="", "SIN CUIT", VLOOKUP(A1662, 'Base 3F'!$B:$C, 2, FALSE)))</f>
        <v>30710151950</v>
      </c>
      <c r="C1662" s="253" t="str">
        <f>IF(A1662="", "", IF(IFERROR(VLOOKUP(A1662, 'Base 3F'!$B:$J, 9, FALSE),"")="", "SIN RUBRO", VLOOKUP(A1662, 'Base 3F'!$B:$J, 9, FALSE)))</f>
        <v>Metalúrgica</v>
      </c>
      <c r="D1662" s="58" t="s">
        <v>8688</v>
      </c>
      <c r="E1662" s="10" t="s">
        <v>2392</v>
      </c>
      <c r="F1662" s="46" t="s">
        <v>115</v>
      </c>
    </row>
    <row r="1663">
      <c r="A1663" s="285" t="s">
        <v>8689</v>
      </c>
      <c r="B1663" s="252">
        <f>IF(A1663="", "", IF(IFERROR(VLOOKUP(A1663, 'Base 3F'!$B:$C, 2, FALSE),"")="", "SIN CUIT", VLOOKUP(A1663, 'Base 3F'!$B:$C, 2, FALSE)))</f>
        <v>30710637330</v>
      </c>
      <c r="C1663" s="253" t="str">
        <f>IF(A1663="", "", IF(IFERROR(VLOOKUP(A1663, 'Base 3F'!$B:$J, 9, FALSE),"")="", "SIN RUBRO", VLOOKUP(A1663, 'Base 3F'!$B:$J, 9, FALSE)))</f>
        <v>Plástica</v>
      </c>
      <c r="D1663" s="58" t="s">
        <v>8691</v>
      </c>
      <c r="E1663" s="10" t="s">
        <v>2392</v>
      </c>
      <c r="F1663" s="46" t="s">
        <v>115</v>
      </c>
    </row>
    <row r="1664">
      <c r="A1664" s="285" t="s">
        <v>8692</v>
      </c>
      <c r="B1664" s="252">
        <f>IF(A1664="", "", IF(IFERROR(VLOOKUP(A1664, 'Base 3F'!$B:$C, 2, FALSE),"")="", "SIN CUIT", VLOOKUP(A1664, 'Base 3F'!$B:$C, 2, FALSE)))</f>
        <v>30711261202</v>
      </c>
      <c r="C1664" s="253" t="str">
        <f>IF(A1664="", "", IF(IFERROR(VLOOKUP(A1664, 'Base 3F'!$B:$J, 9, FALSE),"")="", "SIN RUBRO", VLOOKUP(A1664, 'Base 3F'!$B:$J, 9, FALSE)))</f>
        <v>Textil</v>
      </c>
      <c r="D1664" s="58" t="s">
        <v>8693</v>
      </c>
      <c r="E1664" s="10" t="s">
        <v>2392</v>
      </c>
      <c r="F1664" s="46" t="s">
        <v>115</v>
      </c>
    </row>
    <row r="1665">
      <c r="A1665" s="285" t="s">
        <v>8694</v>
      </c>
      <c r="B1665" s="252">
        <f>IF(A1665="", "", IF(IFERROR(VLOOKUP(A1665, 'Base 3F'!$B:$C, 2, FALSE),"")="", "SIN CUIT", VLOOKUP(A1665, 'Base 3F'!$B:$C, 2, FALSE)))</f>
        <v>33714607869</v>
      </c>
      <c r="C1665" s="253" t="str">
        <f>IF(A1665="", "", IF(IFERROR(VLOOKUP(A1665, 'Base 3F'!$B:$J, 9, FALSE),"")="", "SIN RUBRO", VLOOKUP(A1665, 'Base 3F'!$B:$J, 9, FALSE)))</f>
        <v>Textil</v>
      </c>
      <c r="D1665" s="58" t="s">
        <v>8697</v>
      </c>
      <c r="E1665" s="10" t="s">
        <v>2392</v>
      </c>
      <c r="F1665" s="46" t="s">
        <v>115</v>
      </c>
    </row>
    <row r="1666">
      <c r="A1666" s="285" t="s">
        <v>8698</v>
      </c>
      <c r="B1666" s="252">
        <f>IF(A1666="", "", IF(IFERROR(VLOOKUP(A1666, 'Base 3F'!$B:$C, 2, FALSE),"")="", "SIN CUIT", VLOOKUP(A1666, 'Base 3F'!$B:$C, 2, FALSE)))</f>
        <v>30708765658</v>
      </c>
      <c r="C1666" s="253" t="str">
        <f>IF(A1666="", "", IF(IFERROR(VLOOKUP(A1666, 'Base 3F'!$B:$J, 9, FALSE),"")="", "SIN RUBRO", VLOOKUP(A1666, 'Base 3F'!$B:$J, 9, FALSE)))</f>
        <v>Textil</v>
      </c>
      <c r="D1666" s="58" t="s">
        <v>8703</v>
      </c>
      <c r="E1666" s="10" t="s">
        <v>2392</v>
      </c>
      <c r="F1666" s="46" t="s">
        <v>115</v>
      </c>
    </row>
    <row r="1667">
      <c r="A1667" s="285" t="s">
        <v>8704</v>
      </c>
      <c r="B1667" s="252">
        <f>IF(A1667="", "", IF(IFERROR(VLOOKUP(A1667, 'Base 3F'!$B:$C, 2, FALSE),"")="", "SIN CUIT", VLOOKUP(A1667, 'Base 3F'!$B:$C, 2, FALSE)))</f>
        <v>30593280655</v>
      </c>
      <c r="C1667" s="253" t="str">
        <f>IF(A1667="", "", IF(IFERROR(VLOOKUP(A1667, 'Base 3F'!$B:$J, 9, FALSE),"")="", "SIN RUBRO", VLOOKUP(A1667, 'Base 3F'!$B:$J, 9, FALSE)))</f>
        <v>Textil</v>
      </c>
      <c r="D1667" s="96" t="s">
        <v>8706</v>
      </c>
      <c r="E1667" s="10" t="s">
        <v>2392</v>
      </c>
      <c r="F1667" s="46" t="s">
        <v>115</v>
      </c>
    </row>
    <row r="1668">
      <c r="A1668" s="285" t="s">
        <v>8708</v>
      </c>
      <c r="B1668" s="252">
        <f>IF(A1668="", "", IF(IFERROR(VLOOKUP(A1668, 'Base 3F'!$B:$C, 2, FALSE),"")="", "SIN CUIT", VLOOKUP(A1668, 'Base 3F'!$B:$C, 2, FALSE)))</f>
        <v>27127132858</v>
      </c>
      <c r="C1668" s="253" t="str">
        <f>IF(A1668="", "", IF(IFERROR(VLOOKUP(A1668, 'Base 3F'!$B:$J, 9, FALSE),"")="", "SIN RUBRO", VLOOKUP(A1668, 'Base 3F'!$B:$J, 9, FALSE)))</f>
        <v>Cosmética</v>
      </c>
      <c r="D1668" s="58" t="s">
        <v>8711</v>
      </c>
      <c r="E1668" s="10" t="s">
        <v>2392</v>
      </c>
      <c r="F1668" s="46" t="s">
        <v>115</v>
      </c>
    </row>
    <row r="1669">
      <c r="A1669" s="285" t="s">
        <v>8712</v>
      </c>
      <c r="B1669" s="252">
        <f>IF(A1669="", "", IF(IFERROR(VLOOKUP(A1669, 'Base 3F'!$B:$C, 2, FALSE),"")="", "SIN CUIT", VLOOKUP(A1669, 'Base 3F'!$B:$C, 2, FALSE)))</f>
        <v>30559294469</v>
      </c>
      <c r="C1669" s="253" t="str">
        <f>IF(A1669="", "", IF(IFERROR(VLOOKUP(A1669, 'Base 3F'!$B:$J, 9, FALSE),"")="", "SIN RUBRO", VLOOKUP(A1669, 'Base 3F'!$B:$J, 9, FALSE)))</f>
        <v>Metalúrgica</v>
      </c>
      <c r="D1669" s="58" t="s">
        <v>8714</v>
      </c>
      <c r="E1669" s="10" t="s">
        <v>2392</v>
      </c>
      <c r="F1669" s="46" t="s">
        <v>115</v>
      </c>
    </row>
    <row r="1670">
      <c r="A1670" s="285" t="s">
        <v>8716</v>
      </c>
      <c r="B1670" s="252">
        <f>IF(A1670="", "", IF(IFERROR(VLOOKUP(A1670, 'Base 3F'!$B:$C, 2, FALSE),"")="", "SIN CUIT", VLOOKUP(A1670, 'Base 3F'!$B:$C, 2, FALSE)))</f>
        <v>33697672279</v>
      </c>
      <c r="C1670" s="253" t="str">
        <f>IF(A1670="", "", IF(IFERROR(VLOOKUP(A1670, 'Base 3F'!$B:$J, 9, FALSE),"")="", "SIN RUBRO", VLOOKUP(A1670, 'Base 3F'!$B:$J, 9, FALSE)))</f>
        <v>Construcción</v>
      </c>
      <c r="D1670" s="58" t="s">
        <v>8718</v>
      </c>
      <c r="E1670" s="10" t="s">
        <v>2392</v>
      </c>
      <c r="F1670" s="46" t="s">
        <v>115</v>
      </c>
    </row>
    <row r="1671">
      <c r="A1671" s="285" t="s">
        <v>2654</v>
      </c>
      <c r="B1671" s="252">
        <f>IF(A1671="", "", IF(IFERROR(VLOOKUP(A1671, 'Base 3F'!$B:$C, 2, FALSE),"")="", "SIN CUIT", VLOOKUP(A1671, 'Base 3F'!$B:$C, 2, FALSE)))</f>
        <v>30505488004</v>
      </c>
      <c r="C1671" s="253" t="str">
        <f>IF(A1671="", "", IF(IFERROR(VLOOKUP(A1671, 'Base 3F'!$B:$J, 9, FALSE),"")="", "SIN RUBRO", VLOOKUP(A1671, 'Base 3F'!$B:$J, 9, FALSE)))</f>
        <v>Plástica</v>
      </c>
      <c r="D1671" s="58" t="s">
        <v>8727</v>
      </c>
      <c r="E1671" s="10" t="s">
        <v>2392</v>
      </c>
      <c r="F1671" s="46" t="s">
        <v>115</v>
      </c>
    </row>
    <row r="1672">
      <c r="A1672" s="285" t="s">
        <v>8728</v>
      </c>
      <c r="B1672" s="252">
        <f>IF(A1672="", "", IF(IFERROR(VLOOKUP(A1672, 'Base 3F'!$B:$C, 2, FALSE),"")="", "SIN CUIT", VLOOKUP(A1672, 'Base 3F'!$B:$C, 2, FALSE)))</f>
        <v>30709017035</v>
      </c>
      <c r="C1672" s="253" t="str">
        <f>IF(A1672="", "", IF(IFERROR(VLOOKUP(A1672, 'Base 3F'!$B:$J, 9, FALSE),"")="", "SIN RUBRO", VLOOKUP(A1672, 'Base 3F'!$B:$J, 9, FALSE)))</f>
        <v>Metalmecánica</v>
      </c>
      <c r="D1672" s="58" t="s">
        <v>8731</v>
      </c>
      <c r="E1672" s="10" t="s">
        <v>2392</v>
      </c>
      <c r="F1672" s="46" t="s">
        <v>115</v>
      </c>
    </row>
    <row r="1673">
      <c r="A1673" s="285" t="s">
        <v>8732</v>
      </c>
      <c r="B1673" s="252">
        <f>IF(A1673="", "", IF(IFERROR(VLOOKUP(A1673, 'Base 3F'!$B:$C, 2, FALSE),"")="", "SIN CUIT", VLOOKUP(A1673, 'Base 3F'!$B:$C, 2, FALSE)))</f>
        <v>30663781347</v>
      </c>
      <c r="C1673" s="253" t="str">
        <f>IF(A1673="", "", IF(IFERROR(VLOOKUP(A1673, 'Base 3F'!$B:$J, 9, FALSE),"")="", "SIN RUBRO", VLOOKUP(A1673, 'Base 3F'!$B:$J, 9, FALSE)))</f>
        <v>Textil</v>
      </c>
      <c r="D1673" s="58" t="s">
        <v>8740</v>
      </c>
      <c r="E1673" s="10" t="s">
        <v>2392</v>
      </c>
      <c r="F1673" s="46" t="s">
        <v>115</v>
      </c>
    </row>
    <row r="1674">
      <c r="A1674" s="285" t="s">
        <v>8741</v>
      </c>
      <c r="B1674" s="252">
        <f>IF(A1674="", "", IF(IFERROR(VLOOKUP(A1674, 'Base 3F'!$B:$C, 2, FALSE),"")="", "SIN CUIT", VLOOKUP(A1674, 'Base 3F'!$B:$C, 2, FALSE)))</f>
        <v>30710906242</v>
      </c>
      <c r="C1674" s="253" t="str">
        <f>IF(A1674="", "", IF(IFERROR(VLOOKUP(A1674, 'Base 3F'!$B:$J, 9, FALSE),"")="", "SIN RUBRO", VLOOKUP(A1674, 'Base 3F'!$B:$J, 9, FALSE)))</f>
        <v>Textil</v>
      </c>
      <c r="D1674" s="58" t="s">
        <v>8744</v>
      </c>
      <c r="E1674" s="10" t="s">
        <v>2392</v>
      </c>
      <c r="F1674" s="46" t="s">
        <v>115</v>
      </c>
    </row>
    <row r="1675">
      <c r="A1675" s="285" t="s">
        <v>2667</v>
      </c>
      <c r="B1675" s="252">
        <f>IF(A1675="", "", IF(IFERROR(VLOOKUP(A1675, 'Base 3F'!$B:$C, 2, FALSE),"")="", "SIN CUIT", VLOOKUP(A1675, 'Base 3F'!$B:$C, 2, FALSE)))</f>
        <v>30620611979</v>
      </c>
      <c r="C1675" s="253" t="str">
        <f>IF(A1675="", "", IF(IFERROR(VLOOKUP(A1675, 'Base 3F'!$B:$J, 9, FALSE),"")="", "SIN RUBRO", VLOOKUP(A1675, 'Base 3F'!$B:$J, 9, FALSE)))</f>
        <v>Textil</v>
      </c>
      <c r="D1675" s="58" t="s">
        <v>8747</v>
      </c>
      <c r="E1675" s="10" t="s">
        <v>2392</v>
      </c>
      <c r="F1675" s="46" t="s">
        <v>115</v>
      </c>
    </row>
    <row r="1676">
      <c r="A1676" s="285" t="s">
        <v>2679</v>
      </c>
      <c r="B1676" s="252">
        <f>IF(A1676="", "", IF(IFERROR(VLOOKUP(A1676, 'Base 3F'!$B:$C, 2, FALSE),"")="", "SIN CUIT", VLOOKUP(A1676, 'Base 3F'!$B:$C, 2, FALSE)))</f>
        <v>30711812349</v>
      </c>
      <c r="C1676" s="253" t="str">
        <f>IF(A1676="", "", IF(IFERROR(VLOOKUP(A1676, 'Base 3F'!$B:$J, 9, FALSE),"")="", "SIN RUBRO", VLOOKUP(A1676, 'Base 3F'!$B:$J, 9, FALSE)))</f>
        <v>Textil</v>
      </c>
      <c r="D1676" s="58" t="s">
        <v>8749</v>
      </c>
      <c r="E1676" s="10" t="s">
        <v>2392</v>
      </c>
      <c r="F1676" s="46" t="s">
        <v>115</v>
      </c>
    </row>
    <row r="1677">
      <c r="A1677" s="285" t="s">
        <v>8751</v>
      </c>
      <c r="B1677" s="252">
        <f>IF(A1677="", "", IF(IFERROR(VLOOKUP(A1677, 'Base 3F'!$B:$C, 2, FALSE),"")="", "SIN CUIT", VLOOKUP(A1677, 'Base 3F'!$B:$C, 2, FALSE)))</f>
        <v>30584011072</v>
      </c>
      <c r="C1677" s="253" t="str">
        <f>IF(A1677="", "", IF(IFERROR(VLOOKUP(A1677, 'Base 3F'!$B:$J, 9, FALSE),"")="", "SIN RUBRO", VLOOKUP(A1677, 'Base 3F'!$B:$J, 9, FALSE)))</f>
        <v>Textil</v>
      </c>
      <c r="D1677" s="58" t="s">
        <v>8754</v>
      </c>
      <c r="E1677" s="10" t="s">
        <v>2392</v>
      </c>
      <c r="F1677" s="46" t="s">
        <v>115</v>
      </c>
    </row>
    <row r="1678">
      <c r="A1678" s="285" t="s">
        <v>8755</v>
      </c>
      <c r="B1678" s="252">
        <f>IF(A1678="", "", IF(IFERROR(VLOOKUP(A1678, 'Base 3F'!$B:$C, 2, FALSE),"")="", "SIN CUIT", VLOOKUP(A1678, 'Base 3F'!$B:$C, 2, FALSE)))</f>
        <v>30708250771</v>
      </c>
      <c r="C1678" s="253" t="str">
        <f>IF(A1678="", "", IF(IFERROR(VLOOKUP(A1678, 'Base 3F'!$B:$J, 9, FALSE),"")="", "SIN RUBRO", VLOOKUP(A1678, 'Base 3F'!$B:$J, 9, FALSE)))</f>
        <v>Plástica</v>
      </c>
      <c r="D1678" s="333" t="s">
        <v>8758</v>
      </c>
      <c r="E1678" s="10" t="s">
        <v>2392</v>
      </c>
      <c r="F1678" s="46" t="s">
        <v>115</v>
      </c>
    </row>
    <row r="1679">
      <c r="A1679" s="285" t="s">
        <v>8759</v>
      </c>
      <c r="B1679" s="252">
        <f>IF(A1679="", "", IF(IFERROR(VLOOKUP(A1679, 'Base 3F'!$B:$C, 2, FALSE),"")="", "SIN CUIT", VLOOKUP(A1679, 'Base 3F'!$B:$C, 2, FALSE)))</f>
        <v>30649662858</v>
      </c>
      <c r="C1679" s="253" t="str">
        <f>IF(A1679="", "", IF(IFERROR(VLOOKUP(A1679, 'Base 3F'!$B:$J, 9, FALSE),"")="", "SIN RUBRO", VLOOKUP(A1679, 'Base 3F'!$B:$J, 9, FALSE)))</f>
        <v>Textil</v>
      </c>
      <c r="D1679" s="58" t="s">
        <v>8766</v>
      </c>
      <c r="E1679" s="10" t="s">
        <v>2392</v>
      </c>
      <c r="F1679" s="46" t="s">
        <v>115</v>
      </c>
    </row>
    <row r="1680">
      <c r="A1680" s="285" t="s">
        <v>2700</v>
      </c>
      <c r="B1680" s="252">
        <f>IF(A1680="", "", IF(IFERROR(VLOOKUP(A1680, 'Base 3F'!$B:$C, 2, FALSE),"")="", "SIN CUIT", VLOOKUP(A1680, 'Base 3F'!$B:$C, 2, FALSE)))</f>
        <v>30714519626</v>
      </c>
      <c r="C1680" s="253" t="str">
        <f>IF(A1680="", "", IF(IFERROR(VLOOKUP(A1680, 'Base 3F'!$B:$J, 9, FALSE),"")="", "SIN RUBRO", VLOOKUP(A1680, 'Base 3F'!$B:$J, 9, FALSE)))</f>
        <v>Textil</v>
      </c>
      <c r="D1680" s="58" t="s">
        <v>8767</v>
      </c>
      <c r="E1680" s="10" t="s">
        <v>2392</v>
      </c>
      <c r="F1680" s="46" t="s">
        <v>115</v>
      </c>
    </row>
    <row r="1681">
      <c r="A1681" s="285" t="s">
        <v>8768</v>
      </c>
      <c r="B1681" s="252">
        <f>IF(A1681="", "", IF(IFERROR(VLOOKUP(A1681, 'Base 3F'!$B:$C, 2, FALSE),"")="", "SIN CUIT", VLOOKUP(A1681, 'Base 3F'!$B:$C, 2, FALSE)))</f>
        <v>20281575237</v>
      </c>
      <c r="C1681" s="253" t="str">
        <f>IF(A1681="", "", IF(IFERROR(VLOOKUP(A1681, 'Base 3F'!$B:$J, 9, FALSE),"")="", "SIN RUBRO", VLOOKUP(A1681, 'Base 3F'!$B:$J, 9, FALSE)))</f>
        <v>Madera</v>
      </c>
      <c r="D1681" s="58" t="s">
        <v>8771</v>
      </c>
      <c r="E1681" s="10" t="s">
        <v>2392</v>
      </c>
      <c r="F1681" s="46" t="s">
        <v>115</v>
      </c>
    </row>
    <row r="1682">
      <c r="A1682" s="285" t="s">
        <v>8772</v>
      </c>
      <c r="B1682" s="252">
        <f>IF(A1682="", "", IF(IFERROR(VLOOKUP(A1682, 'Base 3F'!$B:$C, 2, FALSE),"")="", "SIN CUIT", VLOOKUP(A1682, 'Base 3F'!$B:$C, 2, FALSE)))</f>
        <v>30709248673</v>
      </c>
      <c r="C1682" s="253" t="str">
        <f>IF(A1682="", "", IF(IFERROR(VLOOKUP(A1682, 'Base 3F'!$B:$J, 9, FALSE),"")="", "SIN RUBRO", VLOOKUP(A1682, 'Base 3F'!$B:$J, 9, FALSE)))</f>
        <v>Plástica</v>
      </c>
      <c r="D1682" s="58" t="s">
        <v>8780</v>
      </c>
      <c r="E1682" s="10" t="s">
        <v>2392</v>
      </c>
      <c r="F1682" s="46" t="s">
        <v>115</v>
      </c>
    </row>
    <row r="1683">
      <c r="A1683" s="285" t="s">
        <v>8783</v>
      </c>
      <c r="B1683" s="252">
        <f>IF(A1683="", "", IF(IFERROR(VLOOKUP(A1683, 'Base 3F'!$B:$C, 2, FALSE),"")="", "SIN CUIT", VLOOKUP(A1683, 'Base 3F'!$B:$C, 2, FALSE)))</f>
        <v>30503758179</v>
      </c>
      <c r="C1683" s="253" t="str">
        <f>IF(A1683="", "", IF(IFERROR(VLOOKUP(A1683, 'Base 3F'!$B:$J, 9, FALSE),"")="", "SIN RUBRO", VLOOKUP(A1683, 'Base 3F'!$B:$J, 9, FALSE)))</f>
        <v>Plástica</v>
      </c>
      <c r="D1683" s="136" t="s">
        <v>8787</v>
      </c>
      <c r="E1683" s="10" t="s">
        <v>2392</v>
      </c>
      <c r="F1683" s="46" t="s">
        <v>115</v>
      </c>
    </row>
    <row r="1684">
      <c r="A1684" s="285" t="s">
        <v>2716</v>
      </c>
      <c r="B1684" s="252">
        <f>IF(A1684="", "", IF(IFERROR(VLOOKUP(A1684, 'Base 3F'!$B:$C, 2, FALSE),"")="", "SIN CUIT", VLOOKUP(A1684, 'Base 3F'!$B:$C, 2, FALSE)))</f>
        <v>30712001018</v>
      </c>
      <c r="C1684" s="253" t="str">
        <f>IF(A1684="", "", IF(IFERROR(VLOOKUP(A1684, 'Base 3F'!$B:$J, 9, FALSE),"")="", "SIN RUBRO", VLOOKUP(A1684, 'Base 3F'!$B:$J, 9, FALSE)))</f>
        <v>Papel</v>
      </c>
      <c r="D1684" s="58" t="s">
        <v>8794</v>
      </c>
      <c r="E1684" s="10" t="s">
        <v>2392</v>
      </c>
      <c r="F1684" s="46" t="s">
        <v>115</v>
      </c>
    </row>
    <row r="1685">
      <c r="A1685" s="285" t="s">
        <v>8795</v>
      </c>
      <c r="B1685" s="252">
        <f>IF(A1685="", "", IF(IFERROR(VLOOKUP(A1685, 'Base 3F'!$B:$C, 2, FALSE),"")="", "SIN CUIT", VLOOKUP(A1685, 'Base 3F'!$B:$C, 2, FALSE)))</f>
        <v>30615720360</v>
      </c>
      <c r="C1685" s="253" t="str">
        <f>IF(A1685="", "", IF(IFERROR(VLOOKUP(A1685, 'Base 3F'!$B:$J, 9, FALSE),"")="", "SIN RUBRO", VLOOKUP(A1685, 'Base 3F'!$B:$J, 9, FALSE)))</f>
        <v>Electrónica</v>
      </c>
      <c r="D1685" s="136" t="s">
        <v>8796</v>
      </c>
      <c r="E1685" s="10" t="s">
        <v>2392</v>
      </c>
      <c r="F1685" s="46" t="s">
        <v>115</v>
      </c>
    </row>
    <row r="1686">
      <c r="A1686" s="285" t="s">
        <v>8797</v>
      </c>
      <c r="B1686" s="252">
        <f>IF(A1686="", "", IF(IFERROR(VLOOKUP(A1686, 'Base 3F'!$B:$C, 2, FALSE),"")="", "SIN CUIT", VLOOKUP(A1686, 'Base 3F'!$B:$C, 2, FALSE)))</f>
        <v>33505267589</v>
      </c>
      <c r="C1686" s="253" t="str">
        <f>IF(A1686="", "", IF(IFERROR(VLOOKUP(A1686, 'Base 3F'!$B:$J, 9, FALSE),"")="", "SIN RUBRO", VLOOKUP(A1686, 'Base 3F'!$B:$J, 9, FALSE)))</f>
        <v>Metalúrgica</v>
      </c>
      <c r="D1686" s="58" t="s">
        <v>8805</v>
      </c>
      <c r="E1686" s="10" t="s">
        <v>2392</v>
      </c>
      <c r="F1686" s="46" t="s">
        <v>115</v>
      </c>
    </row>
    <row r="1687">
      <c r="A1687" s="285" t="s">
        <v>8806</v>
      </c>
      <c r="B1687" s="252">
        <f>IF(A1687="", "", IF(IFERROR(VLOOKUP(A1687, 'Base 3F'!$B:$C, 2, FALSE),"")="", "SIN CUIT", VLOOKUP(A1687, 'Base 3F'!$B:$C, 2, FALSE)))</f>
        <v>30521456279</v>
      </c>
      <c r="C1687" s="253" t="str">
        <f>IF(A1687="", "", IF(IFERROR(VLOOKUP(A1687, 'Base 3F'!$B:$J, 9, FALSE),"")="", "SIN RUBRO", VLOOKUP(A1687, 'Base 3F'!$B:$J, 9, FALSE)))</f>
        <v>Metalúrgica</v>
      </c>
      <c r="D1687" s="58" t="s">
        <v>8810</v>
      </c>
      <c r="E1687" s="10" t="s">
        <v>2392</v>
      </c>
      <c r="F1687" s="46" t="s">
        <v>115</v>
      </c>
    </row>
    <row r="1688">
      <c r="A1688" s="285" t="s">
        <v>8811</v>
      </c>
      <c r="B1688" s="252">
        <f>IF(A1688="", "", IF(IFERROR(VLOOKUP(A1688, 'Base 3F'!$B:$C, 2, FALSE),"")="", "SIN CUIT", VLOOKUP(A1688, 'Base 3F'!$B:$C, 2, FALSE)))</f>
        <v>30679214361</v>
      </c>
      <c r="C1688" s="253" t="str">
        <f>IF(A1688="", "", IF(IFERROR(VLOOKUP(A1688, 'Base 3F'!$B:$J, 9, FALSE),"")="", "SIN RUBRO", VLOOKUP(A1688, 'Base 3F'!$B:$J, 9, FALSE)))</f>
        <v>Servicios</v>
      </c>
      <c r="D1688" s="58" t="s">
        <v>8813</v>
      </c>
      <c r="E1688" s="10" t="s">
        <v>2392</v>
      </c>
      <c r="F1688" s="46" t="s">
        <v>115</v>
      </c>
    </row>
    <row r="1689">
      <c r="A1689" s="285" t="s">
        <v>8814</v>
      </c>
      <c r="B1689" s="252">
        <f>IF(A1689="", "", IF(IFERROR(VLOOKUP(A1689, 'Base 3F'!$B:$C, 2, FALSE),"")="", "SIN CUIT", VLOOKUP(A1689, 'Base 3F'!$B:$C, 2, FALSE)))</f>
        <v>30708457856</v>
      </c>
      <c r="C1689" s="253" t="str">
        <f>IF(A1689="", "", IF(IFERROR(VLOOKUP(A1689, 'Base 3F'!$B:$J, 9, FALSE),"")="", "SIN RUBRO", VLOOKUP(A1689, 'Base 3F'!$B:$J, 9, FALSE)))</f>
        <v>Plástica</v>
      </c>
      <c r="D1689" s="58" t="s">
        <v>8816</v>
      </c>
      <c r="E1689" s="10" t="s">
        <v>2392</v>
      </c>
      <c r="F1689" s="46" t="s">
        <v>115</v>
      </c>
    </row>
    <row r="1690">
      <c r="A1690" s="285" t="s">
        <v>2724</v>
      </c>
      <c r="B1690" s="252">
        <f>IF(A1690="", "", IF(IFERROR(VLOOKUP(A1690, 'Base 3F'!$B:$C, 2, FALSE),"")="", "SIN CUIT", VLOOKUP(A1690, 'Base 3F'!$B:$C, 2, FALSE)))</f>
        <v>30597797717</v>
      </c>
      <c r="C1690" s="253" t="str">
        <f>IF(A1690="", "", IF(IFERROR(VLOOKUP(A1690, 'Base 3F'!$B:$J, 9, FALSE),"")="", "SIN RUBRO", VLOOKUP(A1690, 'Base 3F'!$B:$J, 9, FALSE)))</f>
        <v>Metalúrgica</v>
      </c>
      <c r="D1690" s="58" t="s">
        <v>8818</v>
      </c>
      <c r="E1690" s="10" t="s">
        <v>2392</v>
      </c>
      <c r="F1690" s="46" t="s">
        <v>115</v>
      </c>
    </row>
    <row r="1691">
      <c r="A1691" s="285" t="s">
        <v>8819</v>
      </c>
      <c r="B1691" s="252">
        <f>IF(A1691="", "", IF(IFERROR(VLOOKUP(A1691, 'Base 3F'!$B:$C, 2, FALSE),"")="", "SIN CUIT", VLOOKUP(A1691, 'Base 3F'!$B:$C, 2, FALSE)))</f>
        <v>30645407683</v>
      </c>
      <c r="C1691" s="253" t="str">
        <f>IF(A1691="", "", IF(IFERROR(VLOOKUP(A1691, 'Base 3F'!$B:$J, 9, FALSE),"")="", "SIN RUBRO", VLOOKUP(A1691, 'Base 3F'!$B:$J, 9, FALSE)))</f>
        <v>Servicios</v>
      </c>
      <c r="D1691" s="58" t="s">
        <v>8825</v>
      </c>
      <c r="E1691" s="10" t="s">
        <v>2392</v>
      </c>
      <c r="F1691" s="46" t="s">
        <v>115</v>
      </c>
    </row>
    <row r="1692">
      <c r="A1692" s="285" t="s">
        <v>8826</v>
      </c>
      <c r="B1692" s="252">
        <f>IF(A1692="", "", IF(IFERROR(VLOOKUP(A1692, 'Base 3F'!$B:$C, 2, FALSE),"")="", "SIN CUIT", VLOOKUP(A1692, 'Base 3F'!$B:$C, 2, FALSE)))</f>
        <v>30707434186</v>
      </c>
      <c r="C1692" s="253" t="str">
        <f>IF(A1692="", "", IF(IFERROR(VLOOKUP(A1692, 'Base 3F'!$B:$J, 9, FALSE),"")="", "SIN RUBRO", VLOOKUP(A1692, 'Base 3F'!$B:$J, 9, FALSE)))</f>
        <v>Servicios</v>
      </c>
      <c r="D1692" s="136" t="s">
        <v>8827</v>
      </c>
      <c r="E1692" s="10" t="s">
        <v>2392</v>
      </c>
      <c r="F1692" s="46" t="s">
        <v>115</v>
      </c>
    </row>
    <row r="1693">
      <c r="A1693" s="285" t="s">
        <v>2727</v>
      </c>
      <c r="B1693" s="252">
        <f>IF(A1693="", "", IF(IFERROR(VLOOKUP(A1693, 'Base 3F'!$B:$C, 2, FALSE),"")="", "SIN CUIT", VLOOKUP(A1693, 'Base 3F'!$B:$C, 2, FALSE)))</f>
        <v>30708397896</v>
      </c>
      <c r="C1693" s="253" t="str">
        <f>IF(A1693="", "", IF(IFERROR(VLOOKUP(A1693, 'Base 3F'!$B:$J, 9, FALSE),"")="", "SIN RUBRO", VLOOKUP(A1693, 'Base 3F'!$B:$J, 9, FALSE)))</f>
        <v>Transporte</v>
      </c>
      <c r="D1693" s="58" t="s">
        <v>8832</v>
      </c>
      <c r="E1693" s="10" t="s">
        <v>2392</v>
      </c>
      <c r="F1693" s="46" t="s">
        <v>115</v>
      </c>
    </row>
    <row r="1694">
      <c r="A1694" s="285" t="s">
        <v>8833</v>
      </c>
      <c r="B1694" s="252">
        <f>IF(A1694="", "", IF(IFERROR(VLOOKUP(A1694, 'Base 3F'!$B:$C, 2, FALSE),"")="", "SIN CUIT", VLOOKUP(A1694, 'Base 3F'!$B:$C, 2, FALSE)))</f>
        <v>30709939498</v>
      </c>
      <c r="C1694" s="253" t="str">
        <f>IF(A1694="", "", IF(IFERROR(VLOOKUP(A1694, 'Base 3F'!$B:$J, 9, FALSE),"")="", "SIN RUBRO", VLOOKUP(A1694, 'Base 3F'!$B:$J, 9, FALSE)))</f>
        <v>Metalúrgica</v>
      </c>
      <c r="D1694" s="58" t="s">
        <v>8835</v>
      </c>
      <c r="E1694" s="10" t="s">
        <v>2392</v>
      </c>
      <c r="F1694" s="46" t="s">
        <v>115</v>
      </c>
    </row>
    <row r="1695">
      <c r="A1695" s="285" t="s">
        <v>8836</v>
      </c>
      <c r="B1695" s="252">
        <f>IF(A1695="", "", IF(IFERROR(VLOOKUP(A1695, 'Base 3F'!$B:$C, 2, FALSE),"")="", "SIN CUIT", VLOOKUP(A1695, 'Base 3F'!$B:$C, 2, FALSE)))</f>
        <v>33711126339</v>
      </c>
      <c r="C1695" s="253" t="str">
        <f>IF(A1695="", "", IF(IFERROR(VLOOKUP(A1695, 'Base 3F'!$B:$J, 9, FALSE),"")="", "SIN RUBRO", VLOOKUP(A1695, 'Base 3F'!$B:$J, 9, FALSE)))</f>
        <v>Textil</v>
      </c>
      <c r="D1695" s="58" t="s">
        <v>8841</v>
      </c>
      <c r="E1695" s="10" t="s">
        <v>2392</v>
      </c>
      <c r="F1695" s="46" t="s">
        <v>115</v>
      </c>
    </row>
    <row r="1696">
      <c r="A1696" s="285" t="s">
        <v>8843</v>
      </c>
      <c r="B1696" s="252">
        <f>IF(A1696="", "", IF(IFERROR(VLOOKUP(A1696, 'Base 3F'!$B:$C, 2, FALSE),"")="", "SIN CUIT", VLOOKUP(A1696, 'Base 3F'!$B:$C, 2, FALSE)))</f>
        <v>30685028723</v>
      </c>
      <c r="C1696" s="253" t="str">
        <f>IF(A1696="", "", IF(IFERROR(VLOOKUP(A1696, 'Base 3F'!$B:$J, 9, FALSE),"")="", "SIN RUBRO", VLOOKUP(A1696, 'Base 3F'!$B:$J, 9, FALSE)))</f>
        <v>Metalúrgica</v>
      </c>
      <c r="D1696" s="58" t="s">
        <v>8845</v>
      </c>
      <c r="E1696" s="10" t="s">
        <v>2392</v>
      </c>
      <c r="F1696" s="46" t="s">
        <v>115</v>
      </c>
    </row>
    <row r="1697">
      <c r="A1697" s="285" t="s">
        <v>2732</v>
      </c>
      <c r="B1697" s="252">
        <f>IF(A1697="", "", IF(IFERROR(VLOOKUP(A1697, 'Base 3F'!$B:$C, 2, FALSE),"")="", "SIN CUIT", VLOOKUP(A1697, 'Base 3F'!$B:$C, 2, FALSE)))</f>
        <v>30504359197</v>
      </c>
      <c r="C1697" s="253" t="str">
        <f>IF(A1697="", "", IF(IFERROR(VLOOKUP(A1697, 'Base 3F'!$B:$J, 9, FALSE),"")="", "SIN RUBRO", VLOOKUP(A1697, 'Base 3F'!$B:$J, 9, FALSE)))</f>
        <v>Metalúrgica</v>
      </c>
      <c r="D1697" s="58" t="s">
        <v>8848</v>
      </c>
      <c r="E1697" s="10" t="s">
        <v>2392</v>
      </c>
      <c r="F1697" s="46" t="s">
        <v>115</v>
      </c>
    </row>
    <row r="1698">
      <c r="A1698" s="285" t="s">
        <v>8849</v>
      </c>
      <c r="B1698" s="252">
        <f>IF(A1698="", "", IF(IFERROR(VLOOKUP(A1698, 'Base 3F'!$B:$C, 2, FALSE),"")="", "SIN CUIT", VLOOKUP(A1698, 'Base 3F'!$B:$C, 2, FALSE)))</f>
        <v>30604734084</v>
      </c>
      <c r="C1698" s="253" t="str">
        <f>IF(A1698="", "", IF(IFERROR(VLOOKUP(A1698, 'Base 3F'!$B:$J, 9, FALSE),"")="", "SIN RUBRO", VLOOKUP(A1698, 'Base 3F'!$B:$J, 9, FALSE)))</f>
        <v>Plástica</v>
      </c>
      <c r="D1698" s="58" t="s">
        <v>8852</v>
      </c>
      <c r="E1698" s="10" t="s">
        <v>2392</v>
      </c>
      <c r="F1698" s="46" t="s">
        <v>115</v>
      </c>
    </row>
    <row r="1699">
      <c r="A1699" s="285" t="s">
        <v>2742</v>
      </c>
      <c r="B1699" s="252">
        <f>IF(A1699="", "", IF(IFERROR(VLOOKUP(A1699, 'Base 3F'!$B:$C, 2, FALSE),"")="", "SIN CUIT", VLOOKUP(A1699, 'Base 3F'!$B:$C, 2, FALSE)))</f>
        <v>30711917760</v>
      </c>
      <c r="C1699" s="253" t="str">
        <f>IF(A1699="", "", IF(IFERROR(VLOOKUP(A1699, 'Base 3F'!$B:$J, 9, FALSE),"")="", "SIN RUBRO", VLOOKUP(A1699, 'Base 3F'!$B:$J, 9, FALSE)))</f>
        <v>Metalúrgica</v>
      </c>
      <c r="D1699" s="58" t="s">
        <v>8855</v>
      </c>
      <c r="E1699" s="10" t="s">
        <v>2392</v>
      </c>
      <c r="F1699" s="46" t="s">
        <v>115</v>
      </c>
    </row>
    <row r="1700">
      <c r="A1700" s="285" t="s">
        <v>8856</v>
      </c>
      <c r="B1700" s="252">
        <f>IF(A1700="", "", IF(IFERROR(VLOOKUP(A1700, 'Base 3F'!$B:$C, 2, FALSE),"")="", "SIN CUIT", VLOOKUP(A1700, 'Base 3F'!$B:$C, 2, FALSE)))</f>
        <v>30707106456</v>
      </c>
      <c r="C1700" s="253" t="str">
        <f>IF(A1700="", "", IF(IFERROR(VLOOKUP(A1700, 'Base 3F'!$B:$J, 9, FALSE),"")="", "SIN RUBRO", VLOOKUP(A1700, 'Base 3F'!$B:$J, 9, FALSE)))</f>
        <v>Textil</v>
      </c>
      <c r="D1700" s="58" t="s">
        <v>8860</v>
      </c>
      <c r="E1700" s="10" t="s">
        <v>2392</v>
      </c>
      <c r="F1700" s="46" t="s">
        <v>115</v>
      </c>
    </row>
    <row r="1701">
      <c r="A1701" s="285" t="s">
        <v>8861</v>
      </c>
      <c r="B1701" s="252">
        <f>IF(A1701="", "", IF(IFERROR(VLOOKUP(A1701, 'Base 3F'!$B:$C, 2, FALSE),"")="", "SIN CUIT", VLOOKUP(A1701, 'Base 3F'!$B:$C, 2, FALSE)))</f>
        <v>30696066899</v>
      </c>
      <c r="C1701" s="253" t="str">
        <f>IF(A1701="", "", IF(IFERROR(VLOOKUP(A1701, 'Base 3F'!$B:$J, 9, FALSE),"")="", "SIN RUBRO", VLOOKUP(A1701, 'Base 3F'!$B:$J, 9, FALSE)))</f>
        <v>Textil</v>
      </c>
      <c r="D1701" s="58" t="s">
        <v>8864</v>
      </c>
      <c r="E1701" s="10" t="s">
        <v>2392</v>
      </c>
      <c r="F1701" s="46" t="s">
        <v>115</v>
      </c>
    </row>
    <row r="1702">
      <c r="A1702" s="285" t="s">
        <v>8865</v>
      </c>
      <c r="B1702" s="252">
        <f>IF(A1702="", "", IF(IFERROR(VLOOKUP(A1702, 'Base 3F'!$B:$C, 2, FALSE),"")="", "SIN CUIT", VLOOKUP(A1702, 'Base 3F'!$B:$C, 2, FALSE)))</f>
        <v>30713223502</v>
      </c>
      <c r="C1702" s="253" t="str">
        <f>IF(A1702="", "", IF(IFERROR(VLOOKUP(A1702, 'Base 3F'!$B:$J, 9, FALSE),"")="", "SIN RUBRO", VLOOKUP(A1702, 'Base 3F'!$B:$J, 9, FALSE)))</f>
        <v>Servicios</v>
      </c>
      <c r="D1702" s="58" t="s">
        <v>8869</v>
      </c>
      <c r="E1702" s="10" t="s">
        <v>2392</v>
      </c>
      <c r="F1702" s="46" t="s">
        <v>115</v>
      </c>
    </row>
    <row r="1703">
      <c r="A1703" s="285" t="s">
        <v>8870</v>
      </c>
      <c r="B1703" s="252">
        <f>IF(A1703="", "", IF(IFERROR(VLOOKUP(A1703, 'Base 3F'!$B:$C, 2, FALSE),"")="", "SIN CUIT", VLOOKUP(A1703, 'Base 3F'!$B:$C, 2, FALSE)))</f>
        <v>30710564422</v>
      </c>
      <c r="C1703" s="253" t="str">
        <f>IF(A1703="", "", IF(IFERROR(VLOOKUP(A1703, 'Base 3F'!$B:$J, 9, FALSE),"")="", "SIN RUBRO", VLOOKUP(A1703, 'Base 3F'!$B:$J, 9, FALSE)))</f>
        <v>Papel</v>
      </c>
      <c r="D1703" s="335" t="s">
        <v>8874</v>
      </c>
      <c r="E1703" s="10" t="s">
        <v>2392</v>
      </c>
      <c r="F1703" s="46" t="s">
        <v>115</v>
      </c>
    </row>
    <row r="1704">
      <c r="A1704" s="285" t="s">
        <v>2750</v>
      </c>
      <c r="B1704" s="252">
        <f>IF(A1704="", "", IF(IFERROR(VLOOKUP(A1704, 'Base 3F'!$B:$C, 2, FALSE),"")="", "SIN CUIT", VLOOKUP(A1704, 'Base 3F'!$B:$C, 2, FALSE)))</f>
        <v>30653678963</v>
      </c>
      <c r="C1704" s="253" t="str">
        <f>IF(A1704="", "", IF(IFERROR(VLOOKUP(A1704, 'Base 3F'!$B:$J, 9, FALSE),"")="", "SIN RUBRO", VLOOKUP(A1704, 'Base 3F'!$B:$J, 9, FALSE)))</f>
        <v>Plástica</v>
      </c>
      <c r="D1704" s="58" t="s">
        <v>8881</v>
      </c>
      <c r="E1704" s="10" t="s">
        <v>2392</v>
      </c>
      <c r="F1704" s="46" t="s">
        <v>115</v>
      </c>
    </row>
    <row r="1705">
      <c r="A1705" s="285" t="s">
        <v>8882</v>
      </c>
      <c r="B1705" s="252">
        <f>IF(A1705="", "", IF(IFERROR(VLOOKUP(A1705, 'Base 3F'!$B:$C, 2, FALSE),"")="", "SIN CUIT", VLOOKUP(A1705, 'Base 3F'!$B:$C, 2, FALSE)))</f>
        <v>30708966483</v>
      </c>
      <c r="C1705" s="253" t="str">
        <f>IF(A1705="", "", IF(IFERROR(VLOOKUP(A1705, 'Base 3F'!$B:$J, 9, FALSE),"")="", "SIN RUBRO", VLOOKUP(A1705, 'Base 3F'!$B:$J, 9, FALSE)))</f>
        <v>Construcción</v>
      </c>
      <c r="D1705" s="58" t="s">
        <v>8886</v>
      </c>
      <c r="E1705" s="10" t="s">
        <v>2392</v>
      </c>
      <c r="F1705" s="46" t="s">
        <v>115</v>
      </c>
    </row>
    <row r="1706">
      <c r="A1706" s="285" t="s">
        <v>8889</v>
      </c>
      <c r="B1706" s="252">
        <f>IF(A1706="", "", IF(IFERROR(VLOOKUP(A1706, 'Base 3F'!$B:$C, 2, FALSE),"")="", "SIN CUIT", VLOOKUP(A1706, 'Base 3F'!$B:$C, 2, FALSE)))</f>
        <v>30516330089</v>
      </c>
      <c r="C1706" s="253" t="str">
        <f>IF(A1706="", "", IF(IFERROR(VLOOKUP(A1706, 'Base 3F'!$B:$J, 9, FALSE),"")="", "SIN RUBRO", VLOOKUP(A1706, 'Base 3F'!$B:$J, 9, FALSE)))</f>
        <v>Metalúrgica</v>
      </c>
      <c r="D1706" s="58" t="s">
        <v>8892</v>
      </c>
      <c r="E1706" s="10" t="s">
        <v>2392</v>
      </c>
      <c r="F1706" s="46" t="s">
        <v>115</v>
      </c>
    </row>
    <row r="1707">
      <c r="A1707" s="285" t="s">
        <v>8894</v>
      </c>
      <c r="B1707" s="252">
        <f>IF(A1707="", "", IF(IFERROR(VLOOKUP(A1707, 'Base 3F'!$B:$C, 2, FALSE),"")="", "SIN CUIT", VLOOKUP(A1707, 'Base 3F'!$B:$C, 2, FALSE)))</f>
        <v>30559990236</v>
      </c>
      <c r="C1707" s="253" t="str">
        <f>IF(A1707="", "", IF(IFERROR(VLOOKUP(A1707, 'Base 3F'!$B:$J, 9, FALSE),"")="", "SIN RUBRO", VLOOKUP(A1707, 'Base 3F'!$B:$J, 9, FALSE)))</f>
        <v>Plástica</v>
      </c>
      <c r="D1707" s="58" t="s">
        <v>8898</v>
      </c>
      <c r="E1707" s="10" t="s">
        <v>2392</v>
      </c>
      <c r="F1707" s="46" t="s">
        <v>115</v>
      </c>
    </row>
    <row r="1708">
      <c r="A1708" s="285" t="s">
        <v>8900</v>
      </c>
      <c r="B1708" s="252">
        <f>IF(A1708="", "", IF(IFERROR(VLOOKUP(A1708, 'Base 3F'!$B:$C, 2, FALSE),"")="", "SIN CUIT", VLOOKUP(A1708, 'Base 3F'!$B:$C, 2, FALSE)))</f>
        <v>30516070524</v>
      </c>
      <c r="C1708" s="253" t="str">
        <f>IF(A1708="", "", IF(IFERROR(VLOOKUP(A1708, 'Base 3F'!$B:$J, 9, FALSE),"")="", "SIN RUBRO", VLOOKUP(A1708, 'Base 3F'!$B:$J, 9, FALSE)))</f>
        <v>Electrónica</v>
      </c>
      <c r="D1708" s="58" t="s">
        <v>8903</v>
      </c>
      <c r="E1708" s="10" t="s">
        <v>2392</v>
      </c>
      <c r="F1708" s="46" t="s">
        <v>115</v>
      </c>
    </row>
    <row r="1709">
      <c r="A1709" s="285" t="s">
        <v>8905</v>
      </c>
      <c r="B1709" s="252">
        <f>IF(A1709="", "", IF(IFERROR(VLOOKUP(A1709, 'Base 3F'!$B:$C, 2, FALSE),"")="", "SIN CUIT", VLOOKUP(A1709, 'Base 3F'!$B:$C, 2, FALSE)))</f>
        <v>30716334739</v>
      </c>
      <c r="C1709" s="253" t="str">
        <f>IF(A1709="", "", IF(IFERROR(VLOOKUP(A1709, 'Base 3F'!$B:$J, 9, FALSE),"")="", "SIN RUBRO", VLOOKUP(A1709, 'Base 3F'!$B:$J, 9, FALSE)))</f>
        <v>Metalúrgica</v>
      </c>
      <c r="D1709" s="58" t="s">
        <v>8910</v>
      </c>
      <c r="E1709" s="10" t="s">
        <v>2392</v>
      </c>
      <c r="F1709" s="46" t="s">
        <v>115</v>
      </c>
    </row>
    <row r="1710">
      <c r="A1710" s="285" t="s">
        <v>8911</v>
      </c>
      <c r="B1710" s="252">
        <f>IF(A1710="", "", IF(IFERROR(VLOOKUP(A1710, 'Base 3F'!$B:$C, 2, FALSE),"")="", "SIN CUIT", VLOOKUP(A1710, 'Base 3F'!$B:$C, 2, FALSE)))</f>
        <v>30622197185</v>
      </c>
      <c r="C1710" s="253" t="str">
        <f>IF(A1710="", "", IF(IFERROR(VLOOKUP(A1710, 'Base 3F'!$B:$J, 9, FALSE),"")="", "SIN RUBRO", VLOOKUP(A1710, 'Base 3F'!$B:$J, 9, FALSE)))</f>
        <v>Metalúrgica</v>
      </c>
      <c r="D1710" s="58" t="s">
        <v>8919</v>
      </c>
      <c r="E1710" s="10" t="s">
        <v>2392</v>
      </c>
      <c r="F1710" s="46" t="s">
        <v>115</v>
      </c>
    </row>
    <row r="1711">
      <c r="A1711" s="285" t="s">
        <v>8920</v>
      </c>
      <c r="B1711" s="252">
        <f>IF(A1711="", "", IF(IFERROR(VLOOKUP(A1711, 'Base 3F'!$B:$C, 2, FALSE),"")="", "SIN CUIT", VLOOKUP(A1711, 'Base 3F'!$B:$C, 2, FALSE)))</f>
        <v>30615546727</v>
      </c>
      <c r="C1711" s="253" t="str">
        <f>IF(A1711="", "", IF(IFERROR(VLOOKUP(A1711, 'Base 3F'!$B:$J, 9, FALSE),"")="", "SIN RUBRO", VLOOKUP(A1711, 'Base 3F'!$B:$J, 9, FALSE)))</f>
        <v>Textil</v>
      </c>
      <c r="D1711" s="58" t="s">
        <v>8922</v>
      </c>
      <c r="E1711" s="10" t="s">
        <v>2392</v>
      </c>
      <c r="F1711" s="46" t="s">
        <v>115</v>
      </c>
    </row>
    <row r="1712">
      <c r="A1712" s="285" t="s">
        <v>2766</v>
      </c>
      <c r="B1712" s="252">
        <f>IF(A1712="", "", IF(IFERROR(VLOOKUP(A1712, 'Base 3F'!$B:$C, 2, FALSE),"")="", "SIN CUIT", VLOOKUP(A1712, 'Base 3F'!$B:$C, 2, FALSE)))</f>
        <v>30636890339</v>
      </c>
      <c r="C1712" s="253" t="str">
        <f>IF(A1712="", "", IF(IFERROR(VLOOKUP(A1712, 'Base 3F'!$B:$J, 9, FALSE),"")="", "SIN RUBRO", VLOOKUP(A1712, 'Base 3F'!$B:$J, 9, FALSE)))</f>
        <v>Metalúrgica</v>
      </c>
      <c r="D1712" s="58" t="s">
        <v>8928</v>
      </c>
      <c r="E1712" s="10" t="s">
        <v>2392</v>
      </c>
      <c r="F1712" s="46" t="s">
        <v>115</v>
      </c>
    </row>
    <row r="1713">
      <c r="A1713" s="285" t="s">
        <v>2777</v>
      </c>
      <c r="B1713" s="252">
        <f>IF(A1713="", "", IF(IFERROR(VLOOKUP(A1713, 'Base 3F'!$B:$C, 2, FALSE),"")="", "SIN CUIT", VLOOKUP(A1713, 'Base 3F'!$B:$C, 2, FALSE)))</f>
        <v>30715980009</v>
      </c>
      <c r="C1713" s="253" t="str">
        <f>IF(A1713="", "", IF(IFERROR(VLOOKUP(A1713, 'Base 3F'!$B:$J, 9, FALSE),"")="", "SIN RUBRO", VLOOKUP(A1713, 'Base 3F'!$B:$J, 9, FALSE)))</f>
        <v>Servicios</v>
      </c>
      <c r="D1713" s="58" t="s">
        <v>8933</v>
      </c>
      <c r="E1713" s="10" t="s">
        <v>2392</v>
      </c>
      <c r="F1713" s="46" t="s">
        <v>115</v>
      </c>
    </row>
    <row r="1714">
      <c r="A1714" s="285" t="s">
        <v>2784</v>
      </c>
      <c r="B1714" s="252">
        <f>IF(A1714="", "", IF(IFERROR(VLOOKUP(A1714, 'Base 3F'!$B:$C, 2, FALSE),"")="", "SIN CUIT", VLOOKUP(A1714, 'Base 3F'!$B:$C, 2, FALSE)))</f>
        <v>30697291829</v>
      </c>
      <c r="C1714" s="253" t="str">
        <f>IF(A1714="", "", IF(IFERROR(VLOOKUP(A1714, 'Base 3F'!$B:$J, 9, FALSE),"")="", "SIN RUBRO", VLOOKUP(A1714, 'Base 3F'!$B:$J, 9, FALSE)))</f>
        <v>Metalúrgica</v>
      </c>
      <c r="D1714" s="58" t="s">
        <v>8938</v>
      </c>
      <c r="E1714" s="10" t="s">
        <v>2392</v>
      </c>
      <c r="F1714" s="46" t="s">
        <v>115</v>
      </c>
    </row>
    <row r="1715">
      <c r="A1715" s="285" t="s">
        <v>8939</v>
      </c>
      <c r="B1715" s="252">
        <f>IF(A1715="", "", IF(IFERROR(VLOOKUP(A1715, 'Base 3F'!$B:$C, 2, FALSE),"")="", "SIN CUIT", VLOOKUP(A1715, 'Base 3F'!$B:$C, 2, FALSE)))</f>
        <v>30607634080</v>
      </c>
      <c r="C1715" s="253" t="str">
        <f>IF(A1715="", "", IF(IFERROR(VLOOKUP(A1715, 'Base 3F'!$B:$J, 9, FALSE),"")="", "SIN RUBRO", VLOOKUP(A1715, 'Base 3F'!$B:$J, 9, FALSE)))</f>
        <v>Metalúrgica</v>
      </c>
      <c r="D1715" s="58" t="s">
        <v>8948</v>
      </c>
      <c r="E1715" s="10" t="s">
        <v>2392</v>
      </c>
      <c r="F1715" s="46" t="s">
        <v>115</v>
      </c>
    </row>
    <row r="1716">
      <c r="A1716" s="285" t="s">
        <v>8950</v>
      </c>
      <c r="B1716" s="252">
        <f>IF(A1716="", "", IF(IFERROR(VLOOKUP(A1716, 'Base 3F'!$B:$C, 2, FALSE),"")="", "SIN CUIT", VLOOKUP(A1716, 'Base 3F'!$B:$C, 2, FALSE)))</f>
        <v>30709272841</v>
      </c>
      <c r="C1716" s="253" t="str">
        <f>IF(A1716="", "", IF(IFERROR(VLOOKUP(A1716, 'Base 3F'!$B:$J, 9, FALSE),"")="", "SIN RUBRO", VLOOKUP(A1716, 'Base 3F'!$B:$J, 9, FALSE)))</f>
        <v>Metalmecánica</v>
      </c>
      <c r="D1716" s="58" t="s">
        <v>8953</v>
      </c>
      <c r="E1716" s="10" t="s">
        <v>2392</v>
      </c>
      <c r="F1716" s="46" t="s">
        <v>115</v>
      </c>
    </row>
    <row r="1717">
      <c r="A1717" s="285" t="s">
        <v>8954</v>
      </c>
      <c r="B1717" s="252">
        <f>IF(A1717="", "", IF(IFERROR(VLOOKUP(A1717, 'Base 3F'!$B:$C, 2, FALSE),"")="", "SIN CUIT", VLOOKUP(A1717, 'Base 3F'!$B:$C, 2, FALSE)))</f>
        <v>30709055387</v>
      </c>
      <c r="C1717" s="253" t="str">
        <f>IF(A1717="", "", IF(IFERROR(VLOOKUP(A1717, 'Base 3F'!$B:$J, 9, FALSE),"")="", "SIN RUBRO", VLOOKUP(A1717, 'Base 3F'!$B:$J, 9, FALSE)))</f>
        <v>Vidrio</v>
      </c>
      <c r="D1717" s="58" t="s">
        <v>8956</v>
      </c>
      <c r="E1717" s="10" t="s">
        <v>2392</v>
      </c>
      <c r="F1717" s="46" t="s">
        <v>115</v>
      </c>
    </row>
    <row r="1718">
      <c r="A1718" s="285" t="s">
        <v>8957</v>
      </c>
      <c r="B1718" s="252">
        <f>IF(A1718="", "", IF(IFERROR(VLOOKUP(A1718, 'Base 3F'!$B:$C, 2, FALSE),"")="", "SIN CUIT", VLOOKUP(A1718, 'Base 3F'!$B:$C, 2, FALSE)))</f>
        <v>30714071080</v>
      </c>
      <c r="C1718" s="253" t="str">
        <f>IF(A1718="", "", IF(IFERROR(VLOOKUP(A1718, 'Base 3F'!$B:$J, 9, FALSE),"")="", "SIN RUBRO", VLOOKUP(A1718, 'Base 3F'!$B:$J, 9, FALSE)))</f>
        <v>Metalúrgica</v>
      </c>
      <c r="D1718" s="58" t="s">
        <v>8964</v>
      </c>
      <c r="E1718" s="10" t="s">
        <v>2392</v>
      </c>
      <c r="F1718" s="46" t="s">
        <v>115</v>
      </c>
    </row>
    <row r="1719">
      <c r="A1719" s="285" t="s">
        <v>8965</v>
      </c>
      <c r="B1719" s="252">
        <f>IF(A1719="", "", IF(IFERROR(VLOOKUP(A1719, 'Base 3F'!$B:$C, 2, FALSE),"")="", "SIN CUIT", VLOOKUP(A1719, 'Base 3F'!$B:$C, 2, FALSE)))</f>
        <v>30710975910</v>
      </c>
      <c r="C1719" s="253" t="str">
        <f>IF(A1719="", "", IF(IFERROR(VLOOKUP(A1719, 'Base 3F'!$B:$J, 9, FALSE),"")="", "SIN RUBRO", VLOOKUP(A1719, 'Base 3F'!$B:$J, 9, FALSE)))</f>
        <v>Construcción</v>
      </c>
      <c r="D1719" s="58" t="s">
        <v>8968</v>
      </c>
      <c r="E1719" s="10" t="s">
        <v>2392</v>
      </c>
      <c r="F1719" s="46" t="s">
        <v>115</v>
      </c>
    </row>
    <row r="1720">
      <c r="A1720" s="285" t="s">
        <v>8969</v>
      </c>
      <c r="B1720" s="252">
        <f>IF(A1720="", "", IF(IFERROR(VLOOKUP(A1720, 'Base 3F'!$B:$C, 2, FALSE),"")="", "SIN CUIT", VLOOKUP(A1720, 'Base 3F'!$B:$C, 2, FALSE)))</f>
        <v>30711923280</v>
      </c>
      <c r="C1720" s="253" t="str">
        <f>IF(A1720="", "", IF(IFERROR(VLOOKUP(A1720, 'Base 3F'!$B:$J, 9, FALSE),"")="", "SIN RUBRO", VLOOKUP(A1720, 'Base 3F'!$B:$J, 9, FALSE)))</f>
        <v>Textil</v>
      </c>
      <c r="D1720" s="58" t="s">
        <v>8970</v>
      </c>
      <c r="E1720" s="10" t="s">
        <v>2392</v>
      </c>
      <c r="F1720" s="46" t="s">
        <v>115</v>
      </c>
    </row>
    <row r="1721">
      <c r="A1721" s="285" t="s">
        <v>8972</v>
      </c>
      <c r="B1721" s="252">
        <f>IF(A1721="", "", IF(IFERROR(VLOOKUP(A1721, 'Base 3F'!$B:$C, 2, FALSE),"")="", "SIN CUIT", VLOOKUP(A1721, 'Base 3F'!$B:$C, 2, FALSE)))</f>
        <v>33708016859</v>
      </c>
      <c r="C1721" s="253" t="str">
        <f>IF(A1721="", "", IF(IFERROR(VLOOKUP(A1721, 'Base 3F'!$B:$J, 9, FALSE),"")="", "SIN RUBRO", VLOOKUP(A1721, 'Base 3F'!$B:$J, 9, FALSE)))</f>
        <v>Metalúrgica</v>
      </c>
      <c r="D1721" s="58" t="s">
        <v>8980</v>
      </c>
      <c r="E1721" s="10" t="s">
        <v>2392</v>
      </c>
      <c r="F1721" s="46" t="s">
        <v>115</v>
      </c>
    </row>
    <row r="1722">
      <c r="A1722" s="285" t="s">
        <v>8981</v>
      </c>
      <c r="B1722" s="252">
        <f>IF(A1722="", "", IF(IFERROR(VLOOKUP(A1722, 'Base 3F'!$B:$C, 2, FALSE),"")="", "SIN CUIT", VLOOKUP(A1722, 'Base 3F'!$B:$C, 2, FALSE)))</f>
        <v>30504930323</v>
      </c>
      <c r="C1722" s="253" t="str">
        <f>IF(A1722="", "", IF(IFERROR(VLOOKUP(A1722, 'Base 3F'!$B:$J, 9, FALSE),"")="", "SIN RUBRO", VLOOKUP(A1722, 'Base 3F'!$B:$J, 9, FALSE)))</f>
        <v>Metalúrgica</v>
      </c>
      <c r="D1722" s="58" t="s">
        <v>8985</v>
      </c>
      <c r="E1722" s="10" t="s">
        <v>2392</v>
      </c>
      <c r="F1722" s="46" t="s">
        <v>115</v>
      </c>
    </row>
    <row r="1723">
      <c r="A1723" s="285" t="s">
        <v>2805</v>
      </c>
      <c r="B1723" s="252">
        <f>IF(A1723="", "", IF(IFERROR(VLOOKUP(A1723, 'Base 3F'!$B:$C, 2, FALSE),"")="", "SIN CUIT", VLOOKUP(A1723, 'Base 3F'!$B:$C, 2, FALSE)))</f>
        <v>33709027579</v>
      </c>
      <c r="C1723" s="253" t="str">
        <f>IF(A1723="", "", IF(IFERROR(VLOOKUP(A1723, 'Base 3F'!$B:$J, 9, FALSE),"")="", "SIN RUBRO", VLOOKUP(A1723, 'Base 3F'!$B:$J, 9, FALSE)))</f>
        <v>Química</v>
      </c>
      <c r="D1723" s="58" t="s">
        <v>8987</v>
      </c>
      <c r="E1723" s="10" t="s">
        <v>2392</v>
      </c>
      <c r="F1723" s="46" t="s">
        <v>115</v>
      </c>
    </row>
    <row r="1724">
      <c r="A1724" s="285" t="s">
        <v>2812</v>
      </c>
      <c r="B1724" s="252">
        <f>IF(A1724="", "", IF(IFERROR(VLOOKUP(A1724, 'Base 3F'!$B:$C, 2, FALSE),"")="", "SIN CUIT", VLOOKUP(A1724, 'Base 3F'!$B:$C, 2, FALSE)))</f>
        <v>30708758732</v>
      </c>
      <c r="C1724" s="253" t="str">
        <f>IF(A1724="", "", IF(IFERROR(VLOOKUP(A1724, 'Base 3F'!$B:$J, 9, FALSE),"")="", "SIN RUBRO", VLOOKUP(A1724, 'Base 3F'!$B:$J, 9, FALSE)))</f>
        <v>Metalúrgica</v>
      </c>
      <c r="D1724" s="58" t="s">
        <v>8993</v>
      </c>
      <c r="E1724" s="10" t="s">
        <v>2392</v>
      </c>
      <c r="F1724" s="46" t="s">
        <v>115</v>
      </c>
    </row>
    <row r="1725">
      <c r="A1725" s="285" t="s">
        <v>8997</v>
      </c>
      <c r="B1725" s="252">
        <f>IF(A1725="", "", IF(IFERROR(VLOOKUP(A1725, 'Base 3F'!$B:$C, 2, FALSE),"")="", "SIN CUIT", VLOOKUP(A1725, 'Base 3F'!$B:$C, 2, FALSE)))</f>
        <v>30522480122</v>
      </c>
      <c r="C1725" s="253" t="str">
        <f>IF(A1725="", "", IF(IFERROR(VLOOKUP(A1725, 'Base 3F'!$B:$J, 9, FALSE),"")="", "SIN RUBRO", VLOOKUP(A1725, 'Base 3F'!$B:$J, 9, FALSE)))</f>
        <v>Metalúrgica</v>
      </c>
      <c r="D1725" s="58" t="s">
        <v>8999</v>
      </c>
      <c r="E1725" s="10" t="s">
        <v>2392</v>
      </c>
      <c r="F1725" s="46" t="s">
        <v>115</v>
      </c>
    </row>
    <row r="1726">
      <c r="A1726" s="285" t="s">
        <v>9000</v>
      </c>
      <c r="B1726" s="252">
        <f>IF(A1726="", "", IF(IFERROR(VLOOKUP(A1726, 'Base 3F'!$B:$C, 2, FALSE),"")="", "SIN CUIT", VLOOKUP(A1726, 'Base 3F'!$B:$C, 2, FALSE)))</f>
        <v>30707009108</v>
      </c>
      <c r="C1726" s="253" t="str">
        <f>IF(A1726="", "", IF(IFERROR(VLOOKUP(A1726, 'Base 3F'!$B:$J, 9, FALSE),"")="", "SIN RUBRO", VLOOKUP(A1726, 'Base 3F'!$B:$J, 9, FALSE)))</f>
        <v>Metalúrgica</v>
      </c>
      <c r="D1726" s="58" t="s">
        <v>9004</v>
      </c>
      <c r="E1726" s="10" t="s">
        <v>2392</v>
      </c>
      <c r="F1726" s="46" t="s">
        <v>115</v>
      </c>
    </row>
    <row r="1727">
      <c r="A1727" s="285" t="s">
        <v>9006</v>
      </c>
      <c r="B1727" s="252" t="str">
        <f>IF(A1727="", "", IF(IFERROR(VLOOKUP(A1727, 'Base 3F'!$B:$C, 2, FALSE),"")="", "SIN CUIT", VLOOKUP(A1727, 'Base 3F'!$B:$C, 2, FALSE)))</f>
        <v>20317501626 / 27113169007</v>
      </c>
      <c r="C1727" s="253" t="str">
        <f>IF(A1727="", "", IF(IFERROR(VLOOKUP(A1727, 'Base 3F'!$B:$J, 9, FALSE),"")="", "SIN RUBRO", VLOOKUP(A1727, 'Base 3F'!$B:$J, 9, FALSE)))</f>
        <v>Informática</v>
      </c>
      <c r="D1727" s="58" t="s">
        <v>9016</v>
      </c>
      <c r="E1727" s="10" t="s">
        <v>2392</v>
      </c>
      <c r="F1727" s="46" t="s">
        <v>115</v>
      </c>
    </row>
    <row r="1728">
      <c r="A1728" s="285" t="s">
        <v>9017</v>
      </c>
      <c r="B1728" s="252">
        <f>IF(A1728="", "", IF(IFERROR(VLOOKUP(A1728, 'Base 3F'!$B:$C, 2, FALSE),"")="", "SIN CUIT", VLOOKUP(A1728, 'Base 3F'!$B:$C, 2, FALSE)))</f>
        <v>30652680905</v>
      </c>
      <c r="C1728" s="253" t="str">
        <f>IF(A1728="", "", IF(IFERROR(VLOOKUP(A1728, 'Base 3F'!$B:$J, 9, FALSE),"")="", "SIN RUBRO", VLOOKUP(A1728, 'Base 3F'!$B:$J, 9, FALSE)))</f>
        <v>Madera</v>
      </c>
      <c r="D1728" s="58" t="s">
        <v>9024</v>
      </c>
      <c r="E1728" s="10" t="s">
        <v>2392</v>
      </c>
      <c r="F1728" s="46" t="s">
        <v>115</v>
      </c>
    </row>
    <row r="1729">
      <c r="A1729" s="285" t="s">
        <v>2817</v>
      </c>
      <c r="B1729" s="252">
        <f>IF(A1729="", "", IF(IFERROR(VLOOKUP(A1729, 'Base 3F'!$B:$C, 2, FALSE),"")="", "SIN CUIT", VLOOKUP(A1729, 'Base 3F'!$B:$C, 2, FALSE)))</f>
        <v>30707338071</v>
      </c>
      <c r="C1729" s="253" t="str">
        <f>IF(A1729="", "", IF(IFERROR(VLOOKUP(A1729, 'Base 3F'!$B:$J, 9, FALSE),"")="", "SIN RUBRO", VLOOKUP(A1729, 'Base 3F'!$B:$J, 9, FALSE)))</f>
        <v>Servicios</v>
      </c>
      <c r="D1729" s="58" t="s">
        <v>9025</v>
      </c>
      <c r="E1729" s="10" t="s">
        <v>2392</v>
      </c>
      <c r="F1729" s="46" t="s">
        <v>115</v>
      </c>
    </row>
    <row r="1730">
      <c r="A1730" s="285" t="s">
        <v>9027</v>
      </c>
      <c r="B1730" s="252">
        <f>IF(A1730="", "", IF(IFERROR(VLOOKUP(A1730, 'Base 3F'!$B:$C, 2, FALSE),"")="", "SIN CUIT", VLOOKUP(A1730, 'Base 3F'!$B:$C, 2, FALSE)))</f>
        <v>20149453319</v>
      </c>
      <c r="C1730" s="253" t="str">
        <f>IF(A1730="", "", IF(IFERROR(VLOOKUP(A1730, 'Base 3F'!$B:$J, 9, FALSE),"")="", "SIN RUBRO", VLOOKUP(A1730, 'Base 3F'!$B:$J, 9, FALSE)))</f>
        <v>Metalúrgica</v>
      </c>
      <c r="D1730" s="58" t="s">
        <v>9028</v>
      </c>
      <c r="E1730" s="10" t="s">
        <v>2392</v>
      </c>
      <c r="F1730" s="46" t="s">
        <v>115</v>
      </c>
    </row>
    <row r="1731">
      <c r="A1731" s="285" t="s">
        <v>9029</v>
      </c>
      <c r="B1731" s="252">
        <f>IF(A1731="", "", IF(IFERROR(VLOOKUP(A1731, 'Base 3F'!$B:$C, 2, FALSE),"")="", "SIN CUIT", VLOOKUP(A1731, 'Base 3F'!$B:$C, 2, FALSE)))</f>
        <v>30708222085</v>
      </c>
      <c r="C1731" s="253" t="str">
        <f>IF(A1731="", "", IF(IFERROR(VLOOKUP(A1731, 'Base 3F'!$B:$J, 9, FALSE),"")="", "SIN RUBRO", VLOOKUP(A1731, 'Base 3F'!$B:$J, 9, FALSE)))</f>
        <v>Metalmecánica</v>
      </c>
      <c r="D1731" s="58" t="s">
        <v>9035</v>
      </c>
      <c r="E1731" s="10" t="s">
        <v>2392</v>
      </c>
      <c r="F1731" s="46" t="s">
        <v>115</v>
      </c>
    </row>
    <row r="1732">
      <c r="A1732" s="285" t="s">
        <v>9036</v>
      </c>
      <c r="B1732" s="252">
        <f>IF(A1732="", "", IF(IFERROR(VLOOKUP(A1732, 'Base 3F'!$B:$C, 2, FALSE),"")="", "SIN CUIT", VLOOKUP(A1732, 'Base 3F'!$B:$C, 2, FALSE)))</f>
        <v>30707008969</v>
      </c>
      <c r="C1732" s="253" t="str">
        <f>IF(A1732="", "", IF(IFERROR(VLOOKUP(A1732, 'Base 3F'!$B:$J, 9, FALSE),"")="", "SIN RUBRO", VLOOKUP(A1732, 'Base 3F'!$B:$J, 9, FALSE)))</f>
        <v>Metalúrgica</v>
      </c>
      <c r="D1732" s="58" t="s">
        <v>9038</v>
      </c>
      <c r="E1732" s="10" t="s">
        <v>2392</v>
      </c>
      <c r="F1732" s="46" t="s">
        <v>115</v>
      </c>
    </row>
    <row r="1733">
      <c r="A1733" s="285" t="s">
        <v>9040</v>
      </c>
      <c r="B1733" s="252">
        <f>IF(A1733="", "", IF(IFERROR(VLOOKUP(A1733, 'Base 3F'!$B:$C, 2, FALSE),"")="", "SIN CUIT", VLOOKUP(A1733, 'Base 3F'!$B:$C, 2, FALSE)))</f>
        <v>30712786600</v>
      </c>
      <c r="C1733" s="253" t="str">
        <f>IF(A1733="", "", IF(IFERROR(VLOOKUP(A1733, 'Base 3F'!$B:$J, 9, FALSE),"")="", "SIN RUBRO", VLOOKUP(A1733, 'Base 3F'!$B:$J, 9, FALSE)))</f>
        <v>Construcción</v>
      </c>
      <c r="D1733" s="58" t="s">
        <v>9041</v>
      </c>
      <c r="E1733" s="10" t="s">
        <v>2392</v>
      </c>
      <c r="F1733" s="46" t="s">
        <v>115</v>
      </c>
    </row>
    <row r="1734">
      <c r="A1734" s="285" t="s">
        <v>9044</v>
      </c>
      <c r="B1734" s="252">
        <f>IF(A1734="", "", IF(IFERROR(VLOOKUP(A1734, 'Base 3F'!$B:$C, 2, FALSE),"")="", "SIN CUIT", VLOOKUP(A1734, 'Base 3F'!$B:$C, 2, FALSE)))</f>
        <v>30714866733</v>
      </c>
      <c r="C1734" s="253" t="str">
        <f>IF(A1734="", "", IF(IFERROR(VLOOKUP(A1734, 'Base 3F'!$B:$J, 9, FALSE),"")="", "SIN RUBRO", VLOOKUP(A1734, 'Base 3F'!$B:$J, 9, FALSE)))</f>
        <v>Química</v>
      </c>
      <c r="D1734" s="58" t="s">
        <v>9046</v>
      </c>
      <c r="E1734" s="10" t="s">
        <v>2392</v>
      </c>
      <c r="F1734" s="46" t="s">
        <v>115</v>
      </c>
    </row>
    <row r="1735">
      <c r="A1735" s="285" t="s">
        <v>9047</v>
      </c>
      <c r="B1735" s="252">
        <f>IF(A1735="", "", IF(IFERROR(VLOOKUP(A1735, 'Base 3F'!$B:$C, 2, FALSE),"")="", "SIN CUIT", VLOOKUP(A1735, 'Base 3F'!$B:$C, 2, FALSE)))</f>
        <v>30643957333</v>
      </c>
      <c r="C1735" s="253" t="str">
        <f>IF(A1735="", "", IF(IFERROR(VLOOKUP(A1735, 'Base 3F'!$B:$J, 9, FALSE),"")="", "SIN RUBRO", VLOOKUP(A1735, 'Base 3F'!$B:$J, 9, FALSE)))</f>
        <v>Plástica</v>
      </c>
      <c r="D1735" s="58" t="s">
        <v>9049</v>
      </c>
      <c r="E1735" s="10" t="s">
        <v>2392</v>
      </c>
      <c r="F1735" s="46" t="s">
        <v>115</v>
      </c>
    </row>
    <row r="1736">
      <c r="A1736" s="285" t="s">
        <v>9050</v>
      </c>
      <c r="B1736" s="252">
        <f>IF(A1736="", "", IF(IFERROR(VLOOKUP(A1736, 'Base 3F'!$B:$C, 2, FALSE),"")="", "SIN CUIT", VLOOKUP(A1736, 'Base 3F'!$B:$C, 2, FALSE)))</f>
        <v>30598530684</v>
      </c>
      <c r="C1736" s="253" t="str">
        <f>IF(A1736="", "", IF(IFERROR(VLOOKUP(A1736, 'Base 3F'!$B:$J, 9, FALSE),"")="", "SIN RUBRO", VLOOKUP(A1736, 'Base 3F'!$B:$J, 9, FALSE)))</f>
        <v>Servicios</v>
      </c>
      <c r="D1736" s="336" t="s">
        <v>9053</v>
      </c>
      <c r="E1736" s="10" t="s">
        <v>2392</v>
      </c>
      <c r="F1736" s="46" t="s">
        <v>115</v>
      </c>
    </row>
    <row r="1737">
      <c r="A1737" s="285" t="s">
        <v>9055</v>
      </c>
      <c r="B1737" s="252">
        <f>IF(A1737="", "", IF(IFERROR(VLOOKUP(A1737, 'Base 3F'!$B:$C, 2, FALSE),"")="", "SIN CUIT", VLOOKUP(A1737, 'Base 3F'!$B:$C, 2, FALSE)))</f>
        <v>30568969274</v>
      </c>
      <c r="C1737" s="253" t="str">
        <f>IF(A1737="", "", IF(IFERROR(VLOOKUP(A1737, 'Base 3F'!$B:$J, 9, FALSE),"")="", "SIN RUBRO", VLOOKUP(A1737, 'Base 3F'!$B:$J, 9, FALSE)))</f>
        <v>Química</v>
      </c>
      <c r="D1737" s="58" t="s">
        <v>9057</v>
      </c>
      <c r="E1737" s="10" t="s">
        <v>2392</v>
      </c>
      <c r="F1737" s="46" t="s">
        <v>115</v>
      </c>
    </row>
    <row r="1738">
      <c r="A1738" s="285" t="s">
        <v>9059</v>
      </c>
      <c r="B1738" s="252">
        <f>IF(A1738="", "", IF(IFERROR(VLOOKUP(A1738, 'Base 3F'!$B:$C, 2, FALSE),"")="", "SIN CUIT", VLOOKUP(A1738, 'Base 3F'!$B:$C, 2, FALSE)))</f>
        <v>30712286713</v>
      </c>
      <c r="C1738" s="253" t="str">
        <f>IF(A1738="", "", IF(IFERROR(VLOOKUP(A1738, 'Base 3F'!$B:$J, 9, FALSE),"")="", "SIN RUBRO", VLOOKUP(A1738, 'Base 3F'!$B:$J, 9, FALSE)))</f>
        <v>Plástica</v>
      </c>
      <c r="D1738" s="58" t="s">
        <v>9066</v>
      </c>
      <c r="E1738" s="10" t="s">
        <v>2392</v>
      </c>
      <c r="F1738" s="46" t="s">
        <v>115</v>
      </c>
    </row>
    <row r="1739">
      <c r="A1739" s="285" t="s">
        <v>9067</v>
      </c>
      <c r="B1739" s="252">
        <f>IF(A1739="", "", IF(IFERROR(VLOOKUP(A1739, 'Base 3F'!$B:$C, 2, FALSE),"")="", "SIN CUIT", VLOOKUP(A1739, 'Base 3F'!$B:$C, 2, FALSE)))</f>
        <v>30697679134</v>
      </c>
      <c r="C1739" s="253" t="str">
        <f>IF(A1739="", "", IF(IFERROR(VLOOKUP(A1739, 'Base 3F'!$B:$J, 9, FALSE),"")="", "SIN RUBRO", VLOOKUP(A1739, 'Base 3F'!$B:$J, 9, FALSE)))</f>
        <v>Metalúrgica</v>
      </c>
      <c r="D1739" s="58" t="s">
        <v>9069</v>
      </c>
      <c r="E1739" s="10" t="s">
        <v>2392</v>
      </c>
      <c r="F1739" s="46" t="s">
        <v>115</v>
      </c>
    </row>
    <row r="1740">
      <c r="A1740" s="285" t="s">
        <v>2848</v>
      </c>
      <c r="B1740" s="252">
        <f>IF(A1740="", "", IF(IFERROR(VLOOKUP(A1740, 'Base 3F'!$B:$C, 2, FALSE),"")="", "SIN CUIT", VLOOKUP(A1740, 'Base 3F'!$B:$C, 2, FALSE)))</f>
        <v>30710479689</v>
      </c>
      <c r="C1740" s="253" t="str">
        <f>IF(A1740="", "", IF(IFERROR(VLOOKUP(A1740, 'Base 3F'!$B:$J, 9, FALSE),"")="", "SIN RUBRO", VLOOKUP(A1740, 'Base 3F'!$B:$J, 9, FALSE)))</f>
        <v>Calzado</v>
      </c>
      <c r="D1740" s="58" t="s">
        <v>9072</v>
      </c>
      <c r="E1740" s="10" t="s">
        <v>2392</v>
      </c>
      <c r="F1740" s="46" t="s">
        <v>115</v>
      </c>
    </row>
    <row r="1741">
      <c r="A1741" s="285" t="s">
        <v>9073</v>
      </c>
      <c r="B1741" s="252">
        <f>IF(A1741="", "", IF(IFERROR(VLOOKUP(A1741, 'Base 3F'!$B:$C, 2, FALSE),"")="", "SIN CUIT", VLOOKUP(A1741, 'Base 3F'!$B:$C, 2, FALSE)))</f>
        <v>30684803588</v>
      </c>
      <c r="C1741" s="253" t="str">
        <f>IF(A1741="", "", IF(IFERROR(VLOOKUP(A1741, 'Base 3F'!$B:$J, 9, FALSE),"")="", "SIN RUBRO", VLOOKUP(A1741, 'Base 3F'!$B:$J, 9, FALSE)))</f>
        <v>Plástica</v>
      </c>
      <c r="D1741" s="58" t="s">
        <v>9074</v>
      </c>
      <c r="E1741" s="10" t="s">
        <v>2392</v>
      </c>
      <c r="F1741" s="46" t="s">
        <v>115</v>
      </c>
    </row>
    <row r="1742">
      <c r="A1742" s="285" t="s">
        <v>9076</v>
      </c>
      <c r="B1742" s="252">
        <f>IF(A1742="", "", IF(IFERROR(VLOOKUP(A1742, 'Base 3F'!$B:$C, 2, FALSE),"")="", "SIN CUIT", VLOOKUP(A1742, 'Base 3F'!$B:$C, 2, FALSE)))</f>
        <v>23047533449</v>
      </c>
      <c r="C1742" s="253" t="str">
        <f>IF(A1742="", "", IF(IFERROR(VLOOKUP(A1742, 'Base 3F'!$B:$J, 9, FALSE),"")="", "SIN RUBRO", VLOOKUP(A1742, 'Base 3F'!$B:$J, 9, FALSE)))</f>
        <v>Metalúrgica</v>
      </c>
      <c r="D1742" s="58" t="s">
        <v>9080</v>
      </c>
      <c r="E1742" s="10" t="s">
        <v>2392</v>
      </c>
      <c r="F1742" s="46" t="s">
        <v>115</v>
      </c>
    </row>
    <row r="1743">
      <c r="A1743" s="285" t="s">
        <v>9084</v>
      </c>
      <c r="B1743" s="252">
        <f>IF(A1743="", "", IF(IFERROR(VLOOKUP(A1743, 'Base 3F'!$B:$C, 2, FALSE),"")="", "SIN CUIT", VLOOKUP(A1743, 'Base 3F'!$B:$C, 2, FALSE)))</f>
        <v>30709448176</v>
      </c>
      <c r="C1743" s="253" t="str">
        <f>IF(A1743="", "", IF(IFERROR(VLOOKUP(A1743, 'Base 3F'!$B:$J, 9, FALSE),"")="", "SIN RUBRO", VLOOKUP(A1743, 'Base 3F'!$B:$J, 9, FALSE)))</f>
        <v>Plástica</v>
      </c>
      <c r="D1743" s="58" t="s">
        <v>9087</v>
      </c>
      <c r="E1743" s="10" t="s">
        <v>2392</v>
      </c>
      <c r="F1743" s="46" t="s">
        <v>115</v>
      </c>
    </row>
    <row r="1744">
      <c r="A1744" s="285" t="s">
        <v>9088</v>
      </c>
      <c r="B1744" s="252">
        <f>IF(A1744="", "", IF(IFERROR(VLOOKUP(A1744, 'Base 3F'!$B:$C, 2, FALSE),"")="", "SIN CUIT", VLOOKUP(A1744, 'Base 3F'!$B:$C, 2, FALSE)))</f>
        <v>33708444419</v>
      </c>
      <c r="C1744" s="253" t="str">
        <f>IF(A1744="", "", IF(IFERROR(VLOOKUP(A1744, 'Base 3F'!$B:$J, 9, FALSE),"")="", "SIN RUBRO", VLOOKUP(A1744, 'Base 3F'!$B:$J, 9, FALSE)))</f>
        <v>Alimenticia</v>
      </c>
      <c r="D1744" s="242" t="s">
        <v>9090</v>
      </c>
      <c r="E1744" s="10" t="s">
        <v>2392</v>
      </c>
      <c r="F1744" s="46" t="s">
        <v>7757</v>
      </c>
    </row>
    <row r="1745">
      <c r="A1745" s="285" t="s">
        <v>9091</v>
      </c>
      <c r="B1745" s="252">
        <f>IF(A1745="", "", IF(IFERROR(VLOOKUP(A1745, 'Base 3F'!$B:$C, 2, FALSE),"")="", "SIN CUIT", VLOOKUP(A1745, 'Base 3F'!$B:$C, 2, FALSE)))</f>
        <v>33718151479</v>
      </c>
      <c r="C1745" s="253" t="str">
        <f>IF(A1745="", "", IF(IFERROR(VLOOKUP(A1745, 'Base 3F'!$B:$J, 9, FALSE),"")="", "SIN RUBRO", VLOOKUP(A1745, 'Base 3F'!$B:$J, 9, FALSE)))</f>
        <v>Construcción</v>
      </c>
      <c r="D1745" s="58" t="s">
        <v>9096</v>
      </c>
      <c r="E1745" s="10" t="s">
        <v>2392</v>
      </c>
      <c r="F1745" s="46" t="s">
        <v>115</v>
      </c>
    </row>
    <row r="1746">
      <c r="A1746" s="285" t="s">
        <v>9097</v>
      </c>
      <c r="B1746" s="252">
        <f>IF(A1746="", "", IF(IFERROR(VLOOKUP(A1746, 'Base 3F'!$B:$C, 2, FALSE),"")="", "SIN CUIT", VLOOKUP(A1746, 'Base 3F'!$B:$C, 2, FALSE)))</f>
        <v>30632256864</v>
      </c>
      <c r="C1746" s="253" t="str">
        <f>IF(A1746="", "", IF(IFERROR(VLOOKUP(A1746, 'Base 3F'!$B:$J, 9, FALSE),"")="", "SIN RUBRO", VLOOKUP(A1746, 'Base 3F'!$B:$J, 9, FALSE)))</f>
        <v>Metalúrgica</v>
      </c>
      <c r="D1746" s="58" t="s">
        <v>9098</v>
      </c>
      <c r="E1746" s="10" t="s">
        <v>2392</v>
      </c>
      <c r="F1746" s="46" t="s">
        <v>115</v>
      </c>
    </row>
    <row r="1747">
      <c r="A1747" s="285" t="s">
        <v>9099</v>
      </c>
      <c r="B1747" s="252">
        <f>IF(A1747="", "", IF(IFERROR(VLOOKUP(A1747, 'Base 3F'!$B:$C, 2, FALSE),"")="", "SIN CUIT", VLOOKUP(A1747, 'Base 3F'!$B:$C, 2, FALSE)))</f>
        <v>30626705932</v>
      </c>
      <c r="C1747" s="253" t="str">
        <f>IF(A1747="", "", IF(IFERROR(VLOOKUP(A1747, 'Base 3F'!$B:$J, 9, FALSE),"")="", "SIN RUBRO", VLOOKUP(A1747, 'Base 3F'!$B:$J, 9, FALSE)))</f>
        <v>Metalúrgica</v>
      </c>
      <c r="D1747" s="58" t="s">
        <v>9105</v>
      </c>
      <c r="E1747" s="10" t="s">
        <v>2392</v>
      </c>
      <c r="F1747" s="46" t="s">
        <v>115</v>
      </c>
    </row>
    <row r="1748">
      <c r="A1748" s="285" t="s">
        <v>9106</v>
      </c>
      <c r="B1748" s="252">
        <f>IF(A1748="", "", IF(IFERROR(VLOOKUP(A1748, 'Base 3F'!$B:$C, 2, FALSE),"")="", "SIN CUIT", VLOOKUP(A1748, 'Base 3F'!$B:$C, 2, FALSE)))</f>
        <v>20119118523</v>
      </c>
      <c r="C1748" s="253" t="str">
        <f>IF(A1748="", "", IF(IFERROR(VLOOKUP(A1748, 'Base 3F'!$B:$J, 9, FALSE),"")="", "SIN RUBRO", VLOOKUP(A1748, 'Base 3F'!$B:$J, 9, FALSE)))</f>
        <v>Metalúrgica</v>
      </c>
      <c r="D1748" s="58" t="s">
        <v>9109</v>
      </c>
      <c r="E1748" s="10" t="s">
        <v>2392</v>
      </c>
      <c r="F1748" s="46" t="s">
        <v>115</v>
      </c>
    </row>
    <row r="1749">
      <c r="A1749" s="285" t="s">
        <v>2968</v>
      </c>
      <c r="B1749" s="252">
        <f>IF(A1749="", "", IF(IFERROR(VLOOKUP(A1749, 'Base 3F'!$B:$C, 2, FALSE),"")="", "SIN CUIT", VLOOKUP(A1749, 'Base 3F'!$B:$C, 2, FALSE)))</f>
        <v>30574151259</v>
      </c>
      <c r="C1749" s="253" t="str">
        <f>IF(A1749="", "", IF(IFERROR(VLOOKUP(A1749, 'Base 3F'!$B:$J, 9, FALSE),"")="", "SIN RUBRO", VLOOKUP(A1749, 'Base 3F'!$B:$J, 9, FALSE)))</f>
        <v>Alimenticia</v>
      </c>
      <c r="D1749" s="58" t="s">
        <v>9115</v>
      </c>
      <c r="E1749" s="10" t="s">
        <v>2392</v>
      </c>
      <c r="F1749" s="46" t="s">
        <v>115</v>
      </c>
    </row>
    <row r="1750">
      <c r="A1750" s="285" t="s">
        <v>3072</v>
      </c>
      <c r="B1750" s="252">
        <f>IF(A1750="", "", IF(IFERROR(VLOOKUP(A1750, 'Base 3F'!$B:$C, 2, FALSE),"")="", "SIN CUIT", VLOOKUP(A1750, 'Base 3F'!$B:$C, 2, FALSE)))</f>
        <v>20235941156</v>
      </c>
      <c r="C1750" s="253" t="str">
        <f>IF(A1750="", "", IF(IFERROR(VLOOKUP(A1750, 'Base 3F'!$B:$J, 9, FALSE),"")="", "SIN RUBRO", VLOOKUP(A1750, 'Base 3F'!$B:$J, 9, FALSE)))</f>
        <v>Bebidas</v>
      </c>
      <c r="D1750" s="58" t="s">
        <v>9119</v>
      </c>
      <c r="E1750" s="10" t="s">
        <v>2392</v>
      </c>
      <c r="F1750" s="46" t="s">
        <v>115</v>
      </c>
    </row>
    <row r="1751">
      <c r="A1751" s="285" t="s">
        <v>3767</v>
      </c>
      <c r="B1751" s="252">
        <f>IF(A1751="", "", IF(IFERROR(VLOOKUP(A1751, 'Base 3F'!$B:$C, 2, FALSE),"")="", "SIN CUIT", VLOOKUP(A1751, 'Base 3F'!$B:$C, 2, FALSE)))</f>
        <v>30701150119</v>
      </c>
      <c r="C1751" s="253" t="str">
        <f>IF(A1751="", "", IF(IFERROR(VLOOKUP(A1751, 'Base 3F'!$B:$J, 9, FALSE),"")="", "SIN RUBRO", VLOOKUP(A1751, 'Base 3F'!$B:$J, 9, FALSE)))</f>
        <v>Plástica</v>
      </c>
      <c r="D1751" s="58" t="s">
        <v>9122</v>
      </c>
      <c r="E1751" s="10" t="s">
        <v>2392</v>
      </c>
      <c r="F1751" s="46" t="s">
        <v>115</v>
      </c>
    </row>
    <row r="1752">
      <c r="A1752" s="285" t="s">
        <v>123</v>
      </c>
      <c r="B1752" s="252" t="str">
        <f>IF(A1752="", "", IF(IFERROR(VLOOKUP(A1752, 'Base 3F'!$B:$C, 2, FALSE),"")="", "SIN CUIT", VLOOKUP(A1752, 'Base 3F'!$B:$C, 2, FALSE)))</f>
        <v>30709328995 | 30710682816</v>
      </c>
      <c r="C1752" s="253" t="str">
        <f>IF(A1752="", "", IF(IFERROR(VLOOKUP(A1752, 'Base 3F'!$B:$J, 9, FALSE),"")="", "SIN RUBRO", VLOOKUP(A1752, 'Base 3F'!$B:$J, 9, FALSE)))</f>
        <v>Papel</v>
      </c>
      <c r="D1752" s="58" t="s">
        <v>9124</v>
      </c>
      <c r="E1752" s="10" t="s">
        <v>2392</v>
      </c>
      <c r="F1752" s="46" t="s">
        <v>115</v>
      </c>
    </row>
    <row r="1753">
      <c r="A1753" s="285" t="s">
        <v>312</v>
      </c>
      <c r="B1753" s="252">
        <f>IF(A1753="", "", IF(IFERROR(VLOOKUP(A1753, 'Base 3F'!$B:$C, 2, FALSE),"")="", "SIN CUIT", VLOOKUP(A1753, 'Base 3F'!$B:$C, 2, FALSE)))</f>
        <v>30714815179</v>
      </c>
      <c r="C1753" s="253" t="str">
        <f>IF(A1753="", "", IF(IFERROR(VLOOKUP(A1753, 'Base 3F'!$B:$J, 9, FALSE),"")="", "SIN RUBRO", VLOOKUP(A1753, 'Base 3F'!$B:$J, 9, FALSE)))</f>
        <v>Química</v>
      </c>
      <c r="D1753" s="58" t="s">
        <v>9128</v>
      </c>
      <c r="E1753" s="10" t="s">
        <v>2392</v>
      </c>
      <c r="F1753" s="46" t="s">
        <v>115</v>
      </c>
    </row>
    <row r="1754">
      <c r="A1754" s="285" t="s">
        <v>173</v>
      </c>
      <c r="B1754" s="252">
        <f>IF(A1754="", "", IF(IFERROR(VLOOKUP(A1754, 'Base 3F'!$B:$C, 2, FALSE),"")="", "SIN CUIT", VLOOKUP(A1754, 'Base 3F'!$B:$C, 2, FALSE)))</f>
        <v>30710393725</v>
      </c>
      <c r="C1754" s="253" t="str">
        <f>IF(A1754="", "", IF(IFERROR(VLOOKUP(A1754, 'Base 3F'!$B:$J, 9, FALSE),"")="", "SIN RUBRO", VLOOKUP(A1754, 'Base 3F'!$B:$J, 9, FALSE)))</f>
        <v>Metalúrgica</v>
      </c>
      <c r="D1754" s="58" t="s">
        <v>9132</v>
      </c>
      <c r="E1754" s="10" t="s">
        <v>2392</v>
      </c>
      <c r="F1754" s="46" t="s">
        <v>115</v>
      </c>
    </row>
    <row r="1755">
      <c r="A1755" s="285" t="s">
        <v>738</v>
      </c>
      <c r="B1755" s="252">
        <f>IF(A1755="", "", IF(IFERROR(VLOOKUP(A1755, 'Base 3F'!$B:$C, 2, FALSE),"")="", "SIN CUIT", VLOOKUP(A1755, 'Base 3F'!$B:$C, 2, FALSE)))</f>
        <v>30632566448</v>
      </c>
      <c r="C1755" s="253" t="str">
        <f>IF(A1755="", "", IF(IFERROR(VLOOKUP(A1755, 'Base 3F'!$B:$J, 9, FALSE),"")="", "SIN RUBRO", VLOOKUP(A1755, 'Base 3F'!$B:$J, 9, FALSE)))</f>
        <v>Cuero</v>
      </c>
      <c r="D1755" s="58" t="s">
        <v>9136</v>
      </c>
      <c r="E1755" s="10" t="s">
        <v>2392</v>
      </c>
      <c r="F1755" s="46" t="s">
        <v>115</v>
      </c>
    </row>
    <row r="1756">
      <c r="A1756" s="285" t="s">
        <v>257</v>
      </c>
      <c r="B1756" s="252">
        <f>IF(A1756="", "", IF(IFERROR(VLOOKUP(A1756, 'Base 3F'!$B:$C, 2, FALSE),"")="", "SIN CUIT", VLOOKUP(A1756, 'Base 3F'!$B:$C, 2, FALSE)))</f>
        <v>30707576444</v>
      </c>
      <c r="C1756" s="253" t="str">
        <f>IF(A1756="", "", IF(IFERROR(VLOOKUP(A1756, 'Base 3F'!$B:$J, 9, FALSE),"")="", "SIN RUBRO", VLOOKUP(A1756, 'Base 3F'!$B:$J, 9, FALSE)))</f>
        <v>Metalúrgica</v>
      </c>
      <c r="D1756" s="58" t="s">
        <v>9137</v>
      </c>
      <c r="E1756" s="10" t="s">
        <v>2392</v>
      </c>
      <c r="F1756" s="46" t="s">
        <v>115</v>
      </c>
    </row>
    <row r="1757">
      <c r="A1757" s="285" t="s">
        <v>311</v>
      </c>
      <c r="B1757" s="252">
        <f>IF(A1757="", "", IF(IFERROR(VLOOKUP(A1757, 'Base 3F'!$B:$C, 2, FALSE),"")="", "SIN CUIT", VLOOKUP(A1757, 'Base 3F'!$B:$C, 2, FALSE)))</f>
        <v>30708161272</v>
      </c>
      <c r="C1757" s="253" t="str">
        <f>IF(A1757="", "", IF(IFERROR(VLOOKUP(A1757, 'Base 3F'!$B:$J, 9, FALSE),"")="", "SIN RUBRO", VLOOKUP(A1757, 'Base 3F'!$B:$J, 9, FALSE)))</f>
        <v>Metalúrgica</v>
      </c>
      <c r="D1757" s="58" t="s">
        <v>9141</v>
      </c>
      <c r="E1757" s="10" t="s">
        <v>2392</v>
      </c>
      <c r="F1757" s="46" t="s">
        <v>115</v>
      </c>
    </row>
    <row r="1758">
      <c r="A1758" s="285" t="s">
        <v>339</v>
      </c>
      <c r="B1758" s="252">
        <f>IF(A1758="", "", IF(IFERROR(VLOOKUP(A1758, 'Base 3F'!$B:$C, 2, FALSE),"")="", "SIN CUIT", VLOOKUP(A1758, 'Base 3F'!$B:$C, 2, FALSE)))</f>
        <v>30584398694</v>
      </c>
      <c r="C1758" s="253" t="str">
        <f>IF(A1758="", "", IF(IFERROR(VLOOKUP(A1758, 'Base 3F'!$B:$J, 9, FALSE),"")="", "SIN RUBRO", VLOOKUP(A1758, 'Base 3F'!$B:$J, 9, FALSE)))</f>
        <v>Metalúrgica</v>
      </c>
      <c r="D1758" s="58" t="s">
        <v>9144</v>
      </c>
      <c r="E1758" s="10" t="s">
        <v>2392</v>
      </c>
      <c r="F1758" s="46" t="s">
        <v>115</v>
      </c>
    </row>
    <row r="1759">
      <c r="A1759" s="285" t="s">
        <v>390</v>
      </c>
      <c r="B1759" s="252">
        <f>IF(A1759="", "", IF(IFERROR(VLOOKUP(A1759, 'Base 3F'!$B:$C, 2, FALSE),"")="", "SIN CUIT", VLOOKUP(A1759, 'Base 3F'!$B:$C, 2, FALSE)))</f>
        <v>30708354011</v>
      </c>
      <c r="C1759" s="253" t="str">
        <f>IF(A1759="", "", IF(IFERROR(VLOOKUP(A1759, 'Base 3F'!$B:$J, 9, FALSE),"")="", "SIN RUBRO", VLOOKUP(A1759, 'Base 3F'!$B:$J, 9, FALSE)))</f>
        <v>Química</v>
      </c>
      <c r="D1759" s="58" t="s">
        <v>9146</v>
      </c>
      <c r="E1759" s="10" t="s">
        <v>2392</v>
      </c>
      <c r="F1759" s="46" t="s">
        <v>115</v>
      </c>
    </row>
    <row r="1760">
      <c r="A1760" s="285" t="s">
        <v>1168</v>
      </c>
      <c r="B1760" s="252">
        <f>IF(A1760="", "", IF(IFERROR(VLOOKUP(A1760, 'Base 3F'!$B:$C, 2, FALSE),"")="", "SIN CUIT", VLOOKUP(A1760, 'Base 3F'!$B:$C, 2, FALSE)))</f>
        <v>30715841106</v>
      </c>
      <c r="C1760" s="253" t="str">
        <f>IF(A1760="", "", IF(IFERROR(VLOOKUP(A1760, 'Base 3F'!$B:$J, 9, FALSE),"")="", "SIN RUBRO", VLOOKUP(A1760, 'Base 3F'!$B:$J, 9, FALSE)))</f>
        <v>Plástica</v>
      </c>
      <c r="D1760" s="58" t="s">
        <v>9148</v>
      </c>
      <c r="E1760" s="10" t="s">
        <v>2392</v>
      </c>
      <c r="F1760" s="46" t="s">
        <v>115</v>
      </c>
    </row>
    <row r="1761">
      <c r="A1761" s="285" t="s">
        <v>444</v>
      </c>
      <c r="B1761" s="252">
        <f>IF(A1761="", "", IF(IFERROR(VLOOKUP(A1761, 'Base 3F'!$B:$C, 2, FALSE),"")="", "SIN CUIT", VLOOKUP(A1761, 'Base 3F'!$B:$C, 2, FALSE)))</f>
        <v>30712300023</v>
      </c>
      <c r="C1761" s="253" t="str">
        <f>IF(A1761="", "", IF(IFERROR(VLOOKUP(A1761, 'Base 3F'!$B:$J, 9, FALSE),"")="", "SIN RUBRO", VLOOKUP(A1761, 'Base 3F'!$B:$J, 9, FALSE)))</f>
        <v>Metalmecánica</v>
      </c>
      <c r="D1761" s="58" t="s">
        <v>9150</v>
      </c>
      <c r="E1761" s="10" t="s">
        <v>2392</v>
      </c>
      <c r="F1761" s="46" t="s">
        <v>115</v>
      </c>
    </row>
    <row r="1762">
      <c r="A1762" s="285" t="s">
        <v>1211</v>
      </c>
      <c r="B1762" s="252">
        <f>IF(A1762="", "", IF(IFERROR(VLOOKUP(A1762, 'Base 3F'!$B:$C, 2, FALSE),"")="", "SIN CUIT", VLOOKUP(A1762, 'Base 3F'!$B:$C, 2, FALSE)))</f>
        <v>30548270622</v>
      </c>
      <c r="C1762" s="253" t="str">
        <f>IF(A1762="", "", IF(IFERROR(VLOOKUP(A1762, 'Base 3F'!$B:$J, 9, FALSE),"")="", "SIN RUBRO", VLOOKUP(A1762, 'Base 3F'!$B:$J, 9, FALSE)))</f>
        <v>Papel</v>
      </c>
      <c r="D1762" s="58" t="s">
        <v>9152</v>
      </c>
      <c r="E1762" s="10" t="s">
        <v>2392</v>
      </c>
      <c r="F1762" s="46" t="s">
        <v>115</v>
      </c>
    </row>
    <row r="1763">
      <c r="A1763" s="285" t="s">
        <v>470</v>
      </c>
      <c r="B1763" s="252">
        <f>IF(A1763="", "", IF(IFERROR(VLOOKUP(A1763, 'Base 3F'!$B:$C, 2, FALSE),"")="", "SIN CUIT", VLOOKUP(A1763, 'Base 3F'!$B:$C, 2, FALSE)))</f>
        <v>33646972979</v>
      </c>
      <c r="C1763" s="253" t="str">
        <f>IF(A1763="", "", IF(IFERROR(VLOOKUP(A1763, 'Base 3F'!$B:$J, 9, FALSE),"")="", "SIN RUBRO", VLOOKUP(A1763, 'Base 3F'!$B:$J, 9, FALSE)))</f>
        <v>Textil</v>
      </c>
      <c r="D1763" s="58" t="s">
        <v>9156</v>
      </c>
      <c r="E1763" s="10" t="s">
        <v>2392</v>
      </c>
      <c r="F1763" s="46" t="s">
        <v>115</v>
      </c>
    </row>
    <row r="1764">
      <c r="A1764" s="285" t="s">
        <v>1254</v>
      </c>
      <c r="B1764" s="252">
        <f>IF(A1764="", "", IF(IFERROR(VLOOKUP(A1764, 'Base 3F'!$B:$C, 2, FALSE),"")="", "SIN CUIT", VLOOKUP(A1764, 'Base 3F'!$B:$C, 2, FALSE)))</f>
        <v>30595980425</v>
      </c>
      <c r="C1764" s="253" t="str">
        <f>IF(A1764="", "", IF(IFERROR(VLOOKUP(A1764, 'Base 3F'!$B:$J, 9, FALSE),"")="", "SIN RUBRO", VLOOKUP(A1764, 'Base 3F'!$B:$J, 9, FALSE)))</f>
        <v>Metalúrgica</v>
      </c>
      <c r="D1764" s="58" t="s">
        <v>9161</v>
      </c>
      <c r="E1764" s="10" t="s">
        <v>2392</v>
      </c>
      <c r="F1764" s="46" t="s">
        <v>115</v>
      </c>
    </row>
    <row r="1765">
      <c r="A1765" s="285" t="s">
        <v>494</v>
      </c>
      <c r="B1765" s="252">
        <f>IF(A1765="", "", IF(IFERROR(VLOOKUP(A1765, 'Base 3F'!$B:$C, 2, FALSE),"")="", "SIN CUIT", VLOOKUP(A1765, 'Base 3F'!$B:$C, 2, FALSE)))</f>
        <v>30647279909</v>
      </c>
      <c r="C1765" s="253" t="str">
        <f>IF(A1765="", "", IF(IFERROR(VLOOKUP(A1765, 'Base 3F'!$B:$J, 9, FALSE),"")="", "SIN RUBRO", VLOOKUP(A1765, 'Base 3F'!$B:$J, 9, FALSE)))</f>
        <v>Metalúrgica</v>
      </c>
      <c r="D1765" s="58" t="s">
        <v>9164</v>
      </c>
      <c r="E1765" s="10" t="s">
        <v>2392</v>
      </c>
      <c r="F1765" s="46" t="s">
        <v>115</v>
      </c>
    </row>
    <row r="1766">
      <c r="A1766" s="285" t="s">
        <v>511</v>
      </c>
      <c r="B1766" s="252">
        <f>IF(A1766="", "", IF(IFERROR(VLOOKUP(A1766, 'Base 3F'!$B:$C, 2, FALSE),"")="", "SIN CUIT", VLOOKUP(A1766, 'Base 3F'!$B:$C, 2, FALSE)))</f>
        <v>30595286189</v>
      </c>
      <c r="C1766" s="253" t="str">
        <f>IF(A1766="", "", IF(IFERROR(VLOOKUP(A1766, 'Base 3F'!$B:$J, 9, FALSE),"")="", "SIN RUBRO", VLOOKUP(A1766, 'Base 3F'!$B:$J, 9, FALSE)))</f>
        <v>Textil</v>
      </c>
      <c r="D1766" s="58" t="s">
        <v>9168</v>
      </c>
      <c r="E1766" s="10" t="s">
        <v>2392</v>
      </c>
      <c r="F1766" s="46" t="s">
        <v>115</v>
      </c>
    </row>
    <row r="1767">
      <c r="A1767" s="285" t="s">
        <v>1306</v>
      </c>
      <c r="B1767" s="252">
        <f>IF(A1767="", "", IF(IFERROR(VLOOKUP(A1767, 'Base 3F'!$B:$C, 2, FALSE),"")="", "SIN CUIT", VLOOKUP(A1767, 'Base 3F'!$B:$C, 2, FALSE)))</f>
        <v>30663767700</v>
      </c>
      <c r="C1767" s="253" t="str">
        <f>IF(A1767="", "", IF(IFERROR(VLOOKUP(A1767, 'Base 3F'!$B:$J, 9, FALSE),"")="", "SIN RUBRO", VLOOKUP(A1767, 'Base 3F'!$B:$J, 9, FALSE)))</f>
        <v>Metalúrgica</v>
      </c>
      <c r="D1767" s="58" t="s">
        <v>9170</v>
      </c>
      <c r="E1767" s="10" t="s">
        <v>2392</v>
      </c>
      <c r="F1767" s="46" t="s">
        <v>115</v>
      </c>
    </row>
    <row r="1768">
      <c r="A1768" s="285" t="s">
        <v>529</v>
      </c>
      <c r="B1768" s="252">
        <f>IF(A1768="", "", IF(IFERROR(VLOOKUP(A1768, 'Base 3F'!$B:$C, 2, FALSE),"")="", "SIN CUIT", VLOOKUP(A1768, 'Base 3F'!$B:$C, 2, FALSE)))</f>
        <v>30709636991</v>
      </c>
      <c r="C1768" s="253" t="str">
        <f>IF(A1768="", "", IF(IFERROR(VLOOKUP(A1768, 'Base 3F'!$B:$J, 9, FALSE),"")="", "SIN RUBRO", VLOOKUP(A1768, 'Base 3F'!$B:$J, 9, FALSE)))</f>
        <v>Metalúrgica</v>
      </c>
      <c r="D1768" s="58" t="s">
        <v>9173</v>
      </c>
      <c r="E1768" s="10" t="s">
        <v>2392</v>
      </c>
      <c r="F1768" s="46" t="s">
        <v>115</v>
      </c>
    </row>
    <row r="1769">
      <c r="A1769" s="285" t="s">
        <v>1375</v>
      </c>
      <c r="B1769" s="252">
        <f>IF(A1769="", "", IF(IFERROR(VLOOKUP(A1769, 'Base 3F'!$B:$C, 2, FALSE),"")="", "SIN CUIT", VLOOKUP(A1769, 'Base 3F'!$B:$C, 2, FALSE)))</f>
        <v>30708664762</v>
      </c>
      <c r="C1769" s="253" t="str">
        <f>IF(A1769="", "", IF(IFERROR(VLOOKUP(A1769, 'Base 3F'!$B:$J, 9, FALSE),"")="", "SIN RUBRO", VLOOKUP(A1769, 'Base 3F'!$B:$J, 9, FALSE)))</f>
        <v>Alimenticia</v>
      </c>
      <c r="D1769" s="58" t="s">
        <v>9175</v>
      </c>
      <c r="E1769" s="10" t="s">
        <v>2392</v>
      </c>
      <c r="F1769" s="46" t="s">
        <v>115</v>
      </c>
    </row>
    <row r="1770">
      <c r="A1770" s="285" t="s">
        <v>616</v>
      </c>
      <c r="B1770" s="252">
        <f>IF(A1770="", "", IF(IFERROR(VLOOKUP(A1770, 'Base 3F'!$B:$C, 2, FALSE),"")="", "SIN CUIT", VLOOKUP(A1770, 'Base 3F'!$B:$C, 2, FALSE)))</f>
        <v>30661450602</v>
      </c>
      <c r="C1770" s="253" t="str">
        <f>IF(A1770="", "", IF(IFERROR(VLOOKUP(A1770, 'Base 3F'!$B:$J, 9, FALSE),"")="", "SIN RUBRO", VLOOKUP(A1770, 'Base 3F'!$B:$J, 9, FALSE)))</f>
        <v>Alimenticia</v>
      </c>
      <c r="D1770" s="58" t="s">
        <v>9180</v>
      </c>
      <c r="E1770" s="10" t="s">
        <v>2392</v>
      </c>
      <c r="F1770" s="46" t="s">
        <v>115</v>
      </c>
    </row>
    <row r="1771">
      <c r="A1771" s="285" t="s">
        <v>643</v>
      </c>
      <c r="B1771" s="252">
        <f>IF(A1771="", "", IF(IFERROR(VLOOKUP(A1771, 'Base 3F'!$B:$C, 2, FALSE),"")="", "SIN CUIT", VLOOKUP(A1771, 'Base 3F'!$B:$C, 2, FALSE)))</f>
        <v>30583370028</v>
      </c>
      <c r="C1771" s="253" t="str">
        <f>IF(A1771="", "", IF(IFERROR(VLOOKUP(A1771, 'Base 3F'!$B:$J, 9, FALSE),"")="", "SIN RUBRO", VLOOKUP(A1771, 'Base 3F'!$B:$J, 9, FALSE)))</f>
        <v>Alimenticia</v>
      </c>
      <c r="D1771" s="58" t="s">
        <v>9191</v>
      </c>
      <c r="E1771" s="10" t="s">
        <v>2392</v>
      </c>
      <c r="F1771" s="46" t="s">
        <v>115</v>
      </c>
    </row>
    <row r="1772">
      <c r="A1772" s="285" t="s">
        <v>1402</v>
      </c>
      <c r="B1772" s="252">
        <f>IF(A1772="", "", IF(IFERROR(VLOOKUP(A1772, 'Base 3F'!$B:$C, 2, FALSE),"")="", "SIN CUIT", VLOOKUP(A1772, 'Base 3F'!$B:$C, 2, FALSE)))</f>
        <v>30710162669</v>
      </c>
      <c r="C1772" s="253" t="str">
        <f>IF(A1772="", "", IF(IFERROR(VLOOKUP(A1772, 'Base 3F'!$B:$J, 9, FALSE),"")="", "SIN RUBRO", VLOOKUP(A1772, 'Base 3F'!$B:$J, 9, FALSE)))</f>
        <v>Alimenticia</v>
      </c>
      <c r="D1772" s="273" t="s">
        <v>9197</v>
      </c>
      <c r="E1772" s="10" t="s">
        <v>2392</v>
      </c>
      <c r="F1772" s="46" t="s">
        <v>1625</v>
      </c>
    </row>
    <row r="1773">
      <c r="A1773" s="285" t="s">
        <v>1413</v>
      </c>
      <c r="B1773" s="252">
        <f>IF(A1773="", "", IF(IFERROR(VLOOKUP(A1773, 'Base 3F'!$B:$C, 2, FALSE),"")="", "SIN CUIT", VLOOKUP(A1773, 'Base 3F'!$B:$C, 2, FALSE)))</f>
        <v>30711417776</v>
      </c>
      <c r="C1773" s="253" t="str">
        <f>IF(A1773="", "", IF(IFERROR(VLOOKUP(A1773, 'Base 3F'!$B:$J, 9, FALSE),"")="", "SIN RUBRO", VLOOKUP(A1773, 'Base 3F'!$B:$J, 9, FALSE)))</f>
        <v>Papel</v>
      </c>
      <c r="D1773" s="58" t="s">
        <v>9199</v>
      </c>
      <c r="E1773" s="10" t="s">
        <v>2392</v>
      </c>
      <c r="F1773" s="46" t="s">
        <v>115</v>
      </c>
    </row>
    <row r="1774">
      <c r="A1774" s="285" t="s">
        <v>672</v>
      </c>
      <c r="B1774" s="252">
        <f>IF(A1774="", "", IF(IFERROR(VLOOKUP(A1774, 'Base 3F'!$B:$C, 2, FALSE),"")="", "SIN CUIT", VLOOKUP(A1774, 'Base 3F'!$B:$C, 2, FALSE)))</f>
        <v>30711181551</v>
      </c>
      <c r="C1774" s="253" t="str">
        <f>IF(A1774="", "", IF(IFERROR(VLOOKUP(A1774, 'Base 3F'!$B:$J, 9, FALSE),"")="", "SIN RUBRO", VLOOKUP(A1774, 'Base 3F'!$B:$J, 9, FALSE)))</f>
        <v>Metalúrgica</v>
      </c>
      <c r="D1774" s="58" t="s">
        <v>9204</v>
      </c>
      <c r="E1774" s="10" t="s">
        <v>2392</v>
      </c>
      <c r="F1774" s="46" t="s">
        <v>115</v>
      </c>
    </row>
    <row r="1775">
      <c r="A1775" s="285" t="s">
        <v>739</v>
      </c>
      <c r="B1775" s="252">
        <f>IF(A1775="", "", IF(IFERROR(VLOOKUP(A1775, 'Base 3F'!$B:$C, 2, FALSE),"")="", "SIN CUIT", VLOOKUP(A1775, 'Base 3F'!$B:$C, 2, FALSE)))</f>
        <v>30701152715</v>
      </c>
      <c r="C1775" s="253" t="str">
        <f>IF(A1775="", "", IF(IFERROR(VLOOKUP(A1775, 'Base 3F'!$B:$J, 9, FALSE),"")="", "SIN RUBRO", VLOOKUP(A1775, 'Base 3F'!$B:$J, 9, FALSE)))</f>
        <v>Metalúrgica</v>
      </c>
      <c r="D1775" s="58" t="s">
        <v>9210</v>
      </c>
      <c r="E1775" s="10" t="s">
        <v>2392</v>
      </c>
      <c r="F1775" s="46" t="s">
        <v>115</v>
      </c>
    </row>
    <row r="1776">
      <c r="A1776" s="285" t="s">
        <v>4674</v>
      </c>
      <c r="B1776" s="252" t="str">
        <f>IF(A1776="", "", IF(IFERROR(VLOOKUP(A1776, 'Base 3F'!$B:$C, 2, FALSE),"")="", "SIN CUIT", VLOOKUP(A1776, 'Base 3F'!$B:$C, 2, FALSE)))</f>
        <v>SIN CUIT</v>
      </c>
      <c r="C1776" s="253" t="str">
        <f>IF(A1776="", "", IF(IFERROR(VLOOKUP(A1776, 'Base 3F'!$B:$J, 9, FALSE),"")="", "SIN RUBRO", VLOOKUP(A1776, 'Base 3F'!$B:$J, 9, FALSE)))</f>
        <v>SIN RUBRO</v>
      </c>
      <c r="D1776" s="58" t="s">
        <v>9215</v>
      </c>
      <c r="E1776" s="10" t="s">
        <v>2392</v>
      </c>
      <c r="F1776" s="46" t="s">
        <v>115</v>
      </c>
    </row>
    <row r="1777">
      <c r="A1777" s="285" t="s">
        <v>1503</v>
      </c>
      <c r="B1777" s="252">
        <f>IF(A1777="", "", IF(IFERROR(VLOOKUP(A1777, 'Base 3F'!$B:$C, 2, FALSE),"")="", "SIN CUIT", VLOOKUP(A1777, 'Base 3F'!$B:$C, 2, FALSE)))</f>
        <v>30556285965</v>
      </c>
      <c r="C1777" s="253" t="str">
        <f>IF(A1777="", "", IF(IFERROR(VLOOKUP(A1777, 'Base 3F'!$B:$J, 9, FALSE),"")="", "SIN RUBRO", VLOOKUP(A1777, 'Base 3F'!$B:$J, 9, FALSE)))</f>
        <v>Metalúrgica</v>
      </c>
      <c r="D1777" s="58" t="s">
        <v>9217</v>
      </c>
      <c r="E1777" s="10" t="s">
        <v>2392</v>
      </c>
      <c r="F1777" s="46" t="s">
        <v>115</v>
      </c>
    </row>
    <row r="1778">
      <c r="A1778" s="285" t="s">
        <v>1514</v>
      </c>
      <c r="B1778" s="252">
        <f>IF(A1778="", "", IF(IFERROR(VLOOKUP(A1778, 'Base 3F'!$B:$C, 2, FALSE),"")="", "SIN CUIT", VLOOKUP(A1778, 'Base 3F'!$B:$C, 2, FALSE)))</f>
        <v>20148682195</v>
      </c>
      <c r="C1778" s="253" t="str">
        <f>IF(A1778="", "", IF(IFERROR(VLOOKUP(A1778, 'Base 3F'!$B:$J, 9, FALSE),"")="", "SIN RUBRO", VLOOKUP(A1778, 'Base 3F'!$B:$J, 9, FALSE)))</f>
        <v>Madera</v>
      </c>
      <c r="D1778" s="58" t="s">
        <v>9222</v>
      </c>
      <c r="E1778" s="10" t="s">
        <v>2392</v>
      </c>
      <c r="F1778" s="46" t="s">
        <v>115</v>
      </c>
    </row>
    <row r="1779">
      <c r="A1779" s="285" t="s">
        <v>1524</v>
      </c>
      <c r="B1779" s="252">
        <f>IF(A1779="", "", IF(IFERROR(VLOOKUP(A1779, 'Base 3F'!$B:$C, 2, FALSE),"")="", "SIN CUIT", VLOOKUP(A1779, 'Base 3F'!$B:$C, 2, FALSE)))</f>
        <v>30625688651</v>
      </c>
      <c r="C1779" s="253" t="str">
        <f>IF(A1779="", "", IF(IFERROR(VLOOKUP(A1779, 'Base 3F'!$B:$J, 9, FALSE),"")="", "SIN RUBRO", VLOOKUP(A1779, 'Base 3F'!$B:$J, 9, FALSE)))</f>
        <v>Metalmecánica</v>
      </c>
      <c r="D1779" s="58" t="s">
        <v>9227</v>
      </c>
      <c r="E1779" s="10" t="s">
        <v>2392</v>
      </c>
      <c r="F1779" s="46" t="s">
        <v>115</v>
      </c>
    </row>
    <row r="1780">
      <c r="A1780" s="285" t="s">
        <v>1586</v>
      </c>
      <c r="B1780" s="252">
        <f>IF(A1780="", "", IF(IFERROR(VLOOKUP(A1780, 'Base 3F'!$B:$C, 2, FALSE),"")="", "SIN CUIT", VLOOKUP(A1780, 'Base 3F'!$B:$C, 2, FALSE)))</f>
        <v>30708976101</v>
      </c>
      <c r="C1780" s="253" t="str">
        <f>IF(A1780="", "", IF(IFERROR(VLOOKUP(A1780, 'Base 3F'!$B:$J, 9, FALSE),"")="", "SIN RUBRO", VLOOKUP(A1780, 'Base 3F'!$B:$J, 9, FALSE)))</f>
        <v>Madera</v>
      </c>
      <c r="D1780" s="58" t="s">
        <v>9234</v>
      </c>
      <c r="E1780" s="10" t="s">
        <v>2392</v>
      </c>
      <c r="F1780" s="46" t="s">
        <v>115</v>
      </c>
    </row>
    <row r="1781">
      <c r="A1781" s="285" t="s">
        <v>1676</v>
      </c>
      <c r="B1781" s="252">
        <f>IF(A1781="", "", IF(IFERROR(VLOOKUP(A1781, 'Base 3F'!$B:$C, 2, FALSE),"")="", "SIN CUIT", VLOOKUP(A1781, 'Base 3F'!$B:$C, 2, FALSE)))</f>
        <v>30710111428</v>
      </c>
      <c r="C1781" s="253" t="str">
        <f>IF(A1781="", "", IF(IFERROR(VLOOKUP(A1781, 'Base 3F'!$B:$J, 9, FALSE),"")="", "SIN RUBRO", VLOOKUP(A1781, 'Base 3F'!$B:$J, 9, FALSE)))</f>
        <v>Metalúrgica</v>
      </c>
      <c r="D1781" s="58" t="s">
        <v>9237</v>
      </c>
      <c r="E1781" s="10" t="s">
        <v>2392</v>
      </c>
      <c r="F1781" s="46" t="s">
        <v>115</v>
      </c>
    </row>
    <row r="1782">
      <c r="A1782" s="285" t="s">
        <v>4730</v>
      </c>
      <c r="B1782" s="252" t="str">
        <f>IF(A1782="", "", IF(IFERROR(VLOOKUP(A1782, 'Base 3F'!$B:$C, 2, FALSE),"")="", "SIN CUIT", VLOOKUP(A1782, 'Base 3F'!$B:$C, 2, FALSE)))</f>
        <v>SIN CUIT</v>
      </c>
      <c r="C1782" s="253" t="str">
        <f>IF(A1782="", "", IF(IFERROR(VLOOKUP(A1782, 'Base 3F'!$B:$J, 9, FALSE),"")="", "SIN RUBRO", VLOOKUP(A1782, 'Base 3F'!$B:$J, 9, FALSE)))</f>
        <v>SIN RUBRO</v>
      </c>
      <c r="D1782" s="58" t="s">
        <v>9243</v>
      </c>
      <c r="E1782" s="10" t="s">
        <v>2392</v>
      </c>
      <c r="F1782" s="46" t="s">
        <v>115</v>
      </c>
    </row>
    <row r="1783">
      <c r="A1783" s="285" t="s">
        <v>1744</v>
      </c>
      <c r="B1783" s="252">
        <f>IF(A1783="", "", IF(IFERROR(VLOOKUP(A1783, 'Base 3F'!$B:$C, 2, FALSE),"")="", "SIN CUIT", VLOOKUP(A1783, 'Base 3F'!$B:$C, 2, FALSE)))</f>
        <v>30707082301</v>
      </c>
      <c r="C1783" s="253" t="str">
        <f>IF(A1783="", "", IF(IFERROR(VLOOKUP(A1783, 'Base 3F'!$B:$J, 9, FALSE),"")="", "SIN RUBRO", VLOOKUP(A1783, 'Base 3F'!$B:$J, 9, FALSE)))</f>
        <v>Metalúrgica</v>
      </c>
      <c r="D1783" s="58" t="s">
        <v>9246</v>
      </c>
      <c r="E1783" s="10" t="s">
        <v>2392</v>
      </c>
      <c r="F1783" s="46" t="s">
        <v>115</v>
      </c>
    </row>
    <row r="1784">
      <c r="A1784" s="285" t="s">
        <v>905</v>
      </c>
      <c r="B1784" s="252">
        <f>IF(A1784="", "", IF(IFERROR(VLOOKUP(A1784, 'Base 3F'!$B:$C, 2, FALSE),"")="", "SIN CUIT", VLOOKUP(A1784, 'Base 3F'!$B:$C, 2, FALSE)))</f>
        <v>30711603340</v>
      </c>
      <c r="C1784" s="253" t="str">
        <f>IF(A1784="", "", IF(IFERROR(VLOOKUP(A1784, 'Base 3F'!$B:$J, 9, FALSE),"")="", "SIN RUBRO", VLOOKUP(A1784, 'Base 3F'!$B:$J, 9, FALSE)))</f>
        <v>Textil</v>
      </c>
      <c r="D1784" s="58" t="s">
        <v>9249</v>
      </c>
      <c r="E1784" s="10" t="s">
        <v>2392</v>
      </c>
      <c r="F1784" s="46" t="s">
        <v>115</v>
      </c>
    </row>
    <row r="1785">
      <c r="A1785" s="285" t="s">
        <v>1780</v>
      </c>
      <c r="B1785" s="252">
        <f>IF(A1785="", "", IF(IFERROR(VLOOKUP(A1785, 'Base 3F'!$B:$C, 2, FALSE),"")="", "SIN CUIT", VLOOKUP(A1785, 'Base 3F'!$B:$C, 2, FALSE)))</f>
        <v>30708913142</v>
      </c>
      <c r="C1785" s="253" t="str">
        <f>IF(A1785="", "", IF(IFERROR(VLOOKUP(A1785, 'Base 3F'!$B:$J, 9, FALSE),"")="", "SIN RUBRO", VLOOKUP(A1785, 'Base 3F'!$B:$J, 9, FALSE)))</f>
        <v>Plástica</v>
      </c>
      <c r="D1785" s="58" t="s">
        <v>9254</v>
      </c>
      <c r="E1785" s="10" t="s">
        <v>2392</v>
      </c>
      <c r="F1785" s="46" t="s">
        <v>115</v>
      </c>
    </row>
    <row r="1786">
      <c r="A1786" s="285" t="s">
        <v>976</v>
      </c>
      <c r="B1786" s="252">
        <f>IF(A1786="", "", IF(IFERROR(VLOOKUP(A1786, 'Base 3F'!$B:$C, 2, FALSE),"")="", "SIN CUIT", VLOOKUP(A1786, 'Base 3F'!$B:$C, 2, FALSE)))</f>
        <v>30703245184</v>
      </c>
      <c r="C1786" s="253" t="str">
        <f>IF(A1786="", "", IF(IFERROR(VLOOKUP(A1786, 'Base 3F'!$B:$J, 9, FALSE),"")="", "SIN RUBRO", VLOOKUP(A1786, 'Base 3F'!$B:$J, 9, FALSE)))</f>
        <v>Alimenticia</v>
      </c>
      <c r="D1786" s="58" t="s">
        <v>9259</v>
      </c>
      <c r="E1786" s="10" t="s">
        <v>2392</v>
      </c>
      <c r="F1786" s="46" t="s">
        <v>115</v>
      </c>
    </row>
    <row r="1787">
      <c r="A1787" s="285" t="s">
        <v>1809</v>
      </c>
      <c r="B1787" s="252">
        <f>IF(A1787="", "", IF(IFERROR(VLOOKUP(A1787, 'Base 3F'!$B:$C, 2, FALSE),"")="", "SIN CUIT", VLOOKUP(A1787, 'Base 3F'!$B:$C, 2, FALSE)))</f>
        <v>30519195484</v>
      </c>
      <c r="C1787" s="253" t="str">
        <f>IF(A1787="", "", IF(IFERROR(VLOOKUP(A1787, 'Base 3F'!$B:$J, 9, FALSE),"")="", "SIN RUBRO", VLOOKUP(A1787, 'Base 3F'!$B:$J, 9, FALSE)))</f>
        <v>Química</v>
      </c>
      <c r="D1787" s="58" t="s">
        <v>9261</v>
      </c>
      <c r="E1787" s="10" t="s">
        <v>2392</v>
      </c>
      <c r="F1787" s="46" t="s">
        <v>115</v>
      </c>
    </row>
    <row r="1788">
      <c r="A1788" s="285" t="s">
        <v>1831</v>
      </c>
      <c r="B1788" s="252">
        <f>IF(A1788="", "", IF(IFERROR(VLOOKUP(A1788, 'Base 3F'!$B:$C, 2, FALSE),"")="", "SIN CUIT", VLOOKUP(A1788, 'Base 3F'!$B:$C, 2, FALSE)))</f>
        <v>20150276129</v>
      </c>
      <c r="C1788" s="253" t="str">
        <f>IF(A1788="", "", IF(IFERROR(VLOOKUP(A1788, 'Base 3F'!$B:$J, 9, FALSE),"")="", "SIN RUBRO", VLOOKUP(A1788, 'Base 3F'!$B:$J, 9, FALSE)))</f>
        <v>Servicios</v>
      </c>
      <c r="D1788" s="142" t="s">
        <v>9265</v>
      </c>
      <c r="E1788" s="10" t="s">
        <v>2392</v>
      </c>
      <c r="F1788" s="46" t="s">
        <v>115</v>
      </c>
    </row>
    <row r="1789">
      <c r="A1789" s="285" t="s">
        <v>1852</v>
      </c>
      <c r="B1789" s="252">
        <f>IF(A1789="", "", IF(IFERROR(VLOOKUP(A1789, 'Base 3F'!$B:$C, 2, FALSE),"")="", "SIN CUIT", VLOOKUP(A1789, 'Base 3F'!$B:$C, 2, FALSE)))</f>
        <v>30708732946</v>
      </c>
      <c r="C1789" s="253" t="str">
        <f>IF(A1789="", "", IF(IFERROR(VLOOKUP(A1789, 'Base 3F'!$B:$J, 9, FALSE),"")="", "SIN RUBRO", VLOOKUP(A1789, 'Base 3F'!$B:$J, 9, FALSE)))</f>
        <v>Química</v>
      </c>
      <c r="D1789" s="58" t="s">
        <v>9267</v>
      </c>
      <c r="E1789" s="10" t="s">
        <v>2392</v>
      </c>
      <c r="F1789" s="46" t="s">
        <v>115</v>
      </c>
    </row>
    <row r="1790">
      <c r="A1790" s="285" t="s">
        <v>4795</v>
      </c>
      <c r="B1790" s="252" t="str">
        <f>IF(A1790="", "", IF(IFERROR(VLOOKUP(A1790, 'Base 3F'!$B:$C, 2, FALSE),"")="", "SIN CUIT", VLOOKUP(A1790, 'Base 3F'!$B:$C, 2, FALSE)))</f>
        <v>SIN CUIT</v>
      </c>
      <c r="C1790" s="253" t="str">
        <f>IF(A1790="", "", IF(IFERROR(VLOOKUP(A1790, 'Base 3F'!$B:$J, 9, FALSE),"")="", "SIN RUBRO", VLOOKUP(A1790, 'Base 3F'!$B:$J, 9, FALSE)))</f>
        <v>SIN RUBRO</v>
      </c>
      <c r="D1790" s="58" t="s">
        <v>9272</v>
      </c>
      <c r="E1790" s="10" t="s">
        <v>2392</v>
      </c>
      <c r="F1790" s="46" t="s">
        <v>115</v>
      </c>
    </row>
    <row r="1791">
      <c r="A1791" s="285" t="s">
        <v>1040</v>
      </c>
      <c r="B1791" s="252">
        <f>IF(A1791="", "", IF(IFERROR(VLOOKUP(A1791, 'Base 3F'!$B:$C, 2, FALSE),"")="", "SIN CUIT", VLOOKUP(A1791, 'Base 3F'!$B:$C, 2, FALSE)))</f>
        <v>33707830889</v>
      </c>
      <c r="C1791" s="253" t="str">
        <f>IF(A1791="", "", IF(IFERROR(VLOOKUP(A1791, 'Base 3F'!$B:$J, 9, FALSE),"")="", "SIN RUBRO", VLOOKUP(A1791, 'Base 3F'!$B:$J, 9, FALSE)))</f>
        <v>Servicios</v>
      </c>
      <c r="D1791" s="58" t="s">
        <v>9276</v>
      </c>
      <c r="E1791" s="10" t="s">
        <v>2392</v>
      </c>
      <c r="F1791" s="46" t="s">
        <v>115</v>
      </c>
    </row>
    <row r="1792">
      <c r="A1792" s="285" t="s">
        <v>1943</v>
      </c>
      <c r="B1792" s="252">
        <f>IF(A1792="", "", IF(IFERROR(VLOOKUP(A1792, 'Base 3F'!$B:$C, 2, FALSE),"")="", "SIN CUIT", VLOOKUP(A1792, 'Base 3F'!$B:$C, 2, FALSE)))</f>
        <v>30707030468</v>
      </c>
      <c r="C1792" s="253" t="str">
        <f>IF(A1792="", "", IF(IFERROR(VLOOKUP(A1792, 'Base 3F'!$B:$J, 9, FALSE),"")="", "SIN RUBRO", VLOOKUP(A1792, 'Base 3F'!$B:$J, 9, FALSE)))</f>
        <v>Metalúrgica</v>
      </c>
      <c r="D1792" s="58" t="s">
        <v>9282</v>
      </c>
      <c r="E1792" s="10" t="s">
        <v>2392</v>
      </c>
      <c r="F1792" s="46" t="s">
        <v>115</v>
      </c>
    </row>
    <row r="1793">
      <c r="A1793" s="285" t="s">
        <v>1063</v>
      </c>
      <c r="B1793" s="252">
        <f>IF(A1793="", "", IF(IFERROR(VLOOKUP(A1793, 'Base 3F'!$B:$C, 2, FALSE),"")="", "SIN CUIT", VLOOKUP(A1793, 'Base 3F'!$B:$C, 2, FALSE)))</f>
        <v>30687219127</v>
      </c>
      <c r="C1793" s="253" t="str">
        <f>IF(A1793="", "", IF(IFERROR(VLOOKUP(A1793, 'Base 3F'!$B:$J, 9, FALSE),"")="", "SIN RUBRO", VLOOKUP(A1793, 'Base 3F'!$B:$J, 9, FALSE)))</f>
        <v>Alimenticia</v>
      </c>
      <c r="D1793" s="58" t="s">
        <v>9284</v>
      </c>
      <c r="E1793" s="10" t="s">
        <v>2392</v>
      </c>
      <c r="F1793" s="46" t="s">
        <v>115</v>
      </c>
    </row>
    <row r="1794">
      <c r="A1794" s="285" t="s">
        <v>2012</v>
      </c>
      <c r="B1794" s="252">
        <f>IF(A1794="", "", IF(IFERROR(VLOOKUP(A1794, 'Base 3F'!$B:$C, 2, FALSE),"")="", "SIN CUIT", VLOOKUP(A1794, 'Base 3F'!$B:$C, 2, FALSE)))</f>
        <v>30711362467</v>
      </c>
      <c r="C1794" s="253" t="str">
        <f>IF(A1794="", "", IF(IFERROR(VLOOKUP(A1794, 'Base 3F'!$B:$J, 9, FALSE),"")="", "SIN RUBRO", VLOOKUP(A1794, 'Base 3F'!$B:$J, 9, FALSE)))</f>
        <v>Construcción</v>
      </c>
      <c r="D1794" s="58" t="s">
        <v>9287</v>
      </c>
      <c r="E1794" s="10" t="s">
        <v>2392</v>
      </c>
      <c r="F1794" s="46" t="s">
        <v>115</v>
      </c>
    </row>
    <row r="1795">
      <c r="A1795" s="285" t="s">
        <v>2018</v>
      </c>
      <c r="B1795" s="252">
        <f>IF(A1795="", "", IF(IFERROR(VLOOKUP(A1795, 'Base 3F'!$B:$C, 2, FALSE),"")="", "SIN CUIT", VLOOKUP(A1795, 'Base 3F'!$B:$C, 2, FALSE)))</f>
        <v>30708408219</v>
      </c>
      <c r="C1795" s="253" t="str">
        <f>IF(A1795="", "", IF(IFERROR(VLOOKUP(A1795, 'Base 3F'!$B:$J, 9, FALSE),"")="", "SIN RUBRO", VLOOKUP(A1795, 'Base 3F'!$B:$J, 9, FALSE)))</f>
        <v>Cuero</v>
      </c>
      <c r="D1795" s="58" t="s">
        <v>9288</v>
      </c>
      <c r="E1795" s="10" t="s">
        <v>2392</v>
      </c>
      <c r="F1795" s="46" t="s">
        <v>115</v>
      </c>
    </row>
    <row r="1796">
      <c r="A1796" s="285" t="s">
        <v>2047</v>
      </c>
      <c r="B1796" s="252">
        <f>IF(A1796="", "", IF(IFERROR(VLOOKUP(A1796, 'Base 3F'!$B:$C, 2, FALSE),"")="", "SIN CUIT", VLOOKUP(A1796, 'Base 3F'!$B:$C, 2, FALSE)))</f>
        <v>30644537788</v>
      </c>
      <c r="C1796" s="253" t="str">
        <f>IF(A1796="", "", IF(IFERROR(VLOOKUP(A1796, 'Base 3F'!$B:$J, 9, FALSE),"")="", "SIN RUBRO", VLOOKUP(A1796, 'Base 3F'!$B:$J, 9, FALSE)))</f>
        <v>Metalúrgica</v>
      </c>
      <c r="D1796" s="58" t="s">
        <v>9290</v>
      </c>
      <c r="E1796" s="10" t="s">
        <v>2392</v>
      </c>
      <c r="F1796" s="46" t="s">
        <v>115</v>
      </c>
    </row>
    <row r="1797">
      <c r="A1797" s="285" t="s">
        <v>2073</v>
      </c>
      <c r="B1797" s="252">
        <f>IF(A1797="", "", IF(IFERROR(VLOOKUP(A1797, 'Base 3F'!$B:$C, 2, FALSE),"")="", "SIN CUIT", VLOOKUP(A1797, 'Base 3F'!$B:$C, 2, FALSE)))</f>
        <v>30701756661</v>
      </c>
      <c r="C1797" s="253" t="str">
        <f>IF(A1797="", "", IF(IFERROR(VLOOKUP(A1797, 'Base 3F'!$B:$J, 9, FALSE),"")="", "SIN RUBRO", VLOOKUP(A1797, 'Base 3F'!$B:$J, 9, FALSE)))</f>
        <v>Plástica</v>
      </c>
      <c r="D1797" s="58" t="s">
        <v>9293</v>
      </c>
      <c r="E1797" s="10" t="s">
        <v>2392</v>
      </c>
      <c r="F1797" s="46" t="s">
        <v>115</v>
      </c>
    </row>
    <row r="1798">
      <c r="A1798" s="285" t="s">
        <v>1076</v>
      </c>
      <c r="B1798" s="252">
        <f>IF(A1798="", "", IF(IFERROR(VLOOKUP(A1798, 'Base 3F'!$B:$C, 2, FALSE),"")="", "SIN CUIT", VLOOKUP(A1798, 'Base 3F'!$B:$C, 2, FALSE)))</f>
        <v>30710238061</v>
      </c>
      <c r="C1798" s="253" t="str">
        <f>IF(A1798="", "", IF(IFERROR(VLOOKUP(A1798, 'Base 3F'!$B:$J, 9, FALSE),"")="", "SIN RUBRO", VLOOKUP(A1798, 'Base 3F'!$B:$J, 9, FALSE)))</f>
        <v>Electricidad</v>
      </c>
      <c r="D1798" s="58" t="s">
        <v>9295</v>
      </c>
      <c r="E1798" s="10" t="s">
        <v>2392</v>
      </c>
      <c r="F1798" s="46" t="s">
        <v>115</v>
      </c>
    </row>
    <row r="1799">
      <c r="A1799" s="285" t="s">
        <v>2209</v>
      </c>
      <c r="B1799" s="252">
        <f>IF(A1799="", "", IF(IFERROR(VLOOKUP(A1799, 'Base 3F'!$B:$C, 2, FALSE),"")="", "SIN CUIT", VLOOKUP(A1799, 'Base 3F'!$B:$C, 2, FALSE)))</f>
        <v>30663738948</v>
      </c>
      <c r="C1799" s="253" t="str">
        <f>IF(A1799="", "", IF(IFERROR(VLOOKUP(A1799, 'Base 3F'!$B:$J, 9, FALSE),"")="", "SIN RUBRO", VLOOKUP(A1799, 'Base 3F'!$B:$J, 9, FALSE)))</f>
        <v>Metalúrgica</v>
      </c>
      <c r="D1799" s="58" t="s">
        <v>9298</v>
      </c>
      <c r="E1799" s="10" t="s">
        <v>2392</v>
      </c>
      <c r="F1799" s="46" t="s">
        <v>115</v>
      </c>
    </row>
    <row r="1800">
      <c r="A1800" s="285" t="s">
        <v>1083</v>
      </c>
      <c r="B1800" s="252">
        <f>IF(A1800="", "", IF(IFERROR(VLOOKUP(A1800, 'Base 3F'!$B:$C, 2, FALSE),"")="", "SIN CUIT", VLOOKUP(A1800, 'Base 3F'!$B:$C, 2, FALSE)))</f>
        <v>30710081111</v>
      </c>
      <c r="C1800" s="253" t="str">
        <f>IF(A1800="", "", IF(IFERROR(VLOOKUP(A1800, 'Base 3F'!$B:$J, 9, FALSE),"")="", "SIN RUBRO", VLOOKUP(A1800, 'Base 3F'!$B:$J, 9, FALSE)))</f>
        <v>Metalúrgica</v>
      </c>
      <c r="D1800" s="58" t="s">
        <v>9303</v>
      </c>
      <c r="E1800" s="10" t="s">
        <v>2392</v>
      </c>
      <c r="F1800" s="46" t="s">
        <v>115</v>
      </c>
    </row>
    <row r="1801">
      <c r="A1801" s="285" t="s">
        <v>2225</v>
      </c>
      <c r="B1801" s="252">
        <f>IF(A1801="", "", IF(IFERROR(VLOOKUP(A1801, 'Base 3F'!$B:$C, 2, FALSE),"")="", "SIN CUIT", VLOOKUP(A1801, 'Base 3F'!$B:$C, 2, FALSE)))</f>
        <v>30650849805</v>
      </c>
      <c r="C1801" s="253" t="str">
        <f>IF(A1801="", "", IF(IFERROR(VLOOKUP(A1801, 'Base 3F'!$B:$J, 9, FALSE),"")="", "SIN RUBRO", VLOOKUP(A1801, 'Base 3F'!$B:$J, 9, FALSE)))</f>
        <v>Alimenticia</v>
      </c>
      <c r="D1801" s="58" t="s">
        <v>9306</v>
      </c>
      <c r="E1801" s="10" t="s">
        <v>2392</v>
      </c>
      <c r="F1801" s="46" t="s">
        <v>115</v>
      </c>
    </row>
    <row r="1802">
      <c r="A1802" s="285" t="s">
        <v>1100</v>
      </c>
      <c r="B1802" s="252">
        <f>IF(A1802="", "", IF(IFERROR(VLOOKUP(A1802, 'Base 3F'!$B:$C, 2, FALSE),"")="", "SIN CUIT", VLOOKUP(A1802, 'Base 3F'!$B:$C, 2, FALSE)))</f>
        <v>30701165191</v>
      </c>
      <c r="C1802" s="253" t="str">
        <f>IF(A1802="", "", IF(IFERROR(VLOOKUP(A1802, 'Base 3F'!$B:$J, 9, FALSE),"")="", "SIN RUBRO", VLOOKUP(A1802, 'Base 3F'!$B:$J, 9, FALSE)))</f>
        <v>Metalúrgica</v>
      </c>
      <c r="D1802" s="58" t="s">
        <v>9309</v>
      </c>
      <c r="E1802" s="10" t="s">
        <v>2392</v>
      </c>
      <c r="F1802" s="46" t="s">
        <v>115</v>
      </c>
    </row>
    <row r="1803">
      <c r="A1803" s="285" t="s">
        <v>1110</v>
      </c>
      <c r="B1803" s="252">
        <f>IF(A1803="", "", IF(IFERROR(VLOOKUP(A1803, 'Base 3F'!$B:$C, 2, FALSE),"")="", "SIN CUIT", VLOOKUP(A1803, 'Base 3F'!$B:$C, 2, FALSE)))</f>
        <v>30708135425</v>
      </c>
      <c r="C1803" s="253" t="str">
        <f>IF(A1803="", "", IF(IFERROR(VLOOKUP(A1803, 'Base 3F'!$B:$J, 9, FALSE),"")="", "SIN RUBRO", VLOOKUP(A1803, 'Base 3F'!$B:$J, 9, FALSE)))</f>
        <v>Metalúrgica</v>
      </c>
      <c r="D1803" s="58" t="s">
        <v>9314</v>
      </c>
      <c r="E1803" s="10" t="s">
        <v>2392</v>
      </c>
      <c r="F1803" s="46" t="s">
        <v>115</v>
      </c>
    </row>
    <row r="1804">
      <c r="A1804" s="285" t="s">
        <v>2300</v>
      </c>
      <c r="B1804" s="252">
        <f>IF(A1804="", "", IF(IFERROR(VLOOKUP(A1804, 'Base 3F'!$B:$C, 2, FALSE),"")="", "SIN CUIT", VLOOKUP(A1804, 'Base 3F'!$B:$C, 2, FALSE)))</f>
        <v>30660723958</v>
      </c>
      <c r="C1804" s="253" t="str">
        <f>IF(A1804="", "", IF(IFERROR(VLOOKUP(A1804, 'Base 3F'!$B:$J, 9, FALSE),"")="", "SIN RUBRO", VLOOKUP(A1804, 'Base 3F'!$B:$J, 9, FALSE)))</f>
        <v>Plástica</v>
      </c>
      <c r="D1804" s="58" t="s">
        <v>9318</v>
      </c>
      <c r="E1804" s="10" t="s">
        <v>2392</v>
      </c>
      <c r="F1804" s="46" t="s">
        <v>115</v>
      </c>
    </row>
    <row r="1805">
      <c r="A1805" s="285" t="s">
        <v>2311</v>
      </c>
      <c r="B1805" s="252">
        <f>IF(A1805="", "", IF(IFERROR(VLOOKUP(A1805, 'Base 3F'!$B:$C, 2, FALSE),"")="", "SIN CUIT", VLOOKUP(A1805, 'Base 3F'!$B:$C, 2, FALSE)))</f>
        <v>30683119063</v>
      </c>
      <c r="C1805" s="253" t="str">
        <f>IF(A1805="", "", IF(IFERROR(VLOOKUP(A1805, 'Base 3F'!$B:$J, 9, FALSE),"")="", "SIN RUBRO", VLOOKUP(A1805, 'Base 3F'!$B:$J, 9, FALSE)))</f>
        <v>Construcción</v>
      </c>
      <c r="D1805" s="58" t="s">
        <v>9322</v>
      </c>
      <c r="E1805" s="10" t="s">
        <v>2392</v>
      </c>
      <c r="F1805" s="46" t="s">
        <v>115</v>
      </c>
    </row>
    <row r="1806">
      <c r="A1806" s="285" t="s">
        <v>2382</v>
      </c>
      <c r="B1806" s="252">
        <f>IF(A1806="", "", IF(IFERROR(VLOOKUP(A1806, 'Base 3F'!$B:$C, 2, FALSE),"")="", "SIN CUIT", VLOOKUP(A1806, 'Base 3F'!$B:$C, 2, FALSE)))</f>
        <v>30714475645</v>
      </c>
      <c r="C1806" s="253" t="str">
        <f>IF(A1806="", "", IF(IFERROR(VLOOKUP(A1806, 'Base 3F'!$B:$J, 9, FALSE),"")="", "SIN RUBRO", VLOOKUP(A1806, 'Base 3F'!$B:$J, 9, FALSE)))</f>
        <v>Papel</v>
      </c>
      <c r="D1806" s="338" t="s">
        <v>9325</v>
      </c>
      <c r="E1806" s="10" t="s">
        <v>2392</v>
      </c>
      <c r="F1806" s="46" t="s">
        <v>115</v>
      </c>
    </row>
    <row r="1807">
      <c r="A1807" s="285" t="s">
        <v>2409</v>
      </c>
      <c r="B1807" s="252">
        <f>IF(A1807="", "", IF(IFERROR(VLOOKUP(A1807, 'Base 3F'!$B:$C, 2, FALSE),"")="", "SIN CUIT", VLOOKUP(A1807, 'Base 3F'!$B:$C, 2, FALSE)))</f>
        <v>30629646708</v>
      </c>
      <c r="C1807" s="253" t="str">
        <f>IF(A1807="", "", IF(IFERROR(VLOOKUP(A1807, 'Base 3F'!$B:$J, 9, FALSE),"")="", "SIN RUBRO", VLOOKUP(A1807, 'Base 3F'!$B:$J, 9, FALSE)))</f>
        <v>Servicios</v>
      </c>
      <c r="D1807" s="122" t="s">
        <v>9329</v>
      </c>
      <c r="E1807" s="10" t="s">
        <v>2392</v>
      </c>
      <c r="F1807" s="46" t="s">
        <v>115</v>
      </c>
    </row>
    <row r="1808">
      <c r="A1808" s="285" t="s">
        <v>1150</v>
      </c>
      <c r="B1808" s="252">
        <f>IF(A1808="", "", IF(IFERROR(VLOOKUP(A1808, 'Base 3F'!$B:$C, 2, FALSE),"")="", "SIN CUIT", VLOOKUP(A1808, 'Base 3F'!$B:$C, 2, FALSE)))</f>
        <v>30709003018</v>
      </c>
      <c r="C1808" s="253" t="str">
        <f>IF(A1808="", "", IF(IFERROR(VLOOKUP(A1808, 'Base 3F'!$B:$J, 9, FALSE),"")="", "SIN RUBRO", VLOOKUP(A1808, 'Base 3F'!$B:$J, 9, FALSE)))</f>
        <v>Metalmecánica</v>
      </c>
      <c r="D1808" s="58" t="s">
        <v>9336</v>
      </c>
      <c r="E1808" s="10" t="s">
        <v>2392</v>
      </c>
      <c r="F1808" s="46" t="s">
        <v>115</v>
      </c>
    </row>
    <row r="1809">
      <c r="A1809" s="285" t="s">
        <v>2467</v>
      </c>
      <c r="B1809" s="252">
        <f>IF(A1809="", "", IF(IFERROR(VLOOKUP(A1809, 'Base 3F'!$B:$C, 2, FALSE),"")="", "SIN CUIT", VLOOKUP(A1809, 'Base 3F'!$B:$C, 2, FALSE)))</f>
        <v>30709596523</v>
      </c>
      <c r="C1809" s="253" t="str">
        <f>IF(A1809="", "", IF(IFERROR(VLOOKUP(A1809, 'Base 3F'!$B:$J, 9, FALSE),"")="", "SIN RUBRO", VLOOKUP(A1809, 'Base 3F'!$B:$J, 9, FALSE)))</f>
        <v>Metalmecánica</v>
      </c>
      <c r="D1809" s="58" t="s">
        <v>9339</v>
      </c>
      <c r="E1809" s="10" t="s">
        <v>2392</v>
      </c>
      <c r="F1809" s="46" t="s">
        <v>115</v>
      </c>
    </row>
    <row r="1810">
      <c r="A1810" s="285" t="s">
        <v>2476</v>
      </c>
      <c r="B1810" s="252">
        <f>IF(A1810="", "", IF(IFERROR(VLOOKUP(A1810, 'Base 3F'!$B:$C, 2, FALSE),"")="", "SIN CUIT", VLOOKUP(A1810, 'Base 3F'!$B:$C, 2, FALSE)))</f>
        <v>30712202102</v>
      </c>
      <c r="C1810" s="253" t="str">
        <f>IF(A1810="", "", IF(IFERROR(VLOOKUP(A1810, 'Base 3F'!$B:$J, 9, FALSE),"")="", "SIN RUBRO", VLOOKUP(A1810, 'Base 3F'!$B:$J, 9, FALSE)))</f>
        <v>Vidrio</v>
      </c>
      <c r="D1810" s="58" t="s">
        <v>9342</v>
      </c>
      <c r="E1810" s="10" t="s">
        <v>2392</v>
      </c>
      <c r="F1810" s="46" t="s">
        <v>115</v>
      </c>
    </row>
    <row r="1811">
      <c r="A1811" s="285" t="s">
        <v>2490</v>
      </c>
      <c r="B1811" s="252">
        <f>IF(A1811="", "", IF(IFERROR(VLOOKUP(A1811, 'Base 3F'!$B:$C, 2, FALSE),"")="", "SIN CUIT", VLOOKUP(A1811, 'Base 3F'!$B:$C, 2, FALSE)))</f>
        <v>20267606405</v>
      </c>
      <c r="C1811" s="253" t="str">
        <f>IF(A1811="", "", IF(IFERROR(VLOOKUP(A1811, 'Base 3F'!$B:$J, 9, FALSE),"")="", "SIN RUBRO", VLOOKUP(A1811, 'Base 3F'!$B:$J, 9, FALSE)))</f>
        <v>Metalúrgica</v>
      </c>
      <c r="D1811" s="58" t="s">
        <v>9352</v>
      </c>
      <c r="E1811" s="10" t="s">
        <v>2392</v>
      </c>
      <c r="F1811" s="46" t="s">
        <v>115</v>
      </c>
    </row>
    <row r="1812">
      <c r="A1812" s="285" t="s">
        <v>2505</v>
      </c>
      <c r="B1812" s="252">
        <f>IF(A1812="", "", IF(IFERROR(VLOOKUP(A1812, 'Base 3F'!$B:$C, 2, FALSE),"")="", "SIN CUIT", VLOOKUP(A1812, 'Base 3F'!$B:$C, 2, FALSE)))</f>
        <v>30515910871</v>
      </c>
      <c r="C1812" s="253" t="str">
        <f>IF(A1812="", "", IF(IFERROR(VLOOKUP(A1812, 'Base 3F'!$B:$J, 9, FALSE),"")="", "SIN RUBRO", VLOOKUP(A1812, 'Base 3F'!$B:$J, 9, FALSE)))</f>
        <v>Metalúrgica</v>
      </c>
      <c r="D1812" s="340" t="s">
        <v>9354</v>
      </c>
      <c r="E1812" s="10" t="s">
        <v>2392</v>
      </c>
      <c r="F1812" s="46" t="s">
        <v>115</v>
      </c>
    </row>
    <row r="1813">
      <c r="A1813" s="285" t="s">
        <v>2576</v>
      </c>
      <c r="B1813" s="252">
        <f>IF(A1813="", "", IF(IFERROR(VLOOKUP(A1813, 'Base 3F'!$B:$C, 2, FALSE),"")="", "SIN CUIT", VLOOKUP(A1813, 'Base 3F'!$B:$C, 2, FALSE)))</f>
        <v>30707589309</v>
      </c>
      <c r="C1813" s="253" t="str">
        <f>IF(A1813="", "", IF(IFERROR(VLOOKUP(A1813, 'Base 3F'!$B:$J, 9, FALSE),"")="", "SIN RUBRO", VLOOKUP(A1813, 'Base 3F'!$B:$J, 9, FALSE)))</f>
        <v>Madera</v>
      </c>
      <c r="D1813" s="58" t="s">
        <v>9357</v>
      </c>
      <c r="E1813" s="10" t="s">
        <v>2392</v>
      </c>
      <c r="F1813" s="46" t="s">
        <v>115</v>
      </c>
    </row>
    <row r="1814">
      <c r="A1814" s="285" t="s">
        <v>2596</v>
      </c>
      <c r="B1814" s="252">
        <f>IF(A1814="", "", IF(IFERROR(VLOOKUP(A1814, 'Base 3F'!$B:$C, 2, FALSE),"")="", "SIN CUIT", VLOOKUP(A1814, 'Base 3F'!$B:$C, 2, FALSE)))</f>
        <v>30712238190</v>
      </c>
      <c r="C1814" s="253" t="str">
        <f>IF(A1814="", "", IF(IFERROR(VLOOKUP(A1814, 'Base 3F'!$B:$J, 9, FALSE),"")="", "SIN RUBRO", VLOOKUP(A1814, 'Base 3F'!$B:$J, 9, FALSE)))</f>
        <v>Cosmética</v>
      </c>
      <c r="D1814" s="58" t="s">
        <v>9362</v>
      </c>
      <c r="E1814" s="10" t="s">
        <v>2392</v>
      </c>
      <c r="F1814" s="46" t="s">
        <v>115</v>
      </c>
    </row>
    <row r="1815">
      <c r="A1815" s="285" t="s">
        <v>1197</v>
      </c>
      <c r="B1815" s="252">
        <f>IF(A1815="", "", IF(IFERROR(VLOOKUP(A1815, 'Base 3F'!$B:$C, 2, FALSE),"")="", "SIN CUIT", VLOOKUP(A1815, 'Base 3F'!$B:$C, 2, FALSE)))</f>
        <v>30679115274</v>
      </c>
      <c r="C1815" s="253" t="str">
        <f>IF(A1815="", "", IF(IFERROR(VLOOKUP(A1815, 'Base 3F'!$B:$J, 9, FALSE),"")="", "SIN RUBRO", VLOOKUP(A1815, 'Base 3F'!$B:$J, 9, FALSE)))</f>
        <v>Textil</v>
      </c>
      <c r="D1815" s="58" t="s">
        <v>9363</v>
      </c>
      <c r="E1815" s="10" t="s">
        <v>2392</v>
      </c>
      <c r="F1815" s="46" t="s">
        <v>115</v>
      </c>
    </row>
    <row r="1816">
      <c r="A1816" s="285" t="s">
        <v>1208</v>
      </c>
      <c r="B1816" s="252">
        <f>IF(A1816="", "", IF(IFERROR(VLOOKUP(A1816, 'Base 3F'!$B:$C, 2, FALSE),"")="", "SIN CUIT", VLOOKUP(A1816, 'Base 3F'!$B:$C, 2, FALSE)))</f>
        <v>30708317809</v>
      </c>
      <c r="C1816" s="253" t="str">
        <f>IF(A1816="", "", IF(IFERROR(VLOOKUP(A1816, 'Base 3F'!$B:$J, 9, FALSE),"")="", "SIN RUBRO", VLOOKUP(A1816, 'Base 3F'!$B:$J, 9, FALSE)))</f>
        <v>Metalúrgica</v>
      </c>
      <c r="D1816" s="58" t="s">
        <v>9366</v>
      </c>
      <c r="E1816" s="10" t="s">
        <v>2392</v>
      </c>
      <c r="F1816" s="46" t="s">
        <v>115</v>
      </c>
    </row>
    <row r="1817">
      <c r="A1817" s="285" t="s">
        <v>1227</v>
      </c>
      <c r="B1817" s="252">
        <f>IF(A1817="", "", IF(IFERROR(VLOOKUP(A1817, 'Base 3F'!$B:$C, 2, FALSE),"")="", "SIN CUIT", VLOOKUP(A1817, 'Base 3F'!$B:$C, 2, FALSE)))</f>
        <v>30715721305</v>
      </c>
      <c r="C1817" s="253" t="str">
        <f>IF(A1817="", "", IF(IFERROR(VLOOKUP(A1817, 'Base 3F'!$B:$J, 9, FALSE),"")="", "SIN RUBRO", VLOOKUP(A1817, 'Base 3F'!$B:$J, 9, FALSE)))</f>
        <v>Servicios</v>
      </c>
      <c r="D1817" s="58" t="s">
        <v>9368</v>
      </c>
      <c r="E1817" s="10" t="s">
        <v>2392</v>
      </c>
      <c r="F1817" s="46" t="s">
        <v>115</v>
      </c>
    </row>
    <row r="1818">
      <c r="A1818" s="285" t="s">
        <v>1234</v>
      </c>
      <c r="B1818" s="252">
        <f>IF(A1818="", "", IF(IFERROR(VLOOKUP(A1818, 'Base 3F'!$B:$C, 2, FALSE),"")="", "SIN CUIT", VLOOKUP(A1818, 'Base 3F'!$B:$C, 2, FALSE)))</f>
        <v>30685810995</v>
      </c>
      <c r="C1818" s="253" t="str">
        <f>IF(A1818="", "", IF(IFERROR(VLOOKUP(A1818, 'Base 3F'!$B:$J, 9, FALSE),"")="", "SIN RUBRO", VLOOKUP(A1818, 'Base 3F'!$B:$J, 9, FALSE)))</f>
        <v>Metalmecánica</v>
      </c>
      <c r="D1818" s="58" t="s">
        <v>9371</v>
      </c>
      <c r="E1818" s="10" t="s">
        <v>2392</v>
      </c>
      <c r="F1818" s="46" t="s">
        <v>115</v>
      </c>
    </row>
    <row r="1819">
      <c r="A1819" s="285" t="s">
        <v>1245</v>
      </c>
      <c r="B1819" s="252">
        <f>IF(A1819="", "", IF(IFERROR(VLOOKUP(A1819, 'Base 3F'!$B:$C, 2, FALSE),"")="", "SIN CUIT", VLOOKUP(A1819, 'Base 3F'!$B:$C, 2, FALSE)))</f>
        <v>30709420514</v>
      </c>
      <c r="C1819" s="253" t="str">
        <f>IF(A1819="", "", IF(IFERROR(VLOOKUP(A1819, 'Base 3F'!$B:$J, 9, FALSE),"")="", "SIN RUBRO", VLOOKUP(A1819, 'Base 3F'!$B:$J, 9, FALSE)))</f>
        <v>Textil</v>
      </c>
      <c r="D1819" s="58" t="s">
        <v>9373</v>
      </c>
      <c r="E1819" s="10" t="s">
        <v>2392</v>
      </c>
      <c r="F1819" s="46" t="s">
        <v>115</v>
      </c>
    </row>
    <row r="1820">
      <c r="A1820" s="285" t="s">
        <v>1256</v>
      </c>
      <c r="B1820" s="252">
        <f>IF(A1820="", "", IF(IFERROR(VLOOKUP(A1820, 'Base 3F'!$B:$C, 2, FALSE),"")="", "SIN CUIT", VLOOKUP(A1820, 'Base 3F'!$B:$C, 2, FALSE)))</f>
        <v>30604118197</v>
      </c>
      <c r="C1820" s="253" t="str">
        <f>IF(A1820="", "", IF(IFERROR(VLOOKUP(A1820, 'Base 3F'!$B:$J, 9, FALSE),"")="", "SIN RUBRO", VLOOKUP(A1820, 'Base 3F'!$B:$J, 9, FALSE)))</f>
        <v>Metalúrgica</v>
      </c>
      <c r="D1820" s="58" t="s">
        <v>9377</v>
      </c>
      <c r="E1820" s="10" t="s">
        <v>2392</v>
      </c>
      <c r="F1820" s="46" t="s">
        <v>115</v>
      </c>
    </row>
    <row r="1821">
      <c r="A1821" s="285" t="s">
        <v>2941</v>
      </c>
      <c r="B1821" s="252">
        <f>IF(A1821="", "", IF(IFERROR(VLOOKUP(A1821, 'Base 3F'!$B:$C, 2, FALSE),"")="", "SIN CUIT", VLOOKUP(A1821, 'Base 3F'!$B:$C, 2, FALSE)))</f>
        <v>30712318399</v>
      </c>
      <c r="C1821" s="253" t="str">
        <f>IF(A1821="", "", IF(IFERROR(VLOOKUP(A1821, 'Base 3F'!$B:$J, 9, FALSE),"")="", "SIN RUBRO", VLOOKUP(A1821, 'Base 3F'!$B:$J, 9, FALSE)))</f>
        <v>Metalúrgica</v>
      </c>
      <c r="D1821" s="58" t="s">
        <v>9383</v>
      </c>
      <c r="E1821" s="10" t="s">
        <v>2392</v>
      </c>
      <c r="F1821" s="46" t="s">
        <v>115</v>
      </c>
    </row>
    <row r="1822">
      <c r="A1822" s="285" t="s">
        <v>1265</v>
      </c>
      <c r="B1822" s="252">
        <f>IF(A1822="", "", IF(IFERROR(VLOOKUP(A1822, 'Base 3F'!$B:$C, 2, FALSE),"")="", "SIN CUIT", VLOOKUP(A1822, 'Base 3F'!$B:$C, 2, FALSE)))</f>
        <v>30570352047</v>
      </c>
      <c r="C1822" s="253" t="str">
        <f>IF(A1822="", "", IF(IFERROR(VLOOKUP(A1822, 'Base 3F'!$B:$J, 9, FALSE),"")="", "SIN RUBRO", VLOOKUP(A1822, 'Base 3F'!$B:$J, 9, FALSE)))</f>
        <v>Plástica</v>
      </c>
      <c r="D1822" s="58" t="s">
        <v>9389</v>
      </c>
      <c r="E1822" s="10" t="s">
        <v>2392</v>
      </c>
      <c r="F1822" s="46" t="s">
        <v>115</v>
      </c>
    </row>
    <row r="1823">
      <c r="A1823" s="285" t="s">
        <v>2972</v>
      </c>
      <c r="B1823" s="252">
        <f>IF(A1823="", "", IF(IFERROR(VLOOKUP(A1823, 'Base 3F'!$B:$C, 2, FALSE),"")="", "SIN CUIT", VLOOKUP(A1823, 'Base 3F'!$B:$C, 2, FALSE)))</f>
        <v>30692859908</v>
      </c>
      <c r="C1823" s="253" t="str">
        <f>IF(A1823="", "", IF(IFERROR(VLOOKUP(A1823, 'Base 3F'!$B:$J, 9, FALSE),"")="", "SIN RUBRO", VLOOKUP(A1823, 'Base 3F'!$B:$J, 9, FALSE)))</f>
        <v>Metalúrgica</v>
      </c>
      <c r="D1823" s="58" t="s">
        <v>9392</v>
      </c>
      <c r="E1823" s="10" t="s">
        <v>2392</v>
      </c>
      <c r="F1823" s="46" t="s">
        <v>115</v>
      </c>
    </row>
    <row r="1824">
      <c r="A1824" s="285" t="s">
        <v>2978</v>
      </c>
      <c r="B1824" s="252">
        <f>IF(A1824="", "", IF(IFERROR(VLOOKUP(A1824, 'Base 3F'!$B:$C, 2, FALSE),"")="", "SIN CUIT", VLOOKUP(A1824, 'Base 3F'!$B:$C, 2, FALSE)))</f>
        <v>30709478776</v>
      </c>
      <c r="C1824" s="253" t="str">
        <f>IF(A1824="", "", IF(IFERROR(VLOOKUP(A1824, 'Base 3F'!$B:$J, 9, FALSE),"")="", "SIN RUBRO", VLOOKUP(A1824, 'Base 3F'!$B:$J, 9, FALSE)))</f>
        <v>Servicios</v>
      </c>
      <c r="D1824" s="58" t="s">
        <v>9396</v>
      </c>
      <c r="E1824" s="10" t="s">
        <v>2392</v>
      </c>
      <c r="F1824" s="46" t="s">
        <v>115</v>
      </c>
    </row>
    <row r="1825">
      <c r="A1825" s="285" t="s">
        <v>3003</v>
      </c>
      <c r="B1825" s="252">
        <f>IF(A1825="", "", IF(IFERROR(VLOOKUP(A1825, 'Base 3F'!$B:$C, 2, FALSE),"")="", "SIN CUIT", VLOOKUP(A1825, 'Base 3F'!$B:$C, 2, FALSE)))</f>
        <v>30708570946</v>
      </c>
      <c r="C1825" s="253" t="str">
        <f>IF(A1825="", "", IF(IFERROR(VLOOKUP(A1825, 'Base 3F'!$B:$J, 9, FALSE),"")="", "SIN RUBRO", VLOOKUP(A1825, 'Base 3F'!$B:$J, 9, FALSE)))</f>
        <v>Servicios</v>
      </c>
      <c r="D1825" s="58" t="s">
        <v>9398</v>
      </c>
      <c r="E1825" s="10" t="s">
        <v>2392</v>
      </c>
      <c r="F1825" s="46" t="s">
        <v>115</v>
      </c>
    </row>
    <row r="1826">
      <c r="A1826" s="285" t="s">
        <v>3033</v>
      </c>
      <c r="B1826" s="252">
        <f>IF(A1826="", "", IF(IFERROR(VLOOKUP(A1826, 'Base 3F'!$B:$C, 2, FALSE),"")="", "SIN CUIT", VLOOKUP(A1826, 'Base 3F'!$B:$C, 2, FALSE)))</f>
        <v>30715116274</v>
      </c>
      <c r="C1826" s="253" t="str">
        <f>IF(A1826="", "", IF(IFERROR(VLOOKUP(A1826, 'Base 3F'!$B:$J, 9, FALSE),"")="", "SIN RUBRO", VLOOKUP(A1826, 'Base 3F'!$B:$J, 9, FALSE)))</f>
        <v>Metalúrgica</v>
      </c>
      <c r="D1826" s="58" t="s">
        <v>9406</v>
      </c>
      <c r="E1826" s="10" t="s">
        <v>2392</v>
      </c>
      <c r="F1826" s="46" t="s">
        <v>115</v>
      </c>
    </row>
    <row r="1827">
      <c r="A1827" s="285" t="s">
        <v>3107</v>
      </c>
      <c r="B1827" s="252">
        <f>IF(A1827="", "", IF(IFERROR(VLOOKUP(A1827, 'Base 3F'!$B:$C, 2, FALSE),"")="", "SIN CUIT", VLOOKUP(A1827, 'Base 3F'!$B:$C, 2, FALSE)))</f>
        <v>30709123579</v>
      </c>
      <c r="C1827" s="253" t="str">
        <f>IF(A1827="", "", IF(IFERROR(VLOOKUP(A1827, 'Base 3F'!$B:$J, 9, FALSE),"")="", "SIN RUBRO", VLOOKUP(A1827, 'Base 3F'!$B:$J, 9, FALSE)))</f>
        <v>Electrónica</v>
      </c>
      <c r="D1827" s="58" t="s">
        <v>9409</v>
      </c>
      <c r="E1827" s="10" t="s">
        <v>2392</v>
      </c>
      <c r="F1827" s="46" t="s">
        <v>115</v>
      </c>
    </row>
    <row r="1828">
      <c r="A1828" s="285" t="s">
        <v>1275</v>
      </c>
      <c r="B1828" s="252">
        <f>IF(A1828="", "", IF(IFERROR(VLOOKUP(A1828, 'Base 3F'!$B:$C, 2, FALSE),"")="", "SIN CUIT", VLOOKUP(A1828, 'Base 3F'!$B:$C, 2, FALSE)))</f>
        <v>30502893188</v>
      </c>
      <c r="C1828" s="253" t="str">
        <f>IF(A1828="", "", IF(IFERROR(VLOOKUP(A1828, 'Base 3F'!$B:$J, 9, FALSE),"")="", "SIN RUBRO", VLOOKUP(A1828, 'Base 3F'!$B:$J, 9, FALSE)))</f>
        <v>Metalúrgica</v>
      </c>
      <c r="D1828" s="58" t="s">
        <v>9417</v>
      </c>
      <c r="E1828" s="10" t="s">
        <v>2392</v>
      </c>
      <c r="F1828" s="46" t="s">
        <v>115</v>
      </c>
    </row>
    <row r="1829">
      <c r="A1829" s="285" t="s">
        <v>1282</v>
      </c>
      <c r="B1829" s="252">
        <f>IF(A1829="", "", IF(IFERROR(VLOOKUP(A1829, 'Base 3F'!$B:$C, 2, FALSE),"")="", "SIN CUIT", VLOOKUP(A1829, 'Base 3F'!$B:$C, 2, FALSE)))</f>
        <v>30638285335</v>
      </c>
      <c r="C1829" s="253" t="str">
        <f>IF(A1829="", "", IF(IFERROR(VLOOKUP(A1829, 'Base 3F'!$B:$J, 9, FALSE),"")="", "SIN RUBRO", VLOOKUP(A1829, 'Base 3F'!$B:$J, 9, FALSE)))</f>
        <v>Alimenticia</v>
      </c>
      <c r="D1829" s="242" t="s">
        <v>9421</v>
      </c>
      <c r="E1829" s="10" t="s">
        <v>2392</v>
      </c>
      <c r="F1829" s="46" t="s">
        <v>1625</v>
      </c>
    </row>
    <row r="1830">
      <c r="A1830" s="285" t="s">
        <v>3204</v>
      </c>
      <c r="B1830" s="252">
        <f>IF(A1830="", "", IF(IFERROR(VLOOKUP(A1830, 'Base 3F'!$B:$C, 2, FALSE),"")="", "SIN CUIT", VLOOKUP(A1830, 'Base 3F'!$B:$C, 2, FALSE)))</f>
        <v>30709599352</v>
      </c>
      <c r="C1830" s="253" t="str">
        <f>IF(A1830="", "", IF(IFERROR(VLOOKUP(A1830, 'Base 3F'!$B:$J, 9, FALSE),"")="", "SIN RUBRO", VLOOKUP(A1830, 'Base 3F'!$B:$J, 9, FALSE)))</f>
        <v>Textil</v>
      </c>
      <c r="D1830" s="142" t="s">
        <v>9425</v>
      </c>
      <c r="E1830" s="10" t="s">
        <v>2392</v>
      </c>
      <c r="F1830" s="46" t="s">
        <v>115</v>
      </c>
    </row>
    <row r="1831">
      <c r="A1831" s="285" t="s">
        <v>1295</v>
      </c>
      <c r="B1831" s="252">
        <f>IF(A1831="", "", IF(IFERROR(VLOOKUP(A1831, 'Base 3F'!$B:$C, 2, FALSE),"")="", "SIN CUIT", VLOOKUP(A1831, 'Base 3F'!$B:$C, 2, FALSE)))</f>
        <v>30649592698</v>
      </c>
      <c r="C1831" s="253" t="str">
        <f>IF(A1831="", "", IF(IFERROR(VLOOKUP(A1831, 'Base 3F'!$B:$J, 9, FALSE),"")="", "SIN RUBRO", VLOOKUP(A1831, 'Base 3F'!$B:$J, 9, FALSE)))</f>
        <v>Papel</v>
      </c>
      <c r="D1831" s="58" t="s">
        <v>9427</v>
      </c>
      <c r="E1831" s="10" t="s">
        <v>2392</v>
      </c>
      <c r="F1831" s="46" t="s">
        <v>115</v>
      </c>
    </row>
    <row r="1832">
      <c r="A1832" s="285" t="s">
        <v>3255</v>
      </c>
      <c r="B1832" s="252">
        <f>IF(A1832="", "", IF(IFERROR(VLOOKUP(A1832, 'Base 3F'!$B:$C, 2, FALSE),"")="", "SIN CUIT", VLOOKUP(A1832, 'Base 3F'!$B:$C, 2, FALSE)))</f>
        <v>30709035173</v>
      </c>
      <c r="C1832" s="253" t="str">
        <f>IF(A1832="", "", IF(IFERROR(VLOOKUP(A1832, 'Base 3F'!$B:$J, 9, FALSE),"")="", "SIN RUBRO", VLOOKUP(A1832, 'Base 3F'!$B:$J, 9, FALSE)))</f>
        <v>Metalúrgica</v>
      </c>
      <c r="D1832" s="58" t="s">
        <v>9432</v>
      </c>
      <c r="E1832" s="10" t="s">
        <v>2392</v>
      </c>
      <c r="F1832" s="46" t="s">
        <v>115</v>
      </c>
    </row>
    <row r="1833">
      <c r="A1833" s="285" t="s">
        <v>3263</v>
      </c>
      <c r="B1833" s="252">
        <f>IF(A1833="", "", IF(IFERROR(VLOOKUP(A1833, 'Base 3F'!$B:$C, 2, FALSE),"")="", "SIN CUIT", VLOOKUP(A1833, 'Base 3F'!$B:$C, 2, FALSE)))</f>
        <v>30646318420</v>
      </c>
      <c r="C1833" s="253" t="str">
        <f>IF(A1833="", "", IF(IFERROR(VLOOKUP(A1833, 'Base 3F'!$B:$J, 9, FALSE),"")="", "SIN RUBRO", VLOOKUP(A1833, 'Base 3F'!$B:$J, 9, FALSE)))</f>
        <v>Metalmecánica</v>
      </c>
      <c r="D1833" s="58" t="s">
        <v>9438</v>
      </c>
      <c r="E1833" s="10" t="s">
        <v>2392</v>
      </c>
      <c r="F1833" s="46" t="s">
        <v>115</v>
      </c>
    </row>
    <row r="1834">
      <c r="A1834" s="285" t="s">
        <v>3269</v>
      </c>
      <c r="B1834" s="252">
        <f>IF(A1834="", "", IF(IFERROR(VLOOKUP(A1834, 'Base 3F'!$B:$C, 2, FALSE),"")="", "SIN CUIT", VLOOKUP(A1834, 'Base 3F'!$B:$C, 2, FALSE)))</f>
        <v>30646318420</v>
      </c>
      <c r="C1834" s="253" t="str">
        <f>IF(A1834="", "", IF(IFERROR(VLOOKUP(A1834, 'Base 3F'!$B:$J, 9, FALSE),"")="", "SIN RUBRO", VLOOKUP(A1834, 'Base 3F'!$B:$J, 9, FALSE)))</f>
        <v>Metalúrgica</v>
      </c>
      <c r="D1834" s="58" t="s">
        <v>9442</v>
      </c>
      <c r="E1834" s="10" t="s">
        <v>2392</v>
      </c>
      <c r="F1834" s="46" t="s">
        <v>115</v>
      </c>
    </row>
    <row r="1835">
      <c r="A1835" s="10" t="s">
        <v>1308</v>
      </c>
      <c r="B1835" s="252">
        <f>IF(A1835="", "", IF(IFERROR(VLOOKUP(A1835, 'Base 3F'!$B:$C, 2, FALSE),"")="", "SIN CUIT", VLOOKUP(A1835, 'Base 3F'!$B:$C, 2, FALSE)))</f>
        <v>30711691479</v>
      </c>
      <c r="C1835" s="253" t="str">
        <f>IF(A1835="", "", IF(IFERROR(VLOOKUP(A1835, 'Base 3F'!$B:$J, 9, FALSE),"")="", "SIN RUBRO", VLOOKUP(A1835, 'Base 3F'!$B:$J, 9, FALSE)))</f>
        <v>Textil</v>
      </c>
      <c r="D1835" s="58" t="s">
        <v>9448</v>
      </c>
      <c r="E1835" s="10" t="s">
        <v>2392</v>
      </c>
      <c r="F1835" s="46" t="s">
        <v>115</v>
      </c>
    </row>
    <row r="1836">
      <c r="A1836" s="285" t="s">
        <v>1315</v>
      </c>
      <c r="B1836" s="252">
        <f>IF(A1836="", "", IF(IFERROR(VLOOKUP(A1836, 'Base 3F'!$B:$C, 2, FALSE),"")="", "SIN CUIT", VLOOKUP(A1836, 'Base 3F'!$B:$C, 2, FALSE)))</f>
        <v>30708268204</v>
      </c>
      <c r="C1836" s="253" t="str">
        <f>IF(A1836="", "", IF(IFERROR(VLOOKUP(A1836, 'Base 3F'!$B:$J, 9, FALSE),"")="", "SIN RUBRO", VLOOKUP(A1836, 'Base 3F'!$B:$J, 9, FALSE)))</f>
        <v>Textil</v>
      </c>
      <c r="D1836" s="58" t="s">
        <v>9454</v>
      </c>
      <c r="E1836" s="10" t="s">
        <v>2392</v>
      </c>
      <c r="F1836" s="46" t="s">
        <v>115</v>
      </c>
    </row>
    <row r="1837">
      <c r="A1837" s="285" t="s">
        <v>3357</v>
      </c>
      <c r="B1837" s="252">
        <f>IF(A1837="", "", IF(IFERROR(VLOOKUP(A1837, 'Base 3F'!$B:$C, 2, FALSE),"")="", "SIN CUIT", VLOOKUP(A1837, 'Base 3F'!$B:$C, 2, FALSE)))</f>
        <v>30707164065</v>
      </c>
      <c r="C1837" s="253" t="str">
        <f>IF(A1837="", "", IF(IFERROR(VLOOKUP(A1837, 'Base 3F'!$B:$J, 9, FALSE),"")="", "SIN RUBRO", VLOOKUP(A1837, 'Base 3F'!$B:$J, 9, FALSE)))</f>
        <v>Servicios</v>
      </c>
      <c r="D1837" s="58" t="s">
        <v>9458</v>
      </c>
      <c r="E1837" s="10" t="s">
        <v>2392</v>
      </c>
      <c r="F1837" s="46" t="s">
        <v>115</v>
      </c>
    </row>
    <row r="1838">
      <c r="A1838" s="285" t="s">
        <v>3363</v>
      </c>
      <c r="B1838" s="252">
        <f>IF(A1838="", "", IF(IFERROR(VLOOKUP(A1838, 'Base 3F'!$B:$C, 2, FALSE),"")="", "SIN CUIT", VLOOKUP(A1838, 'Base 3F'!$B:$C, 2, FALSE)))</f>
        <v>30503891863</v>
      </c>
      <c r="C1838" s="253" t="str">
        <f>IF(A1838="", "", IF(IFERROR(VLOOKUP(A1838, 'Base 3F'!$B:$J, 9, FALSE),"")="", "SIN RUBRO", VLOOKUP(A1838, 'Base 3F'!$B:$J, 9, FALSE)))</f>
        <v>Alimenticia</v>
      </c>
      <c r="D1838" s="58" t="s">
        <v>9462</v>
      </c>
      <c r="E1838" s="10" t="s">
        <v>2392</v>
      </c>
      <c r="F1838" s="46" t="s">
        <v>115</v>
      </c>
    </row>
    <row r="1839">
      <c r="A1839" s="285" t="s">
        <v>1327</v>
      </c>
      <c r="B1839" s="252">
        <f>IF(A1839="", "", IF(IFERROR(VLOOKUP(A1839, 'Base 3F'!$B:$C, 2, FALSE),"")="", "SIN CUIT", VLOOKUP(A1839, 'Base 3F'!$B:$C, 2, FALSE)))</f>
        <v>30576877710</v>
      </c>
      <c r="C1839" s="253" t="str">
        <f>IF(A1839="", "", IF(IFERROR(VLOOKUP(A1839, 'Base 3F'!$B:$J, 9, FALSE),"")="", "SIN RUBRO", VLOOKUP(A1839, 'Base 3F'!$B:$J, 9, FALSE)))</f>
        <v>Metalmecánica</v>
      </c>
      <c r="D1839" s="58" t="s">
        <v>9465</v>
      </c>
      <c r="E1839" s="10" t="s">
        <v>2392</v>
      </c>
      <c r="F1839" s="46" t="s">
        <v>115</v>
      </c>
    </row>
    <row r="1840">
      <c r="A1840" s="285" t="s">
        <v>1337</v>
      </c>
      <c r="B1840" s="252">
        <f>IF(A1840="", "", IF(IFERROR(VLOOKUP(A1840, 'Base 3F'!$B:$C, 2, FALSE),"")="", "SIN CUIT", VLOOKUP(A1840, 'Base 3F'!$B:$C, 2, FALSE)))</f>
        <v>30714028991</v>
      </c>
      <c r="C1840" s="253" t="str">
        <f>IF(A1840="", "", IF(IFERROR(VLOOKUP(A1840, 'Base 3F'!$B:$J, 9, FALSE),"")="", "SIN RUBRO", VLOOKUP(A1840, 'Base 3F'!$B:$J, 9, FALSE)))</f>
        <v>Papel</v>
      </c>
      <c r="D1840" s="58" t="s">
        <v>9469</v>
      </c>
      <c r="E1840" s="10" t="s">
        <v>2392</v>
      </c>
      <c r="F1840" s="46" t="s">
        <v>115</v>
      </c>
    </row>
    <row r="1841">
      <c r="A1841" s="285" t="s">
        <v>1345</v>
      </c>
      <c r="B1841" s="252">
        <f>IF(A1841="", "", IF(IFERROR(VLOOKUP(A1841, 'Base 3F'!$B:$C, 2, FALSE),"")="", "SIN CUIT", VLOOKUP(A1841, 'Base 3F'!$B:$C, 2, FALSE)))</f>
        <v>30591408093</v>
      </c>
      <c r="C1841" s="253" t="str">
        <f>IF(A1841="", "", IF(IFERROR(VLOOKUP(A1841, 'Base 3F'!$B:$J, 9, FALSE),"")="", "SIN RUBRO", VLOOKUP(A1841, 'Base 3F'!$B:$J, 9, FALSE)))</f>
        <v>Textil</v>
      </c>
      <c r="D1841" s="133" t="s">
        <v>9476</v>
      </c>
      <c r="E1841" s="10" t="s">
        <v>2392</v>
      </c>
      <c r="F1841" s="46" t="s">
        <v>115</v>
      </c>
    </row>
    <row r="1842">
      <c r="A1842" s="285" t="s">
        <v>3515</v>
      </c>
      <c r="B1842" s="252">
        <f>IF(A1842="", "", IF(IFERROR(VLOOKUP(A1842, 'Base 3F'!$B:$C, 2, FALSE),"")="", "SIN CUIT", VLOOKUP(A1842, 'Base 3F'!$B:$C, 2, FALSE)))</f>
        <v>30523041815</v>
      </c>
      <c r="C1842" s="253" t="str">
        <f>IF(A1842="", "", IF(IFERROR(VLOOKUP(A1842, 'Base 3F'!$B:$J, 9, FALSE),"")="", "SIN RUBRO", VLOOKUP(A1842, 'Base 3F'!$B:$J, 9, FALSE)))</f>
        <v>Metalúrgica</v>
      </c>
      <c r="D1842" s="58" t="s">
        <v>9482</v>
      </c>
      <c r="E1842" s="10" t="s">
        <v>2392</v>
      </c>
      <c r="F1842" s="46" t="s">
        <v>115</v>
      </c>
    </row>
    <row r="1843">
      <c r="A1843" s="285" t="s">
        <v>3559</v>
      </c>
      <c r="B1843" s="252">
        <f>IF(A1843="", "", IF(IFERROR(VLOOKUP(A1843, 'Base 3F'!$B:$C, 2, FALSE),"")="", "SIN CUIT", VLOOKUP(A1843, 'Base 3F'!$B:$C, 2, FALSE)))</f>
        <v>30709522066</v>
      </c>
      <c r="C1843" s="253" t="str">
        <f>IF(A1843="", "", IF(IFERROR(VLOOKUP(A1843, 'Base 3F'!$B:$J, 9, FALSE),"")="", "SIN RUBRO", VLOOKUP(A1843, 'Base 3F'!$B:$J, 9, FALSE)))</f>
        <v>Química</v>
      </c>
      <c r="D1843" s="58" t="s">
        <v>9485</v>
      </c>
      <c r="E1843" s="10" t="s">
        <v>2392</v>
      </c>
      <c r="F1843" s="46" t="s">
        <v>115</v>
      </c>
    </row>
    <row r="1844">
      <c r="A1844" s="285" t="s">
        <v>3583</v>
      </c>
      <c r="B1844" s="252">
        <f>IF(A1844="", "", IF(IFERROR(VLOOKUP(A1844, 'Base 3F'!$B:$C, 2, FALSE),"")="", "SIN CUIT", VLOOKUP(A1844, 'Base 3F'!$B:$C, 2, FALSE)))</f>
        <v>30574603788</v>
      </c>
      <c r="C1844" s="253" t="str">
        <f>IF(A1844="", "", IF(IFERROR(VLOOKUP(A1844, 'Base 3F'!$B:$J, 9, FALSE),"")="", "SIN RUBRO", VLOOKUP(A1844, 'Base 3F'!$B:$J, 9, FALSE)))</f>
        <v>Química</v>
      </c>
      <c r="D1844" s="58" t="s">
        <v>9488</v>
      </c>
      <c r="E1844" s="10" t="s">
        <v>2392</v>
      </c>
      <c r="F1844" s="46" t="s">
        <v>115</v>
      </c>
    </row>
    <row r="1845">
      <c r="A1845" s="285" t="s">
        <v>3590</v>
      </c>
      <c r="B1845" s="252">
        <f>IF(A1845="", "", IF(IFERROR(VLOOKUP(A1845, 'Base 3F'!$B:$C, 2, FALSE),"")="", "SIN CUIT", VLOOKUP(A1845, 'Base 3F'!$B:$C, 2, FALSE)))</f>
        <v>30687516709</v>
      </c>
      <c r="C1845" s="253" t="str">
        <f>IF(A1845="", "", IF(IFERROR(VLOOKUP(A1845, 'Base 3F'!$B:$J, 9, FALSE),"")="", "SIN RUBRO", VLOOKUP(A1845, 'Base 3F'!$B:$J, 9, FALSE)))</f>
        <v>Metalúrgica</v>
      </c>
      <c r="D1845" s="58" t="s">
        <v>9491</v>
      </c>
      <c r="E1845" s="10" t="s">
        <v>2392</v>
      </c>
      <c r="F1845" s="46" t="s">
        <v>115</v>
      </c>
    </row>
    <row r="1846">
      <c r="A1846" s="285" t="s">
        <v>1354</v>
      </c>
      <c r="B1846" s="252">
        <f>IF(A1846="", "", IF(IFERROR(VLOOKUP(A1846, 'Base 3F'!$B:$C, 2, FALSE),"")="", "SIN CUIT", VLOOKUP(A1846, 'Base 3F'!$B:$C, 2, FALSE)))</f>
        <v>30708214236</v>
      </c>
      <c r="C1846" s="253" t="str">
        <f>IF(A1846="", "", IF(IFERROR(VLOOKUP(A1846, 'Base 3F'!$B:$J, 9, FALSE),"")="", "SIN RUBRO", VLOOKUP(A1846, 'Base 3F'!$B:$J, 9, FALSE)))</f>
        <v>Construcción</v>
      </c>
      <c r="D1846" s="58" t="s">
        <v>9496</v>
      </c>
      <c r="E1846" s="10" t="s">
        <v>2392</v>
      </c>
      <c r="F1846" s="46" t="s">
        <v>115</v>
      </c>
    </row>
    <row r="1847">
      <c r="A1847" s="285" t="s">
        <v>3624</v>
      </c>
      <c r="B1847" s="252">
        <f>IF(A1847="", "", IF(IFERROR(VLOOKUP(A1847, 'Base 3F'!$B:$C, 2, FALSE),"")="", "SIN CUIT", VLOOKUP(A1847, 'Base 3F'!$B:$C, 2, FALSE)))</f>
        <v>20083934329</v>
      </c>
      <c r="C1847" s="253" t="str">
        <f>IF(A1847="", "", IF(IFERROR(VLOOKUP(A1847, 'Base 3F'!$B:$J, 9, FALSE),"")="", "SIN RUBRO", VLOOKUP(A1847, 'Base 3F'!$B:$J, 9, FALSE)))</f>
        <v>Metalmecánica</v>
      </c>
      <c r="D1847" s="58" t="s">
        <v>9500</v>
      </c>
      <c r="E1847" s="10" t="s">
        <v>2392</v>
      </c>
      <c r="F1847" s="46" t="s">
        <v>115</v>
      </c>
    </row>
    <row r="1848">
      <c r="A1848" s="285" t="s">
        <v>3650</v>
      </c>
      <c r="B1848" s="252">
        <f>IF(A1848="", "", IF(IFERROR(VLOOKUP(A1848, 'Base 3F'!$B:$C, 2, FALSE),"")="", "SIN CUIT", VLOOKUP(A1848, 'Base 3F'!$B:$C, 2, FALSE)))</f>
        <v>30623294648</v>
      </c>
      <c r="C1848" s="253" t="str">
        <f>IF(A1848="", "", IF(IFERROR(VLOOKUP(A1848, 'Base 3F'!$B:$J, 9, FALSE),"")="", "SIN RUBRO", VLOOKUP(A1848, 'Base 3F'!$B:$J, 9, FALSE)))</f>
        <v>Plástica</v>
      </c>
      <c r="D1848" s="58" t="s">
        <v>9502</v>
      </c>
      <c r="E1848" s="10" t="s">
        <v>2392</v>
      </c>
      <c r="F1848" s="46" t="s">
        <v>115</v>
      </c>
    </row>
    <row r="1849">
      <c r="A1849" s="285" t="s">
        <v>3688</v>
      </c>
      <c r="B1849" s="252">
        <f>IF(A1849="", "", IF(IFERROR(VLOOKUP(A1849, 'Base 3F'!$B:$C, 2, FALSE),"")="", "SIN CUIT", VLOOKUP(A1849, 'Base 3F'!$B:$C, 2, FALSE)))</f>
        <v>30610752698</v>
      </c>
      <c r="C1849" s="253" t="str">
        <f>IF(A1849="", "", IF(IFERROR(VLOOKUP(A1849, 'Base 3F'!$B:$J, 9, FALSE),"")="", "SIN RUBRO", VLOOKUP(A1849, 'Base 3F'!$B:$J, 9, FALSE)))</f>
        <v>Papel</v>
      </c>
      <c r="D1849" s="96" t="s">
        <v>9506</v>
      </c>
      <c r="E1849" s="10" t="s">
        <v>2392</v>
      </c>
      <c r="F1849" s="46" t="s">
        <v>115</v>
      </c>
    </row>
    <row r="1850">
      <c r="A1850" s="285" t="s">
        <v>3696</v>
      </c>
      <c r="B1850" s="252">
        <f>IF(A1850="", "", IF(IFERROR(VLOOKUP(A1850, 'Base 3F'!$B:$C, 2, FALSE),"")="", "SIN CUIT", VLOOKUP(A1850, 'Base 3F'!$B:$C, 2, FALSE)))</f>
        <v>30710690711</v>
      </c>
      <c r="C1850" s="253" t="str">
        <f>IF(A1850="", "", IF(IFERROR(VLOOKUP(A1850, 'Base 3F'!$B:$J, 9, FALSE),"")="", "SIN RUBRO", VLOOKUP(A1850, 'Base 3F'!$B:$J, 9, FALSE)))</f>
        <v>Minería</v>
      </c>
      <c r="D1850" s="58" t="s">
        <v>9507</v>
      </c>
      <c r="E1850" s="10" t="s">
        <v>2392</v>
      </c>
      <c r="F1850" s="46" t="s">
        <v>115</v>
      </c>
    </row>
    <row r="1851">
      <c r="A1851" s="285" t="s">
        <v>3714</v>
      </c>
      <c r="B1851" s="252">
        <f>IF(A1851="", "", IF(IFERROR(VLOOKUP(A1851, 'Base 3F'!$B:$C, 2, FALSE),"")="", "SIN CUIT", VLOOKUP(A1851, 'Base 3F'!$B:$C, 2, FALSE)))</f>
        <v>30708167483</v>
      </c>
      <c r="C1851" s="253" t="str">
        <f>IF(A1851="", "", IF(IFERROR(VLOOKUP(A1851, 'Base 3F'!$B:$J, 9, FALSE),"")="", "SIN RUBRO", VLOOKUP(A1851, 'Base 3F'!$B:$J, 9, FALSE)))</f>
        <v>Metalmecánica</v>
      </c>
      <c r="D1851" s="58" t="s">
        <v>9518</v>
      </c>
      <c r="E1851" s="10" t="s">
        <v>2392</v>
      </c>
      <c r="F1851" s="46" t="s">
        <v>115</v>
      </c>
    </row>
    <row r="1852">
      <c r="A1852" s="285" t="s">
        <v>3723</v>
      </c>
      <c r="B1852" s="252">
        <f>IF(A1852="", "", IF(IFERROR(VLOOKUP(A1852, 'Base 3F'!$B:$C, 2, FALSE),"")="", "SIN CUIT", VLOOKUP(A1852, 'Base 3F'!$B:$C, 2, FALSE)))</f>
        <v>30663831549</v>
      </c>
      <c r="C1852" s="253" t="str">
        <f>IF(A1852="", "", IF(IFERROR(VLOOKUP(A1852, 'Base 3F'!$B:$J, 9, FALSE),"")="", "SIN RUBRO", VLOOKUP(A1852, 'Base 3F'!$B:$J, 9, FALSE)))</f>
        <v>Madera</v>
      </c>
      <c r="D1852" s="58" t="s">
        <v>9521</v>
      </c>
      <c r="E1852" s="10" t="s">
        <v>2392</v>
      </c>
      <c r="F1852" s="46" t="s">
        <v>115</v>
      </c>
    </row>
    <row r="1853">
      <c r="A1853" s="285" t="s">
        <v>3731</v>
      </c>
      <c r="B1853" s="252">
        <f>IF(A1853="", "", IF(IFERROR(VLOOKUP(A1853, 'Base 3F'!$B:$C, 2, FALSE),"")="", "SIN CUIT", VLOOKUP(A1853, 'Base 3F'!$B:$C, 2, FALSE)))</f>
        <v>33709302839</v>
      </c>
      <c r="C1853" s="253" t="str">
        <f>IF(A1853="", "", IF(IFERROR(VLOOKUP(A1853, 'Base 3F'!$B:$J, 9, FALSE),"")="", "SIN RUBRO", VLOOKUP(A1853, 'Base 3F'!$B:$J, 9, FALSE)))</f>
        <v>Metalúrgica</v>
      </c>
      <c r="D1853" s="58" t="s">
        <v>9525</v>
      </c>
      <c r="E1853" s="10" t="s">
        <v>2392</v>
      </c>
      <c r="F1853" s="46" t="s">
        <v>115</v>
      </c>
    </row>
    <row r="1854">
      <c r="A1854" s="285" t="s">
        <v>1366</v>
      </c>
      <c r="B1854" s="252">
        <f>IF(A1854="", "", IF(IFERROR(VLOOKUP(A1854, 'Base 3F'!$B:$C, 2, FALSE),"")="", "SIN CUIT", VLOOKUP(A1854, 'Base 3F'!$B:$C, 2, FALSE)))</f>
        <v>33710516249</v>
      </c>
      <c r="C1854" s="253" t="str">
        <f>IF(A1854="", "", IF(IFERROR(VLOOKUP(A1854, 'Base 3F'!$B:$J, 9, FALSE),"")="", "SIN RUBRO", VLOOKUP(A1854, 'Base 3F'!$B:$J, 9, FALSE)))</f>
        <v>Construcción</v>
      </c>
      <c r="D1854" s="58" t="s">
        <v>9526</v>
      </c>
      <c r="E1854" s="10" t="s">
        <v>2392</v>
      </c>
      <c r="F1854" s="46" t="s">
        <v>115</v>
      </c>
    </row>
    <row r="1855">
      <c r="A1855" s="285" t="s">
        <v>3844</v>
      </c>
      <c r="B1855" s="252">
        <f>IF(A1855="", "", IF(IFERROR(VLOOKUP(A1855, 'Base 3F'!$B:$C, 2, FALSE),"")="", "SIN CUIT", VLOOKUP(A1855, 'Base 3F'!$B:$C, 2, FALSE)))</f>
        <v>30554835313</v>
      </c>
      <c r="C1855" s="253" t="str">
        <f>IF(A1855="", "", IF(IFERROR(VLOOKUP(A1855, 'Base 3F'!$B:$J, 9, FALSE),"")="", "SIN RUBRO", VLOOKUP(A1855, 'Base 3F'!$B:$J, 9, FALSE)))</f>
        <v>Servicios</v>
      </c>
      <c r="D1855" s="58" t="s">
        <v>9531</v>
      </c>
      <c r="E1855" s="10" t="s">
        <v>2392</v>
      </c>
      <c r="F1855" s="46" t="s">
        <v>115</v>
      </c>
    </row>
    <row r="1856">
      <c r="A1856" s="285" t="s">
        <v>3904</v>
      </c>
      <c r="B1856" s="252">
        <f>IF(A1856="", "", IF(IFERROR(VLOOKUP(A1856, 'Base 3F'!$B:$C, 2, FALSE),"")="", "SIN CUIT", VLOOKUP(A1856, 'Base 3F'!$B:$C, 2, FALSE)))</f>
        <v>30711310432</v>
      </c>
      <c r="C1856" s="253" t="str">
        <f>IF(A1856="", "", IF(IFERROR(VLOOKUP(A1856, 'Base 3F'!$B:$J, 9, FALSE),"")="", "SIN RUBRO", VLOOKUP(A1856, 'Base 3F'!$B:$J, 9, FALSE)))</f>
        <v>Madera</v>
      </c>
      <c r="D1856" s="58" t="s">
        <v>9539</v>
      </c>
      <c r="E1856" s="10" t="s">
        <v>2392</v>
      </c>
      <c r="F1856" s="46" t="s">
        <v>115</v>
      </c>
    </row>
    <row r="1857">
      <c r="A1857" s="285" t="s">
        <v>3919</v>
      </c>
      <c r="B1857" s="252">
        <f>IF(A1857="", "", IF(IFERROR(VLOOKUP(A1857, 'Base 3F'!$B:$C, 2, FALSE),"")="", "SIN CUIT", VLOOKUP(A1857, 'Base 3F'!$B:$C, 2, FALSE)))</f>
        <v>30547885070</v>
      </c>
      <c r="C1857" s="253" t="str">
        <f>IF(A1857="", "", IF(IFERROR(VLOOKUP(A1857, 'Base 3F'!$B:$J, 9, FALSE),"")="", "SIN RUBRO", VLOOKUP(A1857, 'Base 3F'!$B:$J, 9, FALSE)))</f>
        <v>Papel</v>
      </c>
      <c r="D1857" s="58" t="s">
        <v>9540</v>
      </c>
      <c r="E1857" s="10" t="s">
        <v>2392</v>
      </c>
      <c r="F1857" s="46" t="s">
        <v>115</v>
      </c>
    </row>
    <row r="1858">
      <c r="A1858" s="285" t="s">
        <v>3927</v>
      </c>
      <c r="B1858" s="252">
        <f>IF(A1858="", "", IF(IFERROR(VLOOKUP(A1858, 'Base 3F'!$B:$C, 2, FALSE),"")="", "SIN CUIT", VLOOKUP(A1858, 'Base 3F'!$B:$C, 2, FALSE)))</f>
        <v>30685282476</v>
      </c>
      <c r="C1858" s="253" t="str">
        <f>IF(A1858="", "", IF(IFERROR(VLOOKUP(A1858, 'Base 3F'!$B:$J, 9, FALSE),"")="", "SIN RUBRO", VLOOKUP(A1858, 'Base 3F'!$B:$J, 9, FALSE)))</f>
        <v>Química</v>
      </c>
      <c r="D1858" s="58" t="s">
        <v>9543</v>
      </c>
      <c r="E1858" s="10" t="s">
        <v>2392</v>
      </c>
      <c r="F1858" s="46" t="s">
        <v>115</v>
      </c>
    </row>
    <row r="1859">
      <c r="A1859" s="285" t="s">
        <v>1452</v>
      </c>
      <c r="B1859" s="252">
        <f>IF(A1859="", "", IF(IFERROR(VLOOKUP(A1859, 'Base 3F'!$B:$C, 2, FALSE),"")="", "SIN CUIT", VLOOKUP(A1859, 'Base 3F'!$B:$C, 2, FALSE)))</f>
        <v>30658781851</v>
      </c>
      <c r="C1859" s="253" t="str">
        <f>IF(A1859="", "", IF(IFERROR(VLOOKUP(A1859, 'Base 3F'!$B:$J, 9, FALSE),"")="", "SIN RUBRO", VLOOKUP(A1859, 'Base 3F'!$B:$J, 9, FALSE)))</f>
        <v>Textil</v>
      </c>
      <c r="D1859" s="58" t="s">
        <v>9549</v>
      </c>
      <c r="E1859" s="10" t="s">
        <v>2392</v>
      </c>
      <c r="F1859" s="46" t="s">
        <v>115</v>
      </c>
    </row>
    <row r="1860">
      <c r="A1860" s="285" t="s">
        <v>1457</v>
      </c>
      <c r="B1860" s="252">
        <f>IF(A1860="", "", IF(IFERROR(VLOOKUP(A1860, 'Base 3F'!$B:$C, 2, FALSE),"")="", "SIN CUIT", VLOOKUP(A1860, 'Base 3F'!$B:$C, 2, FALSE)))</f>
        <v>30710386729</v>
      </c>
      <c r="C1860" s="253" t="str">
        <f>IF(A1860="", "", IF(IFERROR(VLOOKUP(A1860, 'Base 3F'!$B:$J, 9, FALSE),"")="", "SIN RUBRO", VLOOKUP(A1860, 'Base 3F'!$B:$J, 9, FALSE)))</f>
        <v>Metalúrgica</v>
      </c>
      <c r="D1860" s="58" t="s">
        <v>9555</v>
      </c>
      <c r="E1860" s="10" t="s">
        <v>2392</v>
      </c>
      <c r="F1860" s="46" t="s">
        <v>115</v>
      </c>
    </row>
    <row r="1861">
      <c r="A1861" s="285" t="s">
        <v>3956</v>
      </c>
      <c r="B1861" s="252">
        <f>IF(A1861="", "", IF(IFERROR(VLOOKUP(A1861, 'Base 3F'!$B:$C, 2, FALSE),"")="", "SIN CUIT", VLOOKUP(A1861, 'Base 3F'!$B:$C, 2, FALSE)))</f>
        <v>30708201916</v>
      </c>
      <c r="C1861" s="253" t="str">
        <f>IF(A1861="", "", IF(IFERROR(VLOOKUP(A1861, 'Base 3F'!$B:$J, 9, FALSE),"")="", "SIN RUBRO", VLOOKUP(A1861, 'Base 3F'!$B:$J, 9, FALSE)))</f>
        <v>Vidrio</v>
      </c>
      <c r="D1861" s="58" t="s">
        <v>9563</v>
      </c>
      <c r="E1861" s="10" t="s">
        <v>2392</v>
      </c>
      <c r="F1861" s="46" t="s">
        <v>115</v>
      </c>
    </row>
    <row r="1862">
      <c r="A1862" s="285" t="s">
        <v>3989</v>
      </c>
      <c r="B1862" s="252">
        <f>IF(A1862="", "", IF(IFERROR(VLOOKUP(A1862, 'Base 3F'!$B:$C, 2, FALSE),"")="", "SIN CUIT", VLOOKUP(A1862, 'Base 3F'!$B:$C, 2, FALSE)))</f>
        <v>30711813469</v>
      </c>
      <c r="C1862" s="253" t="str">
        <f>IF(A1862="", "", IF(IFERROR(VLOOKUP(A1862, 'Base 3F'!$B:$J, 9, FALSE),"")="", "SIN RUBRO", VLOOKUP(A1862, 'Base 3F'!$B:$J, 9, FALSE)))</f>
        <v>Metalúrgica</v>
      </c>
      <c r="D1862" s="58" t="s">
        <v>9566</v>
      </c>
      <c r="E1862" s="10" t="s">
        <v>2392</v>
      </c>
      <c r="F1862" s="46" t="s">
        <v>115</v>
      </c>
    </row>
    <row r="1863">
      <c r="A1863" s="285" t="s">
        <v>3963</v>
      </c>
      <c r="B1863" s="252">
        <f>IF(A1863="", "", IF(IFERROR(VLOOKUP(A1863, 'Base 3F'!$B:$C, 2, FALSE),"")="", "SIN CUIT", VLOOKUP(A1863, 'Base 3F'!$B:$C, 2, FALSE)))</f>
        <v>30707735291</v>
      </c>
      <c r="C1863" s="253" t="str">
        <f>IF(A1863="", "", IF(IFERROR(VLOOKUP(A1863, 'Base 3F'!$B:$J, 9, FALSE),"")="", "SIN RUBRO", VLOOKUP(A1863, 'Base 3F'!$B:$J, 9, FALSE)))</f>
        <v>Metalúrgica</v>
      </c>
      <c r="D1863" s="58" t="s">
        <v>9568</v>
      </c>
      <c r="E1863" s="10" t="s">
        <v>2392</v>
      </c>
      <c r="F1863" s="46" t="s">
        <v>115</v>
      </c>
    </row>
    <row r="1864">
      <c r="A1864" s="285" t="s">
        <v>4005</v>
      </c>
      <c r="B1864" s="252">
        <f>IF(A1864="", "", IF(IFERROR(VLOOKUP(A1864, 'Base 3F'!$B:$C, 2, FALSE),"")="", "SIN CUIT", VLOOKUP(A1864, 'Base 3F'!$B:$C, 2, FALSE)))</f>
        <v>20203493127</v>
      </c>
      <c r="C1864" s="253" t="str">
        <f>IF(A1864="", "", IF(IFERROR(VLOOKUP(A1864, 'Base 3F'!$B:$J, 9, FALSE),"")="", "SIN RUBRO", VLOOKUP(A1864, 'Base 3F'!$B:$J, 9, FALSE)))</f>
        <v>Metalúrgica</v>
      </c>
      <c r="D1864" s="58" t="s">
        <v>9571</v>
      </c>
      <c r="E1864" s="10" t="s">
        <v>2392</v>
      </c>
      <c r="F1864" s="46" t="s">
        <v>115</v>
      </c>
    </row>
    <row r="1865">
      <c r="A1865" s="285" t="s">
        <v>4024</v>
      </c>
      <c r="B1865" s="252">
        <f>IF(A1865="", "", IF(IFERROR(VLOOKUP(A1865, 'Base 3F'!$B:$C, 2, FALSE),"")="", "SIN CUIT", VLOOKUP(A1865, 'Base 3F'!$B:$C, 2, FALSE)))</f>
        <v>30715845136</v>
      </c>
      <c r="C1865" s="253" t="str">
        <f>IF(A1865="", "", IF(IFERROR(VLOOKUP(A1865, 'Base 3F'!$B:$J, 9, FALSE),"")="", "SIN RUBRO", VLOOKUP(A1865, 'Base 3F'!$B:$J, 9, FALSE)))</f>
        <v>Metalúrgica</v>
      </c>
      <c r="D1865" s="58" t="s">
        <v>9575</v>
      </c>
      <c r="E1865" s="10" t="s">
        <v>2392</v>
      </c>
      <c r="F1865" s="46" t="s">
        <v>115</v>
      </c>
    </row>
    <row r="1866">
      <c r="A1866" s="285" t="s">
        <v>4213</v>
      </c>
      <c r="B1866" s="252">
        <f>IF(A1866="", "", IF(IFERROR(VLOOKUP(A1866, 'Base 3F'!$B:$C, 2, FALSE),"")="", "SIN CUIT", VLOOKUP(A1866, 'Base 3F'!$B:$C, 2, FALSE)))</f>
        <v>30708818891</v>
      </c>
      <c r="C1866" s="253" t="str">
        <f>IF(A1866="", "", IF(IFERROR(VLOOKUP(A1866, 'Base 3F'!$B:$J, 9, FALSE),"")="", "SIN RUBRO", VLOOKUP(A1866, 'Base 3F'!$B:$J, 9, FALSE)))</f>
        <v>Electrónica</v>
      </c>
      <c r="D1866" s="58" t="s">
        <v>9579</v>
      </c>
      <c r="E1866" s="10" t="s">
        <v>2392</v>
      </c>
      <c r="F1866" s="46" t="s">
        <v>115</v>
      </c>
    </row>
    <row r="1867">
      <c r="A1867" s="285" t="s">
        <v>4278</v>
      </c>
      <c r="B1867" s="252">
        <f>IF(A1867="", "", IF(IFERROR(VLOOKUP(A1867, 'Base 3F'!$B:$C, 2, FALSE),"")="", "SIN CUIT", VLOOKUP(A1867, 'Base 3F'!$B:$C, 2, FALSE)))</f>
        <v>30639171236</v>
      </c>
      <c r="C1867" s="253" t="str">
        <f>IF(A1867="", "", IF(IFERROR(VLOOKUP(A1867, 'Base 3F'!$B:$J, 9, FALSE),"")="", "SIN RUBRO", VLOOKUP(A1867, 'Base 3F'!$B:$J, 9, FALSE)))</f>
        <v>Caucho</v>
      </c>
      <c r="D1867" s="58" t="s">
        <v>9580</v>
      </c>
      <c r="E1867" s="10" t="s">
        <v>2392</v>
      </c>
      <c r="F1867" s="46" t="s">
        <v>115</v>
      </c>
    </row>
    <row r="1868">
      <c r="A1868" s="285" t="s">
        <v>1513</v>
      </c>
      <c r="B1868" s="252">
        <f>IF(A1868="", "", IF(IFERROR(VLOOKUP(A1868, 'Base 3F'!$B:$C, 2, FALSE),"")="", "SIN CUIT", VLOOKUP(A1868, 'Base 3F'!$B:$C, 2, FALSE)))</f>
        <v>30711093490</v>
      </c>
      <c r="C1868" s="253" t="str">
        <f>IF(A1868="", "", IF(IFERROR(VLOOKUP(A1868, 'Base 3F'!$B:$J, 9, FALSE),"")="", "SIN RUBRO", VLOOKUP(A1868, 'Base 3F'!$B:$J, 9, FALSE)))</f>
        <v>Textil</v>
      </c>
      <c r="D1868" s="58" t="s">
        <v>9581</v>
      </c>
      <c r="E1868" s="10" t="s">
        <v>2392</v>
      </c>
      <c r="F1868" s="46" t="s">
        <v>115</v>
      </c>
    </row>
    <row r="1869">
      <c r="A1869" s="285" t="s">
        <v>4316</v>
      </c>
      <c r="B1869" s="252" t="str">
        <f>IF(A1869="", "", IF(IFERROR(VLOOKUP(A1869, 'Base 3F'!$B:$C, 2, FALSE),"")="", "SIN CUIT", VLOOKUP(A1869, 'Base 3F'!$B:$C, 2, FALSE)))</f>
        <v>Averiguar</v>
      </c>
      <c r="C1869" s="253" t="str">
        <f>IF(A1869="", "", IF(IFERROR(VLOOKUP(A1869, 'Base 3F'!$B:$J, 9, FALSE),"")="", "SIN RUBRO", VLOOKUP(A1869, 'Base 3F'!$B:$J, 9, FALSE)))</f>
        <v>Metalúrgica</v>
      </c>
      <c r="D1869" s="58" t="s">
        <v>9586</v>
      </c>
      <c r="E1869" s="10" t="s">
        <v>2392</v>
      </c>
      <c r="F1869" s="46" t="s">
        <v>115</v>
      </c>
    </row>
    <row r="1870">
      <c r="A1870" s="285" t="s">
        <v>4336</v>
      </c>
      <c r="B1870" s="252" t="str">
        <f>IF(A1870="", "", IF(IFERROR(VLOOKUP(A1870, 'Base 3F'!$B:$C, 2, FALSE),"")="", "SIN CUIT", VLOOKUP(A1870, 'Base 3F'!$B:$C, 2, FALSE)))</f>
        <v>Averiguar</v>
      </c>
      <c r="C1870" s="253" t="str">
        <f>IF(A1870="", "", IF(IFERROR(VLOOKUP(A1870, 'Base 3F'!$B:$J, 9, FALSE),"")="", "SIN RUBRO", VLOOKUP(A1870, 'Base 3F'!$B:$J, 9, FALSE)))</f>
        <v>Metalúrgica</v>
      </c>
      <c r="D1870" s="58" t="s">
        <v>9591</v>
      </c>
      <c r="E1870" s="10" t="s">
        <v>2392</v>
      </c>
      <c r="F1870" s="46" t="s">
        <v>115</v>
      </c>
    </row>
    <row r="1871">
      <c r="A1871" s="285" t="s">
        <v>1526</v>
      </c>
      <c r="B1871" s="252">
        <f>IF(A1871="", "", IF(IFERROR(VLOOKUP(A1871, 'Base 3F'!$B:$C, 2, FALSE),"")="", "SIN CUIT", VLOOKUP(A1871, 'Base 3F'!$B:$C, 2, FALSE)))</f>
        <v>30711187975</v>
      </c>
      <c r="C1871" s="253" t="str">
        <f>IF(A1871="", "", IF(IFERROR(VLOOKUP(A1871, 'Base 3F'!$B:$J, 9, FALSE),"")="", "SIN RUBRO", VLOOKUP(A1871, 'Base 3F'!$B:$J, 9, FALSE)))</f>
        <v>Metalúrgica</v>
      </c>
      <c r="D1871" s="58" t="s">
        <v>9595</v>
      </c>
      <c r="E1871" s="10" t="s">
        <v>2392</v>
      </c>
      <c r="F1871" s="46" t="s">
        <v>115</v>
      </c>
    </row>
    <row r="1872">
      <c r="A1872" s="285" t="s">
        <v>1532</v>
      </c>
      <c r="B1872" s="252">
        <f>IF(A1872="", "", IF(IFERROR(VLOOKUP(A1872, 'Base 3F'!$B:$C, 2, FALSE),"")="", "SIN CUIT", VLOOKUP(A1872, 'Base 3F'!$B:$C, 2, FALSE)))</f>
        <v>30697276676</v>
      </c>
      <c r="C1872" s="253" t="str">
        <f>IF(A1872="", "", IF(IFERROR(VLOOKUP(A1872, 'Base 3F'!$B:$J, 9, FALSE),"")="", "SIN RUBRO", VLOOKUP(A1872, 'Base 3F'!$B:$J, 9, FALSE)))</f>
        <v>Química</v>
      </c>
      <c r="D1872" s="58" t="s">
        <v>9599</v>
      </c>
      <c r="E1872" s="10" t="s">
        <v>2392</v>
      </c>
      <c r="F1872" s="46" t="s">
        <v>115</v>
      </c>
    </row>
    <row r="1873">
      <c r="A1873" s="285" t="s">
        <v>1538</v>
      </c>
      <c r="B1873" s="252">
        <f>IF(A1873="", "", IF(IFERROR(VLOOKUP(A1873, 'Base 3F'!$B:$C, 2, FALSE),"")="", "SIN CUIT", VLOOKUP(A1873, 'Base 3F'!$B:$C, 2, FALSE)))</f>
        <v>30666522032</v>
      </c>
      <c r="C1873" s="253" t="str">
        <f>IF(A1873="", "", IF(IFERROR(VLOOKUP(A1873, 'Base 3F'!$B:$J, 9, FALSE),"")="", "SIN RUBRO", VLOOKUP(A1873, 'Base 3F'!$B:$J, 9, FALSE)))</f>
        <v>Metalúrgica</v>
      </c>
      <c r="D1873" s="58" t="s">
        <v>9601</v>
      </c>
      <c r="E1873" s="10" t="s">
        <v>2392</v>
      </c>
      <c r="F1873" s="46" t="s">
        <v>115</v>
      </c>
    </row>
    <row r="1874">
      <c r="A1874" s="285" t="s">
        <v>4446</v>
      </c>
      <c r="B1874" s="252">
        <f>IF(A1874="", "", IF(IFERROR(VLOOKUP(A1874, 'Base 3F'!$B:$C, 2, FALSE),"")="", "SIN CUIT", VLOOKUP(A1874, 'Base 3F'!$B:$C, 2, FALSE)))</f>
        <v>30663829153</v>
      </c>
      <c r="C1874" s="253" t="str">
        <f>IF(A1874="", "", IF(IFERROR(VLOOKUP(A1874, 'Base 3F'!$B:$J, 9, FALSE),"")="", "SIN RUBRO", VLOOKUP(A1874, 'Base 3F'!$B:$J, 9, FALSE)))</f>
        <v>Alimenticia</v>
      </c>
      <c r="D1874" s="58" t="s">
        <v>9602</v>
      </c>
      <c r="E1874" s="10" t="s">
        <v>2392</v>
      </c>
      <c r="F1874" s="46" t="s">
        <v>115</v>
      </c>
    </row>
    <row r="1875">
      <c r="A1875" s="285" t="s">
        <v>4479</v>
      </c>
      <c r="B1875" s="252">
        <f>IF(A1875="", "", IF(IFERROR(VLOOKUP(A1875, 'Base 3F'!$B:$C, 2, FALSE),"")="", "SIN CUIT", VLOOKUP(A1875, 'Base 3F'!$B:$C, 2, FALSE)))</f>
        <v>30707111883</v>
      </c>
      <c r="C1875" s="253" t="str">
        <f>IF(A1875="", "", IF(IFERROR(VLOOKUP(A1875, 'Base 3F'!$B:$J, 9, FALSE),"")="", "SIN RUBRO", VLOOKUP(A1875, 'Base 3F'!$B:$J, 9, FALSE)))</f>
        <v>Metalúrgica</v>
      </c>
      <c r="D1875" s="122" t="s">
        <v>9607</v>
      </c>
      <c r="E1875" s="10" t="s">
        <v>2392</v>
      </c>
      <c r="F1875" s="46" t="s">
        <v>115</v>
      </c>
    </row>
    <row r="1876">
      <c r="A1876" s="285" t="s">
        <v>1553</v>
      </c>
      <c r="B1876" s="252">
        <f>IF(A1876="", "", IF(IFERROR(VLOOKUP(A1876, 'Base 3F'!$B:$C, 2, FALSE),"")="", "SIN CUIT", VLOOKUP(A1876, 'Base 3F'!$B:$C, 2, FALSE)))</f>
        <v>30642219355</v>
      </c>
      <c r="C1876" s="253" t="str">
        <f>IF(A1876="", "", IF(IFERROR(VLOOKUP(A1876, 'Base 3F'!$B:$J, 9, FALSE),"")="", "SIN RUBRO", VLOOKUP(A1876, 'Base 3F'!$B:$J, 9, FALSE)))</f>
        <v>Alimenticia</v>
      </c>
      <c r="D1876" s="58" t="s">
        <v>9609</v>
      </c>
      <c r="E1876" s="10" t="s">
        <v>2392</v>
      </c>
      <c r="F1876" s="46" t="s">
        <v>115</v>
      </c>
    </row>
    <row r="1877">
      <c r="A1877" s="285" t="s">
        <v>4545</v>
      </c>
      <c r="B1877" s="252">
        <f>IF(A1877="", "", IF(IFERROR(VLOOKUP(A1877, 'Base 3F'!$B:$C, 2, FALSE),"")="", "SIN CUIT", VLOOKUP(A1877, 'Base 3F'!$B:$C, 2, FALSE)))</f>
        <v>30709704474</v>
      </c>
      <c r="C1877" s="253" t="str">
        <f>IF(A1877="", "", IF(IFERROR(VLOOKUP(A1877, 'Base 3F'!$B:$J, 9, FALSE),"")="", "SIN RUBRO", VLOOKUP(A1877, 'Base 3F'!$B:$J, 9, FALSE)))</f>
        <v>Transporte</v>
      </c>
      <c r="D1877" s="58" t="s">
        <v>9611</v>
      </c>
      <c r="E1877" s="10" t="s">
        <v>2392</v>
      </c>
      <c r="F1877" s="46" t="s">
        <v>115</v>
      </c>
    </row>
    <row r="1878">
      <c r="A1878" s="285" t="s">
        <v>1567</v>
      </c>
      <c r="B1878" s="252">
        <f>IF(A1878="", "", IF(IFERROR(VLOOKUP(A1878, 'Base 3F'!$B:$C, 2, FALSE),"")="", "SIN CUIT", VLOOKUP(A1878, 'Base 3F'!$B:$C, 2, FALSE)))</f>
        <v>30708933593</v>
      </c>
      <c r="C1878" s="253" t="str">
        <f>IF(A1878="", "", IF(IFERROR(VLOOKUP(A1878, 'Base 3F'!$B:$J, 9, FALSE),"")="", "SIN RUBRO", VLOOKUP(A1878, 'Base 3F'!$B:$J, 9, FALSE)))</f>
        <v>Química</v>
      </c>
      <c r="D1878" s="58" t="s">
        <v>9615</v>
      </c>
      <c r="E1878" s="10" t="s">
        <v>2392</v>
      </c>
      <c r="F1878" s="46" t="s">
        <v>115</v>
      </c>
    </row>
    <row r="1879">
      <c r="A1879" s="285" t="s">
        <v>1573</v>
      </c>
      <c r="B1879" s="252">
        <f>IF(A1879="", "", IF(IFERROR(VLOOKUP(A1879, 'Base 3F'!$B:$C, 2, FALSE),"")="", "SIN CUIT", VLOOKUP(A1879, 'Base 3F'!$B:$C, 2, FALSE)))</f>
        <v>30551720795</v>
      </c>
      <c r="C1879" s="253" t="str">
        <f>IF(A1879="", "", IF(IFERROR(VLOOKUP(A1879, 'Base 3F'!$B:$J, 9, FALSE),"")="", "SIN RUBRO", VLOOKUP(A1879, 'Base 3F'!$B:$J, 9, FALSE)))</f>
        <v>Metalúrgica</v>
      </c>
      <c r="D1879" s="58" t="s">
        <v>9616</v>
      </c>
      <c r="E1879" s="10" t="s">
        <v>2392</v>
      </c>
      <c r="F1879" s="46" t="s">
        <v>115</v>
      </c>
    </row>
    <row r="1880">
      <c r="A1880" s="285" t="s">
        <v>1585</v>
      </c>
      <c r="B1880" s="252">
        <f>IF(A1880="", "", IF(IFERROR(VLOOKUP(A1880, 'Base 3F'!$B:$C, 2, FALSE),"")="", "SIN CUIT", VLOOKUP(A1880, 'Base 3F'!$B:$C, 2, FALSE)))</f>
        <v>30537882871</v>
      </c>
      <c r="C1880" s="253" t="str">
        <f>IF(A1880="", "", IF(IFERROR(VLOOKUP(A1880, 'Base 3F'!$B:$J, 9, FALSE),"")="", "SIN RUBRO", VLOOKUP(A1880, 'Base 3F'!$B:$J, 9, FALSE)))</f>
        <v>Bebidas</v>
      </c>
      <c r="D1880" s="58" t="s">
        <v>9618</v>
      </c>
      <c r="E1880" s="10" t="s">
        <v>2392</v>
      </c>
      <c r="F1880" s="46" t="s">
        <v>115</v>
      </c>
    </row>
    <row r="1881">
      <c r="A1881" s="285" t="s">
        <v>1590</v>
      </c>
      <c r="B1881" s="252">
        <f>IF(A1881="", "", IF(IFERROR(VLOOKUP(A1881, 'Base 3F'!$B:$C, 2, FALSE),"")="", "SIN CUIT", VLOOKUP(A1881, 'Base 3F'!$B:$C, 2, FALSE)))</f>
        <v>30538836547</v>
      </c>
      <c r="C1881" s="253" t="str">
        <f>IF(A1881="", "", IF(IFERROR(VLOOKUP(A1881, 'Base 3F'!$B:$J, 9, FALSE),"")="", "SIN RUBRO", VLOOKUP(A1881, 'Base 3F'!$B:$J, 9, FALSE)))</f>
        <v>Textil</v>
      </c>
      <c r="D1881" s="58" t="s">
        <v>9620</v>
      </c>
      <c r="E1881" s="10" t="s">
        <v>2392</v>
      </c>
      <c r="F1881" s="46" t="s">
        <v>115</v>
      </c>
    </row>
    <row r="1882">
      <c r="A1882" s="285" t="s">
        <v>4660</v>
      </c>
      <c r="B1882" s="252">
        <f>IF(A1882="", "", IF(IFERROR(VLOOKUP(A1882, 'Base 3F'!$B:$C, 2, FALSE),"")="", "SIN CUIT", VLOOKUP(A1882, 'Base 3F'!$B:$C, 2, FALSE)))</f>
        <v>33711740959</v>
      </c>
      <c r="C1882" s="253" t="str">
        <f>IF(A1882="", "", IF(IFERROR(VLOOKUP(A1882, 'Base 3F'!$B:$J, 9, FALSE),"")="", "SIN RUBRO", VLOOKUP(A1882, 'Base 3F'!$B:$J, 9, FALSE)))</f>
        <v>Caucho</v>
      </c>
      <c r="D1882" s="58" t="s">
        <v>9622</v>
      </c>
      <c r="E1882" s="10" t="s">
        <v>2392</v>
      </c>
      <c r="F1882" s="46" t="s">
        <v>115</v>
      </c>
    </row>
    <row r="1883">
      <c r="A1883" s="285" t="s">
        <v>4685</v>
      </c>
      <c r="B1883" s="252">
        <f>IF(A1883="", "", IF(IFERROR(VLOOKUP(A1883, 'Base 3F'!$B:$C, 2, FALSE),"")="", "SIN CUIT", VLOOKUP(A1883, 'Base 3F'!$B:$C, 2, FALSE)))</f>
        <v>30708699574</v>
      </c>
      <c r="C1883" s="253" t="str">
        <f>IF(A1883="", "", IF(IFERROR(VLOOKUP(A1883, 'Base 3F'!$B:$J, 9, FALSE),"")="", "SIN RUBRO", VLOOKUP(A1883, 'Base 3F'!$B:$J, 9, FALSE)))</f>
        <v>Electrónica</v>
      </c>
      <c r="D1883" s="58" t="s">
        <v>9625</v>
      </c>
      <c r="E1883" s="10" t="s">
        <v>2392</v>
      </c>
      <c r="F1883" s="46" t="s">
        <v>115</v>
      </c>
    </row>
    <row r="1884">
      <c r="A1884" s="285" t="s">
        <v>4796</v>
      </c>
      <c r="B1884" s="252">
        <f>IF(A1884="", "", IF(IFERROR(VLOOKUP(A1884, 'Base 3F'!$B:$C, 2, FALSE),"")="", "SIN CUIT", VLOOKUP(A1884, 'Base 3F'!$B:$C, 2, FALSE)))</f>
        <v>30568111911</v>
      </c>
      <c r="C1884" s="253" t="str">
        <f>IF(A1884="", "", IF(IFERROR(VLOOKUP(A1884, 'Base 3F'!$B:$J, 9, FALSE),"")="", "SIN RUBRO", VLOOKUP(A1884, 'Base 3F'!$B:$J, 9, FALSE)))</f>
        <v>Metalmecánica</v>
      </c>
      <c r="D1884" s="68" t="s">
        <v>9628</v>
      </c>
      <c r="E1884" s="10" t="s">
        <v>2392</v>
      </c>
      <c r="F1884" s="46" t="s">
        <v>115</v>
      </c>
    </row>
    <row r="1885">
      <c r="A1885" s="285" t="s">
        <v>1614</v>
      </c>
      <c r="B1885" s="252">
        <f>IF(A1885="", "", IF(IFERROR(VLOOKUP(A1885, 'Base 3F'!$B:$C, 2, FALSE),"")="", "SIN CUIT", VLOOKUP(A1885, 'Base 3F'!$B:$C, 2, FALSE)))</f>
        <v>30709748579</v>
      </c>
      <c r="C1885" s="253" t="str">
        <f>IF(A1885="", "", IF(IFERROR(VLOOKUP(A1885, 'Base 3F'!$B:$J, 9, FALSE),"")="", "SIN RUBRO", VLOOKUP(A1885, 'Base 3F'!$B:$J, 9, FALSE)))</f>
        <v>Alimenticia</v>
      </c>
      <c r="D1885" s="58" t="s">
        <v>179</v>
      </c>
      <c r="E1885" s="10" t="s">
        <v>2392</v>
      </c>
      <c r="F1885" s="46" t="s">
        <v>115</v>
      </c>
    </row>
    <row r="1886">
      <c r="A1886" s="285" t="s">
        <v>1627</v>
      </c>
      <c r="B1886" s="252">
        <f>IF(A1886="", "", IF(IFERROR(VLOOKUP(A1886, 'Base 3F'!$B:$C, 2, FALSE),"")="", "SIN CUIT", VLOOKUP(A1886, 'Base 3F'!$B:$C, 2, FALSE)))</f>
        <v>33597021319</v>
      </c>
      <c r="C1886" s="253" t="str">
        <f>IF(A1886="", "", IF(IFERROR(VLOOKUP(A1886, 'Base 3F'!$B:$J, 9, FALSE),"")="", "SIN RUBRO", VLOOKUP(A1886, 'Base 3F'!$B:$J, 9, FALSE)))</f>
        <v>Plástica</v>
      </c>
      <c r="D1886" s="58" t="s">
        <v>9633</v>
      </c>
      <c r="E1886" s="10" t="s">
        <v>2392</v>
      </c>
      <c r="F1886" s="46" t="s">
        <v>115</v>
      </c>
    </row>
    <row r="1887">
      <c r="A1887" s="285" t="s">
        <v>4897</v>
      </c>
      <c r="B1887" s="252">
        <f>IF(A1887="", "", IF(IFERROR(VLOOKUP(A1887, 'Base 3F'!$B:$C, 2, FALSE),"")="", "SIN CUIT", VLOOKUP(A1887, 'Base 3F'!$B:$C, 2, FALSE)))</f>
        <v>30505531031</v>
      </c>
      <c r="C1887" s="253" t="str">
        <f>IF(A1887="", "", IF(IFERROR(VLOOKUP(A1887, 'Base 3F'!$B:$J, 9, FALSE),"")="", "SIN RUBRO", VLOOKUP(A1887, 'Base 3F'!$B:$J, 9, FALSE)))</f>
        <v>Metalúrgica</v>
      </c>
      <c r="D1887" s="58" t="s">
        <v>9636</v>
      </c>
      <c r="E1887" s="10" t="s">
        <v>2392</v>
      </c>
      <c r="F1887" s="46" t="s">
        <v>115</v>
      </c>
    </row>
    <row r="1888">
      <c r="A1888" s="285" t="s">
        <v>1642</v>
      </c>
      <c r="B1888" s="252">
        <f>IF(A1888="", "", IF(IFERROR(VLOOKUP(A1888, 'Base 3F'!$B:$C, 2, FALSE),"")="", "SIN CUIT", VLOOKUP(A1888, 'Base 3F'!$B:$C, 2, FALSE)))</f>
        <v>30708246790</v>
      </c>
      <c r="C1888" s="253" t="str">
        <f>IF(A1888="", "", IF(IFERROR(VLOOKUP(A1888, 'Base 3F'!$B:$J, 9, FALSE),"")="", "SIN RUBRO", VLOOKUP(A1888, 'Base 3F'!$B:$J, 9, FALSE)))</f>
        <v>Metalúrgica</v>
      </c>
      <c r="D1888" s="58" t="s">
        <v>9640</v>
      </c>
      <c r="E1888" s="10" t="s">
        <v>2392</v>
      </c>
      <c r="F1888" s="46" t="s">
        <v>115</v>
      </c>
    </row>
    <row r="1889">
      <c r="A1889" s="285" t="s">
        <v>4922</v>
      </c>
      <c r="B1889" s="252">
        <f>IF(A1889="", "", IF(IFERROR(VLOOKUP(A1889, 'Base 3F'!$B:$C, 2, FALSE),"")="", "SIN CUIT", VLOOKUP(A1889, 'Base 3F'!$B:$C, 2, FALSE)))</f>
        <v>30709215791</v>
      </c>
      <c r="C1889" s="253" t="str">
        <f>IF(A1889="", "", IF(IFERROR(VLOOKUP(A1889, 'Base 3F'!$B:$J, 9, FALSE),"")="", "SIN RUBRO", VLOOKUP(A1889, 'Base 3F'!$B:$J, 9, FALSE)))</f>
        <v>Plástica</v>
      </c>
      <c r="D1889" s="58" t="s">
        <v>9643</v>
      </c>
      <c r="E1889" s="10" t="s">
        <v>2392</v>
      </c>
      <c r="F1889" s="46" t="s">
        <v>115</v>
      </c>
    </row>
    <row r="1890">
      <c r="A1890" s="285" t="s">
        <v>4927</v>
      </c>
      <c r="B1890" s="252">
        <f>IF(A1890="", "", IF(IFERROR(VLOOKUP(A1890, 'Base 3F'!$B:$C, 2, FALSE),"")="", "SIN CUIT", VLOOKUP(A1890, 'Base 3F'!$B:$C, 2, FALSE)))</f>
        <v>30582623313</v>
      </c>
      <c r="C1890" s="253" t="str">
        <f>IF(A1890="", "", IF(IFERROR(VLOOKUP(A1890, 'Base 3F'!$B:$J, 9, FALSE),"")="", "SIN RUBRO", VLOOKUP(A1890, 'Base 3F'!$B:$J, 9, FALSE)))</f>
        <v>Metalúrgica</v>
      </c>
      <c r="D1890" s="58" t="s">
        <v>9645</v>
      </c>
      <c r="E1890" s="10" t="s">
        <v>2392</v>
      </c>
      <c r="F1890" s="46" t="s">
        <v>115</v>
      </c>
    </row>
    <row r="1891">
      <c r="A1891" s="285" t="s">
        <v>5023</v>
      </c>
      <c r="B1891" s="252">
        <f>IF(A1891="", "", IF(IFERROR(VLOOKUP(A1891, 'Base 3F'!$B:$C, 2, FALSE),"")="", "SIN CUIT", VLOOKUP(A1891, 'Base 3F'!$B:$C, 2, FALSE)))</f>
        <v>30500757791</v>
      </c>
      <c r="C1891" s="253" t="str">
        <f>IF(A1891="", "", IF(IFERROR(VLOOKUP(A1891, 'Base 3F'!$B:$J, 9, FALSE),"")="", "SIN RUBRO", VLOOKUP(A1891, 'Base 3F'!$B:$J, 9, FALSE)))</f>
        <v>Papel</v>
      </c>
      <c r="D1891" s="58" t="s">
        <v>9647</v>
      </c>
      <c r="E1891" s="10" t="s">
        <v>2392</v>
      </c>
      <c r="F1891" s="46" t="s">
        <v>115</v>
      </c>
    </row>
    <row r="1892">
      <c r="A1892" s="285" t="s">
        <v>5057</v>
      </c>
      <c r="B1892" s="252">
        <f>IF(A1892="", "", IF(IFERROR(VLOOKUP(A1892, 'Base 3F'!$B:$C, 2, FALSE),"")="", "SIN CUIT", VLOOKUP(A1892, 'Base 3F'!$B:$C, 2, FALSE)))</f>
        <v>33556981359</v>
      </c>
      <c r="C1892" s="253" t="str">
        <f>IF(A1892="", "", IF(IFERROR(VLOOKUP(A1892, 'Base 3F'!$B:$J, 9, FALSE),"")="", "SIN RUBRO", VLOOKUP(A1892, 'Base 3F'!$B:$J, 9, FALSE)))</f>
        <v>Madera</v>
      </c>
      <c r="D1892" s="58" t="s">
        <v>9649</v>
      </c>
      <c r="E1892" s="10" t="s">
        <v>2392</v>
      </c>
      <c r="F1892" s="46" t="s">
        <v>115</v>
      </c>
    </row>
    <row r="1893">
      <c r="A1893" s="285" t="s">
        <v>5075</v>
      </c>
      <c r="B1893" s="252">
        <f>IF(A1893="", "", IF(IFERROR(VLOOKUP(A1893, 'Base 3F'!$B:$C, 2, FALSE),"")="", "SIN CUIT", VLOOKUP(A1893, 'Base 3F'!$B:$C, 2, FALSE)))</f>
        <v>30577185456</v>
      </c>
      <c r="C1893" s="253" t="str">
        <f>IF(A1893="", "", IF(IFERROR(VLOOKUP(A1893, 'Base 3F'!$B:$J, 9, FALSE),"")="", "SIN RUBRO", VLOOKUP(A1893, 'Base 3F'!$B:$J, 9, FALSE)))</f>
        <v>Plástica</v>
      </c>
      <c r="D1893" s="58" t="s">
        <v>9650</v>
      </c>
      <c r="E1893" s="10" t="s">
        <v>2392</v>
      </c>
      <c r="F1893" s="46" t="s">
        <v>115</v>
      </c>
    </row>
    <row r="1894">
      <c r="A1894" s="285" t="s">
        <v>5105</v>
      </c>
      <c r="B1894" s="252">
        <f>IF(A1894="", "", IF(IFERROR(VLOOKUP(A1894, 'Base 3F'!$B:$C, 2, FALSE),"")="", "SIN CUIT", VLOOKUP(A1894, 'Base 3F'!$B:$C, 2, FALSE)))</f>
        <v>30708197358</v>
      </c>
      <c r="C1894" s="253" t="str">
        <f>IF(A1894="", "", IF(IFERROR(VLOOKUP(A1894, 'Base 3F'!$B:$J, 9, FALSE),"")="", "SIN RUBRO", VLOOKUP(A1894, 'Base 3F'!$B:$J, 9, FALSE)))</f>
        <v>Metalúrgica</v>
      </c>
      <c r="D1894" s="58" t="s">
        <v>9656</v>
      </c>
      <c r="E1894" s="10" t="s">
        <v>2392</v>
      </c>
      <c r="F1894" s="46" t="s">
        <v>115</v>
      </c>
    </row>
    <row r="1895">
      <c r="A1895" s="285" t="s">
        <v>5143</v>
      </c>
      <c r="B1895" s="252">
        <f>IF(A1895="", "", IF(IFERROR(VLOOKUP(A1895, 'Base 3F'!$B:$C, 2, FALSE),"")="", "SIN CUIT", VLOOKUP(A1895, 'Base 3F'!$B:$C, 2, FALSE)))</f>
        <v>30709012033</v>
      </c>
      <c r="C1895" s="253" t="str">
        <f>IF(A1895="", "", IF(IFERROR(VLOOKUP(A1895, 'Base 3F'!$B:$J, 9, FALSE),"")="", "SIN RUBRO", VLOOKUP(A1895, 'Base 3F'!$B:$J, 9, FALSE)))</f>
        <v>Plástica</v>
      </c>
      <c r="D1895" s="58" t="s">
        <v>9658</v>
      </c>
      <c r="E1895" s="10" t="s">
        <v>2392</v>
      </c>
      <c r="F1895" s="46" t="s">
        <v>115</v>
      </c>
    </row>
    <row r="1896">
      <c r="A1896" s="285" t="s">
        <v>5170</v>
      </c>
      <c r="B1896" s="252" t="str">
        <f>IF(A1896="", "", IF(IFERROR(VLOOKUP(A1896, 'Base 3F'!$B:$C, 2, FALSE),"")="", "SIN CUIT", VLOOKUP(A1896, 'Base 3F'!$B:$C, 2, FALSE)))</f>
        <v>Averiguar</v>
      </c>
      <c r="C1896" s="253" t="str">
        <f>IF(A1896="", "", IF(IFERROR(VLOOKUP(A1896, 'Base 3F'!$B:$J, 9, FALSE),"")="", "SIN RUBRO", VLOOKUP(A1896, 'Base 3F'!$B:$J, 9, FALSE)))</f>
        <v>Química</v>
      </c>
      <c r="D1896" s="58" t="s">
        <v>9662</v>
      </c>
      <c r="E1896" s="10" t="s">
        <v>2392</v>
      </c>
      <c r="F1896" s="46" t="s">
        <v>115</v>
      </c>
    </row>
    <row r="1897">
      <c r="A1897" s="285" t="s">
        <v>5231</v>
      </c>
      <c r="B1897" s="252">
        <f>IF(A1897="", "", IF(IFERROR(VLOOKUP(A1897, 'Base 3F'!$B:$C, 2, FALSE),"")="", "SIN CUIT", VLOOKUP(A1897, 'Base 3F'!$B:$C, 2, FALSE)))</f>
        <v>30516492291</v>
      </c>
      <c r="C1897" s="253" t="str">
        <f>IF(A1897="", "", IF(IFERROR(VLOOKUP(A1897, 'Base 3F'!$B:$J, 9, FALSE),"")="", "SIN RUBRO", VLOOKUP(A1897, 'Base 3F'!$B:$J, 9, FALSE)))</f>
        <v>Metalúrgica</v>
      </c>
      <c r="D1897" s="58" t="s">
        <v>9664</v>
      </c>
      <c r="E1897" s="10" t="s">
        <v>2392</v>
      </c>
      <c r="F1897" s="46" t="s">
        <v>115</v>
      </c>
    </row>
    <row r="1898">
      <c r="A1898" s="285" t="s">
        <v>5262</v>
      </c>
      <c r="B1898" s="252">
        <f>IF(A1898="", "", IF(IFERROR(VLOOKUP(A1898, 'Base 3F'!$B:$C, 2, FALSE),"")="", "SIN CUIT", VLOOKUP(A1898, 'Base 3F'!$B:$C, 2, FALSE)))</f>
        <v>30597721524</v>
      </c>
      <c r="C1898" s="253" t="str">
        <f>IF(A1898="", "", IF(IFERROR(VLOOKUP(A1898, 'Base 3F'!$B:$J, 9, FALSE),"")="", "SIN RUBRO", VLOOKUP(A1898, 'Base 3F'!$B:$J, 9, FALSE)))</f>
        <v>Metalmecánica</v>
      </c>
      <c r="D1898" s="58" t="s">
        <v>9669</v>
      </c>
      <c r="E1898" s="10" t="s">
        <v>2392</v>
      </c>
      <c r="F1898" s="46" t="s">
        <v>115</v>
      </c>
    </row>
    <row r="1899">
      <c r="A1899" s="285" t="s">
        <v>5269</v>
      </c>
      <c r="B1899" s="252">
        <f>IF(A1899="", "", IF(IFERROR(VLOOKUP(A1899, 'Base 3F'!$B:$C, 2, FALSE),"")="", "SIN CUIT", VLOOKUP(A1899, 'Base 3F'!$B:$C, 2, FALSE)))</f>
        <v>30523412236</v>
      </c>
      <c r="C1899" s="253" t="str">
        <f>IF(A1899="", "", IF(IFERROR(VLOOKUP(A1899, 'Base 3F'!$B:$J, 9, FALSE),"")="", "SIN RUBRO", VLOOKUP(A1899, 'Base 3F'!$B:$J, 9, FALSE)))</f>
        <v>Papel</v>
      </c>
      <c r="D1899" s="58" t="s">
        <v>9672</v>
      </c>
      <c r="E1899" s="10" t="s">
        <v>2392</v>
      </c>
      <c r="F1899" s="46" t="s">
        <v>115</v>
      </c>
    </row>
    <row r="1900">
      <c r="A1900" s="285" t="s">
        <v>5293</v>
      </c>
      <c r="B1900" s="252">
        <f>IF(A1900="", "", IF(IFERROR(VLOOKUP(A1900, 'Base 3F'!$B:$C, 2, FALSE),"")="", "SIN CUIT", VLOOKUP(A1900, 'Base 3F'!$B:$C, 2, FALSE)))</f>
        <v>30593482894</v>
      </c>
      <c r="C1900" s="253" t="str">
        <f>IF(A1900="", "", IF(IFERROR(VLOOKUP(A1900, 'Base 3F'!$B:$J, 9, FALSE),"")="", "SIN RUBRO", VLOOKUP(A1900, 'Base 3F'!$B:$J, 9, FALSE)))</f>
        <v>Plástica</v>
      </c>
      <c r="D1900" s="58" t="s">
        <v>9674</v>
      </c>
      <c r="E1900" s="10" t="s">
        <v>2392</v>
      </c>
      <c r="F1900" s="46" t="s">
        <v>115</v>
      </c>
    </row>
    <row r="1901">
      <c r="A1901" s="285" t="s">
        <v>5303</v>
      </c>
      <c r="B1901" s="252">
        <f>IF(A1901="", "", IF(IFERROR(VLOOKUP(A1901, 'Base 3F'!$B:$C, 2, FALSE),"")="", "SIN CUIT", VLOOKUP(A1901, 'Base 3F'!$B:$C, 2, FALSE)))</f>
        <v>20120941861</v>
      </c>
      <c r="C1901" s="253" t="str">
        <f>IF(A1901="", "", IF(IFERROR(VLOOKUP(A1901, 'Base 3F'!$B:$J, 9, FALSE),"")="", "SIN RUBRO", VLOOKUP(A1901, 'Base 3F'!$B:$J, 9, FALSE)))</f>
        <v>Metalúrgica</v>
      </c>
      <c r="D1901" s="58" t="s">
        <v>9682</v>
      </c>
      <c r="E1901" s="10" t="s">
        <v>2392</v>
      </c>
      <c r="F1901" s="46" t="s">
        <v>115</v>
      </c>
    </row>
    <row r="1902">
      <c r="A1902" s="285" t="s">
        <v>5323</v>
      </c>
      <c r="B1902" s="252">
        <f>IF(A1902="", "", IF(IFERROR(VLOOKUP(A1902, 'Base 3F'!$B:$C, 2, FALSE),"")="", "SIN CUIT", VLOOKUP(A1902, 'Base 3F'!$B:$C, 2, FALSE)))</f>
        <v>30709357782</v>
      </c>
      <c r="C1902" s="253" t="str">
        <f>IF(A1902="", "", IF(IFERROR(VLOOKUP(A1902, 'Base 3F'!$B:$J, 9, FALSE),"")="", "SIN RUBRO", VLOOKUP(A1902, 'Base 3F'!$B:$J, 9, FALSE)))</f>
        <v>Metalúrgica</v>
      </c>
      <c r="D1902" s="58" t="s">
        <v>9688</v>
      </c>
      <c r="E1902" s="10" t="s">
        <v>2392</v>
      </c>
      <c r="F1902" s="46" t="s">
        <v>115</v>
      </c>
    </row>
    <row r="1903">
      <c r="A1903" s="285" t="s">
        <v>1688</v>
      </c>
      <c r="B1903" s="252">
        <f>IF(A1903="", "", IF(IFERROR(VLOOKUP(A1903, 'Base 3F'!$B:$C, 2, FALSE),"")="", "SIN CUIT", VLOOKUP(A1903, 'Base 3F'!$B:$C, 2, FALSE)))</f>
        <v>30677077596</v>
      </c>
      <c r="C1903" s="253" t="str">
        <f>IF(A1903="", "", IF(IFERROR(VLOOKUP(A1903, 'Base 3F'!$B:$J, 9, FALSE),"")="", "SIN RUBRO", VLOOKUP(A1903, 'Base 3F'!$B:$J, 9, FALSE)))</f>
        <v>Metalúrgica</v>
      </c>
      <c r="D1903" s="58" t="s">
        <v>9691</v>
      </c>
      <c r="E1903" s="10" t="s">
        <v>2392</v>
      </c>
      <c r="F1903" s="46" t="s">
        <v>115</v>
      </c>
    </row>
    <row r="1904">
      <c r="A1904" s="285" t="s">
        <v>1692</v>
      </c>
      <c r="B1904" s="252">
        <f>IF(A1904="", "", IF(IFERROR(VLOOKUP(A1904, 'Base 3F'!$B:$C, 2, FALSE),"")="", "SIN CUIT", VLOOKUP(A1904, 'Base 3F'!$B:$C, 2, FALSE)))</f>
        <v>30710218486</v>
      </c>
      <c r="C1904" s="253" t="str">
        <f>IF(A1904="", "", IF(IFERROR(VLOOKUP(A1904, 'Base 3F'!$B:$J, 9, FALSE),"")="", "SIN RUBRO", VLOOKUP(A1904, 'Base 3F'!$B:$J, 9, FALSE)))</f>
        <v>Gráfica</v>
      </c>
      <c r="D1904" s="58" t="s">
        <v>9698</v>
      </c>
      <c r="E1904" s="10" t="s">
        <v>2392</v>
      </c>
      <c r="F1904" s="46" t="s">
        <v>115</v>
      </c>
    </row>
    <row r="1905">
      <c r="A1905" s="285" t="s">
        <v>1698</v>
      </c>
      <c r="B1905" s="252">
        <f>IF(A1905="", "", IF(IFERROR(VLOOKUP(A1905, 'Base 3F'!$B:$C, 2, FALSE),"")="", "SIN CUIT", VLOOKUP(A1905, 'Base 3F'!$B:$C, 2, FALSE)))</f>
        <v>30709190713</v>
      </c>
      <c r="C1905" s="253" t="str">
        <f>IF(A1905="", "", IF(IFERROR(VLOOKUP(A1905, 'Base 3F'!$B:$J, 9, FALSE),"")="", "SIN RUBRO", VLOOKUP(A1905, 'Base 3F'!$B:$J, 9, FALSE)))</f>
        <v>Metalúrgica</v>
      </c>
      <c r="D1905" s="58" t="s">
        <v>9702</v>
      </c>
      <c r="E1905" s="10" t="s">
        <v>2392</v>
      </c>
      <c r="F1905" s="46" t="s">
        <v>115</v>
      </c>
    </row>
    <row r="1906">
      <c r="A1906" s="285" t="s">
        <v>5406</v>
      </c>
      <c r="B1906" s="252">
        <f>IF(A1906="", "", IF(IFERROR(VLOOKUP(A1906, 'Base 3F'!$B:$C, 2, FALSE),"")="", "SIN CUIT", VLOOKUP(A1906, 'Base 3F'!$B:$C, 2, FALSE)))</f>
        <v>30645473325</v>
      </c>
      <c r="C1906" s="253" t="str">
        <f>IF(A1906="", "", IF(IFERROR(VLOOKUP(A1906, 'Base 3F'!$B:$J, 9, FALSE),"")="", "SIN RUBRO", VLOOKUP(A1906, 'Base 3F'!$B:$J, 9, FALSE)))</f>
        <v>Textil</v>
      </c>
      <c r="D1906" s="58" t="s">
        <v>9708</v>
      </c>
      <c r="E1906" s="10" t="s">
        <v>2392</v>
      </c>
      <c r="F1906" s="46" t="s">
        <v>115</v>
      </c>
    </row>
    <row r="1907">
      <c r="A1907" s="285" t="s">
        <v>5444</v>
      </c>
      <c r="B1907" s="252">
        <f>IF(A1907="", "", IF(IFERROR(VLOOKUP(A1907, 'Base 3F'!$B:$C, 2, FALSE),"")="", "SIN CUIT", VLOOKUP(A1907, 'Base 3F'!$B:$C, 2, FALSE)))</f>
        <v>33709061769</v>
      </c>
      <c r="C1907" s="253" t="str">
        <f>IF(A1907="", "", IF(IFERROR(VLOOKUP(A1907, 'Base 3F'!$B:$J, 9, FALSE),"")="", "SIN RUBRO", VLOOKUP(A1907, 'Base 3F'!$B:$J, 9, FALSE)))</f>
        <v>Metalmecánica</v>
      </c>
      <c r="D1907" s="58" t="s">
        <v>9713</v>
      </c>
      <c r="E1907" s="10" t="s">
        <v>2392</v>
      </c>
      <c r="F1907" s="46" t="s">
        <v>115</v>
      </c>
    </row>
    <row r="1908">
      <c r="A1908" s="285" t="s">
        <v>5450</v>
      </c>
      <c r="B1908" s="252">
        <f>IF(A1908="", "", IF(IFERROR(VLOOKUP(A1908, 'Base 3F'!$B:$C, 2, FALSE),"")="", "SIN CUIT", VLOOKUP(A1908, 'Base 3F'!$B:$C, 2, FALSE)))</f>
        <v>30573083004</v>
      </c>
      <c r="C1908" s="253" t="str">
        <f>IF(A1908="", "", IF(IFERROR(VLOOKUP(A1908, 'Base 3F'!$B:$J, 9, FALSE),"")="", "SIN RUBRO", VLOOKUP(A1908, 'Base 3F'!$B:$J, 9, FALSE)))</f>
        <v>Metalmecánica</v>
      </c>
      <c r="D1908" s="58" t="s">
        <v>9715</v>
      </c>
      <c r="E1908" s="10" t="s">
        <v>2392</v>
      </c>
      <c r="F1908" s="46" t="s">
        <v>115</v>
      </c>
    </row>
    <row r="1909">
      <c r="A1909" s="285" t="s">
        <v>4037</v>
      </c>
      <c r="B1909" s="252">
        <f>IF(A1909="", "", IF(IFERROR(VLOOKUP(A1909, 'Base 3F'!$B:$C, 2, FALSE),"")="", "SIN CUIT", VLOOKUP(A1909, 'Base 3F'!$B:$C, 2, FALSE)))</f>
        <v>30685329502</v>
      </c>
      <c r="C1909" s="253" t="str">
        <f>IF(A1909="", "", IF(IFERROR(VLOOKUP(A1909, 'Base 3F'!$B:$J, 9, FALSE),"")="", "SIN RUBRO", VLOOKUP(A1909, 'Base 3F'!$B:$J, 9, FALSE)))</f>
        <v>Manufactura</v>
      </c>
      <c r="D1909" s="58" t="s">
        <v>9724</v>
      </c>
      <c r="E1909" s="10" t="s">
        <v>2392</v>
      </c>
      <c r="F1909" s="46" t="s">
        <v>115</v>
      </c>
    </row>
    <row r="1910">
      <c r="A1910" s="285" t="s">
        <v>1723</v>
      </c>
      <c r="B1910" s="252">
        <f>IF(A1910="", "", IF(IFERROR(VLOOKUP(A1910, 'Base 3F'!$B:$C, 2, FALSE),"")="", "SIN CUIT", VLOOKUP(A1910, 'Base 3F'!$B:$C, 2, FALSE)))</f>
        <v>30709096962</v>
      </c>
      <c r="C1910" s="253" t="str">
        <f>IF(A1910="", "", IF(IFERROR(VLOOKUP(A1910, 'Base 3F'!$B:$J, 9, FALSE),"")="", "SIN RUBRO", VLOOKUP(A1910, 'Base 3F'!$B:$J, 9, FALSE)))</f>
        <v>Plástica</v>
      </c>
      <c r="D1910" s="58" t="s">
        <v>9728</v>
      </c>
      <c r="E1910" s="10" t="s">
        <v>2392</v>
      </c>
      <c r="F1910" s="46" t="s">
        <v>115</v>
      </c>
    </row>
    <row r="1911">
      <c r="A1911" s="285" t="s">
        <v>5523</v>
      </c>
      <c r="B1911" s="252">
        <f>IF(A1911="", "", IF(IFERROR(VLOOKUP(A1911, 'Base 3F'!$B:$C, 2, FALSE),"")="", "SIN CUIT", VLOOKUP(A1911, 'Base 3F'!$B:$C, 2, FALSE)))</f>
        <v>30639458306</v>
      </c>
      <c r="C1911" s="253" t="str">
        <f>IF(A1911="", "", IF(IFERROR(VLOOKUP(A1911, 'Base 3F'!$B:$J, 9, FALSE),"")="", "SIN RUBRO", VLOOKUP(A1911, 'Base 3F'!$B:$J, 9, FALSE)))</f>
        <v>Plástica</v>
      </c>
      <c r="D1911" s="58" t="s">
        <v>9730</v>
      </c>
      <c r="E1911" s="10" t="s">
        <v>2392</v>
      </c>
      <c r="F1911" s="46" t="s">
        <v>115</v>
      </c>
    </row>
    <row r="1912">
      <c r="A1912" s="285" t="s">
        <v>5580</v>
      </c>
      <c r="B1912" s="252">
        <f>IF(A1912="", "", IF(IFERROR(VLOOKUP(A1912, 'Base 3F'!$B:$C, 2, FALSE),"")="", "SIN CUIT", VLOOKUP(A1912, 'Base 3F'!$B:$C, 2, FALSE)))</f>
        <v>30710141874</v>
      </c>
      <c r="C1912" s="253" t="str">
        <f>IF(A1912="", "", IF(IFERROR(VLOOKUP(A1912, 'Base 3F'!$B:$J, 9, FALSE),"")="", "SIN RUBRO", VLOOKUP(A1912, 'Base 3F'!$B:$J, 9, FALSE)))</f>
        <v>Química</v>
      </c>
      <c r="D1912" s="58" t="s">
        <v>9732</v>
      </c>
      <c r="E1912" s="10" t="s">
        <v>2392</v>
      </c>
      <c r="F1912" s="46" t="s">
        <v>115</v>
      </c>
    </row>
    <row r="1913">
      <c r="A1913" s="285" t="s">
        <v>1739</v>
      </c>
      <c r="B1913" s="252">
        <f>IF(A1913="", "", IF(IFERROR(VLOOKUP(A1913, 'Base 3F'!$B:$C, 2, FALSE),"")="", "SIN CUIT", VLOOKUP(A1913, 'Base 3F'!$B:$C, 2, FALSE)))</f>
        <v>30607180578</v>
      </c>
      <c r="C1913" s="253" t="str">
        <f>IF(A1913="", "", IF(IFERROR(VLOOKUP(A1913, 'Base 3F'!$B:$J, 9, FALSE),"")="", "SIN RUBRO", VLOOKUP(A1913, 'Base 3F'!$B:$J, 9, FALSE)))</f>
        <v>Metalmecánica</v>
      </c>
      <c r="D1913" s="58" t="s">
        <v>9737</v>
      </c>
      <c r="E1913" s="10" t="s">
        <v>2392</v>
      </c>
      <c r="F1913" s="46" t="s">
        <v>115</v>
      </c>
    </row>
    <row r="1914">
      <c r="A1914" s="285" t="s">
        <v>4047</v>
      </c>
      <c r="B1914" s="252">
        <f>IF(A1914="", "", IF(IFERROR(VLOOKUP(A1914, 'Base 3F'!$B:$C, 2, FALSE),"")="", "SIN CUIT", VLOOKUP(A1914, 'Base 3F'!$B:$C, 2, FALSE)))</f>
        <v>30709052442</v>
      </c>
      <c r="C1914" s="253" t="str">
        <f>IF(A1914="", "", IF(IFERROR(VLOOKUP(A1914, 'Base 3F'!$B:$J, 9, FALSE),"")="", "SIN RUBRO", VLOOKUP(A1914, 'Base 3F'!$B:$J, 9, FALSE)))</f>
        <v>Metalmecánica</v>
      </c>
      <c r="D1914" s="58" t="s">
        <v>5077</v>
      </c>
      <c r="E1914" s="10" t="s">
        <v>2392</v>
      </c>
      <c r="F1914" s="46" t="s">
        <v>115</v>
      </c>
    </row>
    <row r="1915">
      <c r="A1915" s="285" t="s">
        <v>4050</v>
      </c>
      <c r="B1915" s="252">
        <f>IF(A1915="", "", IF(IFERROR(VLOOKUP(A1915, 'Base 3F'!$B:$C, 2, FALSE),"")="", "SIN CUIT", VLOOKUP(A1915, 'Base 3F'!$B:$C, 2, FALSE)))</f>
        <v>30707422099</v>
      </c>
      <c r="C1915" s="253" t="str">
        <f>IF(A1915="", "", IF(IFERROR(VLOOKUP(A1915, 'Base 3F'!$B:$J, 9, FALSE),"")="", "SIN RUBRO", VLOOKUP(A1915, 'Base 3F'!$B:$J, 9, FALSE)))</f>
        <v>Alimenticia</v>
      </c>
      <c r="D1915" s="58" t="s">
        <v>9744</v>
      </c>
      <c r="E1915" s="10" t="s">
        <v>2392</v>
      </c>
      <c r="F1915" s="46" t="s">
        <v>115</v>
      </c>
    </row>
    <row r="1916">
      <c r="A1916" s="285" t="s">
        <v>4053</v>
      </c>
      <c r="B1916" s="252">
        <f>IF(A1916="", "", IF(IFERROR(VLOOKUP(A1916, 'Base 3F'!$B:$C, 2, FALSE),"")="", "SIN CUIT", VLOOKUP(A1916, 'Base 3F'!$B:$C, 2, FALSE)))</f>
        <v>30708866608</v>
      </c>
      <c r="C1916" s="253" t="str">
        <f>IF(A1916="", "", IF(IFERROR(VLOOKUP(A1916, 'Base 3F'!$B:$J, 9, FALSE),"")="", "SIN RUBRO", VLOOKUP(A1916, 'Base 3F'!$B:$J, 9, FALSE)))</f>
        <v>Textil</v>
      </c>
      <c r="D1916" s="58" t="s">
        <v>9751</v>
      </c>
      <c r="E1916" s="10" t="s">
        <v>2392</v>
      </c>
      <c r="F1916" s="46" t="s">
        <v>115</v>
      </c>
    </row>
    <row r="1917">
      <c r="A1917" s="285" t="s">
        <v>5682</v>
      </c>
      <c r="B1917" s="252">
        <f>IF(A1917="", "", IF(IFERROR(VLOOKUP(A1917, 'Base 3F'!$B:$C, 2, FALSE),"")="", "SIN CUIT", VLOOKUP(A1917, 'Base 3F'!$B:$C, 2, FALSE)))</f>
        <v>30535302606</v>
      </c>
      <c r="C1917" s="253" t="str">
        <f>IF(A1917="", "", IF(IFERROR(VLOOKUP(A1917, 'Base 3F'!$B:$J, 9, FALSE),"")="", "SIN RUBRO", VLOOKUP(A1917, 'Base 3F'!$B:$J, 9, FALSE)))</f>
        <v>Metalúrgica</v>
      </c>
      <c r="D1917" s="58" t="s">
        <v>9752</v>
      </c>
      <c r="E1917" s="10" t="s">
        <v>2392</v>
      </c>
      <c r="F1917" s="46" t="s">
        <v>115</v>
      </c>
    </row>
    <row r="1918">
      <c r="A1918" s="285" t="s">
        <v>5706</v>
      </c>
      <c r="B1918" s="252">
        <f>IF(A1918="", "", IF(IFERROR(VLOOKUP(A1918, 'Base 3F'!$B:$C, 2, FALSE),"")="", "SIN CUIT", VLOOKUP(A1918, 'Base 3F'!$B:$C, 2, FALSE)))</f>
        <v>30525726505</v>
      </c>
      <c r="C1918" s="253" t="str">
        <f>IF(A1918="", "", IF(IFERROR(VLOOKUP(A1918, 'Base 3F'!$B:$J, 9, FALSE),"")="", "SIN RUBRO", VLOOKUP(A1918, 'Base 3F'!$B:$J, 9, FALSE)))</f>
        <v>Metalúrgica</v>
      </c>
      <c r="D1918" s="58" t="s">
        <v>9754</v>
      </c>
      <c r="E1918" s="10" t="s">
        <v>2392</v>
      </c>
      <c r="F1918" s="46" t="s">
        <v>115</v>
      </c>
    </row>
    <row r="1919">
      <c r="A1919" s="285" t="s">
        <v>1745</v>
      </c>
      <c r="B1919" s="252">
        <f>IF(A1919="", "", IF(IFERROR(VLOOKUP(A1919, 'Base 3F'!$B:$C, 2, FALSE),"")="", "SIN CUIT", VLOOKUP(A1919, 'Base 3F'!$B:$C, 2, FALSE)))</f>
        <v>30628418329</v>
      </c>
      <c r="C1919" s="253" t="str">
        <f>IF(A1919="", "", IF(IFERROR(VLOOKUP(A1919, 'Base 3F'!$B:$J, 9, FALSE),"")="", "SIN RUBRO", VLOOKUP(A1919, 'Base 3F'!$B:$J, 9, FALSE)))</f>
        <v>Metalúrgica</v>
      </c>
      <c r="D1919" s="58" t="s">
        <v>9756</v>
      </c>
      <c r="E1919" s="10" t="s">
        <v>2392</v>
      </c>
      <c r="F1919" s="46" t="s">
        <v>115</v>
      </c>
    </row>
    <row r="1920">
      <c r="A1920" s="285" t="s">
        <v>1754</v>
      </c>
      <c r="B1920" s="252">
        <f>IF(A1920="", "", IF(IFERROR(VLOOKUP(A1920, 'Base 3F'!$B:$C, 2, FALSE),"")="", "SIN CUIT", VLOOKUP(A1920, 'Base 3F'!$B:$C, 2, FALSE)))</f>
        <v>30701149579</v>
      </c>
      <c r="C1920" s="253" t="str">
        <f>IF(A1920="", "", IF(IFERROR(VLOOKUP(A1920, 'Base 3F'!$B:$J, 9, FALSE),"")="", "SIN RUBRO", VLOOKUP(A1920, 'Base 3F'!$B:$J, 9, FALSE)))</f>
        <v>Metalúrgica</v>
      </c>
      <c r="D1920" s="58" t="s">
        <v>9759</v>
      </c>
      <c r="E1920" s="10" t="s">
        <v>2392</v>
      </c>
      <c r="F1920" s="46" t="s">
        <v>115</v>
      </c>
    </row>
    <row r="1921">
      <c r="A1921" s="285" t="s">
        <v>4073</v>
      </c>
      <c r="B1921" s="252">
        <f>IF(A1921="", "", IF(IFERROR(VLOOKUP(A1921, 'Base 3F'!$B:$C, 2, FALSE),"")="", "SIN CUIT", VLOOKUP(A1921, 'Base 3F'!$B:$C, 2, FALSE)))</f>
        <v>30691261677</v>
      </c>
      <c r="C1921" s="253" t="str">
        <f>IF(A1921="", "", IF(IFERROR(VLOOKUP(A1921, 'Base 3F'!$B:$J, 9, FALSE),"")="", "SIN RUBRO", VLOOKUP(A1921, 'Base 3F'!$B:$J, 9, FALSE)))</f>
        <v>Servicios</v>
      </c>
      <c r="D1921" s="58" t="s">
        <v>9762</v>
      </c>
      <c r="E1921" s="10" t="s">
        <v>2392</v>
      </c>
      <c r="F1921" s="46" t="s">
        <v>115</v>
      </c>
    </row>
    <row r="1922">
      <c r="A1922" s="285" t="s">
        <v>1784</v>
      </c>
      <c r="B1922" s="252">
        <f>IF(A1922="", "", IF(IFERROR(VLOOKUP(A1922, 'Base 3F'!$B:$C, 2, FALSE),"")="", "SIN CUIT", VLOOKUP(A1922, 'Base 3F'!$B:$C, 2, FALSE)))</f>
        <v>30711313822</v>
      </c>
      <c r="C1922" s="253" t="str">
        <f>IF(A1922="", "", IF(IFERROR(VLOOKUP(A1922, 'Base 3F'!$B:$J, 9, FALSE),"")="", "SIN RUBRO", VLOOKUP(A1922, 'Base 3F'!$B:$J, 9, FALSE)))</f>
        <v>Alimenticia</v>
      </c>
      <c r="D1922" s="58" t="s">
        <v>9768</v>
      </c>
      <c r="E1922" s="10" t="s">
        <v>2392</v>
      </c>
      <c r="F1922" s="46" t="s">
        <v>115</v>
      </c>
    </row>
    <row r="1923">
      <c r="A1923" s="285" t="s">
        <v>4081</v>
      </c>
      <c r="B1923" s="252">
        <f>IF(A1923="", "", IF(IFERROR(VLOOKUP(A1923, 'Base 3F'!$B:$C, 2, FALSE),"")="", "SIN CUIT", VLOOKUP(A1923, 'Base 3F'!$B:$C, 2, FALSE)))</f>
        <v>20058773310</v>
      </c>
      <c r="C1923" s="253" t="str">
        <f>IF(A1923="", "", IF(IFERROR(VLOOKUP(A1923, 'Base 3F'!$B:$J, 9, FALSE),"")="", "SIN RUBRO", VLOOKUP(A1923, 'Base 3F'!$B:$J, 9, FALSE)))</f>
        <v>Química</v>
      </c>
      <c r="D1923" s="58" t="s">
        <v>9771</v>
      </c>
      <c r="E1923" s="10" t="s">
        <v>2392</v>
      </c>
      <c r="F1923" s="46" t="s">
        <v>115</v>
      </c>
    </row>
    <row r="1924">
      <c r="A1924" s="285" t="s">
        <v>6032</v>
      </c>
      <c r="B1924" s="252">
        <f>IF(A1924="", "", IF(IFERROR(VLOOKUP(A1924, 'Base 3F'!$B:$C, 2, FALSE),"")="", "SIN CUIT", VLOOKUP(A1924, 'Base 3F'!$B:$C, 2, FALSE)))</f>
        <v>30709421111</v>
      </c>
      <c r="C1924" s="253" t="str">
        <f>IF(A1924="", "", IF(IFERROR(VLOOKUP(A1924, 'Base 3F'!$B:$J, 9, FALSE),"")="", "SIN RUBRO", VLOOKUP(A1924, 'Base 3F'!$B:$J, 9, FALSE)))</f>
        <v>Textil</v>
      </c>
      <c r="D1924" s="96" t="s">
        <v>9776</v>
      </c>
      <c r="E1924" s="10" t="s">
        <v>2392</v>
      </c>
      <c r="F1924" s="46" t="s">
        <v>115</v>
      </c>
    </row>
    <row r="1925">
      <c r="A1925" s="285" t="s">
        <v>6064</v>
      </c>
      <c r="B1925" s="252">
        <f>IF(A1925="", "", IF(IFERROR(VLOOKUP(A1925, 'Base 3F'!$B:$C, 2, FALSE),"")="", "SIN CUIT", VLOOKUP(A1925, 'Base 3F'!$B:$C, 2, FALSE)))</f>
        <v>30684823619</v>
      </c>
      <c r="C1925" s="253" t="str">
        <f>IF(A1925="", "", IF(IFERROR(VLOOKUP(A1925, 'Base 3F'!$B:$J, 9, FALSE),"")="", "SIN RUBRO", VLOOKUP(A1925, 'Base 3F'!$B:$J, 9, FALSE)))</f>
        <v>Gráfica</v>
      </c>
      <c r="D1925" s="58" t="s">
        <v>9777</v>
      </c>
      <c r="E1925" s="10" t="s">
        <v>2392</v>
      </c>
      <c r="F1925" s="46" t="s">
        <v>115</v>
      </c>
    </row>
    <row r="1926">
      <c r="A1926" s="10" t="s">
        <v>6102</v>
      </c>
      <c r="B1926" s="252">
        <f>IF(A1926="", "", IF(IFERROR(VLOOKUP(A1926, 'Base 3F'!$B:$C, 2, FALSE),"")="", "SIN CUIT", VLOOKUP(A1926, 'Base 3F'!$B:$C, 2, FALSE)))</f>
        <v>30714960233</v>
      </c>
      <c r="C1926" s="253" t="str">
        <f>IF(A1926="", "", IF(IFERROR(VLOOKUP(A1926, 'Base 3F'!$B:$J, 9, FALSE),"")="", "SIN RUBRO", VLOOKUP(A1926, 'Base 3F'!$B:$J, 9, FALSE)))</f>
        <v>Textil</v>
      </c>
      <c r="D1926" s="58" t="s">
        <v>9780</v>
      </c>
      <c r="E1926" s="10" t="s">
        <v>2392</v>
      </c>
      <c r="F1926" s="46" t="s">
        <v>115</v>
      </c>
    </row>
    <row r="1927">
      <c r="A1927" s="285" t="s">
        <v>1808</v>
      </c>
      <c r="B1927" s="252">
        <f>IF(A1927="", "", IF(IFERROR(VLOOKUP(A1927, 'Base 3F'!$B:$C, 2, FALSE),"")="", "SIN CUIT", VLOOKUP(A1927, 'Base 3F'!$B:$C, 2, FALSE)))</f>
        <v>33624658529</v>
      </c>
      <c r="C1927" s="253" t="str">
        <f>IF(A1927="", "", IF(IFERROR(VLOOKUP(A1927, 'Base 3F'!$B:$J, 9, FALSE),"")="", "SIN RUBRO", VLOOKUP(A1927, 'Base 3F'!$B:$J, 9, FALSE)))</f>
        <v>Gráfica</v>
      </c>
      <c r="D1927" s="58" t="s">
        <v>9781</v>
      </c>
      <c r="E1927" s="10" t="s">
        <v>2392</v>
      </c>
      <c r="F1927" s="46" t="s">
        <v>115</v>
      </c>
    </row>
    <row r="1928">
      <c r="A1928" s="10" t="s">
        <v>1841</v>
      </c>
      <c r="B1928" s="252">
        <f>IF(A1928="", "", IF(IFERROR(VLOOKUP(A1928, 'Base 3F'!$B:$C, 2, FALSE),"")="", "SIN CUIT", VLOOKUP(A1928, 'Base 3F'!$B:$C, 2, FALSE)))</f>
        <v>30707611223</v>
      </c>
      <c r="C1928" s="253" t="str">
        <f>IF(A1928="", "", IF(IFERROR(VLOOKUP(A1928, 'Base 3F'!$B:$J, 9, FALSE),"")="", "SIN RUBRO", VLOOKUP(A1928, 'Base 3F'!$B:$J, 9, FALSE)))</f>
        <v>Construcción</v>
      </c>
      <c r="D1928" s="58" t="s">
        <v>9785</v>
      </c>
      <c r="E1928" s="10" t="s">
        <v>2392</v>
      </c>
      <c r="F1928" s="46" t="s">
        <v>115</v>
      </c>
    </row>
    <row r="1929">
      <c r="A1929" s="285" t="s">
        <v>6403</v>
      </c>
      <c r="B1929" s="252">
        <f>IF(A1929="", "", IF(IFERROR(VLOOKUP(A1929, 'Base 3F'!$B:$C, 2, FALSE),"")="", "SIN CUIT", VLOOKUP(A1929, 'Base 3F'!$B:$C, 2, FALSE)))</f>
        <v>30710135505</v>
      </c>
      <c r="C1929" s="253" t="str">
        <f>IF(A1929="", "", IF(IFERROR(VLOOKUP(A1929, 'Base 3F'!$B:$J, 9, FALSE),"")="", "SIN RUBRO", VLOOKUP(A1929, 'Base 3F'!$B:$J, 9, FALSE)))</f>
        <v>Metalúrgica</v>
      </c>
      <c r="D1929" s="58" t="s">
        <v>9790</v>
      </c>
      <c r="E1929" s="10" t="s">
        <v>2392</v>
      </c>
      <c r="F1929" s="46" t="s">
        <v>115</v>
      </c>
    </row>
    <row r="1930">
      <c r="A1930" s="285" t="s">
        <v>1845</v>
      </c>
      <c r="B1930" s="252">
        <f>IF(A1930="", "", IF(IFERROR(VLOOKUP(A1930, 'Base 3F'!$B:$C, 2, FALSE),"")="", "SIN CUIT", VLOOKUP(A1930, 'Base 3F'!$B:$C, 2, FALSE)))</f>
        <v>30708471670</v>
      </c>
      <c r="C1930" s="253" t="str">
        <f>IF(A1930="", "", IF(IFERROR(VLOOKUP(A1930, 'Base 3F'!$B:$J, 9, FALSE),"")="", "SIN RUBRO", VLOOKUP(A1930, 'Base 3F'!$B:$J, 9, FALSE)))</f>
        <v>Alimenticia</v>
      </c>
      <c r="D1930" s="58" t="s">
        <v>9798</v>
      </c>
      <c r="E1930" s="10" t="s">
        <v>2392</v>
      </c>
      <c r="F1930" s="46" t="s">
        <v>115</v>
      </c>
    </row>
    <row r="1931">
      <c r="A1931" s="285" t="s">
        <v>1853</v>
      </c>
      <c r="B1931" s="252">
        <f>IF(A1931="", "", IF(IFERROR(VLOOKUP(A1931, 'Base 3F'!$B:$C, 2, FALSE),"")="", "SIN CUIT", VLOOKUP(A1931, 'Base 3F'!$B:$C, 2, FALSE)))</f>
        <v>30701170179</v>
      </c>
      <c r="C1931" s="253" t="str">
        <f>IF(A1931="", "", IF(IFERROR(VLOOKUP(A1931, 'Base 3F'!$B:$J, 9, FALSE),"")="", "SIN RUBRO", VLOOKUP(A1931, 'Base 3F'!$B:$J, 9, FALSE)))</f>
        <v>Calzado</v>
      </c>
      <c r="D1931" s="58" t="s">
        <v>9800</v>
      </c>
      <c r="E1931" s="10" t="s">
        <v>2392</v>
      </c>
      <c r="F1931" s="46" t="s">
        <v>115</v>
      </c>
    </row>
    <row r="1932">
      <c r="A1932" s="285" t="s">
        <v>1856</v>
      </c>
      <c r="B1932" s="252">
        <f>IF(A1932="", "", IF(IFERROR(VLOOKUP(A1932, 'Base 3F'!$B:$C, 2, FALSE),"")="", "SIN CUIT", VLOOKUP(A1932, 'Base 3F'!$B:$C, 2, FALSE)))</f>
        <v>30714699578</v>
      </c>
      <c r="C1932" s="253" t="str">
        <f>IF(A1932="", "", IF(IFERROR(VLOOKUP(A1932, 'Base 3F'!$B:$J, 9, FALSE),"")="", "SIN RUBRO", VLOOKUP(A1932, 'Base 3F'!$B:$J, 9, FALSE)))</f>
        <v>Gráfica</v>
      </c>
      <c r="D1932" s="96" t="s">
        <v>9803</v>
      </c>
      <c r="E1932" s="10" t="s">
        <v>2392</v>
      </c>
      <c r="F1932" s="46" t="s">
        <v>115</v>
      </c>
    </row>
    <row r="1933">
      <c r="A1933" s="285" t="s">
        <v>6461</v>
      </c>
      <c r="B1933" s="252">
        <f>IF(A1933="", "", IF(IFERROR(VLOOKUP(A1933, 'Base 3F'!$B:$C, 2, FALSE),"")="", "SIN CUIT", VLOOKUP(A1933, 'Base 3F'!$B:$C, 2, FALSE)))</f>
        <v>30708455586</v>
      </c>
      <c r="C1933" s="253" t="str">
        <f>IF(A1933="", "", IF(IFERROR(VLOOKUP(A1933, 'Base 3F'!$B:$J, 9, FALSE),"")="", "SIN RUBRO", VLOOKUP(A1933, 'Base 3F'!$B:$J, 9, FALSE)))</f>
        <v>Metalmecánica</v>
      </c>
      <c r="D1933" s="58" t="s">
        <v>9806</v>
      </c>
      <c r="E1933" s="10" t="s">
        <v>2392</v>
      </c>
      <c r="F1933" s="46" t="s">
        <v>115</v>
      </c>
    </row>
    <row r="1934">
      <c r="A1934" s="285" t="s">
        <v>4090</v>
      </c>
      <c r="B1934" s="252">
        <f>IF(A1934="", "", IF(IFERROR(VLOOKUP(A1934, 'Base 3F'!$B:$C, 2, FALSE),"")="", "SIN CUIT", VLOOKUP(A1934, 'Base 3F'!$B:$C, 2, FALSE)))</f>
        <v>30707986324</v>
      </c>
      <c r="C1934" s="253" t="str">
        <f>IF(A1934="", "", IF(IFERROR(VLOOKUP(A1934, 'Base 3F'!$B:$J, 9, FALSE),"")="", "SIN RUBRO", VLOOKUP(A1934, 'Base 3F'!$B:$J, 9, FALSE)))</f>
        <v>Química</v>
      </c>
      <c r="D1934" s="58" t="s">
        <v>9809</v>
      </c>
      <c r="E1934" s="10" t="s">
        <v>2392</v>
      </c>
      <c r="F1934" s="46" t="s">
        <v>115</v>
      </c>
    </row>
    <row r="1935">
      <c r="A1935" s="285" t="s">
        <v>6505</v>
      </c>
      <c r="B1935" s="252">
        <f>IF(A1935="", "", IF(IFERROR(VLOOKUP(A1935, 'Base 3F'!$B:$C, 2, FALSE),"")="", "SIN CUIT", VLOOKUP(A1935, 'Base 3F'!$B:$C, 2, FALSE)))</f>
        <v>33712338399</v>
      </c>
      <c r="C1935" s="253" t="str">
        <f>IF(A1935="", "", IF(IFERROR(VLOOKUP(A1935, 'Base 3F'!$B:$J, 9, FALSE),"")="", "SIN RUBRO", VLOOKUP(A1935, 'Base 3F'!$B:$J, 9, FALSE)))</f>
        <v>Metalúrgica</v>
      </c>
      <c r="D1935" s="50" t="s">
        <v>256</v>
      </c>
      <c r="E1935" s="10" t="s">
        <v>2392</v>
      </c>
      <c r="F1935" s="46" t="s">
        <v>115</v>
      </c>
    </row>
    <row r="1936">
      <c r="A1936" s="285" t="s">
        <v>1870</v>
      </c>
      <c r="B1936" s="252">
        <f>IF(A1936="", "", IF(IFERROR(VLOOKUP(A1936, 'Base 3F'!$B:$C, 2, FALSE),"")="", "SIN CUIT", VLOOKUP(A1936, 'Base 3F'!$B:$C, 2, FALSE)))</f>
        <v>30711251258</v>
      </c>
      <c r="C1936" s="253" t="str">
        <f>IF(A1936="", "", IF(IFERROR(VLOOKUP(A1936, 'Base 3F'!$B:$J, 9, FALSE),"")="", "SIN RUBRO", VLOOKUP(A1936, 'Base 3F'!$B:$J, 9, FALSE)))</f>
        <v>Metalúrgica</v>
      </c>
      <c r="D1936" s="58" t="s">
        <v>9817</v>
      </c>
      <c r="E1936" s="10" t="s">
        <v>2392</v>
      </c>
      <c r="F1936" s="46" t="s">
        <v>115</v>
      </c>
    </row>
    <row r="1937">
      <c r="A1937" s="285" t="s">
        <v>1880</v>
      </c>
      <c r="B1937" s="252">
        <f>IF(A1937="", "", IF(IFERROR(VLOOKUP(A1937, 'Base 3F'!$B:$C, 2, FALSE),"")="", "SIN CUIT", VLOOKUP(A1937, 'Base 3F'!$B:$C, 2, FALSE)))</f>
        <v>30712493786</v>
      </c>
      <c r="C1937" s="253" t="str">
        <f>IF(A1937="", "", IF(IFERROR(VLOOKUP(A1937, 'Base 3F'!$B:$J, 9, FALSE),"")="", "SIN RUBRO", VLOOKUP(A1937, 'Base 3F'!$B:$J, 9, FALSE)))</f>
        <v>Textil</v>
      </c>
      <c r="D1937" s="58" t="s">
        <v>9819</v>
      </c>
      <c r="E1937" s="10" t="s">
        <v>2392</v>
      </c>
      <c r="F1937" s="46" t="s">
        <v>115</v>
      </c>
    </row>
    <row r="1938">
      <c r="A1938" s="285" t="s">
        <v>6601</v>
      </c>
      <c r="B1938" s="252">
        <f>IF(A1938="", "", IF(IFERROR(VLOOKUP(A1938, 'Base 3F'!$B:$C, 2, FALSE),"")="", "SIN CUIT", VLOOKUP(A1938, 'Base 3F'!$B:$C, 2, FALSE)))</f>
        <v>30627366554</v>
      </c>
      <c r="C1938" s="253" t="str">
        <f>IF(A1938="", "", IF(IFERROR(VLOOKUP(A1938, 'Base 3F'!$B:$J, 9, FALSE),"")="", "SIN RUBRO", VLOOKUP(A1938, 'Base 3F'!$B:$J, 9, FALSE)))</f>
        <v>Gráfica</v>
      </c>
      <c r="D1938" s="58" t="s">
        <v>9828</v>
      </c>
      <c r="E1938" s="10" t="s">
        <v>2392</v>
      </c>
      <c r="F1938" s="46" t="s">
        <v>115</v>
      </c>
    </row>
    <row r="1939">
      <c r="A1939" s="285" t="s">
        <v>1890</v>
      </c>
      <c r="B1939" s="252">
        <f>IF(A1939="", "", IF(IFERROR(VLOOKUP(A1939, 'Base 3F'!$B:$C, 2, FALSE),"")="", "SIN CUIT", VLOOKUP(A1939, 'Base 3F'!$B:$C, 2, FALSE)))</f>
        <v>30709987867</v>
      </c>
      <c r="C1939" s="253" t="str">
        <f>IF(A1939="", "", IF(IFERROR(VLOOKUP(A1939, 'Base 3F'!$B:$J, 9, FALSE),"")="", "SIN RUBRO", VLOOKUP(A1939, 'Base 3F'!$B:$J, 9, FALSE)))</f>
        <v>Metalmecánica</v>
      </c>
      <c r="D1939" s="58" t="s">
        <v>9833</v>
      </c>
      <c r="E1939" s="10" t="s">
        <v>2392</v>
      </c>
      <c r="F1939" s="46" t="s">
        <v>115</v>
      </c>
    </row>
    <row r="1940">
      <c r="A1940" s="285" t="s">
        <v>6707</v>
      </c>
      <c r="B1940" s="252">
        <f>IF(A1940="", "", IF(IFERROR(VLOOKUP(A1940, 'Base 3F'!$B:$C, 2, FALSE),"")="", "SIN CUIT", VLOOKUP(A1940, 'Base 3F'!$B:$C, 2, FALSE)))</f>
        <v>30570150355</v>
      </c>
      <c r="C1940" s="253" t="str">
        <f>IF(A1940="", "", IF(IFERROR(VLOOKUP(A1940, 'Base 3F'!$B:$J, 9, FALSE),"")="", "SIN RUBRO", VLOOKUP(A1940, 'Base 3F'!$B:$J, 9, FALSE)))</f>
        <v>Metalúrgica</v>
      </c>
      <c r="D1940" s="58" t="s">
        <v>9835</v>
      </c>
      <c r="E1940" s="10" t="s">
        <v>2392</v>
      </c>
      <c r="F1940" s="46" t="s">
        <v>115</v>
      </c>
    </row>
    <row r="1941">
      <c r="A1941" s="285" t="s">
        <v>1900</v>
      </c>
      <c r="B1941" s="252">
        <f>IF(A1941="", "", IF(IFERROR(VLOOKUP(A1941, 'Base 3F'!$B:$C, 2, FALSE),"")="", "SIN CUIT", VLOOKUP(A1941, 'Base 3F'!$B:$C, 2, FALSE)))</f>
        <v>30710163592</v>
      </c>
      <c r="C1941" s="253" t="str">
        <f>IF(A1941="", "", IF(IFERROR(VLOOKUP(A1941, 'Base 3F'!$B:$J, 9, FALSE),"")="", "SIN RUBRO", VLOOKUP(A1941, 'Base 3F'!$B:$J, 9, FALSE)))</f>
        <v>Alimenticia</v>
      </c>
      <c r="D1941" s="58" t="s">
        <v>9837</v>
      </c>
      <c r="E1941" s="10" t="s">
        <v>2392</v>
      </c>
      <c r="F1941" s="46" t="s">
        <v>115</v>
      </c>
    </row>
    <row r="1942">
      <c r="A1942" s="285" t="s">
        <v>4113</v>
      </c>
      <c r="B1942" s="252">
        <f>IF(A1942="", "", IF(IFERROR(VLOOKUP(A1942, 'Base 3F'!$B:$C, 2, FALSE),"")="", "SIN CUIT", VLOOKUP(A1942, 'Base 3F'!$B:$C, 2, FALSE)))</f>
        <v>30715089498</v>
      </c>
      <c r="C1942" s="253" t="str">
        <f>IF(A1942="", "", IF(IFERROR(VLOOKUP(A1942, 'Base 3F'!$B:$J, 9, FALSE),"")="", "SIN RUBRO", VLOOKUP(A1942, 'Base 3F'!$B:$J, 9, FALSE)))</f>
        <v>Metalúrgica</v>
      </c>
      <c r="D1942" s="58" t="s">
        <v>9845</v>
      </c>
      <c r="E1942" s="10" t="s">
        <v>2392</v>
      </c>
      <c r="F1942" s="46" t="s">
        <v>115</v>
      </c>
    </row>
    <row r="1943">
      <c r="A1943" s="285" t="s">
        <v>1912</v>
      </c>
      <c r="B1943" s="252">
        <f>IF(A1943="", "", IF(IFERROR(VLOOKUP(A1943, 'Base 3F'!$B:$C, 2, FALSE),"")="", "SIN CUIT", VLOOKUP(A1943, 'Base 3F'!$B:$C, 2, FALSE)))</f>
        <v>30701152022</v>
      </c>
      <c r="C1943" s="253" t="str">
        <f>IF(A1943="", "", IF(IFERROR(VLOOKUP(A1943, 'Base 3F'!$B:$J, 9, FALSE),"")="", "SIN RUBRO", VLOOKUP(A1943, 'Base 3F'!$B:$J, 9, FALSE)))</f>
        <v>Metalúrgica</v>
      </c>
      <c r="D1943" s="58" t="s">
        <v>9848</v>
      </c>
      <c r="E1943" s="10" t="s">
        <v>2392</v>
      </c>
      <c r="F1943" s="46" t="s">
        <v>115</v>
      </c>
    </row>
    <row r="1944">
      <c r="A1944" s="285" t="s">
        <v>6755</v>
      </c>
      <c r="B1944" s="252">
        <f>IF(A1944="", "", IF(IFERROR(VLOOKUP(A1944, 'Base 3F'!$B:$C, 2, FALSE),"")="", "SIN CUIT", VLOOKUP(A1944, 'Base 3F'!$B:$C, 2, FALSE)))</f>
        <v>30647308607</v>
      </c>
      <c r="C1944" s="253" t="str">
        <f>IF(A1944="", "", IF(IFERROR(VLOOKUP(A1944, 'Base 3F'!$B:$J, 9, FALSE),"")="", "SIN RUBRO", VLOOKUP(A1944, 'Base 3F'!$B:$J, 9, FALSE)))</f>
        <v>Metalmecánica</v>
      </c>
      <c r="D1944" s="58" t="s">
        <v>9852</v>
      </c>
      <c r="E1944" s="10" t="s">
        <v>2392</v>
      </c>
      <c r="F1944" s="46" t="s">
        <v>115</v>
      </c>
    </row>
    <row r="1945">
      <c r="A1945" s="285" t="s">
        <v>6780</v>
      </c>
      <c r="B1945" s="252">
        <f>IF(A1945="", "", IF(IFERROR(VLOOKUP(A1945, 'Base 3F'!$B:$C, 2, FALSE),"")="", "SIN CUIT", VLOOKUP(A1945, 'Base 3F'!$B:$C, 2, FALSE)))</f>
        <v>30504579553</v>
      </c>
      <c r="C1945" s="253" t="str">
        <f>IF(A1945="", "", IF(IFERROR(VLOOKUP(A1945, 'Base 3F'!$B:$J, 9, FALSE),"")="", "SIN RUBRO", VLOOKUP(A1945, 'Base 3F'!$B:$J, 9, FALSE)))</f>
        <v>Plástica</v>
      </c>
      <c r="D1945" s="58" t="s">
        <v>9854</v>
      </c>
      <c r="E1945" s="10" t="s">
        <v>2392</v>
      </c>
      <c r="F1945" s="46" t="s">
        <v>115</v>
      </c>
    </row>
    <row r="1946">
      <c r="A1946" s="285" t="s">
        <v>4131</v>
      </c>
      <c r="B1946" s="252">
        <f>IF(A1946="", "", IF(IFERROR(VLOOKUP(A1946, 'Base 3F'!$B:$C, 2, FALSE),"")="", "SIN CUIT", VLOOKUP(A1946, 'Base 3F'!$B:$C, 2, FALSE)))</f>
        <v>30677127240</v>
      </c>
      <c r="C1946" s="253" t="str">
        <f>IF(A1946="", "", IF(IFERROR(VLOOKUP(A1946, 'Base 3F'!$B:$J, 9, FALSE),"")="", "SIN RUBRO", VLOOKUP(A1946, 'Base 3F'!$B:$J, 9, FALSE)))</f>
        <v>Metalúrgica</v>
      </c>
      <c r="D1946" s="58" t="s">
        <v>9857</v>
      </c>
      <c r="E1946" s="10" t="s">
        <v>2392</v>
      </c>
      <c r="F1946" s="46" t="s">
        <v>115</v>
      </c>
    </row>
    <row r="1947">
      <c r="A1947" s="285" t="s">
        <v>6815</v>
      </c>
      <c r="B1947" s="252">
        <f>IF(A1947="", "", IF(IFERROR(VLOOKUP(A1947, 'Base 3F'!$B:$C, 2, FALSE),"")="", "SIN CUIT", VLOOKUP(A1947, 'Base 3F'!$B:$C, 2, FALSE)))</f>
        <v>30700884232</v>
      </c>
      <c r="C1947" s="253" t="str">
        <f>IF(A1947="", "", IF(IFERROR(VLOOKUP(A1947, 'Base 3F'!$B:$J, 9, FALSE),"")="", "SIN RUBRO", VLOOKUP(A1947, 'Base 3F'!$B:$J, 9, FALSE)))</f>
        <v>Construcción</v>
      </c>
      <c r="D1947" s="58" t="s">
        <v>9860</v>
      </c>
      <c r="E1947" s="10" t="s">
        <v>2392</v>
      </c>
      <c r="F1947" s="46" t="s">
        <v>115</v>
      </c>
    </row>
    <row r="1948">
      <c r="A1948" s="285" t="s">
        <v>6924</v>
      </c>
      <c r="B1948" s="252">
        <f>IF(A1948="", "", IF(IFERROR(VLOOKUP(A1948, 'Base 3F'!$B:$C, 2, FALSE),"")="", "SIN CUIT", VLOOKUP(A1948, 'Base 3F'!$B:$C, 2, FALSE)))</f>
        <v>30708239948</v>
      </c>
      <c r="C1948" s="253" t="str">
        <f>IF(A1948="", "", IF(IFERROR(VLOOKUP(A1948, 'Base 3F'!$B:$J, 9, FALSE),"")="", "SIN RUBRO", VLOOKUP(A1948, 'Base 3F'!$B:$J, 9, FALSE)))</f>
        <v>Metalúrgica</v>
      </c>
      <c r="D1948" s="142" t="s">
        <v>9866</v>
      </c>
      <c r="E1948" s="10" t="s">
        <v>2392</v>
      </c>
      <c r="F1948" s="46" t="s">
        <v>115</v>
      </c>
    </row>
    <row r="1949">
      <c r="A1949" s="285" t="s">
        <v>6845</v>
      </c>
      <c r="B1949" s="252">
        <f>IF(A1949="", "", IF(IFERROR(VLOOKUP(A1949, 'Base 3F'!$B:$C, 2, FALSE),"")="", "SIN CUIT", VLOOKUP(A1949, 'Base 3F'!$B:$C, 2, FALSE)))</f>
        <v>30663740578</v>
      </c>
      <c r="C1949" s="253" t="str">
        <f>IF(A1949="", "", IF(IFERROR(VLOOKUP(A1949, 'Base 3F'!$B:$J, 9, FALSE),"")="", "SIN RUBRO", VLOOKUP(A1949, 'Base 3F'!$B:$J, 9, FALSE)))</f>
        <v>Metalúrgica</v>
      </c>
      <c r="D1949" s="58" t="s">
        <v>9867</v>
      </c>
      <c r="E1949" s="10" t="s">
        <v>2392</v>
      </c>
      <c r="F1949" s="46" t="s">
        <v>115</v>
      </c>
    </row>
    <row r="1950">
      <c r="A1950" s="285" t="s">
        <v>6859</v>
      </c>
      <c r="B1950" s="252">
        <f>IF(A1950="", "", IF(IFERROR(VLOOKUP(A1950, 'Base 3F'!$B:$C, 2, FALSE),"")="", "SIN CUIT", VLOOKUP(A1950, 'Base 3F'!$B:$C, 2, FALSE)))</f>
        <v>30621517119</v>
      </c>
      <c r="C1950" s="253" t="str">
        <f>IF(A1950="", "", IF(IFERROR(VLOOKUP(A1950, 'Base 3F'!$B:$J, 9, FALSE),"")="", "SIN RUBRO", VLOOKUP(A1950, 'Base 3F'!$B:$J, 9, FALSE)))</f>
        <v>Metalúrgica</v>
      </c>
      <c r="D1950" s="58" t="s">
        <v>9873</v>
      </c>
      <c r="E1950" s="10" t="s">
        <v>2392</v>
      </c>
      <c r="F1950" s="46" t="s">
        <v>115</v>
      </c>
    </row>
    <row r="1951">
      <c r="A1951" s="285" t="s">
        <v>6879</v>
      </c>
      <c r="B1951" s="252">
        <f>IF(A1951="", "", IF(IFERROR(VLOOKUP(A1951, 'Base 3F'!$B:$C, 2, FALSE),"")="", "SIN CUIT", VLOOKUP(A1951, 'Base 3F'!$B:$C, 2, FALSE)))</f>
        <v>33685293949</v>
      </c>
      <c r="C1951" s="253" t="str">
        <f>IF(A1951="", "", IF(IFERROR(VLOOKUP(A1951, 'Base 3F'!$B:$J, 9, FALSE),"")="", "SIN RUBRO", VLOOKUP(A1951, 'Base 3F'!$B:$J, 9, FALSE)))</f>
        <v>Metalúrgica</v>
      </c>
      <c r="D1951" s="58" t="s">
        <v>9875</v>
      </c>
      <c r="E1951" s="10" t="s">
        <v>2392</v>
      </c>
      <c r="F1951" s="46" t="s">
        <v>115</v>
      </c>
    </row>
    <row r="1952">
      <c r="A1952" s="285" t="s">
        <v>7049</v>
      </c>
      <c r="B1952" s="252">
        <f>IF(A1952="", "", IF(IFERROR(VLOOKUP(A1952, 'Base 3F'!$B:$C, 2, FALSE),"")="", "SIN CUIT", VLOOKUP(A1952, 'Base 3F'!$B:$C, 2, FALSE)))</f>
        <v>30608744092</v>
      </c>
      <c r="C1952" s="253" t="str">
        <f>IF(A1952="", "", IF(IFERROR(VLOOKUP(A1952, 'Base 3F'!$B:$J, 9, FALSE),"")="", "SIN RUBRO", VLOOKUP(A1952, 'Base 3F'!$B:$J, 9, FALSE)))</f>
        <v>Metalúrgica</v>
      </c>
      <c r="D1952" s="58" t="s">
        <v>9877</v>
      </c>
      <c r="E1952" s="10" t="s">
        <v>2392</v>
      </c>
      <c r="F1952" s="46" t="s">
        <v>115</v>
      </c>
    </row>
    <row r="1953">
      <c r="A1953" s="285" t="s">
        <v>6892</v>
      </c>
      <c r="B1953" s="252" t="str">
        <f>IF(A1953="", "", IF(IFERROR(VLOOKUP(A1953, 'Base 3F'!$B:$C, 2, FALSE),"")="", "SIN CUIT", VLOOKUP(A1953, 'Base 3F'!$B:$C, 2, FALSE)))</f>
        <v>30709080047 / 33663808899</v>
      </c>
      <c r="C1953" s="253" t="str">
        <f>IF(A1953="", "", IF(IFERROR(VLOOKUP(A1953, 'Base 3F'!$B:$J, 9, FALSE),"")="", "SIN RUBRO", VLOOKUP(A1953, 'Base 3F'!$B:$J, 9, FALSE)))</f>
        <v>Metalúrgica</v>
      </c>
      <c r="D1953" s="58" t="s">
        <v>9881</v>
      </c>
      <c r="E1953" s="10" t="s">
        <v>2392</v>
      </c>
      <c r="F1953" s="46" t="s">
        <v>115</v>
      </c>
    </row>
    <row r="1954">
      <c r="A1954" s="285" t="s">
        <v>6902</v>
      </c>
      <c r="B1954" s="252">
        <f>IF(A1954="", "", IF(IFERROR(VLOOKUP(A1954, 'Base 3F'!$B:$C, 2, FALSE),"")="", "SIN CUIT", VLOOKUP(A1954, 'Base 3F'!$B:$C, 2, FALSE)))</f>
        <v>30707033122</v>
      </c>
      <c r="C1954" s="253" t="str">
        <f>IF(A1954="", "", IF(IFERROR(VLOOKUP(A1954, 'Base 3F'!$B:$J, 9, FALSE),"")="", "SIN RUBRO", VLOOKUP(A1954, 'Base 3F'!$B:$J, 9, FALSE)))</f>
        <v>Química</v>
      </c>
      <c r="D1954" s="58" t="s">
        <v>9884</v>
      </c>
      <c r="E1954" s="10" t="s">
        <v>2392</v>
      </c>
      <c r="F1954" s="46" t="s">
        <v>115</v>
      </c>
    </row>
    <row r="1955">
      <c r="A1955" s="285" t="s">
        <v>4139</v>
      </c>
      <c r="B1955" s="252">
        <f>IF(A1955="", "", IF(IFERROR(VLOOKUP(A1955, 'Base 3F'!$B:$C, 2, FALSE),"")="", "SIN CUIT", VLOOKUP(A1955, 'Base 3F'!$B:$C, 2, FALSE)))</f>
        <v>30562175861</v>
      </c>
      <c r="C1955" s="253" t="str">
        <f>IF(A1955="", "", IF(IFERROR(VLOOKUP(A1955, 'Base 3F'!$B:$J, 9, FALSE),"")="", "SIN RUBRO", VLOOKUP(A1955, 'Base 3F'!$B:$J, 9, FALSE)))</f>
        <v>Plástica</v>
      </c>
      <c r="D1955" s="58" t="s">
        <v>9887</v>
      </c>
      <c r="E1955" s="10" t="s">
        <v>2392</v>
      </c>
      <c r="F1955" s="46" t="s">
        <v>115</v>
      </c>
    </row>
    <row r="1956">
      <c r="A1956" s="285" t="s">
        <v>1937</v>
      </c>
      <c r="B1956" s="252">
        <f>IF(A1956="", "", IF(IFERROR(VLOOKUP(A1956, 'Base 3F'!$B:$C, 2, FALSE),"")="", "SIN CUIT", VLOOKUP(A1956, 'Base 3F'!$B:$C, 2, FALSE)))</f>
        <v>30710855141</v>
      </c>
      <c r="C1956" s="253" t="str">
        <f>IF(A1956="", "", IF(IFERROR(VLOOKUP(A1956, 'Base 3F'!$B:$J, 9, FALSE),"")="", "SIN RUBRO", VLOOKUP(A1956, 'Base 3F'!$B:$J, 9, FALSE)))</f>
        <v>Metalúrgica</v>
      </c>
      <c r="D1956" s="58" t="s">
        <v>9891</v>
      </c>
      <c r="E1956" s="10" t="s">
        <v>2392</v>
      </c>
      <c r="F1956" s="46" t="s">
        <v>115</v>
      </c>
    </row>
    <row r="1957">
      <c r="A1957" s="285" t="s">
        <v>6938</v>
      </c>
      <c r="B1957" s="252">
        <f>IF(A1957="", "", IF(IFERROR(VLOOKUP(A1957, 'Base 3F'!$B:$C, 2, FALSE),"")="", "SIN CUIT", VLOOKUP(A1957, 'Base 3F'!$B:$C, 2, FALSE)))</f>
        <v>30610599482</v>
      </c>
      <c r="C1957" s="253" t="str">
        <f>IF(A1957="", "", IF(IFERROR(VLOOKUP(A1957, 'Base 3F'!$B:$J, 9, FALSE),"")="", "SIN RUBRO", VLOOKUP(A1957, 'Base 3F'!$B:$J, 9, FALSE)))</f>
        <v>Servicios</v>
      </c>
      <c r="D1957" s="58" t="s">
        <v>5443</v>
      </c>
      <c r="E1957" s="10" t="s">
        <v>2392</v>
      </c>
      <c r="F1957" s="46" t="s">
        <v>115</v>
      </c>
    </row>
    <row r="1958">
      <c r="A1958" s="285" t="s">
        <v>6996</v>
      </c>
      <c r="B1958" s="252">
        <f>IF(A1958="", "", IF(IFERROR(VLOOKUP(A1958, 'Base 3F'!$B:$C, 2, FALSE),"")="", "SIN CUIT", VLOOKUP(A1958, 'Base 3F'!$B:$C, 2, FALSE)))</f>
        <v>30521672818</v>
      </c>
      <c r="C1958" s="253" t="str">
        <f>IF(A1958="", "", IF(IFERROR(VLOOKUP(A1958, 'Base 3F'!$B:$J, 9, FALSE),"")="", "SIN RUBRO", VLOOKUP(A1958, 'Base 3F'!$B:$J, 9, FALSE)))</f>
        <v>Metalúrgica</v>
      </c>
      <c r="D1958" s="58" t="s">
        <v>9902</v>
      </c>
      <c r="E1958" s="10" t="s">
        <v>2392</v>
      </c>
      <c r="F1958" s="46" t="s">
        <v>115</v>
      </c>
    </row>
    <row r="1959">
      <c r="A1959" s="285" t="s">
        <v>7326</v>
      </c>
      <c r="B1959" s="252">
        <f>IF(A1959="", "", IF(IFERROR(VLOOKUP(A1959, 'Base 3F'!$B:$C, 2, FALSE),"")="", "SIN CUIT", VLOOKUP(A1959, 'Base 3F'!$B:$C, 2, FALSE)))</f>
        <v>20267731773</v>
      </c>
      <c r="C1959" s="253" t="str">
        <f>IF(A1959="", "", IF(IFERROR(VLOOKUP(A1959, 'Base 3F'!$B:$J, 9, FALSE),"")="", "SIN RUBRO", VLOOKUP(A1959, 'Base 3F'!$B:$J, 9, FALSE)))</f>
        <v>Metalúrgica</v>
      </c>
      <c r="D1959" s="58" t="s">
        <v>9903</v>
      </c>
      <c r="E1959" s="10" t="s">
        <v>2392</v>
      </c>
      <c r="F1959" s="46" t="s">
        <v>115</v>
      </c>
    </row>
    <row r="1960">
      <c r="A1960" s="285" t="s">
        <v>4145</v>
      </c>
      <c r="B1960" s="252">
        <f>IF(A1960="", "", IF(IFERROR(VLOOKUP(A1960, 'Base 3F'!$B:$C, 2, FALSE),"")="", "SIN CUIT", VLOOKUP(A1960, 'Base 3F'!$B:$C, 2, FALSE)))</f>
        <v>33580452979</v>
      </c>
      <c r="C1960" s="253" t="str">
        <f>IF(A1960="", "", IF(IFERROR(VLOOKUP(A1960, 'Base 3F'!$B:$J, 9, FALSE),"")="", "SIN RUBRO", VLOOKUP(A1960, 'Base 3F'!$B:$J, 9, FALSE)))</f>
        <v>Caucho</v>
      </c>
      <c r="D1960" s="58" t="s">
        <v>9910</v>
      </c>
      <c r="E1960" s="10" t="s">
        <v>2392</v>
      </c>
      <c r="F1960" s="46" t="s">
        <v>115</v>
      </c>
    </row>
    <row r="1961">
      <c r="A1961" s="285" t="s">
        <v>7011</v>
      </c>
      <c r="B1961" s="252">
        <f>IF(A1961="", "", IF(IFERROR(VLOOKUP(A1961, 'Base 3F'!$B:$C, 2, FALSE),"")="", "SIN CUIT", VLOOKUP(A1961, 'Base 3F'!$B:$C, 2, FALSE)))</f>
        <v>30661172858</v>
      </c>
      <c r="C1961" s="253" t="str">
        <f>IF(A1961="", "", IF(IFERROR(VLOOKUP(A1961, 'Base 3F'!$B:$J, 9, FALSE),"")="", "SIN RUBRO", VLOOKUP(A1961, 'Base 3F'!$B:$J, 9, FALSE)))</f>
        <v>Metalmecánica</v>
      </c>
      <c r="D1961" s="58" t="s">
        <v>9913</v>
      </c>
      <c r="E1961" s="10" t="s">
        <v>2392</v>
      </c>
      <c r="F1961" s="46" t="s">
        <v>115</v>
      </c>
    </row>
    <row r="1962">
      <c r="A1962" s="285" t="s">
        <v>7017</v>
      </c>
      <c r="B1962" s="252">
        <f>IF(A1962="", "", IF(IFERROR(VLOOKUP(A1962, 'Base 3F'!$B:$C, 2, FALSE),"")="", "SIN CUIT", VLOOKUP(A1962, 'Base 3F'!$B:$C, 2, FALSE)))</f>
        <v>30707719911</v>
      </c>
      <c r="C1962" s="253" t="str">
        <f>IF(A1962="", "", IF(IFERROR(VLOOKUP(A1962, 'Base 3F'!$B:$J, 9, FALSE),"")="", "SIN RUBRO", VLOOKUP(A1962, 'Base 3F'!$B:$J, 9, FALSE)))</f>
        <v>Electrónica</v>
      </c>
      <c r="D1962" s="58" t="s">
        <v>9916</v>
      </c>
      <c r="E1962" s="10" t="s">
        <v>2392</v>
      </c>
      <c r="F1962" s="46" t="s">
        <v>115</v>
      </c>
    </row>
    <row r="1963">
      <c r="A1963" s="285" t="s">
        <v>7039</v>
      </c>
      <c r="B1963" s="252" t="str">
        <f>IF(A1963="", "", IF(IFERROR(VLOOKUP(A1963, 'Base 3F'!$B:$C, 2, FALSE),"")="", "SIN CUIT", VLOOKUP(A1963, 'Base 3F'!$B:$C, 2, FALSE)))</f>
        <v>SIN CUIT</v>
      </c>
      <c r="C1963" s="253" t="str">
        <f>IF(A1963="", "", IF(IFERROR(VLOOKUP(A1963, 'Base 3F'!$B:$J, 9, FALSE),"")="", "SIN RUBRO", VLOOKUP(A1963, 'Base 3F'!$B:$J, 9, FALSE)))</f>
        <v>SIN RUBRO</v>
      </c>
      <c r="D1963" s="58" t="s">
        <v>9917</v>
      </c>
      <c r="E1963" s="10" t="s">
        <v>2392</v>
      </c>
      <c r="F1963" s="46" t="s">
        <v>115</v>
      </c>
    </row>
    <row r="1964">
      <c r="A1964" s="285" t="s">
        <v>7042</v>
      </c>
      <c r="B1964" s="252">
        <f>IF(A1964="", "", IF(IFERROR(VLOOKUP(A1964, 'Base 3F'!$B:$C, 2, FALSE),"")="", "SIN CUIT", VLOOKUP(A1964, 'Base 3F'!$B:$C, 2, FALSE)))</f>
        <v>30516933948</v>
      </c>
      <c r="C1964" s="253" t="str">
        <f>IF(A1964="", "", IF(IFERROR(VLOOKUP(A1964, 'Base 3F'!$B:$J, 9, FALSE),"")="", "SIN RUBRO", VLOOKUP(A1964, 'Base 3F'!$B:$J, 9, FALSE)))</f>
        <v>Metalúrgica</v>
      </c>
      <c r="D1964" s="58" t="s">
        <v>9924</v>
      </c>
      <c r="E1964" s="10" t="s">
        <v>2392</v>
      </c>
      <c r="F1964" s="46" t="s">
        <v>115</v>
      </c>
    </row>
    <row r="1965">
      <c r="A1965" s="285" t="s">
        <v>7077</v>
      </c>
      <c r="B1965" s="252">
        <f>IF(A1965="", "", IF(IFERROR(VLOOKUP(A1965, 'Base 3F'!$B:$C, 2, FALSE),"")="", "SIN CUIT", VLOOKUP(A1965, 'Base 3F'!$B:$C, 2, FALSE)))</f>
        <v>30714782025</v>
      </c>
      <c r="C1965" s="253" t="str">
        <f>IF(A1965="", "", IF(IFERROR(VLOOKUP(A1965, 'Base 3F'!$B:$J, 9, FALSE),"")="", "SIN RUBRO", VLOOKUP(A1965, 'Base 3F'!$B:$J, 9, FALSE)))</f>
        <v>Metalúrgica</v>
      </c>
      <c r="D1965" s="58" t="s">
        <v>9926</v>
      </c>
      <c r="E1965" s="10" t="s">
        <v>2392</v>
      </c>
      <c r="F1965" s="46" t="s">
        <v>115</v>
      </c>
    </row>
    <row r="1966">
      <c r="A1966" s="285" t="s">
        <v>7090</v>
      </c>
      <c r="B1966" s="252">
        <f>IF(A1966="", "", IF(IFERROR(VLOOKUP(A1966, 'Base 3F'!$B:$C, 2, FALSE),"")="", "SIN CUIT", VLOOKUP(A1966, 'Base 3F'!$B:$C, 2, FALSE)))</f>
        <v>30585206608</v>
      </c>
      <c r="C1966" s="253" t="str">
        <f>IF(A1966="", "", IF(IFERROR(VLOOKUP(A1966, 'Base 3F'!$B:$J, 9, FALSE),"")="", "SIN RUBRO", VLOOKUP(A1966, 'Base 3F'!$B:$J, 9, FALSE)))</f>
        <v>Plástica</v>
      </c>
      <c r="D1966" s="58" t="s">
        <v>9930</v>
      </c>
      <c r="E1966" s="10" t="s">
        <v>2392</v>
      </c>
      <c r="F1966" s="46" t="s">
        <v>115</v>
      </c>
    </row>
    <row r="1967">
      <c r="A1967" s="285" t="s">
        <v>7093</v>
      </c>
      <c r="B1967" s="252">
        <f>IF(A1967="", "", IF(IFERROR(VLOOKUP(A1967, 'Base 3F'!$B:$C, 2, FALSE),"")="", "SIN CUIT", VLOOKUP(A1967, 'Base 3F'!$B:$C, 2, FALSE)))</f>
        <v>30608523886</v>
      </c>
      <c r="C1967" s="253" t="str">
        <f>IF(A1967="", "", IF(IFERROR(VLOOKUP(A1967, 'Base 3F'!$B:$J, 9, FALSE),"")="", "SIN RUBRO", VLOOKUP(A1967, 'Base 3F'!$B:$J, 9, FALSE)))</f>
        <v>Alimenticia</v>
      </c>
      <c r="D1967" s="58" t="s">
        <v>9932</v>
      </c>
      <c r="E1967" s="10" t="s">
        <v>2392</v>
      </c>
      <c r="F1967" s="46" t="s">
        <v>115</v>
      </c>
    </row>
    <row r="1968">
      <c r="A1968" s="285" t="s">
        <v>7099</v>
      </c>
      <c r="B1968" s="252">
        <f>IF(A1968="", "", IF(IFERROR(VLOOKUP(A1968, 'Base 3F'!$B:$C, 2, FALSE),"")="", "SIN CUIT", VLOOKUP(A1968, 'Base 3F'!$B:$C, 2, FALSE)))</f>
        <v>30663785091</v>
      </c>
      <c r="C1968" s="253" t="str">
        <f>IF(A1968="", "", IF(IFERROR(VLOOKUP(A1968, 'Base 3F'!$B:$J, 9, FALSE),"")="", "SIN RUBRO", VLOOKUP(A1968, 'Base 3F'!$B:$J, 9, FALSE)))</f>
        <v>Química</v>
      </c>
      <c r="D1968" s="58" t="s">
        <v>9934</v>
      </c>
      <c r="E1968" s="10" t="s">
        <v>2392</v>
      </c>
      <c r="F1968" s="46" t="s">
        <v>115</v>
      </c>
    </row>
    <row r="1969">
      <c r="A1969" s="285" t="s">
        <v>7103</v>
      </c>
      <c r="B1969" s="252">
        <f>IF(A1969="", "", IF(IFERROR(VLOOKUP(A1969, 'Base 3F'!$B:$C, 2, FALSE),"")="", "SIN CUIT", VLOOKUP(A1969, 'Base 3F'!$B:$C, 2, FALSE)))</f>
        <v>30663818828</v>
      </c>
      <c r="C1969" s="253" t="str">
        <f>IF(A1969="", "", IF(IFERROR(VLOOKUP(A1969, 'Base 3F'!$B:$J, 9, FALSE),"")="", "SIN RUBRO", VLOOKUP(A1969, 'Base 3F'!$B:$J, 9, FALSE)))</f>
        <v>Química</v>
      </c>
      <c r="D1969" s="58" t="s">
        <v>9941</v>
      </c>
      <c r="E1969" s="10" t="s">
        <v>2392</v>
      </c>
      <c r="F1969" s="46" t="s">
        <v>115</v>
      </c>
    </row>
    <row r="1970">
      <c r="A1970" s="285" t="s">
        <v>7180</v>
      </c>
      <c r="B1970" s="252">
        <f>IF(A1970="", "", IF(IFERROR(VLOOKUP(A1970, 'Base 3F'!$B:$C, 2, FALSE),"")="", "SIN CUIT", VLOOKUP(A1970, 'Base 3F'!$B:$C, 2, FALSE)))</f>
        <v>30707846239</v>
      </c>
      <c r="C1970" s="253" t="str">
        <f>IF(A1970="", "", IF(IFERROR(VLOOKUP(A1970, 'Base 3F'!$B:$J, 9, FALSE),"")="", "SIN RUBRO", VLOOKUP(A1970, 'Base 3F'!$B:$J, 9, FALSE)))</f>
        <v>Metalúrgica</v>
      </c>
      <c r="D1970" s="58" t="s">
        <v>9946</v>
      </c>
      <c r="E1970" s="10" t="s">
        <v>2392</v>
      </c>
      <c r="F1970" s="46" t="s">
        <v>115</v>
      </c>
    </row>
    <row r="1971">
      <c r="A1971" s="285" t="s">
        <v>4163</v>
      </c>
      <c r="B1971" s="252">
        <f>IF(A1971="", "", IF(IFERROR(VLOOKUP(A1971, 'Base 3F'!$B:$C, 2, FALSE),"")="", "SIN CUIT", VLOOKUP(A1971, 'Base 3F'!$B:$C, 2, FALSE)))</f>
        <v>30711624372</v>
      </c>
      <c r="C1971" s="253" t="str">
        <f>IF(A1971="", "", IF(IFERROR(VLOOKUP(A1971, 'Base 3F'!$B:$J, 9, FALSE),"")="", "SIN RUBRO", VLOOKUP(A1971, 'Base 3F'!$B:$J, 9, FALSE)))</f>
        <v>Metalúrgica</v>
      </c>
      <c r="D1971" s="58" t="s">
        <v>9950</v>
      </c>
      <c r="E1971" s="10" t="s">
        <v>2392</v>
      </c>
      <c r="F1971" s="46" t="s">
        <v>115</v>
      </c>
    </row>
    <row r="1972">
      <c r="A1972" s="285" t="s">
        <v>7219</v>
      </c>
      <c r="B1972" s="252">
        <f>IF(A1972="", "", IF(IFERROR(VLOOKUP(A1972, 'Base 3F'!$B:$C, 2, FALSE),"")="", "SIN CUIT", VLOOKUP(A1972, 'Base 3F'!$B:$C, 2, FALSE)))</f>
        <v>30707510826</v>
      </c>
      <c r="C1972" s="253" t="str">
        <f>IF(A1972="", "", IF(IFERROR(VLOOKUP(A1972, 'Base 3F'!$B:$J, 9, FALSE),"")="", "SIN RUBRO", VLOOKUP(A1972, 'Base 3F'!$B:$J, 9, FALSE)))</f>
        <v>Metalúrgica</v>
      </c>
      <c r="D1972" s="58" t="s">
        <v>9956</v>
      </c>
      <c r="E1972" s="10" t="s">
        <v>2392</v>
      </c>
      <c r="F1972" s="46" t="s">
        <v>115</v>
      </c>
    </row>
    <row r="1973">
      <c r="A1973" s="285" t="s">
        <v>2028</v>
      </c>
      <c r="B1973" s="252">
        <f>IF(A1973="", "", IF(IFERROR(VLOOKUP(A1973, 'Base 3F'!$B:$C, 2, FALSE),"")="", "SIN CUIT", VLOOKUP(A1973, 'Base 3F'!$B:$C, 2, FALSE)))</f>
        <v>30663753025</v>
      </c>
      <c r="C1973" s="253" t="str">
        <f>IF(A1973="", "", IF(IFERROR(VLOOKUP(A1973, 'Base 3F'!$B:$J, 9, FALSE),"")="", "SIN RUBRO", VLOOKUP(A1973, 'Base 3F'!$B:$J, 9, FALSE)))</f>
        <v>Plástica</v>
      </c>
      <c r="D1973" s="58" t="s">
        <v>9960</v>
      </c>
      <c r="E1973" s="10" t="s">
        <v>2392</v>
      </c>
      <c r="F1973" s="46" t="s">
        <v>115</v>
      </c>
    </row>
    <row r="1974">
      <c r="A1974" s="285" t="s">
        <v>7905</v>
      </c>
      <c r="B1974" s="252">
        <f>IF(A1974="", "", IF(IFERROR(VLOOKUP(A1974, 'Base 3F'!$B:$C, 2, FALSE),"")="", "SIN CUIT", VLOOKUP(A1974, 'Base 3F'!$B:$C, 2, FALSE)))</f>
        <v>30647034396</v>
      </c>
      <c r="C1974" s="253" t="str">
        <f>IF(A1974="", "", IF(IFERROR(VLOOKUP(A1974, 'Base 3F'!$B:$J, 9, FALSE),"")="", "SIN RUBRO", VLOOKUP(A1974, 'Base 3F'!$B:$J, 9, FALSE)))</f>
        <v>Química</v>
      </c>
      <c r="D1974" s="58" t="s">
        <v>9963</v>
      </c>
      <c r="E1974" s="10" t="s">
        <v>2392</v>
      </c>
      <c r="F1974" s="46" t="s">
        <v>115</v>
      </c>
    </row>
    <row r="1975">
      <c r="A1975" s="285" t="s">
        <v>7295</v>
      </c>
      <c r="B1975" s="252">
        <f>IF(A1975="", "", IF(IFERROR(VLOOKUP(A1975, 'Base 3F'!$B:$C, 2, FALSE),"")="", "SIN CUIT", VLOOKUP(A1975, 'Base 3F'!$B:$C, 2, FALSE)))</f>
        <v>30559184809</v>
      </c>
      <c r="C1975" s="253" t="str">
        <f>IF(A1975="", "", IF(IFERROR(VLOOKUP(A1975, 'Base 3F'!$B:$J, 9, FALSE),"")="", "SIN RUBRO", VLOOKUP(A1975, 'Base 3F'!$B:$J, 9, FALSE)))</f>
        <v>Metalúrgica</v>
      </c>
      <c r="D1975" s="58" t="s">
        <v>9964</v>
      </c>
      <c r="E1975" s="10" t="s">
        <v>2392</v>
      </c>
      <c r="F1975" s="46" t="s">
        <v>115</v>
      </c>
    </row>
    <row r="1976">
      <c r="A1976" s="285" t="s">
        <v>2038</v>
      </c>
      <c r="B1976" s="252">
        <f>IF(A1976="", "", IF(IFERROR(VLOOKUP(A1976, 'Base 3F'!$B:$C, 2, FALSE),"")="", "SIN CUIT", VLOOKUP(A1976, 'Base 3F'!$B:$C, 2, FALSE)))</f>
        <v>30708089083</v>
      </c>
      <c r="C1976" s="253" t="str">
        <f>IF(A1976="", "", IF(IFERROR(VLOOKUP(A1976, 'Base 3F'!$B:$J, 9, FALSE),"")="", "SIN RUBRO", VLOOKUP(A1976, 'Base 3F'!$B:$J, 9, FALSE)))</f>
        <v>Caucho</v>
      </c>
      <c r="D1976" s="58" t="s">
        <v>9967</v>
      </c>
      <c r="E1976" s="10" t="s">
        <v>2392</v>
      </c>
      <c r="F1976" s="46" t="s">
        <v>115</v>
      </c>
    </row>
    <row r="1977">
      <c r="A1977" s="285" t="s">
        <v>2044</v>
      </c>
      <c r="B1977" s="252">
        <f>IF(A1977="", "", IF(IFERROR(VLOOKUP(A1977, 'Base 3F'!$B:$C, 2, FALSE),"")="", "SIN CUIT", VLOOKUP(A1977, 'Base 3F'!$B:$C, 2, FALSE)))</f>
        <v>33708799209</v>
      </c>
      <c r="C1977" s="253" t="str">
        <f>IF(A1977="", "", IF(IFERROR(VLOOKUP(A1977, 'Base 3F'!$B:$J, 9, FALSE),"")="", "SIN RUBRO", VLOOKUP(A1977, 'Base 3F'!$B:$J, 9, FALSE)))</f>
        <v>Metalúrgica</v>
      </c>
      <c r="D1977" s="58" t="s">
        <v>9968</v>
      </c>
      <c r="E1977" s="10" t="s">
        <v>2392</v>
      </c>
      <c r="F1977" s="46" t="s">
        <v>115</v>
      </c>
    </row>
    <row r="1978">
      <c r="A1978" s="285" t="s">
        <v>7311</v>
      </c>
      <c r="B1978" s="252">
        <f>IF(A1978="", "", IF(IFERROR(VLOOKUP(A1978, 'Base 3F'!$B:$C, 2, FALSE),"")="", "SIN CUIT", VLOOKUP(A1978, 'Base 3F'!$B:$C, 2, FALSE)))</f>
        <v>30505485587</v>
      </c>
      <c r="C1978" s="253" t="str">
        <f>IF(A1978="", "", IF(IFERROR(VLOOKUP(A1978, 'Base 3F'!$B:$J, 9, FALSE),"")="", "SIN RUBRO", VLOOKUP(A1978, 'Base 3F'!$B:$J, 9, FALSE)))</f>
        <v>Metalúrgica</v>
      </c>
      <c r="D1978" s="58" t="s">
        <v>9971</v>
      </c>
      <c r="E1978" s="10" t="s">
        <v>2392</v>
      </c>
      <c r="F1978" s="46" t="s">
        <v>115</v>
      </c>
    </row>
    <row r="1979">
      <c r="A1979" s="285" t="s">
        <v>4191</v>
      </c>
      <c r="B1979" s="252">
        <f>IF(A1979="", "", IF(IFERROR(VLOOKUP(A1979, 'Base 3F'!$B:$C, 2, FALSE),"")="", "SIN CUIT", VLOOKUP(A1979, 'Base 3F'!$B:$C, 2, FALSE)))</f>
        <v>27246236009</v>
      </c>
      <c r="C1979" s="253" t="str">
        <f>IF(A1979="", "", IF(IFERROR(VLOOKUP(A1979, 'Base 3F'!$B:$J, 9, FALSE),"")="", "SIN RUBRO", VLOOKUP(A1979, 'Base 3F'!$B:$J, 9, FALSE)))</f>
        <v>Textil</v>
      </c>
      <c r="D1979" s="58" t="s">
        <v>9979</v>
      </c>
      <c r="E1979" s="10" t="s">
        <v>2392</v>
      </c>
      <c r="F1979" s="46" t="s">
        <v>115</v>
      </c>
    </row>
    <row r="1980">
      <c r="A1980" s="285" t="s">
        <v>7332</v>
      </c>
      <c r="B1980" s="252">
        <f>IF(A1980="", "", IF(IFERROR(VLOOKUP(A1980, 'Base 3F'!$B:$C, 2, FALSE),"")="", "SIN CUIT", VLOOKUP(A1980, 'Base 3F'!$B:$C, 2, FALSE)))</f>
        <v>30712802908</v>
      </c>
      <c r="C1980" s="253" t="str">
        <f>IF(A1980="", "", IF(IFERROR(VLOOKUP(A1980, 'Base 3F'!$B:$J, 9, FALSE),"")="", "SIN RUBRO", VLOOKUP(A1980, 'Base 3F'!$B:$J, 9, FALSE)))</f>
        <v>Plástica</v>
      </c>
      <c r="D1980" s="58" t="s">
        <v>9980</v>
      </c>
      <c r="E1980" s="10" t="s">
        <v>2392</v>
      </c>
      <c r="F1980" s="46" t="s">
        <v>115</v>
      </c>
    </row>
    <row r="1981">
      <c r="A1981" s="285" t="s">
        <v>7345</v>
      </c>
      <c r="B1981" s="252">
        <f>IF(A1981="", "", IF(IFERROR(VLOOKUP(A1981, 'Base 3F'!$B:$C, 2, FALSE),"")="", "SIN CUIT", VLOOKUP(A1981, 'Base 3F'!$B:$C, 2, FALSE)))</f>
        <v>30714909998</v>
      </c>
      <c r="C1981" s="253" t="str">
        <f>IF(A1981="", "", IF(IFERROR(VLOOKUP(A1981, 'Base 3F'!$B:$J, 9, FALSE),"")="", "SIN RUBRO", VLOOKUP(A1981, 'Base 3F'!$B:$J, 9, FALSE)))</f>
        <v>Metalúrgica</v>
      </c>
      <c r="D1981" s="58" t="s">
        <v>9987</v>
      </c>
      <c r="E1981" s="10" t="s">
        <v>2392</v>
      </c>
      <c r="F1981" s="46" t="s">
        <v>115</v>
      </c>
    </row>
    <row r="1982">
      <c r="A1982" s="285" t="s">
        <v>2072</v>
      </c>
      <c r="B1982" s="252">
        <f>IF(A1982="", "", IF(IFERROR(VLOOKUP(A1982, 'Base 3F'!$B:$C, 2, FALSE),"")="", "SIN CUIT", VLOOKUP(A1982, 'Base 3F'!$B:$C, 2, FALSE)))</f>
        <v>33708547749</v>
      </c>
      <c r="C1982" s="253" t="str">
        <f>IF(A1982="", "", IF(IFERROR(VLOOKUP(A1982, 'Base 3F'!$B:$J, 9, FALSE),"")="", "SIN RUBRO", VLOOKUP(A1982, 'Base 3F'!$B:$J, 9, FALSE)))</f>
        <v>Metalúrgica</v>
      </c>
      <c r="D1982" s="58" t="s">
        <v>9988</v>
      </c>
      <c r="E1982" s="10" t="s">
        <v>2392</v>
      </c>
      <c r="F1982" s="46" t="s">
        <v>115</v>
      </c>
    </row>
    <row r="1983">
      <c r="A1983" s="285" t="s">
        <v>7408</v>
      </c>
      <c r="B1983" s="252">
        <f>IF(A1983="", "", IF(IFERROR(VLOOKUP(A1983, 'Base 3F'!$B:$C, 2, FALSE),"")="", "SIN CUIT", VLOOKUP(A1983, 'Base 3F'!$B:$C, 2, FALSE)))</f>
        <v>30708525002</v>
      </c>
      <c r="C1983" s="253" t="str">
        <f>IF(A1983="", "", IF(IFERROR(VLOOKUP(A1983, 'Base 3F'!$B:$J, 9, FALSE),"")="", "SIN RUBRO", VLOOKUP(A1983, 'Base 3F'!$B:$J, 9, FALSE)))</f>
        <v>Plástica</v>
      </c>
      <c r="D1983" s="58" t="s">
        <v>9997</v>
      </c>
      <c r="E1983" s="10" t="s">
        <v>2392</v>
      </c>
      <c r="F1983" s="46" t="s">
        <v>115</v>
      </c>
    </row>
    <row r="1984">
      <c r="A1984" s="285" t="s">
        <v>7412</v>
      </c>
      <c r="B1984" s="252">
        <f>IF(A1984="", "", IF(IFERROR(VLOOKUP(A1984, 'Base 3F'!$B:$C, 2, FALSE),"")="", "SIN CUIT", VLOOKUP(A1984, 'Base 3F'!$B:$C, 2, FALSE)))</f>
        <v>30656003576</v>
      </c>
      <c r="C1984" s="253" t="str">
        <f>IF(A1984="", "", IF(IFERROR(VLOOKUP(A1984, 'Base 3F'!$B:$J, 9, FALSE),"")="", "SIN RUBRO", VLOOKUP(A1984, 'Base 3F'!$B:$J, 9, FALSE)))</f>
        <v>Plástica</v>
      </c>
      <c r="D1984" s="58" t="s">
        <v>9998</v>
      </c>
      <c r="E1984" s="10" t="s">
        <v>2392</v>
      </c>
      <c r="F1984" s="46" t="s">
        <v>115</v>
      </c>
    </row>
    <row r="1985">
      <c r="A1985" s="285" t="s">
        <v>7417</v>
      </c>
      <c r="B1985" s="252">
        <f>IF(A1985="", "", IF(IFERROR(VLOOKUP(A1985, 'Base 3F'!$B:$C, 2, FALSE),"")="", "SIN CUIT", VLOOKUP(A1985, 'Base 3F'!$B:$C, 2, FALSE)))</f>
        <v>30661251294</v>
      </c>
      <c r="C1985" s="253" t="str">
        <f>IF(A1985="", "", IF(IFERROR(VLOOKUP(A1985, 'Base 3F'!$B:$J, 9, FALSE),"")="", "SIN RUBRO", VLOOKUP(A1985, 'Base 3F'!$B:$J, 9, FALSE)))</f>
        <v>Metalúrgica</v>
      </c>
      <c r="D1985" s="58" t="s">
        <v>10004</v>
      </c>
      <c r="E1985" s="10" t="s">
        <v>2392</v>
      </c>
      <c r="F1985" s="46" t="s">
        <v>115</v>
      </c>
    </row>
    <row r="1986">
      <c r="A1986" s="285" t="s">
        <v>2074</v>
      </c>
      <c r="B1986" s="252">
        <f>IF(A1986="", "", IF(IFERROR(VLOOKUP(A1986, 'Base 3F'!$B:$C, 2, FALSE),"")="", "SIN CUIT", VLOOKUP(A1986, 'Base 3F'!$B:$C, 2, FALSE)))</f>
        <v>30594578194</v>
      </c>
      <c r="C1986" s="253" t="str">
        <f>IF(A1986="", "", IF(IFERROR(VLOOKUP(A1986, 'Base 3F'!$B:$J, 9, FALSE),"")="", "SIN RUBRO", VLOOKUP(A1986, 'Base 3F'!$B:$J, 9, FALSE)))</f>
        <v>Química</v>
      </c>
      <c r="D1986" s="58" t="s">
        <v>10007</v>
      </c>
      <c r="E1986" s="10" t="s">
        <v>2392</v>
      </c>
      <c r="F1986" s="46" t="s">
        <v>115</v>
      </c>
    </row>
    <row r="1987">
      <c r="A1987" s="285" t="s">
        <v>7438</v>
      </c>
      <c r="B1987" s="252">
        <f>IF(A1987="", "", IF(IFERROR(VLOOKUP(A1987, 'Base 3F'!$B:$C, 2, FALSE),"")="", "SIN CUIT", VLOOKUP(A1987, 'Base 3F'!$B:$C, 2, FALSE)))</f>
        <v>30576314198</v>
      </c>
      <c r="C1987" s="253" t="str">
        <f>IF(A1987="", "", IF(IFERROR(VLOOKUP(A1987, 'Base 3F'!$B:$J, 9, FALSE),"")="", "SIN RUBRO", VLOOKUP(A1987, 'Base 3F'!$B:$J, 9, FALSE)))</f>
        <v>Química</v>
      </c>
      <c r="D1987" s="58" t="s">
        <v>10009</v>
      </c>
      <c r="E1987" s="10" t="s">
        <v>2392</v>
      </c>
      <c r="F1987" s="46" t="s">
        <v>115</v>
      </c>
    </row>
    <row r="1988">
      <c r="A1988" s="285" t="s">
        <v>7454</v>
      </c>
      <c r="B1988" s="252">
        <f>IF(A1988="", "", IF(IFERROR(VLOOKUP(A1988, 'Base 3F'!$B:$C, 2, FALSE),"")="", "SIN CUIT", VLOOKUP(A1988, 'Base 3F'!$B:$C, 2, FALSE)))</f>
        <v>30716087316</v>
      </c>
      <c r="C1988" s="253" t="str">
        <f>IF(A1988="", "", IF(IFERROR(VLOOKUP(A1988, 'Base 3F'!$B:$J, 9, FALSE),"")="", "SIN RUBRO", VLOOKUP(A1988, 'Base 3F'!$B:$J, 9, FALSE)))</f>
        <v>Metalúrgica</v>
      </c>
      <c r="D1988" s="142" t="s">
        <v>10011</v>
      </c>
      <c r="E1988" s="10" t="s">
        <v>2392</v>
      </c>
      <c r="F1988" s="46" t="s">
        <v>115</v>
      </c>
    </row>
    <row r="1989">
      <c r="A1989" s="285" t="s">
        <v>7456</v>
      </c>
      <c r="B1989" s="252">
        <f>IF(A1989="", "", IF(IFERROR(VLOOKUP(A1989, 'Base 3F'!$B:$C, 2, FALSE),"")="", "SIN CUIT", VLOOKUP(A1989, 'Base 3F'!$B:$C, 2, FALSE)))</f>
        <v>33709533229</v>
      </c>
      <c r="C1989" s="253" t="str">
        <f>IF(A1989="", "", IF(IFERROR(VLOOKUP(A1989, 'Base 3F'!$B:$J, 9, FALSE),"")="", "SIN RUBRO", VLOOKUP(A1989, 'Base 3F'!$B:$J, 9, FALSE)))</f>
        <v>Metalúrgica</v>
      </c>
      <c r="D1989" s="58" t="s">
        <v>10016</v>
      </c>
      <c r="E1989" s="10" t="s">
        <v>2392</v>
      </c>
      <c r="F1989" s="46" t="s">
        <v>115</v>
      </c>
    </row>
    <row r="1990">
      <c r="A1990" s="285" t="s">
        <v>4203</v>
      </c>
      <c r="B1990" s="252">
        <f>IF(A1990="", "", IF(IFERROR(VLOOKUP(A1990, 'Base 3F'!$B:$C, 2, FALSE),"")="", "SIN CUIT", VLOOKUP(A1990, 'Base 3F'!$B:$C, 2, FALSE)))</f>
        <v>30709854298</v>
      </c>
      <c r="C1990" s="253" t="str">
        <f>IF(A1990="", "", IF(IFERROR(VLOOKUP(A1990, 'Base 3F'!$B:$J, 9, FALSE),"")="", "SIN RUBRO", VLOOKUP(A1990, 'Base 3F'!$B:$J, 9, FALSE)))</f>
        <v>Metalúrgica</v>
      </c>
      <c r="D1990" s="58" t="s">
        <v>10020</v>
      </c>
      <c r="E1990" s="10" t="s">
        <v>2392</v>
      </c>
      <c r="F1990" s="46" t="s">
        <v>115</v>
      </c>
    </row>
    <row r="1991">
      <c r="A1991" s="285" t="s">
        <v>8507</v>
      </c>
      <c r="B1991" s="252">
        <f>IF(A1991="", "", IF(IFERROR(VLOOKUP(A1991, 'Base 3F'!$B:$C, 2, FALSE),"")="", "SIN CUIT", VLOOKUP(A1991, 'Base 3F'!$B:$C, 2, FALSE)))</f>
        <v>30695109829</v>
      </c>
      <c r="C1991" s="253" t="str">
        <f>IF(A1991="", "", IF(IFERROR(VLOOKUP(A1991, 'Base 3F'!$B:$J, 9, FALSE),"")="", "SIN RUBRO", VLOOKUP(A1991, 'Base 3F'!$B:$J, 9, FALSE)))</f>
        <v>Metalmecánica</v>
      </c>
      <c r="D1991" s="58" t="s">
        <v>10027</v>
      </c>
      <c r="E1991" s="10" t="s">
        <v>2392</v>
      </c>
      <c r="F1991" s="46" t="s">
        <v>115</v>
      </c>
    </row>
    <row r="1992">
      <c r="A1992" s="285" t="s">
        <v>7492</v>
      </c>
      <c r="B1992" s="252">
        <f>IF(A1992="", "", IF(IFERROR(VLOOKUP(A1992, 'Base 3F'!$B:$C, 2, FALSE),"")="", "SIN CUIT", VLOOKUP(A1992, 'Base 3F'!$B:$C, 2, FALSE)))</f>
        <v>30711579636</v>
      </c>
      <c r="C1992" s="253" t="str">
        <f>IF(A1992="", "", IF(IFERROR(VLOOKUP(A1992, 'Base 3F'!$B:$J, 9, FALSE),"")="", "SIN RUBRO", VLOOKUP(A1992, 'Base 3F'!$B:$J, 9, FALSE)))</f>
        <v>Metalúrgica</v>
      </c>
      <c r="D1992" s="58" t="s">
        <v>10030</v>
      </c>
      <c r="E1992" s="10" t="s">
        <v>2392</v>
      </c>
      <c r="F1992" s="46" t="s">
        <v>115</v>
      </c>
    </row>
    <row r="1993">
      <c r="A1993" s="285" t="s">
        <v>7510</v>
      </c>
      <c r="B1993" s="252">
        <f>IF(A1993="", "", IF(IFERROR(VLOOKUP(A1993, 'Base 3F'!$B:$C, 2, FALSE),"")="", "SIN CUIT", VLOOKUP(A1993, 'Base 3F'!$B:$C, 2, FALSE)))</f>
        <v>30633349572</v>
      </c>
      <c r="C1993" s="253" t="str">
        <f>IF(A1993="", "", IF(IFERROR(VLOOKUP(A1993, 'Base 3F'!$B:$J, 9, FALSE),"")="", "SIN RUBRO", VLOOKUP(A1993, 'Base 3F'!$B:$J, 9, FALSE)))</f>
        <v>Metalúrgica</v>
      </c>
      <c r="D1993" s="351" t="s">
        <v>10035</v>
      </c>
      <c r="E1993" s="10" t="s">
        <v>2392</v>
      </c>
      <c r="F1993" s="46" t="s">
        <v>115</v>
      </c>
    </row>
    <row r="1994">
      <c r="A1994" s="285" t="s">
        <v>2110</v>
      </c>
      <c r="B1994" s="252">
        <f>IF(A1994="", "", IF(IFERROR(VLOOKUP(A1994, 'Base 3F'!$B:$C, 2, FALSE),"")="", "SIN CUIT", VLOOKUP(A1994, 'Base 3F'!$B:$C, 2, FALSE)))</f>
        <v>30504755629</v>
      </c>
      <c r="C1994" s="253" t="str">
        <f>IF(A1994="", "", IF(IFERROR(VLOOKUP(A1994, 'Base 3F'!$B:$J, 9, FALSE),"")="", "SIN RUBRO", VLOOKUP(A1994, 'Base 3F'!$B:$J, 9, FALSE)))</f>
        <v>Metalúrgica</v>
      </c>
      <c r="D1994" s="58" t="s">
        <v>10038</v>
      </c>
      <c r="E1994" s="10" t="s">
        <v>2392</v>
      </c>
      <c r="F1994" s="46" t="s">
        <v>115</v>
      </c>
    </row>
    <row r="1995">
      <c r="A1995" s="285" t="s">
        <v>7524</v>
      </c>
      <c r="B1995" s="252">
        <f>IF(A1995="", "", IF(IFERROR(VLOOKUP(A1995, 'Base 3F'!$B:$C, 2, FALSE),"")="", "SIN CUIT", VLOOKUP(A1995, 'Base 3F'!$B:$C, 2, FALSE)))</f>
        <v>30701149951</v>
      </c>
      <c r="C1995" s="253" t="str">
        <f>IF(A1995="", "", IF(IFERROR(VLOOKUP(A1995, 'Base 3F'!$B:$J, 9, FALSE),"")="", "SIN RUBRO", VLOOKUP(A1995, 'Base 3F'!$B:$J, 9, FALSE)))</f>
        <v>Metalúrgica</v>
      </c>
      <c r="D1995" s="58" t="s">
        <v>10040</v>
      </c>
      <c r="E1995" s="10" t="s">
        <v>2392</v>
      </c>
      <c r="F1995" s="46" t="s">
        <v>115</v>
      </c>
    </row>
    <row r="1996">
      <c r="A1996" s="285" t="s">
        <v>2125</v>
      </c>
      <c r="B1996" s="252">
        <f>IF(A1996="", "", IF(IFERROR(VLOOKUP(A1996, 'Base 3F'!$B:$C, 2, FALSE),"")="", "SIN CUIT", VLOOKUP(A1996, 'Base 3F'!$B:$C, 2, FALSE)))</f>
        <v>30504115026</v>
      </c>
      <c r="C1996" s="253" t="str">
        <f>IF(A1996="", "", IF(IFERROR(VLOOKUP(A1996, 'Base 3F'!$B:$J, 9, FALSE),"")="", "SIN RUBRO", VLOOKUP(A1996, 'Base 3F'!$B:$J, 9, FALSE)))</f>
        <v>Plástica</v>
      </c>
      <c r="D1996" s="58" t="s">
        <v>10045</v>
      </c>
      <c r="E1996" s="10" t="s">
        <v>2392</v>
      </c>
      <c r="F1996" s="46" t="s">
        <v>115</v>
      </c>
    </row>
    <row r="1997">
      <c r="A1997" s="285" t="s">
        <v>7565</v>
      </c>
      <c r="B1997" s="252">
        <f>IF(A1997="", "", IF(IFERROR(VLOOKUP(A1997, 'Base 3F'!$B:$C, 2, FALSE),"")="", "SIN CUIT", VLOOKUP(A1997, 'Base 3F'!$B:$C, 2, FALSE)))</f>
        <v>30710153201</v>
      </c>
      <c r="C1997" s="253" t="str">
        <f>IF(A1997="", "", IF(IFERROR(VLOOKUP(A1997, 'Base 3F'!$B:$J, 9, FALSE),"")="", "SIN RUBRO", VLOOKUP(A1997, 'Base 3F'!$B:$J, 9, FALSE)))</f>
        <v>Metalúrgica</v>
      </c>
      <c r="D1997" s="58" t="s">
        <v>10046</v>
      </c>
      <c r="E1997" s="10" t="s">
        <v>2392</v>
      </c>
      <c r="F1997" s="46" t="s">
        <v>115</v>
      </c>
    </row>
    <row r="1998">
      <c r="A1998" s="285" t="s">
        <v>2134</v>
      </c>
      <c r="B1998" s="252">
        <f>IF(A1998="", "", IF(IFERROR(VLOOKUP(A1998, 'Base 3F'!$B:$C, 2, FALSE),"")="", "SIN CUIT", VLOOKUP(A1998, 'Base 3F'!$B:$C, 2, FALSE)))</f>
        <v>30708938021</v>
      </c>
      <c r="C1998" s="253" t="str">
        <f>IF(A1998="", "", IF(IFERROR(VLOOKUP(A1998, 'Base 3F'!$B:$J, 9, FALSE),"")="", "SIN RUBRO", VLOOKUP(A1998, 'Base 3F'!$B:$J, 9, FALSE)))</f>
        <v>Alimenticia</v>
      </c>
      <c r="D1998" s="58" t="s">
        <v>352</v>
      </c>
      <c r="E1998" s="10" t="s">
        <v>2392</v>
      </c>
      <c r="F1998" s="46" t="s">
        <v>115</v>
      </c>
    </row>
    <row r="1999">
      <c r="A1999" s="285" t="s">
        <v>2141</v>
      </c>
      <c r="B1999" s="252" t="str">
        <f>IF(A1999="", "", IF(IFERROR(VLOOKUP(A1999, 'Base 3F'!$B:$C, 2, FALSE),"")="", "SIN CUIT", VLOOKUP(A1999, 'Base 3F'!$B:$C, 2, FALSE)))</f>
        <v>SIN CUIT</v>
      </c>
      <c r="C1999" s="253" t="str">
        <f>IF(A1999="", "", IF(IFERROR(VLOOKUP(A1999, 'Base 3F'!$B:$J, 9, FALSE),"")="", "SIN RUBRO", VLOOKUP(A1999, 'Base 3F'!$B:$J, 9, FALSE)))</f>
        <v>SIN RUBRO</v>
      </c>
      <c r="D1999" s="58" t="s">
        <v>10051</v>
      </c>
      <c r="E1999" s="10" t="s">
        <v>2392</v>
      </c>
      <c r="F1999" s="46" t="s">
        <v>115</v>
      </c>
    </row>
    <row r="2000">
      <c r="A2000" s="285" t="s">
        <v>2156</v>
      </c>
      <c r="B2000" s="252">
        <f>IF(A2000="", "", IF(IFERROR(VLOOKUP(A2000, 'Base 3F'!$B:$C, 2, FALSE),"")="", "SIN CUIT", VLOOKUP(A2000, 'Base 3F'!$B:$C, 2, FALSE)))</f>
        <v>30708590602</v>
      </c>
      <c r="C2000" s="253" t="str">
        <f>IF(A2000="", "", IF(IFERROR(VLOOKUP(A2000, 'Base 3F'!$B:$J, 9, FALSE),"")="", "SIN RUBRO", VLOOKUP(A2000, 'Base 3F'!$B:$J, 9, FALSE)))</f>
        <v>Metalúrgica</v>
      </c>
      <c r="D2000" s="58" t="s">
        <v>10055</v>
      </c>
      <c r="E2000" s="10" t="s">
        <v>2392</v>
      </c>
      <c r="F2000" s="46" t="s">
        <v>115</v>
      </c>
    </row>
    <row r="2001">
      <c r="A2001" s="285" t="s">
        <v>2160</v>
      </c>
      <c r="B2001" s="252">
        <f>IF(A2001="", "", IF(IFERROR(VLOOKUP(A2001, 'Base 3F'!$B:$C, 2, FALSE),"")="", "SIN CUIT", VLOOKUP(A2001, 'Base 3F'!$B:$C, 2, FALSE)))</f>
        <v>30700915154</v>
      </c>
      <c r="C2001" s="253" t="str">
        <f>IF(A2001="", "", IF(IFERROR(VLOOKUP(A2001, 'Base 3F'!$B:$J, 9, FALSE),"")="", "SIN RUBRO", VLOOKUP(A2001, 'Base 3F'!$B:$J, 9, FALSE)))</f>
        <v>Madera</v>
      </c>
      <c r="D2001" s="58" t="s">
        <v>360</v>
      </c>
      <c r="E2001" s="10" t="s">
        <v>2392</v>
      </c>
      <c r="F2001" s="46" t="s">
        <v>115</v>
      </c>
    </row>
    <row r="2002">
      <c r="A2002" s="285" t="s">
        <v>8815</v>
      </c>
      <c r="B2002" s="252">
        <f>IF(A2002="", "", IF(IFERROR(VLOOKUP(A2002, 'Base 3F'!$B:$C, 2, FALSE),"")="", "SIN CUIT", VLOOKUP(A2002, 'Base 3F'!$B:$C, 2, FALSE)))</f>
        <v>30659157671</v>
      </c>
      <c r="C2002" s="253" t="str">
        <f>IF(A2002="", "", IF(IFERROR(VLOOKUP(A2002, 'Base 3F'!$B:$J, 9, FALSE),"")="", "SIN RUBRO", VLOOKUP(A2002, 'Base 3F'!$B:$J, 9, FALSE)))</f>
        <v>Metalúrgica</v>
      </c>
      <c r="D2002" s="58" t="s">
        <v>10058</v>
      </c>
      <c r="E2002" s="10" t="s">
        <v>2392</v>
      </c>
      <c r="F2002" s="46" t="s">
        <v>115</v>
      </c>
    </row>
    <row r="2003">
      <c r="A2003" s="285" t="s">
        <v>7613</v>
      </c>
      <c r="B2003" s="252">
        <f>IF(A2003="", "", IF(IFERROR(VLOOKUP(A2003, 'Base 3F'!$B:$C, 2, FALSE),"")="", "SIN CUIT", VLOOKUP(A2003, 'Base 3F'!$B:$C, 2, FALSE)))</f>
        <v>30711790175</v>
      </c>
      <c r="C2003" s="253" t="str">
        <f>IF(A2003="", "", IF(IFERROR(VLOOKUP(A2003, 'Base 3F'!$B:$J, 9, FALSE),"")="", "SIN RUBRO", VLOOKUP(A2003, 'Base 3F'!$B:$J, 9, FALSE)))</f>
        <v>Metalmecánica</v>
      </c>
      <c r="D2003" s="58" t="s">
        <v>10062</v>
      </c>
      <c r="E2003" s="10" t="s">
        <v>2392</v>
      </c>
      <c r="F2003" s="46" t="s">
        <v>115</v>
      </c>
    </row>
    <row r="2004">
      <c r="A2004" s="285" t="s">
        <v>7619</v>
      </c>
      <c r="B2004" s="252">
        <f>IF(A2004="", "", IF(IFERROR(VLOOKUP(A2004, 'Base 3F'!$B:$C, 2, FALSE),"")="", "SIN CUIT", VLOOKUP(A2004, 'Base 3F'!$B:$C, 2, FALSE)))</f>
        <v>30685329677</v>
      </c>
      <c r="C2004" s="253" t="str">
        <f>IF(A2004="", "", IF(IFERROR(VLOOKUP(A2004, 'Base 3F'!$B:$J, 9, FALSE),"")="", "SIN RUBRO", VLOOKUP(A2004, 'Base 3F'!$B:$J, 9, FALSE)))</f>
        <v>Alimenticia</v>
      </c>
      <c r="D2004" s="242" t="s">
        <v>10070</v>
      </c>
      <c r="E2004" s="10" t="s">
        <v>2392</v>
      </c>
      <c r="F2004" s="46" t="s">
        <v>7757</v>
      </c>
    </row>
    <row r="2005">
      <c r="A2005" s="285" t="s">
        <v>2183</v>
      </c>
      <c r="B2005" s="252">
        <f>IF(A2005="", "", IF(IFERROR(VLOOKUP(A2005, 'Base 3F'!$B:$C, 2, FALSE),"")="", "SIN CUIT", VLOOKUP(A2005, 'Base 3F'!$B:$C, 2, FALSE)))</f>
        <v>30557281289</v>
      </c>
      <c r="C2005" s="253" t="str">
        <f>IF(A2005="", "", IF(IFERROR(VLOOKUP(A2005, 'Base 3F'!$B:$J, 9, FALSE),"")="", "SIN RUBRO", VLOOKUP(A2005, 'Base 3F'!$B:$J, 9, FALSE)))</f>
        <v>Plástica</v>
      </c>
      <c r="D2005" s="58" t="s">
        <v>10071</v>
      </c>
      <c r="E2005" s="10" t="s">
        <v>2392</v>
      </c>
      <c r="F2005" s="46" t="s">
        <v>115</v>
      </c>
    </row>
    <row r="2006">
      <c r="A2006" s="285" t="s">
        <v>2191</v>
      </c>
      <c r="B2006" s="252">
        <f>IF(A2006="", "", IF(IFERROR(VLOOKUP(A2006, 'Base 3F'!$B:$C, 2, FALSE),"")="", "SIN CUIT", VLOOKUP(A2006, 'Base 3F'!$B:$C, 2, FALSE)))</f>
        <v>33644674059</v>
      </c>
      <c r="C2006" s="253" t="str">
        <f>IF(A2006="", "", IF(IFERROR(VLOOKUP(A2006, 'Base 3F'!$B:$J, 9, FALSE),"")="", "SIN RUBRO", VLOOKUP(A2006, 'Base 3F'!$B:$J, 9, FALSE)))</f>
        <v>Plástica</v>
      </c>
      <c r="D2006" s="58" t="s">
        <v>10078</v>
      </c>
      <c r="E2006" s="10" t="s">
        <v>2392</v>
      </c>
      <c r="F2006" s="46" t="s">
        <v>115</v>
      </c>
    </row>
    <row r="2007">
      <c r="A2007" s="285" t="s">
        <v>2196</v>
      </c>
      <c r="B2007" s="252">
        <f>IF(A2007="", "", IF(IFERROR(VLOOKUP(A2007, 'Base 3F'!$B:$C, 2, FALSE),"")="", "SIN CUIT", VLOOKUP(A2007, 'Base 3F'!$B:$C, 2, FALSE)))</f>
        <v>30689645131</v>
      </c>
      <c r="C2007" s="253" t="str">
        <f>IF(A2007="", "", IF(IFERROR(VLOOKUP(A2007, 'Base 3F'!$B:$J, 9, FALSE),"")="", "SIN RUBRO", VLOOKUP(A2007, 'Base 3F'!$B:$J, 9, FALSE)))</f>
        <v>Madera</v>
      </c>
      <c r="D2007" s="58" t="s">
        <v>4246</v>
      </c>
      <c r="E2007" s="10" t="s">
        <v>2392</v>
      </c>
      <c r="F2007" s="46" t="s">
        <v>115</v>
      </c>
    </row>
    <row r="2008">
      <c r="A2008" s="285" t="s">
        <v>7680</v>
      </c>
      <c r="B2008" s="252">
        <f>IF(A2008="", "", IF(IFERROR(VLOOKUP(A2008, 'Base 3F'!$B:$C, 2, FALSE),"")="", "SIN CUIT", VLOOKUP(A2008, 'Base 3F'!$B:$C, 2, FALSE)))</f>
        <v>30707997865</v>
      </c>
      <c r="C2008" s="253" t="str">
        <f>IF(A2008="", "", IF(IFERROR(VLOOKUP(A2008, 'Base 3F'!$B:$J, 9, FALSE),"")="", "SIN RUBRO", VLOOKUP(A2008, 'Base 3F'!$B:$J, 9, FALSE)))</f>
        <v>Metalmecánica</v>
      </c>
      <c r="D2008" s="58" t="s">
        <v>10083</v>
      </c>
      <c r="E2008" s="10" t="s">
        <v>2392</v>
      </c>
      <c r="F2008" s="46" t="s">
        <v>115</v>
      </c>
    </row>
    <row r="2009">
      <c r="A2009" s="285" t="s">
        <v>7684</v>
      </c>
      <c r="B2009" s="252">
        <f>IF(A2009="", "", IF(IFERROR(VLOOKUP(A2009, 'Base 3F'!$B:$C, 2, FALSE),"")="", "SIN CUIT", VLOOKUP(A2009, 'Base 3F'!$B:$C, 2, FALSE)))</f>
        <v>33714944679</v>
      </c>
      <c r="C2009" s="253" t="str">
        <f>IF(A2009="", "", IF(IFERROR(VLOOKUP(A2009, 'Base 3F'!$B:$J, 9, FALSE),"")="", "SIN RUBRO", VLOOKUP(A2009, 'Base 3F'!$B:$J, 9, FALSE)))</f>
        <v>Metalúrgica</v>
      </c>
      <c r="D2009" s="58" t="s">
        <v>10087</v>
      </c>
      <c r="E2009" s="10" t="s">
        <v>2392</v>
      </c>
      <c r="F2009" s="46" t="s">
        <v>115</v>
      </c>
    </row>
    <row r="2010">
      <c r="A2010" s="285" t="s">
        <v>7698</v>
      </c>
      <c r="B2010" s="252">
        <f>IF(A2010="", "", IF(IFERROR(VLOOKUP(A2010, 'Base 3F'!$B:$C, 2, FALSE),"")="", "SIN CUIT", VLOOKUP(A2010, 'Base 3F'!$B:$C, 2, FALSE)))</f>
        <v>33708678649</v>
      </c>
      <c r="C2010" s="253" t="str">
        <f>IF(A2010="", "", IF(IFERROR(VLOOKUP(A2010, 'Base 3F'!$B:$J, 9, FALSE),"")="", "SIN RUBRO", VLOOKUP(A2010, 'Base 3F'!$B:$J, 9, FALSE)))</f>
        <v>Metalúrgica</v>
      </c>
      <c r="D2010" s="58" t="s">
        <v>10090</v>
      </c>
      <c r="E2010" s="10" t="s">
        <v>2392</v>
      </c>
      <c r="F2010" s="46" t="s">
        <v>115</v>
      </c>
    </row>
    <row r="2011">
      <c r="A2011" s="285" t="s">
        <v>7704</v>
      </c>
      <c r="B2011" s="252">
        <f>IF(A2011="", "", IF(IFERROR(VLOOKUP(A2011, 'Base 3F'!$B:$C, 2, FALSE),"")="", "SIN CUIT", VLOOKUP(A2011, 'Base 3F'!$B:$C, 2, FALSE)))</f>
        <v>33552966509</v>
      </c>
      <c r="C2011" s="253" t="str">
        <f>IF(A2011="", "", IF(IFERROR(VLOOKUP(A2011, 'Base 3F'!$B:$J, 9, FALSE),"")="", "SIN RUBRO", VLOOKUP(A2011, 'Base 3F'!$B:$J, 9, FALSE)))</f>
        <v>Caucho</v>
      </c>
      <c r="D2011" s="58" t="s">
        <v>10093</v>
      </c>
      <c r="E2011" s="10" t="s">
        <v>2392</v>
      </c>
      <c r="F2011" s="46" t="s">
        <v>115</v>
      </c>
    </row>
    <row r="2012">
      <c r="A2012" s="285" t="s">
        <v>7710</v>
      </c>
      <c r="B2012" s="252">
        <f>IF(A2012="", "", IF(IFERROR(VLOOKUP(A2012, 'Base 3F'!$B:$C, 2, FALSE),"")="", "SIN CUIT", VLOOKUP(A2012, 'Base 3F'!$B:$C, 2, FALSE)))</f>
        <v>30580975573</v>
      </c>
      <c r="C2012" s="253" t="str">
        <f>IF(A2012="", "", IF(IFERROR(VLOOKUP(A2012, 'Base 3F'!$B:$J, 9, FALSE),"")="", "SIN RUBRO", VLOOKUP(A2012, 'Base 3F'!$B:$J, 9, FALSE)))</f>
        <v>Electrónica</v>
      </c>
      <c r="D2012" s="58" t="s">
        <v>10097</v>
      </c>
      <c r="E2012" s="10" t="s">
        <v>2392</v>
      </c>
      <c r="F2012" s="46" t="s">
        <v>115</v>
      </c>
    </row>
    <row r="2013">
      <c r="A2013" s="285" t="s">
        <v>7718</v>
      </c>
      <c r="B2013" s="252">
        <f>IF(A2013="", "", IF(IFERROR(VLOOKUP(A2013, 'Base 3F'!$B:$C, 2, FALSE),"")="", "SIN CUIT", VLOOKUP(A2013, 'Base 3F'!$B:$C, 2, FALSE)))</f>
        <v>30516752684</v>
      </c>
      <c r="C2013" s="253" t="str">
        <f>IF(A2013="", "", IF(IFERROR(VLOOKUP(A2013, 'Base 3F'!$B:$J, 9, FALSE),"")="", "SIN RUBRO", VLOOKUP(A2013, 'Base 3F'!$B:$J, 9, FALSE)))</f>
        <v>Química</v>
      </c>
      <c r="D2013" s="58" t="s">
        <v>10103</v>
      </c>
      <c r="E2013" s="10" t="s">
        <v>2392</v>
      </c>
      <c r="F2013" s="46" t="s">
        <v>115</v>
      </c>
    </row>
    <row r="2014">
      <c r="A2014" s="285" t="s">
        <v>7730</v>
      </c>
      <c r="B2014" s="252">
        <f>IF(A2014="", "", IF(IFERROR(VLOOKUP(A2014, 'Base 3F'!$B:$C, 2, FALSE),"")="", "SIN CUIT", VLOOKUP(A2014, 'Base 3F'!$B:$C, 2, FALSE)))</f>
        <v>33708597509</v>
      </c>
      <c r="C2014" s="253" t="str">
        <f>IF(A2014="", "", IF(IFERROR(VLOOKUP(A2014, 'Base 3F'!$B:$J, 9, FALSE),"")="", "SIN RUBRO", VLOOKUP(A2014, 'Base 3F'!$B:$J, 9, FALSE)))</f>
        <v>Metalúrgica</v>
      </c>
      <c r="D2014" s="58" t="s">
        <v>10107</v>
      </c>
      <c r="E2014" s="10" t="s">
        <v>2392</v>
      </c>
      <c r="F2014" s="46" t="s">
        <v>115</v>
      </c>
    </row>
    <row r="2015">
      <c r="A2015" s="285" t="s">
        <v>2227</v>
      </c>
      <c r="B2015" s="252">
        <f>IF(A2015="", "", IF(IFERROR(VLOOKUP(A2015, 'Base 3F'!$B:$C, 2, FALSE),"")="", "SIN CUIT", VLOOKUP(A2015, 'Base 3F'!$B:$C, 2, FALSE)))</f>
        <v>30575198348</v>
      </c>
      <c r="C2015" s="253" t="str">
        <f>IF(A2015="", "", IF(IFERROR(VLOOKUP(A2015, 'Base 3F'!$B:$J, 9, FALSE),"")="", "SIN RUBRO", VLOOKUP(A2015, 'Base 3F'!$B:$J, 9, FALSE)))</f>
        <v>Metalúrgica</v>
      </c>
      <c r="D2015" s="58" t="s">
        <v>10111</v>
      </c>
      <c r="E2015" s="10" t="s">
        <v>2392</v>
      </c>
      <c r="F2015" s="46" t="s">
        <v>115</v>
      </c>
    </row>
    <row r="2016">
      <c r="A2016" s="285" t="s">
        <v>2237</v>
      </c>
      <c r="B2016" s="252">
        <f>IF(A2016="", "", IF(IFERROR(VLOOKUP(A2016, 'Base 3F'!$B:$C, 2, FALSE),"")="", "SIN CUIT", VLOOKUP(A2016, 'Base 3F'!$B:$C, 2, FALSE)))</f>
        <v>20302795801</v>
      </c>
      <c r="C2016" s="253" t="str">
        <f>IF(A2016="", "", IF(IFERROR(VLOOKUP(A2016, 'Base 3F'!$B:$J, 9, FALSE),"")="", "SIN RUBRO", VLOOKUP(A2016, 'Base 3F'!$B:$J, 9, FALSE)))</f>
        <v>Alimenticia</v>
      </c>
      <c r="D2016" s="58" t="s">
        <v>10114</v>
      </c>
      <c r="E2016" s="10" t="s">
        <v>2392</v>
      </c>
      <c r="F2016" s="46" t="s">
        <v>115</v>
      </c>
    </row>
    <row r="2017">
      <c r="A2017" s="285" t="s">
        <v>7771</v>
      </c>
      <c r="B2017" s="252">
        <f>IF(A2017="", "", IF(IFERROR(VLOOKUP(A2017, 'Base 3F'!$B:$C, 2, FALSE),"")="", "SIN CUIT", VLOOKUP(A2017, 'Base 3F'!$B:$C, 2, FALSE)))</f>
        <v>33710854489</v>
      </c>
      <c r="C2017" s="253" t="str">
        <f>IF(A2017="", "", IF(IFERROR(VLOOKUP(A2017, 'Base 3F'!$B:$J, 9, FALSE),"")="", "SIN RUBRO", VLOOKUP(A2017, 'Base 3F'!$B:$J, 9, FALSE)))</f>
        <v>Plástica</v>
      </c>
      <c r="D2017" s="58" t="s">
        <v>10120</v>
      </c>
      <c r="E2017" s="10" t="s">
        <v>2392</v>
      </c>
      <c r="F2017" s="46" t="s">
        <v>115</v>
      </c>
    </row>
    <row r="2018">
      <c r="A2018" s="285" t="s">
        <v>7800</v>
      </c>
      <c r="B2018" s="252">
        <f>IF(A2018="", "", IF(IFERROR(VLOOKUP(A2018, 'Base 3F'!$B:$C, 2, FALSE),"")="", "SIN CUIT", VLOOKUP(A2018, 'Base 3F'!$B:$C, 2, FALSE)))</f>
        <v>30710237804</v>
      </c>
      <c r="C2018" s="253" t="str">
        <f>IF(A2018="", "", IF(IFERROR(VLOOKUP(A2018, 'Base 3F'!$B:$J, 9, FALSE),"")="", "SIN RUBRO", VLOOKUP(A2018, 'Base 3F'!$B:$J, 9, FALSE)))</f>
        <v>Plástica</v>
      </c>
      <c r="D2018" s="58" t="s">
        <v>10129</v>
      </c>
      <c r="E2018" s="10" t="s">
        <v>2392</v>
      </c>
      <c r="F2018" s="46" t="s">
        <v>115</v>
      </c>
    </row>
    <row r="2019">
      <c r="A2019" s="285" t="s">
        <v>2266</v>
      </c>
      <c r="B2019" s="252">
        <f>IF(A2019="", "", IF(IFERROR(VLOOKUP(A2019, 'Base 3F'!$B:$C, 2, FALSE),"")="", "SIN CUIT", VLOOKUP(A2019, 'Base 3F'!$B:$C, 2, FALSE)))</f>
        <v>30685322710</v>
      </c>
      <c r="C2019" s="253" t="str">
        <f>IF(A2019="", "", IF(IFERROR(VLOOKUP(A2019, 'Base 3F'!$B:$J, 9, FALSE),"")="", "SIN RUBRO", VLOOKUP(A2019, 'Base 3F'!$B:$J, 9, FALSE)))</f>
        <v>Servicios</v>
      </c>
      <c r="D2019" s="58" t="s">
        <v>10135</v>
      </c>
      <c r="E2019" s="10" t="s">
        <v>2392</v>
      </c>
      <c r="F2019" s="46" t="s">
        <v>115</v>
      </c>
    </row>
    <row r="2020">
      <c r="A2020" s="285" t="s">
        <v>4257</v>
      </c>
      <c r="B2020" s="252">
        <f>IF(A2020="", "", IF(IFERROR(VLOOKUP(A2020, 'Base 3F'!$B:$C, 2, FALSE),"")="", "SIN CUIT", VLOOKUP(A2020, 'Base 3F'!$B:$C, 2, FALSE)))</f>
        <v>30707413677</v>
      </c>
      <c r="C2020" s="253" t="str">
        <f>IF(A2020="", "", IF(IFERROR(VLOOKUP(A2020, 'Base 3F'!$B:$J, 9, FALSE),"")="", "SIN RUBRO", VLOOKUP(A2020, 'Base 3F'!$B:$J, 9, FALSE)))</f>
        <v>Alimenticia</v>
      </c>
      <c r="D2020" s="242" t="s">
        <v>10139</v>
      </c>
      <c r="E2020" s="10" t="s">
        <v>2392</v>
      </c>
      <c r="F2020" s="46" t="s">
        <v>1625</v>
      </c>
    </row>
    <row r="2021">
      <c r="A2021" s="285" t="s">
        <v>2281</v>
      </c>
      <c r="B2021" s="252">
        <f>IF(A2021="", "", IF(IFERROR(VLOOKUP(A2021, 'Base 3F'!$B:$C, 2, FALSE),"")="", "SIN CUIT", VLOOKUP(A2021, 'Base 3F'!$B:$C, 2, FALSE)))</f>
        <v>30708167823</v>
      </c>
      <c r="C2021" s="253" t="str">
        <f>IF(A2021="", "", IF(IFERROR(VLOOKUP(A2021, 'Base 3F'!$B:$J, 9, FALSE),"")="", "SIN RUBRO", VLOOKUP(A2021, 'Base 3F'!$B:$J, 9, FALSE)))</f>
        <v>Papel</v>
      </c>
      <c r="D2021" s="58" t="s">
        <v>10141</v>
      </c>
      <c r="E2021" s="10" t="s">
        <v>2392</v>
      </c>
      <c r="F2021" s="46" t="s">
        <v>115</v>
      </c>
    </row>
    <row r="2022">
      <c r="A2022" s="285" t="s">
        <v>9447</v>
      </c>
      <c r="B2022" s="252">
        <f>IF(A2022="", "", IF(IFERROR(VLOOKUP(A2022, 'Base 3F'!$B:$C, 2, FALSE),"")="", "SIN CUIT", VLOOKUP(A2022, 'Base 3F'!$B:$C, 2, FALSE)))</f>
        <v>34583382722</v>
      </c>
      <c r="C2022" s="253" t="str">
        <f>IF(A2022="", "", IF(IFERROR(VLOOKUP(A2022, 'Base 3F'!$B:$J, 9, FALSE),"")="", "SIN RUBRO", VLOOKUP(A2022, 'Base 3F'!$B:$J, 9, FALSE)))</f>
        <v>Manufactura</v>
      </c>
      <c r="D2022" s="58" t="s">
        <v>10150</v>
      </c>
      <c r="E2022" s="10" t="s">
        <v>2392</v>
      </c>
      <c r="F2022" s="46" t="s">
        <v>115</v>
      </c>
    </row>
    <row r="2023">
      <c r="A2023" s="285" t="s">
        <v>7879</v>
      </c>
      <c r="B2023" s="252">
        <f>IF(A2023="", "", IF(IFERROR(VLOOKUP(A2023, 'Base 3F'!$B:$C, 2, FALSE),"")="", "SIN CUIT", VLOOKUP(A2023, 'Base 3F'!$B:$C, 2, FALSE)))</f>
        <v>30596973430</v>
      </c>
      <c r="C2023" s="253" t="str">
        <f>IF(A2023="", "", IF(IFERROR(VLOOKUP(A2023, 'Base 3F'!$B:$J, 9, FALSE),"")="", "SIN RUBRO", VLOOKUP(A2023, 'Base 3F'!$B:$J, 9, FALSE)))</f>
        <v>Metalúrgica</v>
      </c>
      <c r="D2023" s="58" t="s">
        <v>10154</v>
      </c>
      <c r="E2023" s="10" t="s">
        <v>2392</v>
      </c>
      <c r="F2023" s="46" t="s">
        <v>115</v>
      </c>
    </row>
    <row r="2024">
      <c r="A2024" s="285" t="s">
        <v>7882</v>
      </c>
      <c r="B2024" s="252">
        <f>IF(A2024="", "", IF(IFERROR(VLOOKUP(A2024, 'Base 3F'!$B:$C, 2, FALSE),"")="", "SIN CUIT", VLOOKUP(A2024, 'Base 3F'!$B:$C, 2, FALSE)))</f>
        <v>30546793806</v>
      </c>
      <c r="C2024" s="253" t="str">
        <f>IF(A2024="", "", IF(IFERROR(VLOOKUP(A2024, 'Base 3F'!$B:$J, 9, FALSE),"")="", "SIN RUBRO", VLOOKUP(A2024, 'Base 3F'!$B:$J, 9, FALSE)))</f>
        <v>Metalúrgica</v>
      </c>
      <c r="D2024" s="122" t="s">
        <v>10155</v>
      </c>
      <c r="E2024" s="10" t="s">
        <v>2392</v>
      </c>
      <c r="F2024" s="46" t="s">
        <v>115</v>
      </c>
    </row>
    <row r="2025">
      <c r="A2025" s="285" t="s">
        <v>4270</v>
      </c>
      <c r="B2025" s="252">
        <f>IF(A2025="", "", IF(IFERROR(VLOOKUP(A2025, 'Base 3F'!$B:$C, 2, FALSE),"")="", "SIN CUIT", VLOOKUP(A2025, 'Base 3F'!$B:$C, 2, FALSE)))</f>
        <v>33682770649</v>
      </c>
      <c r="C2025" s="253" t="str">
        <f>IF(A2025="", "", IF(IFERROR(VLOOKUP(A2025, 'Base 3F'!$B:$J, 9, FALSE),"")="", "SIN RUBRO", VLOOKUP(A2025, 'Base 3F'!$B:$J, 9, FALSE)))</f>
        <v>Metalúrgica</v>
      </c>
      <c r="D2025" s="58" t="s">
        <v>10160</v>
      </c>
      <c r="E2025" s="10" t="s">
        <v>2392</v>
      </c>
      <c r="F2025" s="46" t="s">
        <v>115</v>
      </c>
    </row>
    <row r="2026">
      <c r="A2026" s="285" t="s">
        <v>9593</v>
      </c>
      <c r="B2026" s="252">
        <f>IF(A2026="", "", IF(IFERROR(VLOOKUP(A2026, 'Base 3F'!$B:$C, 2, FALSE),"")="", "SIN CUIT", VLOOKUP(A2026, 'Base 3F'!$B:$C, 2, FALSE)))</f>
        <v>30519372165</v>
      </c>
      <c r="C2026" s="253" t="str">
        <f>IF(A2026="", "", IF(IFERROR(VLOOKUP(A2026, 'Base 3F'!$B:$J, 9, FALSE),"")="", "SIN RUBRO", VLOOKUP(A2026, 'Base 3F'!$B:$J, 9, FALSE)))</f>
        <v>Textil</v>
      </c>
      <c r="D2026" s="58" t="s">
        <v>10162</v>
      </c>
      <c r="E2026" s="10" t="s">
        <v>2392</v>
      </c>
      <c r="F2026" s="46" t="s">
        <v>115</v>
      </c>
    </row>
    <row r="2027">
      <c r="A2027" s="285" t="s">
        <v>7956</v>
      </c>
      <c r="B2027" s="252">
        <f>IF(A2027="", "", IF(IFERROR(VLOOKUP(A2027, 'Base 3F'!$B:$C, 2, FALSE),"")="", "SIN CUIT", VLOOKUP(A2027, 'Base 3F'!$B:$C, 2, FALSE)))</f>
        <v>30504160269</v>
      </c>
      <c r="C2027" s="253" t="str">
        <f>IF(A2027="", "", IF(IFERROR(VLOOKUP(A2027, 'Base 3F'!$B:$J, 9, FALSE),"")="", "SIN RUBRO", VLOOKUP(A2027, 'Base 3F'!$B:$J, 9, FALSE)))</f>
        <v>Metalúrgica</v>
      </c>
      <c r="D2027" s="58" t="s">
        <v>10169</v>
      </c>
      <c r="E2027" s="10" t="s">
        <v>2392</v>
      </c>
      <c r="F2027" s="46" t="s">
        <v>115</v>
      </c>
    </row>
    <row r="2028">
      <c r="A2028" s="285" t="s">
        <v>7966</v>
      </c>
      <c r="B2028" s="252">
        <f>IF(A2028="", "", IF(IFERROR(VLOOKUP(A2028, 'Base 3F'!$B:$C, 2, FALSE),"")="", "SIN CUIT", VLOOKUP(A2028, 'Base 3F'!$B:$C, 2, FALSE)))</f>
        <v>30687706869</v>
      </c>
      <c r="C2028" s="253" t="str">
        <f>IF(A2028="", "", IF(IFERROR(VLOOKUP(A2028, 'Base 3F'!$B:$J, 9, FALSE),"")="", "SIN RUBRO", VLOOKUP(A2028, 'Base 3F'!$B:$J, 9, FALSE)))</f>
        <v>Plástica</v>
      </c>
      <c r="D2028" s="58" t="s">
        <v>10171</v>
      </c>
      <c r="E2028" s="10" t="s">
        <v>2392</v>
      </c>
      <c r="F2028" s="46" t="s">
        <v>115</v>
      </c>
    </row>
    <row r="2029">
      <c r="A2029" s="285" t="s">
        <v>4286</v>
      </c>
      <c r="B2029" s="252">
        <f>IF(A2029="", "", IF(IFERROR(VLOOKUP(A2029, 'Base 3F'!$B:$C, 2, FALSE),"")="", "SIN CUIT", VLOOKUP(A2029, 'Base 3F'!$B:$C, 2, FALSE)))</f>
        <v>30519198386</v>
      </c>
      <c r="C2029" s="253" t="str">
        <f>IF(A2029="", "", IF(IFERROR(VLOOKUP(A2029, 'Base 3F'!$B:$J, 9, FALSE),"")="", "SIN RUBRO", VLOOKUP(A2029, 'Base 3F'!$B:$J, 9, FALSE)))</f>
        <v>Alimenticia</v>
      </c>
      <c r="D2029" s="242" t="s">
        <v>10174</v>
      </c>
      <c r="E2029" s="10" t="s">
        <v>2392</v>
      </c>
      <c r="F2029" s="46" t="s">
        <v>1625</v>
      </c>
    </row>
    <row r="2030">
      <c r="A2030" s="285" t="s">
        <v>8012</v>
      </c>
      <c r="B2030" s="252">
        <f>IF(A2030="", "", IF(IFERROR(VLOOKUP(A2030, 'Base 3F'!$B:$C, 2, FALSE),"")="", "SIN CUIT", VLOOKUP(A2030, 'Base 3F'!$B:$C, 2, FALSE)))</f>
        <v>30680315015</v>
      </c>
      <c r="C2030" s="253" t="str">
        <f>IF(A2030="", "", IF(IFERROR(VLOOKUP(A2030, 'Base 3F'!$B:$J, 9, FALSE),"")="", "SIN RUBRO", VLOOKUP(A2030, 'Base 3F'!$B:$J, 9, FALSE)))</f>
        <v>Metalúrgica</v>
      </c>
      <c r="D2030" s="58" t="s">
        <v>10177</v>
      </c>
      <c r="E2030" s="10" t="s">
        <v>2392</v>
      </c>
      <c r="F2030" s="46" t="s">
        <v>115</v>
      </c>
    </row>
    <row r="2031">
      <c r="A2031" s="285" t="s">
        <v>2318</v>
      </c>
      <c r="B2031" s="252">
        <f>IF(A2031="", "", IF(IFERROR(VLOOKUP(A2031, 'Base 3F'!$B:$C, 2, FALSE),"")="", "SIN CUIT", VLOOKUP(A2031, 'Base 3F'!$B:$C, 2, FALSE)))</f>
        <v>30678279257</v>
      </c>
      <c r="C2031" s="253" t="str">
        <f>IF(A2031="", "", IF(IFERROR(VLOOKUP(A2031, 'Base 3F'!$B:$J, 9, FALSE),"")="", "SIN RUBRO", VLOOKUP(A2031, 'Base 3F'!$B:$J, 9, FALSE)))</f>
        <v>Metalúrgica</v>
      </c>
      <c r="D2031" s="58" t="s">
        <v>10181</v>
      </c>
      <c r="E2031" s="10" t="s">
        <v>2392</v>
      </c>
      <c r="F2031" s="46" t="s">
        <v>115</v>
      </c>
    </row>
    <row r="2032">
      <c r="A2032" s="285" t="s">
        <v>2324</v>
      </c>
      <c r="B2032" s="252">
        <f>IF(A2032="", "", IF(IFERROR(VLOOKUP(A2032, 'Base 3F'!$B:$C, 2, FALSE),"")="", "SIN CUIT", VLOOKUP(A2032, 'Base 3F'!$B:$C, 2, FALSE)))</f>
        <v>20314226446</v>
      </c>
      <c r="C2032" s="253" t="str">
        <f>IF(A2032="", "", IF(IFERROR(VLOOKUP(A2032, 'Base 3F'!$B:$J, 9, FALSE),"")="", "SIN RUBRO", VLOOKUP(A2032, 'Base 3F'!$B:$J, 9, FALSE)))</f>
        <v>Metalúrgica</v>
      </c>
      <c r="D2032" s="58" t="s">
        <v>10186</v>
      </c>
      <c r="E2032" s="10" t="s">
        <v>2392</v>
      </c>
      <c r="F2032" s="46" t="s">
        <v>115</v>
      </c>
    </row>
    <row r="2033">
      <c r="A2033" s="285" t="s">
        <v>8092</v>
      </c>
      <c r="B2033" s="252">
        <f>IF(A2033="", "", IF(IFERROR(VLOOKUP(A2033, 'Base 3F'!$B:$C, 2, FALSE),"")="", "SIN CUIT", VLOOKUP(A2033, 'Base 3F'!$B:$C, 2, FALSE)))</f>
        <v>20169739073</v>
      </c>
      <c r="C2033" s="253" t="str">
        <f>IF(A2033="", "", IF(IFERROR(VLOOKUP(A2033, 'Base 3F'!$B:$J, 9, FALSE),"")="", "SIN RUBRO", VLOOKUP(A2033, 'Base 3F'!$B:$J, 9, FALSE)))</f>
        <v>Madera</v>
      </c>
      <c r="D2033" s="142" t="s">
        <v>10190</v>
      </c>
      <c r="E2033" s="10" t="s">
        <v>2392</v>
      </c>
      <c r="F2033" s="46" t="s">
        <v>115</v>
      </c>
    </row>
    <row r="2034">
      <c r="A2034" s="285" t="s">
        <v>2338</v>
      </c>
      <c r="B2034" s="252">
        <f>IF(A2034="", "", IF(IFERROR(VLOOKUP(A2034, 'Base 3F'!$B:$C, 2, FALSE),"")="", "SIN CUIT", VLOOKUP(A2034, 'Base 3F'!$B:$C, 2, FALSE)))</f>
        <v>30593166488</v>
      </c>
      <c r="C2034" s="253" t="str">
        <f>IF(A2034="", "", IF(IFERROR(VLOOKUP(A2034, 'Base 3F'!$B:$J, 9, FALSE),"")="", "SIN RUBRO", VLOOKUP(A2034, 'Base 3F'!$B:$J, 9, FALSE)))</f>
        <v>Plástica</v>
      </c>
      <c r="D2034" s="58" t="s">
        <v>10191</v>
      </c>
      <c r="E2034" s="10" t="s">
        <v>2392</v>
      </c>
      <c r="F2034" s="46" t="s">
        <v>115</v>
      </c>
    </row>
    <row r="2035">
      <c r="A2035" s="285" t="s">
        <v>8103</v>
      </c>
      <c r="B2035" s="252">
        <f>IF(A2035="", "", IF(IFERROR(VLOOKUP(A2035, 'Base 3F'!$B:$C, 2, FALSE),"")="", "SIN CUIT", VLOOKUP(A2035, 'Base 3F'!$B:$C, 2, FALSE)))</f>
        <v>30691692074</v>
      </c>
      <c r="C2035" s="253" t="str">
        <f>IF(A2035="", "", IF(IFERROR(VLOOKUP(A2035, 'Base 3F'!$B:$J, 9, FALSE),"")="", "SIN RUBRO", VLOOKUP(A2035, 'Base 3F'!$B:$J, 9, FALSE)))</f>
        <v>Gráfica</v>
      </c>
      <c r="D2035" s="58" t="s">
        <v>10197</v>
      </c>
      <c r="E2035" s="10" t="s">
        <v>2392</v>
      </c>
      <c r="F2035" s="46" t="s">
        <v>115</v>
      </c>
    </row>
    <row r="2036">
      <c r="A2036" s="285" t="s">
        <v>8135</v>
      </c>
      <c r="B2036" s="252">
        <f>IF(A2036="", "", IF(IFERROR(VLOOKUP(A2036, 'Base 3F'!$B:$C, 2, FALSE),"")="", "SIN CUIT", VLOOKUP(A2036, 'Base 3F'!$B:$C, 2, FALSE)))</f>
        <v>30709526452</v>
      </c>
      <c r="C2036" s="253" t="str">
        <f>IF(A2036="", "", IF(IFERROR(VLOOKUP(A2036, 'Base 3F'!$B:$J, 9, FALSE),"")="", "SIN RUBRO", VLOOKUP(A2036, 'Base 3F'!$B:$J, 9, FALSE)))</f>
        <v>Caucho</v>
      </c>
      <c r="D2036" s="58" t="s">
        <v>10202</v>
      </c>
      <c r="E2036" s="10" t="s">
        <v>2392</v>
      </c>
      <c r="F2036" s="46" t="s">
        <v>115</v>
      </c>
    </row>
    <row r="2037">
      <c r="A2037" s="285" t="s">
        <v>8148</v>
      </c>
      <c r="B2037" s="252">
        <f>IF(A2037="", "", IF(IFERROR(VLOOKUP(A2037, 'Base 3F'!$B:$C, 2, FALSE),"")="", "SIN CUIT", VLOOKUP(A2037, 'Base 3F'!$B:$C, 2, FALSE)))</f>
        <v>30714664758</v>
      </c>
      <c r="C2037" s="253" t="str">
        <f>IF(A2037="", "", IF(IFERROR(VLOOKUP(A2037, 'Base 3F'!$B:$J, 9, FALSE),"")="", "SIN RUBRO", VLOOKUP(A2037, 'Base 3F'!$B:$J, 9, FALSE)))</f>
        <v>Gráfica</v>
      </c>
      <c r="D2037" s="58" t="s">
        <v>10204</v>
      </c>
      <c r="E2037" s="10" t="s">
        <v>2392</v>
      </c>
      <c r="F2037" s="46" t="s">
        <v>115</v>
      </c>
    </row>
    <row r="2038">
      <c r="A2038" s="285" t="s">
        <v>8153</v>
      </c>
      <c r="B2038" s="252">
        <f>IF(A2038="", "", IF(IFERROR(VLOOKUP(A2038, 'Base 3F'!$B:$C, 2, FALSE),"")="", "SIN CUIT", VLOOKUP(A2038, 'Base 3F'!$B:$C, 2, FALSE)))</f>
        <v>20921028297</v>
      </c>
      <c r="C2038" s="253" t="str">
        <f>IF(A2038="", "", IF(IFERROR(VLOOKUP(A2038, 'Base 3F'!$B:$J, 9, FALSE),"")="", "SIN RUBRO", VLOOKUP(A2038, 'Base 3F'!$B:$J, 9, FALSE)))</f>
        <v>Madera</v>
      </c>
      <c r="D2038" s="58" t="s">
        <v>10207</v>
      </c>
      <c r="E2038" s="10" t="s">
        <v>2392</v>
      </c>
      <c r="F2038" s="46" t="s">
        <v>115</v>
      </c>
    </row>
    <row r="2039">
      <c r="A2039" s="285" t="s">
        <v>2361</v>
      </c>
      <c r="B2039" s="252">
        <f>IF(A2039="", "", IF(IFERROR(VLOOKUP(A2039, 'Base 3F'!$B:$C, 2, FALSE),"")="", "SIN CUIT", VLOOKUP(A2039, 'Base 3F'!$B:$C, 2, FALSE)))</f>
        <v>30709585890</v>
      </c>
      <c r="C2039" s="253" t="str">
        <f>IF(A2039="", "", IF(IFERROR(VLOOKUP(A2039, 'Base 3F'!$B:$J, 9, FALSE),"")="", "SIN RUBRO", VLOOKUP(A2039, 'Base 3F'!$B:$J, 9, FALSE)))</f>
        <v>Madera</v>
      </c>
      <c r="D2039" s="58" t="s">
        <v>10211</v>
      </c>
      <c r="E2039" s="10" t="s">
        <v>2392</v>
      </c>
      <c r="F2039" s="46" t="s">
        <v>115</v>
      </c>
    </row>
    <row r="2040">
      <c r="A2040" s="362" t="s">
        <v>2372</v>
      </c>
      <c r="B2040" s="252">
        <f>IF(A2040="", "", IF(IFERROR(VLOOKUP(A2040, 'Base 3F'!$B:$C, 2, FALSE),"")="", "SIN CUIT", VLOOKUP(A2040, 'Base 3F'!$B:$C, 2, FALSE)))</f>
        <v>30631963516</v>
      </c>
      <c r="C2040" s="253" t="str">
        <f>IF(A2040="", "", IF(IFERROR(VLOOKUP(A2040, 'Base 3F'!$B:$J, 9, FALSE),"")="", "SIN RUBRO", VLOOKUP(A2040, 'Base 3F'!$B:$J, 9, FALSE)))</f>
        <v>Metalúrgica</v>
      </c>
      <c r="D2040" s="363" t="s">
        <v>10219</v>
      </c>
      <c r="E2040" s="10" t="s">
        <v>2392</v>
      </c>
      <c r="F2040" s="46" t="s">
        <v>115</v>
      </c>
    </row>
    <row r="2041">
      <c r="A2041" s="285" t="s">
        <v>8174</v>
      </c>
      <c r="B2041" s="252">
        <f>IF(A2041="", "", IF(IFERROR(VLOOKUP(A2041, 'Base 3F'!$B:$C, 2, FALSE),"")="", "SIN CUIT", VLOOKUP(A2041, 'Base 3F'!$B:$C, 2, FALSE)))</f>
        <v>30707425454</v>
      </c>
      <c r="C2041" s="253" t="str">
        <f>IF(A2041="", "", IF(IFERROR(VLOOKUP(A2041, 'Base 3F'!$B:$J, 9, FALSE),"")="", "SIN RUBRO", VLOOKUP(A2041, 'Base 3F'!$B:$J, 9, FALSE)))</f>
        <v>Servicios</v>
      </c>
      <c r="D2041" s="58" t="s">
        <v>10221</v>
      </c>
      <c r="E2041" s="10" t="s">
        <v>2392</v>
      </c>
      <c r="F2041" s="46" t="s">
        <v>115</v>
      </c>
    </row>
    <row r="2042">
      <c r="A2042" s="285" t="s">
        <v>2374</v>
      </c>
      <c r="B2042" s="252">
        <f>IF(A2042="", "", IF(IFERROR(VLOOKUP(A2042, 'Base 3F'!$B:$C, 2, FALSE),"")="", "SIN CUIT", VLOOKUP(A2042, 'Base 3F'!$B:$C, 2, FALSE)))</f>
        <v>30596296633</v>
      </c>
      <c r="C2042" s="253" t="str">
        <f>IF(A2042="", "", IF(IFERROR(VLOOKUP(A2042, 'Base 3F'!$B:$J, 9, FALSE),"")="", "SIN RUBRO", VLOOKUP(A2042, 'Base 3F'!$B:$J, 9, FALSE)))</f>
        <v>Metalúrgica</v>
      </c>
      <c r="D2042" s="58" t="s">
        <v>10226</v>
      </c>
      <c r="E2042" s="10" t="s">
        <v>2392</v>
      </c>
      <c r="F2042" s="46" t="s">
        <v>115</v>
      </c>
    </row>
    <row r="2043">
      <c r="A2043" s="285" t="s">
        <v>8186</v>
      </c>
      <c r="B2043" s="252">
        <f>IF(A2043="", "", IF(IFERROR(VLOOKUP(A2043, 'Base 3F'!$B:$C, 2, FALSE),"")="", "SIN CUIT", VLOOKUP(A2043, 'Base 3F'!$B:$C, 2, FALSE)))</f>
        <v>33643430849</v>
      </c>
      <c r="C2043" s="253" t="str">
        <f>IF(A2043="", "", IF(IFERROR(VLOOKUP(A2043, 'Base 3F'!$B:$J, 9, FALSE),"")="", "SIN RUBRO", VLOOKUP(A2043, 'Base 3F'!$B:$J, 9, FALSE)))</f>
        <v>Metalmecánica</v>
      </c>
      <c r="D2043" s="58" t="s">
        <v>10227</v>
      </c>
      <c r="E2043" s="10" t="s">
        <v>2392</v>
      </c>
      <c r="F2043" s="46" t="s">
        <v>115</v>
      </c>
    </row>
    <row r="2044">
      <c r="A2044" s="285" t="s">
        <v>8191</v>
      </c>
      <c r="B2044" s="252">
        <f>IF(A2044="", "", IF(IFERROR(VLOOKUP(A2044, 'Base 3F'!$B:$C, 2, FALSE),"")="", "SIN CUIT", VLOOKUP(A2044, 'Base 3F'!$B:$C, 2, FALSE)))</f>
        <v>20186281919</v>
      </c>
      <c r="C2044" s="253" t="str">
        <f>IF(A2044="", "", IF(IFERROR(VLOOKUP(A2044, 'Base 3F'!$B:$J, 9, FALSE),"")="", "SIN RUBRO", VLOOKUP(A2044, 'Base 3F'!$B:$J, 9, FALSE)))</f>
        <v>Metalúrgica</v>
      </c>
      <c r="D2044" s="58" t="s">
        <v>10237</v>
      </c>
      <c r="E2044" s="10" t="s">
        <v>2392</v>
      </c>
      <c r="F2044" s="46" t="s">
        <v>115</v>
      </c>
    </row>
    <row r="2045">
      <c r="A2045" s="285" t="s">
        <v>8195</v>
      </c>
      <c r="B2045" s="252">
        <f>IF(A2045="", "", IF(IFERROR(VLOOKUP(A2045, 'Base 3F'!$B:$C, 2, FALSE),"")="", "SIN CUIT", VLOOKUP(A2045, 'Base 3F'!$B:$C, 2, FALSE)))</f>
        <v>20315505691</v>
      </c>
      <c r="C2045" s="253" t="str">
        <f>IF(A2045="", "", IF(IFERROR(VLOOKUP(A2045, 'Base 3F'!$B:$J, 9, FALSE),"")="", "SIN RUBRO", VLOOKUP(A2045, 'Base 3F'!$B:$J, 9, FALSE)))</f>
        <v>Metalúrgica</v>
      </c>
      <c r="D2045" s="58" t="s">
        <v>10240</v>
      </c>
      <c r="E2045" s="10" t="s">
        <v>2392</v>
      </c>
      <c r="F2045" s="46" t="s">
        <v>115</v>
      </c>
    </row>
    <row r="2046">
      <c r="A2046" s="362" t="s">
        <v>8204</v>
      </c>
      <c r="B2046" s="252">
        <f>IF(A2046="", "", IF(IFERROR(VLOOKUP(A2046, 'Base 3F'!$B:$C, 2, FALSE),"")="", "SIN CUIT", VLOOKUP(A2046, 'Base 3F'!$B:$C, 2, FALSE)))</f>
        <v>30712272372</v>
      </c>
      <c r="C2046" s="253" t="str">
        <f>IF(A2046="", "", IF(IFERROR(VLOOKUP(A2046, 'Base 3F'!$B:$J, 9, FALSE),"")="", "SIN RUBRO", VLOOKUP(A2046, 'Base 3F'!$B:$J, 9, FALSE)))</f>
        <v>Metalúrgica</v>
      </c>
      <c r="D2046" s="363" t="s">
        <v>10245</v>
      </c>
      <c r="E2046" s="10" t="s">
        <v>2392</v>
      </c>
      <c r="F2046" s="46" t="s">
        <v>115</v>
      </c>
    </row>
    <row r="2047">
      <c r="A2047" s="285" t="s">
        <v>2384</v>
      </c>
      <c r="B2047" s="252">
        <f>IF(A2047="", "", IF(IFERROR(VLOOKUP(A2047, 'Base 3F'!$B:$C, 2, FALSE),"")="", "SIN CUIT", VLOOKUP(A2047, 'Base 3F'!$B:$C, 2, FALSE)))</f>
        <v>30707522557</v>
      </c>
      <c r="C2047" s="253" t="str">
        <f>IF(A2047="", "", IF(IFERROR(VLOOKUP(A2047, 'Base 3F'!$B:$J, 9, FALSE),"")="", "SIN RUBRO", VLOOKUP(A2047, 'Base 3F'!$B:$J, 9, FALSE)))</f>
        <v>Textil</v>
      </c>
      <c r="D2047" s="58" t="s">
        <v>10253</v>
      </c>
      <c r="E2047" s="10" t="s">
        <v>2392</v>
      </c>
      <c r="F2047" s="46" t="s">
        <v>115</v>
      </c>
    </row>
    <row r="2048">
      <c r="A2048" s="285" t="s">
        <v>2393</v>
      </c>
      <c r="B2048" s="252">
        <f>IF(A2048="", "", IF(IFERROR(VLOOKUP(A2048, 'Base 3F'!$B:$C, 2, FALSE),"")="", "SIN CUIT", VLOOKUP(A2048, 'Base 3F'!$B:$C, 2, FALSE)))</f>
        <v>30682593101</v>
      </c>
      <c r="C2048" s="253" t="str">
        <f>IF(A2048="", "", IF(IFERROR(VLOOKUP(A2048, 'Base 3F'!$B:$J, 9, FALSE),"")="", "SIN RUBRO", VLOOKUP(A2048, 'Base 3F'!$B:$J, 9, FALSE)))</f>
        <v>Química</v>
      </c>
      <c r="D2048" s="58" t="s">
        <v>10256</v>
      </c>
      <c r="E2048" s="10" t="s">
        <v>2392</v>
      </c>
      <c r="F2048" s="46" t="s">
        <v>115</v>
      </c>
    </row>
    <row r="2049">
      <c r="A2049" s="362" t="s">
        <v>8215</v>
      </c>
      <c r="B2049" s="252">
        <f>IF(A2049="", "", IF(IFERROR(VLOOKUP(A2049, 'Base 3F'!$B:$C, 2, FALSE),"")="", "SIN CUIT", VLOOKUP(A2049, 'Base 3F'!$B:$C, 2, FALSE)))</f>
        <v>30708614269</v>
      </c>
      <c r="C2049" s="253" t="str">
        <f>IF(A2049="", "", IF(IFERROR(VLOOKUP(A2049, 'Base 3F'!$B:$J, 9, FALSE),"")="", "SIN RUBRO", VLOOKUP(A2049, 'Base 3F'!$B:$J, 9, FALSE)))</f>
        <v>Metalmecánica</v>
      </c>
      <c r="D2049" s="363" t="s">
        <v>10258</v>
      </c>
      <c r="E2049" s="10" t="s">
        <v>2392</v>
      </c>
      <c r="F2049" s="46" t="s">
        <v>115</v>
      </c>
    </row>
    <row r="2050">
      <c r="A2050" s="285" t="s">
        <v>4339</v>
      </c>
      <c r="B2050" s="252">
        <f>IF(A2050="", "", IF(IFERROR(VLOOKUP(A2050, 'Base 3F'!$B:$C, 2, FALSE),"")="", "SIN CUIT", VLOOKUP(A2050, 'Base 3F'!$B:$C, 2, FALSE)))</f>
        <v>30709702285</v>
      </c>
      <c r="C2050" s="253" t="str">
        <f>IF(A2050="", "", IF(IFERROR(VLOOKUP(A2050, 'Base 3F'!$B:$J, 9, FALSE),"")="", "SIN RUBRO", VLOOKUP(A2050, 'Base 3F'!$B:$J, 9, FALSE)))</f>
        <v>Metalúrgica</v>
      </c>
      <c r="D2050" s="58" t="s">
        <v>10261</v>
      </c>
      <c r="E2050" s="10" t="s">
        <v>2392</v>
      </c>
      <c r="F2050" s="46" t="s">
        <v>115</v>
      </c>
    </row>
    <row r="2051">
      <c r="A2051" s="285" t="s">
        <v>2411</v>
      </c>
      <c r="B2051" s="252">
        <f>IF(A2051="", "", IF(IFERROR(VLOOKUP(A2051, 'Base 3F'!$B:$C, 2, FALSE),"")="", "SIN CUIT", VLOOKUP(A2051, 'Base 3F'!$B:$C, 2, FALSE)))</f>
        <v>20251287881</v>
      </c>
      <c r="C2051" s="253" t="str">
        <f>IF(A2051="", "", IF(IFERROR(VLOOKUP(A2051, 'Base 3F'!$B:$J, 9, FALSE),"")="", "SIN RUBRO", VLOOKUP(A2051, 'Base 3F'!$B:$J, 9, FALSE)))</f>
        <v>Metalúrgica</v>
      </c>
      <c r="D2051" s="58" t="s">
        <v>10263</v>
      </c>
      <c r="E2051" s="10" t="s">
        <v>2392</v>
      </c>
      <c r="F2051" s="46" t="s">
        <v>115</v>
      </c>
    </row>
    <row r="2052">
      <c r="A2052" s="285" t="s">
        <v>10264</v>
      </c>
      <c r="B2052" s="252">
        <f>IF(A2052="", "", IF(IFERROR(VLOOKUP(A2052, 'Base 3F'!$B:$C, 2, FALSE),"")="", "SIN CUIT", VLOOKUP(A2052, 'Base 3F'!$B:$C, 2, FALSE)))</f>
        <v>30708490497</v>
      </c>
      <c r="C2052" s="253" t="str">
        <f>IF(A2052="", "", IF(IFERROR(VLOOKUP(A2052, 'Base 3F'!$B:$J, 9, FALSE),"")="", "SIN RUBRO", VLOOKUP(A2052, 'Base 3F'!$B:$J, 9, FALSE)))</f>
        <v>Gráfica</v>
      </c>
      <c r="D2052" s="58" t="s">
        <v>10268</v>
      </c>
      <c r="E2052" s="10" t="s">
        <v>2392</v>
      </c>
      <c r="F2052" s="46" t="s">
        <v>115</v>
      </c>
    </row>
    <row r="2053">
      <c r="A2053" s="285" t="s">
        <v>8266</v>
      </c>
      <c r="B2053" s="252">
        <f>IF(A2053="", "", IF(IFERROR(VLOOKUP(A2053, 'Base 3F'!$B:$C, 2, FALSE),"")="", "SIN CUIT", VLOOKUP(A2053, 'Base 3F'!$B:$C, 2, FALSE)))</f>
        <v>33643652809</v>
      </c>
      <c r="C2053" s="253" t="str">
        <f>IF(A2053="", "", IF(IFERROR(VLOOKUP(A2053, 'Base 3F'!$B:$J, 9, FALSE),"")="", "SIN RUBRO", VLOOKUP(A2053, 'Base 3F'!$B:$J, 9, FALSE)))</f>
        <v>Plástica</v>
      </c>
      <c r="D2053" s="58" t="s">
        <v>10270</v>
      </c>
      <c r="E2053" s="10" t="s">
        <v>2392</v>
      </c>
      <c r="F2053" s="46" t="s">
        <v>115</v>
      </c>
    </row>
    <row r="2054">
      <c r="A2054" s="285" t="s">
        <v>8274</v>
      </c>
      <c r="B2054" s="252">
        <f>IF(A2054="", "", IF(IFERROR(VLOOKUP(A2054, 'Base 3F'!$B:$C, 2, FALSE),"")="", "SIN CUIT", VLOOKUP(A2054, 'Base 3F'!$B:$C, 2, FALSE)))</f>
        <v>30683637234</v>
      </c>
      <c r="C2054" s="253" t="str">
        <f>IF(A2054="", "", IF(IFERROR(VLOOKUP(A2054, 'Base 3F'!$B:$J, 9, FALSE),"")="", "SIN RUBRO", VLOOKUP(A2054, 'Base 3F'!$B:$J, 9, FALSE)))</f>
        <v>Metalúrgica</v>
      </c>
      <c r="D2054" s="58" t="s">
        <v>10275</v>
      </c>
      <c r="E2054" s="10" t="s">
        <v>2392</v>
      </c>
      <c r="F2054" s="46" t="s">
        <v>115</v>
      </c>
    </row>
    <row r="2055">
      <c r="A2055" s="285" t="s">
        <v>8277</v>
      </c>
      <c r="B2055" s="252">
        <f>IF(A2055="", "", IF(IFERROR(VLOOKUP(A2055, 'Base 3F'!$B:$C, 2, FALSE),"")="", "SIN CUIT", VLOOKUP(A2055, 'Base 3F'!$B:$C, 2, FALSE)))</f>
        <v>30711977917</v>
      </c>
      <c r="C2055" s="253" t="str">
        <f>IF(A2055="", "", IF(IFERROR(VLOOKUP(A2055, 'Base 3F'!$B:$J, 9, FALSE),"")="", "SIN RUBRO", VLOOKUP(A2055, 'Base 3F'!$B:$J, 9, FALSE)))</f>
        <v>Metalúrgica</v>
      </c>
      <c r="D2055" s="58" t="s">
        <v>10278</v>
      </c>
      <c r="E2055" s="10" t="s">
        <v>2392</v>
      </c>
      <c r="F2055" s="46" t="s">
        <v>115</v>
      </c>
    </row>
    <row r="2056">
      <c r="A2056" s="285" t="s">
        <v>10279</v>
      </c>
      <c r="B2056" s="252">
        <f>IF(A2056="", "", IF(IFERROR(VLOOKUP(A2056, 'Base 3F'!$B:$C, 2, FALSE),"")="", "SIN CUIT", VLOOKUP(A2056, 'Base 3F'!$B:$C, 2, FALSE)))</f>
        <v>20236977111</v>
      </c>
      <c r="C2056" s="253" t="str">
        <f>IF(A2056="", "", IF(IFERROR(VLOOKUP(A2056, 'Base 3F'!$B:$J, 9, FALSE),"")="", "SIN RUBRO", VLOOKUP(A2056, 'Base 3F'!$B:$J, 9, FALSE)))</f>
        <v>Metalmecánica</v>
      </c>
      <c r="D2056" s="58" t="s">
        <v>10281</v>
      </c>
      <c r="E2056" s="10" t="s">
        <v>2392</v>
      </c>
      <c r="F2056" s="46" t="s">
        <v>115</v>
      </c>
    </row>
    <row r="2057">
      <c r="A2057" s="285" t="s">
        <v>8292</v>
      </c>
      <c r="B2057" s="252">
        <f>IF(A2057="", "", IF(IFERROR(VLOOKUP(A2057, 'Base 3F'!$B:$C, 2, FALSE),"")="", "SIN CUIT", VLOOKUP(A2057, 'Base 3F'!$B:$C, 2, FALSE)))</f>
        <v>30711398720</v>
      </c>
      <c r="C2057" s="253" t="str">
        <f>IF(A2057="", "", IF(IFERROR(VLOOKUP(A2057, 'Base 3F'!$B:$J, 9, FALSE),"")="", "SIN RUBRO", VLOOKUP(A2057, 'Base 3F'!$B:$J, 9, FALSE)))</f>
        <v>Textil</v>
      </c>
      <c r="D2057" s="58" t="s">
        <v>10284</v>
      </c>
      <c r="E2057" s="10" t="s">
        <v>2392</v>
      </c>
      <c r="F2057" s="46" t="s">
        <v>115</v>
      </c>
    </row>
    <row r="2058">
      <c r="A2058" s="285" t="s">
        <v>8298</v>
      </c>
      <c r="B2058" s="252">
        <f>IF(A2058="", "", IF(IFERROR(VLOOKUP(A2058, 'Base 3F'!$B:$C, 2, FALSE),"")="", "SIN CUIT", VLOOKUP(A2058, 'Base 3F'!$B:$C, 2, FALSE)))</f>
        <v>30715322974</v>
      </c>
      <c r="C2058" s="253" t="str">
        <f>IF(A2058="", "", IF(IFERROR(VLOOKUP(A2058, 'Base 3F'!$B:$J, 9, FALSE),"")="", "SIN RUBRO", VLOOKUP(A2058, 'Base 3F'!$B:$J, 9, FALSE)))</f>
        <v>Textil</v>
      </c>
      <c r="D2058" s="58" t="s">
        <v>10286</v>
      </c>
      <c r="E2058" s="10" t="s">
        <v>2392</v>
      </c>
      <c r="F2058" s="46" t="s">
        <v>115</v>
      </c>
    </row>
    <row r="2059">
      <c r="A2059" s="285" t="s">
        <v>8317</v>
      </c>
      <c r="B2059" s="252">
        <f>IF(A2059="", "", IF(IFERROR(VLOOKUP(A2059, 'Base 3F'!$B:$C, 2, FALSE),"")="", "SIN CUIT", VLOOKUP(A2059, 'Base 3F'!$B:$C, 2, FALSE)))</f>
        <v>30711449988</v>
      </c>
      <c r="C2059" s="253" t="str">
        <f>IF(A2059="", "", IF(IFERROR(VLOOKUP(A2059, 'Base 3F'!$B:$J, 9, FALSE),"")="", "SIN RUBRO", VLOOKUP(A2059, 'Base 3F'!$B:$J, 9, FALSE)))</f>
        <v>Papel</v>
      </c>
      <c r="D2059" s="58" t="s">
        <v>10289</v>
      </c>
      <c r="E2059" s="10" t="s">
        <v>2392</v>
      </c>
      <c r="F2059" s="46" t="s">
        <v>115</v>
      </c>
    </row>
    <row r="2060">
      <c r="A2060" s="285" t="s">
        <v>8329</v>
      </c>
      <c r="B2060" s="252">
        <f>IF(A2060="", "", IF(IFERROR(VLOOKUP(A2060, 'Base 3F'!$B:$C, 2, FALSE),"")="", "SIN CUIT", VLOOKUP(A2060, 'Base 3F'!$B:$C, 2, FALSE)))</f>
        <v>30643843958</v>
      </c>
      <c r="C2060" s="253" t="str">
        <f>IF(A2060="", "", IF(IFERROR(VLOOKUP(A2060, 'Base 3F'!$B:$J, 9, FALSE),"")="", "SIN RUBRO", VLOOKUP(A2060, 'Base 3F'!$B:$J, 9, FALSE)))</f>
        <v>Madera</v>
      </c>
      <c r="D2060" s="58" t="s">
        <v>10291</v>
      </c>
      <c r="E2060" s="10" t="s">
        <v>2392</v>
      </c>
      <c r="F2060" s="46" t="s">
        <v>115</v>
      </c>
    </row>
    <row r="2061">
      <c r="A2061" s="285" t="s">
        <v>8356</v>
      </c>
      <c r="B2061" s="252">
        <f>IF(A2061="", "", IF(IFERROR(VLOOKUP(A2061, 'Base 3F'!$B:$C, 2, FALSE),"")="", "SIN CUIT", VLOOKUP(A2061, 'Base 3F'!$B:$C, 2, FALSE)))</f>
        <v>30708541385</v>
      </c>
      <c r="C2061" s="253" t="str">
        <f>IF(A2061="", "", IF(IFERROR(VLOOKUP(A2061, 'Base 3F'!$B:$J, 9, FALSE),"")="", "SIN RUBRO", VLOOKUP(A2061, 'Base 3F'!$B:$J, 9, FALSE)))</f>
        <v>Química</v>
      </c>
      <c r="D2061" s="58" t="s">
        <v>10296</v>
      </c>
      <c r="E2061" s="10" t="s">
        <v>2392</v>
      </c>
      <c r="F2061" s="46" t="s">
        <v>115</v>
      </c>
    </row>
    <row r="2062">
      <c r="A2062" s="285" t="s">
        <v>2458</v>
      </c>
      <c r="B2062" s="252">
        <f>IF(A2062="", "", IF(IFERROR(VLOOKUP(A2062, 'Base 3F'!$B:$C, 2, FALSE),"")="", "SIN CUIT", VLOOKUP(A2062, 'Base 3F'!$B:$C, 2, FALSE)))</f>
        <v>30500719687</v>
      </c>
      <c r="C2062" s="253" t="str">
        <f>IF(A2062="", "", IF(IFERROR(VLOOKUP(A2062, 'Base 3F'!$B:$J, 9, FALSE),"")="", "SIN RUBRO", VLOOKUP(A2062, 'Base 3F'!$B:$J, 9, FALSE)))</f>
        <v>Química</v>
      </c>
      <c r="D2062" s="58" t="s">
        <v>10298</v>
      </c>
      <c r="E2062" s="10" t="s">
        <v>2392</v>
      </c>
      <c r="F2062" s="46" t="s">
        <v>115</v>
      </c>
    </row>
    <row r="2063">
      <c r="A2063" s="285" t="s">
        <v>2486</v>
      </c>
      <c r="B2063" s="252">
        <f>IF(A2063="", "", IF(IFERROR(VLOOKUP(A2063, 'Base 3F'!$B:$C, 2, FALSE),"")="", "SIN CUIT", VLOOKUP(A2063, 'Base 3F'!$B:$C, 2, FALSE)))</f>
        <v>30643786172</v>
      </c>
      <c r="C2063" s="253" t="str">
        <f>IF(A2063="", "", IF(IFERROR(VLOOKUP(A2063, 'Base 3F'!$B:$J, 9, FALSE),"")="", "SIN RUBRO", VLOOKUP(A2063, 'Base 3F'!$B:$J, 9, FALSE)))</f>
        <v>Electrónica</v>
      </c>
      <c r="D2063" s="58" t="s">
        <v>10302</v>
      </c>
      <c r="E2063" s="10" t="s">
        <v>2392</v>
      </c>
      <c r="F2063" s="46" t="s">
        <v>115</v>
      </c>
    </row>
    <row r="2064">
      <c r="A2064" s="285" t="s">
        <v>2492</v>
      </c>
      <c r="B2064" s="252">
        <f>IF(A2064="", "", IF(IFERROR(VLOOKUP(A2064, 'Base 3F'!$B:$C, 2, FALSE),"")="", "SIN CUIT", VLOOKUP(A2064, 'Base 3F'!$B:$C, 2, FALSE)))</f>
        <v>30711889368</v>
      </c>
      <c r="C2064" s="253" t="str">
        <f>IF(A2064="", "", IF(IFERROR(VLOOKUP(A2064, 'Base 3F'!$B:$J, 9, FALSE),"")="", "SIN RUBRO", VLOOKUP(A2064, 'Base 3F'!$B:$J, 9, FALSE)))</f>
        <v>Metalúrgica</v>
      </c>
      <c r="D2064" s="58" t="s">
        <v>10304</v>
      </c>
      <c r="E2064" s="10" t="s">
        <v>2392</v>
      </c>
      <c r="F2064" s="46" t="s">
        <v>115</v>
      </c>
    </row>
    <row r="2065">
      <c r="A2065" s="362" t="s">
        <v>8435</v>
      </c>
      <c r="B2065" s="252">
        <f>IF(A2065="", "", IF(IFERROR(VLOOKUP(A2065, 'Base 3F'!$B:$C, 2, FALSE),"")="", "SIN CUIT", VLOOKUP(A2065, 'Base 3F'!$B:$C, 2, FALSE)))</f>
        <v>30712049924</v>
      </c>
      <c r="C2065" s="253" t="str">
        <f>IF(A2065="", "", IF(IFERROR(VLOOKUP(A2065, 'Base 3F'!$B:$J, 9, FALSE),"")="", "SIN RUBRO", VLOOKUP(A2065, 'Base 3F'!$B:$J, 9, FALSE)))</f>
        <v>Industria</v>
      </c>
      <c r="D2065" s="363" t="s">
        <v>10307</v>
      </c>
      <c r="E2065" s="10" t="s">
        <v>2392</v>
      </c>
      <c r="F2065" s="46" t="s">
        <v>115</v>
      </c>
    </row>
    <row r="2066">
      <c r="A2066" s="285" t="s">
        <v>2497</v>
      </c>
      <c r="B2066" s="252">
        <f>IF(A2066="", "", IF(IFERROR(VLOOKUP(A2066, 'Base 3F'!$B:$C, 2, FALSE),"")="", "SIN CUIT", VLOOKUP(A2066, 'Base 3F'!$B:$C, 2, FALSE)))</f>
        <v>30550960830</v>
      </c>
      <c r="C2066" s="253" t="str">
        <f>IF(A2066="", "", IF(IFERROR(VLOOKUP(A2066, 'Base 3F'!$B:$J, 9, FALSE),"")="", "SIN RUBRO", VLOOKUP(A2066, 'Base 3F'!$B:$J, 9, FALSE)))</f>
        <v>Alimenticia</v>
      </c>
      <c r="D2066" s="273" t="s">
        <v>10310</v>
      </c>
      <c r="E2066" s="10" t="s">
        <v>2392</v>
      </c>
      <c r="F2066" s="46" t="s">
        <v>115</v>
      </c>
    </row>
    <row r="2067">
      <c r="A2067" s="285" t="s">
        <v>2497</v>
      </c>
      <c r="B2067" s="252">
        <f>IF(A2067="", "", IF(IFERROR(VLOOKUP(A2067, 'Base 3F'!$B:$C, 2, FALSE),"")="", "SIN CUIT", VLOOKUP(A2067, 'Base 3F'!$B:$C, 2, FALSE)))</f>
        <v>30550960830</v>
      </c>
      <c r="C2067" s="253" t="str">
        <f>IF(A2067="", "", IF(IFERROR(VLOOKUP(A2067, 'Base 3F'!$B:$J, 9, FALSE),"")="", "SIN RUBRO", VLOOKUP(A2067, 'Base 3F'!$B:$J, 9, FALSE)))</f>
        <v>Alimenticia</v>
      </c>
      <c r="D2067" s="242" t="s">
        <v>10316</v>
      </c>
      <c r="E2067" s="10" t="s">
        <v>2392</v>
      </c>
      <c r="F2067" s="46" t="s">
        <v>1625</v>
      </c>
    </row>
    <row r="2068">
      <c r="A2068" s="285" t="s">
        <v>8476</v>
      </c>
      <c r="B2068" s="252">
        <f>IF(A2068="", "", IF(IFERROR(VLOOKUP(A2068, 'Base 3F'!$B:$C, 2, FALSE),"")="", "SIN CUIT", VLOOKUP(A2068, 'Base 3F'!$B:$C, 2, FALSE)))</f>
        <v>30501130024</v>
      </c>
      <c r="C2068" s="253" t="str">
        <f>IF(A2068="", "", IF(IFERROR(VLOOKUP(A2068, 'Base 3F'!$B:$J, 9, FALSE),"")="", "SIN RUBRO", VLOOKUP(A2068, 'Base 3F'!$B:$J, 9, FALSE)))</f>
        <v>Metalúrgica</v>
      </c>
      <c r="D2068" s="58" t="s">
        <v>10319</v>
      </c>
      <c r="E2068" s="10" t="s">
        <v>2392</v>
      </c>
      <c r="F2068" s="46" t="s">
        <v>115</v>
      </c>
    </row>
    <row r="2069">
      <c r="A2069" s="285" t="s">
        <v>4367</v>
      </c>
      <c r="B2069" s="252">
        <f>IF(A2069="", "", IF(IFERROR(VLOOKUP(A2069, 'Base 3F'!$B:$C, 2, FALSE),"")="", "SIN CUIT", VLOOKUP(A2069, 'Base 3F'!$B:$C, 2, FALSE)))</f>
        <v>30696282672</v>
      </c>
      <c r="C2069" s="253" t="str">
        <f>IF(A2069="", "", IF(IFERROR(VLOOKUP(A2069, 'Base 3F'!$B:$J, 9, FALSE),"")="", "SIN RUBRO", VLOOKUP(A2069, 'Base 3F'!$B:$J, 9, FALSE)))</f>
        <v>Alimenticia</v>
      </c>
      <c r="D2069" s="58" t="s">
        <v>10321</v>
      </c>
      <c r="E2069" s="10" t="s">
        <v>2392</v>
      </c>
      <c r="F2069" s="46" t="s">
        <v>115</v>
      </c>
    </row>
    <row r="2070">
      <c r="A2070" s="285" t="s">
        <v>8478</v>
      </c>
      <c r="B2070" s="252">
        <f>IF(A2070="", "", IF(IFERROR(VLOOKUP(A2070, 'Base 3F'!$B:$C, 2, FALSE),"")="", "SIN CUIT", VLOOKUP(A2070, 'Base 3F'!$B:$C, 2, FALSE)))</f>
        <v>30516385460</v>
      </c>
      <c r="C2070" s="253" t="str">
        <f>IF(A2070="", "", IF(IFERROR(VLOOKUP(A2070, 'Base 3F'!$B:$J, 9, FALSE),"")="", "SIN RUBRO", VLOOKUP(A2070, 'Base 3F'!$B:$J, 9, FALSE)))</f>
        <v>Servicios</v>
      </c>
      <c r="D2070" s="58" t="s">
        <v>10324</v>
      </c>
      <c r="E2070" s="10" t="s">
        <v>2392</v>
      </c>
      <c r="F2070" s="46" t="s">
        <v>115</v>
      </c>
    </row>
    <row r="2071">
      <c r="A2071" s="285" t="s">
        <v>2524</v>
      </c>
      <c r="B2071" s="252">
        <f>IF(A2071="", "", IF(IFERROR(VLOOKUP(A2071, 'Base 3F'!$B:$C, 2, FALSE),"")="", "SIN CUIT", VLOOKUP(A2071, 'Base 3F'!$B:$C, 2, FALSE)))</f>
        <v>30710424493</v>
      </c>
      <c r="C2071" s="253" t="str">
        <f>IF(A2071="", "", IF(IFERROR(VLOOKUP(A2071, 'Base 3F'!$B:$J, 9, FALSE),"")="", "SIN RUBRO", VLOOKUP(A2071, 'Base 3F'!$B:$J, 9, FALSE)))</f>
        <v>Servicios</v>
      </c>
      <c r="D2071" s="58" t="s">
        <v>10331</v>
      </c>
      <c r="E2071" s="10" t="s">
        <v>2392</v>
      </c>
      <c r="F2071" s="46" t="s">
        <v>115</v>
      </c>
    </row>
    <row r="2072">
      <c r="A2072" s="285" t="s">
        <v>2531</v>
      </c>
      <c r="B2072" s="252">
        <f>IF(A2072="", "", IF(IFERROR(VLOOKUP(A2072, 'Base 3F'!$B:$C, 2, FALSE),"")="", "SIN CUIT", VLOOKUP(A2072, 'Base 3F'!$B:$C, 2, FALSE)))</f>
        <v>30709382817</v>
      </c>
      <c r="C2072" s="253" t="str">
        <f>IF(A2072="", "", IF(IFERROR(VLOOKUP(A2072, 'Base 3F'!$B:$J, 9, FALSE),"")="", "SIN RUBRO", VLOOKUP(A2072, 'Base 3F'!$B:$J, 9, FALSE)))</f>
        <v>Metalúrgica</v>
      </c>
      <c r="D2072" s="58" t="s">
        <v>10334</v>
      </c>
      <c r="E2072" s="10" t="s">
        <v>2392</v>
      </c>
      <c r="F2072" s="46" t="s">
        <v>115</v>
      </c>
    </row>
    <row r="2073">
      <c r="A2073" s="285" t="s">
        <v>8524</v>
      </c>
      <c r="B2073" s="252">
        <f>IF(A2073="", "", IF(IFERROR(VLOOKUP(A2073, 'Base 3F'!$B:$C, 2, FALSE),"")="", "SIN CUIT", VLOOKUP(A2073, 'Base 3F'!$B:$C, 2, FALSE)))</f>
        <v>30708960698</v>
      </c>
      <c r="C2073" s="253" t="str">
        <f>IF(A2073="", "", IF(IFERROR(VLOOKUP(A2073, 'Base 3F'!$B:$J, 9, FALSE),"")="", "SIN RUBRO", VLOOKUP(A2073, 'Base 3F'!$B:$J, 9, FALSE)))</f>
        <v>Madera</v>
      </c>
      <c r="D2073" s="58" t="s">
        <v>10338</v>
      </c>
      <c r="E2073" s="10" t="s">
        <v>2392</v>
      </c>
      <c r="F2073" s="46" t="s">
        <v>115</v>
      </c>
    </row>
    <row r="2074">
      <c r="A2074" s="285" t="s">
        <v>8528</v>
      </c>
      <c r="B2074" s="252">
        <f>IF(A2074="", "", IF(IFERROR(VLOOKUP(A2074, 'Base 3F'!$B:$C, 2, FALSE),"")="", "SIN CUIT", VLOOKUP(A2074, 'Base 3F'!$B:$C, 2, FALSE)))</f>
        <v>30663786772</v>
      </c>
      <c r="C2074" s="253" t="str">
        <f>IF(A2074="", "", IF(IFERROR(VLOOKUP(A2074, 'Base 3F'!$B:$J, 9, FALSE),"")="", "SIN RUBRO", VLOOKUP(A2074, 'Base 3F'!$B:$J, 9, FALSE)))</f>
        <v>Calzado</v>
      </c>
      <c r="D2074" s="58" t="s">
        <v>10342</v>
      </c>
      <c r="E2074" s="10" t="s">
        <v>2392</v>
      </c>
      <c r="F2074" s="46" t="s">
        <v>115</v>
      </c>
    </row>
    <row r="2075">
      <c r="A2075" s="285" t="s">
        <v>8551</v>
      </c>
      <c r="B2075" s="252">
        <f>IF(A2075="", "", IF(IFERROR(VLOOKUP(A2075, 'Base 3F'!$B:$C, 2, FALSE),"")="", "SIN CUIT", VLOOKUP(A2075, 'Base 3F'!$B:$C, 2, FALSE)))</f>
        <v>30573189813</v>
      </c>
      <c r="C2075" s="253" t="str">
        <f>IF(A2075="", "", IF(IFERROR(VLOOKUP(A2075, 'Base 3F'!$B:$J, 9, FALSE),"")="", "SIN RUBRO", VLOOKUP(A2075, 'Base 3F'!$B:$J, 9, FALSE)))</f>
        <v>Madera</v>
      </c>
      <c r="D2075" s="58" t="s">
        <v>10350</v>
      </c>
      <c r="E2075" s="10" t="s">
        <v>2392</v>
      </c>
      <c r="F2075" s="46" t="s">
        <v>115</v>
      </c>
    </row>
    <row r="2076">
      <c r="A2076" s="285" t="s">
        <v>8568</v>
      </c>
      <c r="B2076" s="252">
        <f>IF(A2076="", "", IF(IFERROR(VLOOKUP(A2076, 'Base 3F'!$B:$C, 2, FALSE),"")="", "SIN CUIT", VLOOKUP(A2076, 'Base 3F'!$B:$C, 2, FALSE)))</f>
        <v>30708377496</v>
      </c>
      <c r="C2076" s="253" t="str">
        <f>IF(A2076="", "", IF(IFERROR(VLOOKUP(A2076, 'Base 3F'!$B:$J, 9, FALSE),"")="", "SIN RUBRO", VLOOKUP(A2076, 'Base 3F'!$B:$J, 9, FALSE)))</f>
        <v>Metalúrgica</v>
      </c>
      <c r="D2076" s="58" t="s">
        <v>10353</v>
      </c>
      <c r="E2076" s="10" t="s">
        <v>2392</v>
      </c>
      <c r="F2076" s="46" t="s">
        <v>115</v>
      </c>
    </row>
    <row r="2077">
      <c r="A2077" s="285" t="s">
        <v>2555</v>
      </c>
      <c r="B2077" s="252">
        <f>IF(A2077="", "", IF(IFERROR(VLOOKUP(A2077, 'Base 3F'!$B:$C, 2, FALSE),"")="", "SIN CUIT", VLOOKUP(A2077, 'Base 3F'!$B:$C, 2, FALSE)))</f>
        <v>30709629901</v>
      </c>
      <c r="C2077" s="253" t="str">
        <f>IF(A2077="", "", IF(IFERROR(VLOOKUP(A2077, 'Base 3F'!$B:$J, 9, FALSE),"")="", "SIN RUBRO", VLOOKUP(A2077, 'Base 3F'!$B:$J, 9, FALSE)))</f>
        <v>Metalmecánica</v>
      </c>
      <c r="D2077" s="58" t="s">
        <v>10359</v>
      </c>
      <c r="E2077" s="10" t="s">
        <v>2392</v>
      </c>
      <c r="F2077" s="46" t="s">
        <v>115</v>
      </c>
    </row>
    <row r="2078">
      <c r="A2078" s="362" t="s">
        <v>2567</v>
      </c>
      <c r="B2078" s="252">
        <f>IF(A2078="", "", IF(IFERROR(VLOOKUP(A2078, 'Base 3F'!$B:$C, 2, FALSE),"")="", "SIN CUIT", VLOOKUP(A2078, 'Base 3F'!$B:$C, 2, FALSE)))</f>
        <v>30561990715</v>
      </c>
      <c r="C2078" s="253" t="str">
        <f>IF(A2078="", "", IF(IFERROR(VLOOKUP(A2078, 'Base 3F'!$B:$J, 9, FALSE),"")="", "SIN RUBRO", VLOOKUP(A2078, 'Base 3F'!$B:$J, 9, FALSE)))</f>
        <v>Química</v>
      </c>
      <c r="D2078" s="363" t="s">
        <v>10362</v>
      </c>
      <c r="E2078" s="10" t="s">
        <v>2392</v>
      </c>
      <c r="F2078" s="46" t="s">
        <v>115</v>
      </c>
    </row>
    <row r="2079">
      <c r="A2079" s="285" t="s">
        <v>8612</v>
      </c>
      <c r="B2079" s="252">
        <f>IF(A2079="", "", IF(IFERROR(VLOOKUP(A2079, 'Base 3F'!$B:$C, 2, FALSE),"")="", "SIN CUIT", VLOOKUP(A2079, 'Base 3F'!$B:$C, 2, FALSE)))</f>
        <v>30709110167</v>
      </c>
      <c r="C2079" s="253" t="str">
        <f>IF(A2079="", "", IF(IFERROR(VLOOKUP(A2079, 'Base 3F'!$B:$J, 9, FALSE),"")="", "SIN RUBRO", VLOOKUP(A2079, 'Base 3F'!$B:$J, 9, FALSE)))</f>
        <v>Textil</v>
      </c>
      <c r="D2079" s="58" t="s">
        <v>10364</v>
      </c>
      <c r="E2079" s="10" t="s">
        <v>2392</v>
      </c>
      <c r="F2079" s="46" t="s">
        <v>115</v>
      </c>
    </row>
    <row r="2080">
      <c r="A2080" s="285" t="s">
        <v>2572</v>
      </c>
      <c r="B2080" s="252">
        <f>IF(A2080="", "", IF(IFERROR(VLOOKUP(A2080, 'Base 3F'!$B:$C, 2, FALSE),"")="", "SIN CUIT", VLOOKUP(A2080, 'Base 3F'!$B:$C, 2, FALSE)))</f>
        <v>30549477263</v>
      </c>
      <c r="C2080" s="253" t="str">
        <f>IF(A2080="", "", IF(IFERROR(VLOOKUP(A2080, 'Base 3F'!$B:$J, 9, FALSE),"")="", "SIN RUBRO", VLOOKUP(A2080, 'Base 3F'!$B:$J, 9, FALSE)))</f>
        <v>Electrónica</v>
      </c>
      <c r="D2080" s="58" t="s">
        <v>10367</v>
      </c>
      <c r="E2080" s="10" t="s">
        <v>2392</v>
      </c>
      <c r="F2080" s="46" t="s">
        <v>115</v>
      </c>
    </row>
    <row r="2081">
      <c r="A2081" s="285" t="s">
        <v>2586</v>
      </c>
      <c r="B2081" s="252">
        <f>IF(A2081="", "", IF(IFERROR(VLOOKUP(A2081, 'Base 3F'!$B:$C, 2, FALSE),"")="", "SIN CUIT", VLOOKUP(A2081, 'Base 3F'!$B:$C, 2, FALSE)))</f>
        <v>30551470578</v>
      </c>
      <c r="C2081" s="253" t="str">
        <f>IF(A2081="", "", IF(IFERROR(VLOOKUP(A2081, 'Base 3F'!$B:$J, 9, FALSE),"")="", "SIN RUBRO", VLOOKUP(A2081, 'Base 3F'!$B:$J, 9, FALSE)))</f>
        <v>Metalúrgica</v>
      </c>
      <c r="D2081" s="58" t="s">
        <v>10373</v>
      </c>
      <c r="E2081" s="10" t="s">
        <v>2392</v>
      </c>
      <c r="F2081" s="46" t="s">
        <v>115</v>
      </c>
    </row>
    <row r="2082">
      <c r="A2082" s="285" t="s">
        <v>2591</v>
      </c>
      <c r="B2082" s="252">
        <f>IF(A2082="", "", IF(IFERROR(VLOOKUP(A2082, 'Base 3F'!$B:$C, 2, FALSE),"")="", "SIN CUIT", VLOOKUP(A2082, 'Base 3F'!$B:$C, 2, FALSE)))</f>
        <v>30695261418</v>
      </c>
      <c r="C2082" s="253" t="str">
        <f>IF(A2082="", "", IF(IFERROR(VLOOKUP(A2082, 'Base 3F'!$B:$J, 9, FALSE),"")="", "SIN RUBRO", VLOOKUP(A2082, 'Base 3F'!$B:$J, 9, FALSE)))</f>
        <v>Electrónica</v>
      </c>
      <c r="D2082" s="58" t="s">
        <v>10377</v>
      </c>
      <c r="E2082" s="10" t="s">
        <v>2392</v>
      </c>
      <c r="F2082" s="46" t="s">
        <v>115</v>
      </c>
    </row>
    <row r="2083">
      <c r="A2083" s="285" t="s">
        <v>2597</v>
      </c>
      <c r="B2083" s="252">
        <f>IF(A2083="", "", IF(IFERROR(VLOOKUP(A2083, 'Base 3F'!$B:$C, 2, FALSE),"")="", "SIN CUIT", VLOOKUP(A2083, 'Base 3F'!$B:$C, 2, FALSE)))</f>
        <v>30708574224</v>
      </c>
      <c r="C2083" s="253" t="str">
        <f>IF(A2083="", "", IF(IFERROR(VLOOKUP(A2083, 'Base 3F'!$B:$J, 9, FALSE),"")="", "SIN RUBRO", VLOOKUP(A2083, 'Base 3F'!$B:$J, 9, FALSE)))</f>
        <v>Madera</v>
      </c>
      <c r="D2083" s="58" t="s">
        <v>10380</v>
      </c>
      <c r="E2083" s="10" t="s">
        <v>2392</v>
      </c>
      <c r="F2083" s="46" t="s">
        <v>115</v>
      </c>
    </row>
    <row r="2084">
      <c r="A2084" s="285" t="s">
        <v>2606</v>
      </c>
      <c r="B2084" s="252">
        <f>IF(A2084="", "", IF(IFERROR(VLOOKUP(A2084, 'Base 3F'!$B:$C, 2, FALSE),"")="", "SIN CUIT", VLOOKUP(A2084, 'Base 3F'!$B:$C, 2, FALSE)))</f>
        <v>30710460759</v>
      </c>
      <c r="C2084" s="253" t="str">
        <f>IF(A2084="", "", IF(IFERROR(VLOOKUP(A2084, 'Base 3F'!$B:$J, 9, FALSE),"")="", "SIN RUBRO", VLOOKUP(A2084, 'Base 3F'!$B:$J, 9, FALSE)))</f>
        <v>Metalúrgica</v>
      </c>
      <c r="D2084" s="58" t="s">
        <v>10386</v>
      </c>
      <c r="E2084" s="10" t="s">
        <v>2392</v>
      </c>
      <c r="F2084" s="46" t="s">
        <v>115</v>
      </c>
    </row>
    <row r="2085">
      <c r="A2085" s="285" t="s">
        <v>2611</v>
      </c>
      <c r="B2085" s="252">
        <f>IF(A2085="", "", IF(IFERROR(VLOOKUP(A2085, 'Base 3F'!$B:$C, 2, FALSE),"")="", "SIN CUIT", VLOOKUP(A2085, 'Base 3F'!$B:$C, 2, FALSE)))</f>
        <v>30708875992</v>
      </c>
      <c r="C2085" s="253" t="str">
        <f>IF(A2085="", "", IF(IFERROR(VLOOKUP(A2085, 'Base 3F'!$B:$J, 9, FALSE),"")="", "SIN RUBRO", VLOOKUP(A2085, 'Base 3F'!$B:$J, 9, FALSE)))</f>
        <v>Metalúrgica</v>
      </c>
      <c r="D2085" s="58" t="s">
        <v>10391</v>
      </c>
      <c r="E2085" s="10" t="s">
        <v>2392</v>
      </c>
      <c r="F2085" s="46" t="s">
        <v>115</v>
      </c>
    </row>
    <row r="2086">
      <c r="A2086" s="285" t="s">
        <v>2619</v>
      </c>
      <c r="B2086" s="252">
        <f>IF(A2086="", "", IF(IFERROR(VLOOKUP(A2086, 'Base 3F'!$B:$C, 2, FALSE),"")="", "SIN CUIT", VLOOKUP(A2086, 'Base 3F'!$B:$C, 2, FALSE)))</f>
        <v>30711999929</v>
      </c>
      <c r="C2086" s="253" t="str">
        <f>IF(A2086="", "", IF(IFERROR(VLOOKUP(A2086, 'Base 3F'!$B:$J, 9, FALSE),"")="", "SIN RUBRO", VLOOKUP(A2086, 'Base 3F'!$B:$J, 9, FALSE)))</f>
        <v>Metalmecánica</v>
      </c>
      <c r="D2086" s="58" t="s">
        <v>10399</v>
      </c>
      <c r="E2086" s="10" t="s">
        <v>2392</v>
      </c>
      <c r="F2086" s="46" t="s">
        <v>115</v>
      </c>
    </row>
    <row r="2087">
      <c r="A2087" s="285" t="s">
        <v>8658</v>
      </c>
      <c r="B2087" s="252">
        <f>IF(A2087="", "", IF(IFERROR(VLOOKUP(A2087, 'Base 3F'!$B:$C, 2, FALSE),"")="", "SIN CUIT", VLOOKUP(A2087, 'Base 3F'!$B:$C, 2, FALSE)))</f>
        <v>30634093520</v>
      </c>
      <c r="C2087" s="253" t="str">
        <f>IF(A2087="", "", IF(IFERROR(VLOOKUP(A2087, 'Base 3F'!$B:$J, 9, FALSE),"")="", "SIN RUBRO", VLOOKUP(A2087, 'Base 3F'!$B:$J, 9, FALSE)))</f>
        <v>Metalúrgica</v>
      </c>
      <c r="D2087" s="58" t="s">
        <v>10403</v>
      </c>
      <c r="E2087" s="10" t="s">
        <v>2392</v>
      </c>
      <c r="F2087" s="46" t="s">
        <v>115</v>
      </c>
    </row>
    <row r="2088">
      <c r="A2088" s="285" t="s">
        <v>2640</v>
      </c>
      <c r="B2088" s="252">
        <f>IF(A2088="", "", IF(IFERROR(VLOOKUP(A2088, 'Base 3F'!$B:$C, 2, FALSE),"")="", "SIN CUIT", VLOOKUP(A2088, 'Base 3F'!$B:$C, 2, FALSE)))</f>
        <v>30714532215</v>
      </c>
      <c r="C2088" s="253" t="str">
        <f>IF(A2088="", "", IF(IFERROR(VLOOKUP(A2088, 'Base 3F'!$B:$J, 9, FALSE),"")="", "SIN RUBRO", VLOOKUP(A2088, 'Base 3F'!$B:$J, 9, FALSE)))</f>
        <v>Plástica</v>
      </c>
      <c r="D2088" s="58" t="s">
        <v>10405</v>
      </c>
      <c r="E2088" s="10" t="s">
        <v>2392</v>
      </c>
      <c r="F2088" s="46" t="s">
        <v>115</v>
      </c>
    </row>
    <row r="2089">
      <c r="A2089" s="285" t="s">
        <v>8698</v>
      </c>
      <c r="B2089" s="252">
        <f>IF(A2089="", "", IF(IFERROR(VLOOKUP(A2089, 'Base 3F'!$B:$C, 2, FALSE),"")="", "SIN CUIT", VLOOKUP(A2089, 'Base 3F'!$B:$C, 2, FALSE)))</f>
        <v>30708765658</v>
      </c>
      <c r="C2089" s="253" t="str">
        <f>IF(A2089="", "", IF(IFERROR(VLOOKUP(A2089, 'Base 3F'!$B:$J, 9, FALSE),"")="", "SIN RUBRO", VLOOKUP(A2089, 'Base 3F'!$B:$J, 9, FALSE)))</f>
        <v>Textil</v>
      </c>
      <c r="D2089" s="58" t="s">
        <v>10407</v>
      </c>
      <c r="E2089" s="10" t="s">
        <v>2392</v>
      </c>
      <c r="F2089" s="46" t="s">
        <v>115</v>
      </c>
    </row>
    <row r="2090">
      <c r="A2090" s="285" t="s">
        <v>8712</v>
      </c>
      <c r="B2090" s="252">
        <f>IF(A2090="", "", IF(IFERROR(VLOOKUP(A2090, 'Base 3F'!$B:$C, 2, FALSE),"")="", "SIN CUIT", VLOOKUP(A2090, 'Base 3F'!$B:$C, 2, FALSE)))</f>
        <v>30559294469</v>
      </c>
      <c r="C2090" s="253" t="str">
        <f>IF(A2090="", "", IF(IFERROR(VLOOKUP(A2090, 'Base 3F'!$B:$J, 9, FALSE),"")="", "SIN RUBRO", VLOOKUP(A2090, 'Base 3F'!$B:$J, 9, FALSE)))</f>
        <v>Metalúrgica</v>
      </c>
      <c r="D2090" s="58" t="s">
        <v>10410</v>
      </c>
      <c r="E2090" s="10" t="s">
        <v>2392</v>
      </c>
      <c r="F2090" s="46" t="s">
        <v>115</v>
      </c>
    </row>
    <row r="2091">
      <c r="A2091" s="285" t="s">
        <v>8716</v>
      </c>
      <c r="B2091" s="252">
        <f>IF(A2091="", "", IF(IFERROR(VLOOKUP(A2091, 'Base 3F'!$B:$C, 2, FALSE),"")="", "SIN CUIT", VLOOKUP(A2091, 'Base 3F'!$B:$C, 2, FALSE)))</f>
        <v>33697672279</v>
      </c>
      <c r="C2091" s="253" t="str">
        <f>IF(A2091="", "", IF(IFERROR(VLOOKUP(A2091, 'Base 3F'!$B:$J, 9, FALSE),"")="", "SIN RUBRO", VLOOKUP(A2091, 'Base 3F'!$B:$J, 9, FALSE)))</f>
        <v>Construcción</v>
      </c>
      <c r="D2091" s="58" t="s">
        <v>10416</v>
      </c>
      <c r="E2091" s="10" t="s">
        <v>2392</v>
      </c>
      <c r="F2091" s="46" t="s">
        <v>115</v>
      </c>
    </row>
    <row r="2092">
      <c r="A2092" s="285" t="s">
        <v>2654</v>
      </c>
      <c r="B2092" s="252">
        <f>IF(A2092="", "", IF(IFERROR(VLOOKUP(A2092, 'Base 3F'!$B:$C, 2, FALSE),"")="", "SIN CUIT", VLOOKUP(A2092, 'Base 3F'!$B:$C, 2, FALSE)))</f>
        <v>30505488004</v>
      </c>
      <c r="C2092" s="253" t="str">
        <f>IF(A2092="", "", IF(IFERROR(VLOOKUP(A2092, 'Base 3F'!$B:$J, 9, FALSE),"")="", "SIN RUBRO", VLOOKUP(A2092, 'Base 3F'!$B:$J, 9, FALSE)))</f>
        <v>Plástica</v>
      </c>
      <c r="D2092" s="58" t="s">
        <v>10419</v>
      </c>
      <c r="E2092" s="10" t="s">
        <v>2392</v>
      </c>
      <c r="F2092" s="46" t="s">
        <v>115</v>
      </c>
    </row>
    <row r="2093">
      <c r="A2093" s="285" t="s">
        <v>2672</v>
      </c>
      <c r="B2093" s="252">
        <f>IF(A2093="", "", IF(IFERROR(VLOOKUP(A2093, 'Base 3F'!$B:$C, 2, FALSE),"")="", "SIN CUIT", VLOOKUP(A2093, 'Base 3F'!$B:$C, 2, FALSE)))</f>
        <v>30564216514</v>
      </c>
      <c r="C2093" s="253" t="str">
        <f>IF(A2093="", "", IF(IFERROR(VLOOKUP(A2093, 'Base 3F'!$B:$J, 9, FALSE),"")="", "SIN RUBRO", VLOOKUP(A2093, 'Base 3F'!$B:$J, 9, FALSE)))</f>
        <v>Textil</v>
      </c>
      <c r="D2093" s="58" t="s">
        <v>10422</v>
      </c>
      <c r="E2093" s="10" t="s">
        <v>2392</v>
      </c>
      <c r="F2093" s="46" t="s">
        <v>115</v>
      </c>
    </row>
    <row r="2094">
      <c r="A2094" s="285" t="s">
        <v>10423</v>
      </c>
      <c r="B2094" s="252">
        <f>IF(A2094="", "", IF(IFERROR(VLOOKUP(A2094, 'Base 3F'!$B:$C, 2, FALSE),"")="", "SIN CUIT", VLOOKUP(A2094, 'Base 3F'!$B:$C, 2, FALSE)))</f>
        <v>33708444419</v>
      </c>
      <c r="C2094" s="253" t="str">
        <f>IF(A2094="", "", IF(IFERROR(VLOOKUP(A2094, 'Base 3F'!$B:$J, 9, FALSE),"")="", "SIN RUBRO", VLOOKUP(A2094, 'Base 3F'!$B:$J, 9, FALSE)))</f>
        <v>Alimenticia</v>
      </c>
      <c r="D2094" s="58" t="s">
        <v>10428</v>
      </c>
      <c r="E2094" s="10" t="s">
        <v>2392</v>
      </c>
      <c r="F2094" s="46" t="s">
        <v>115</v>
      </c>
    </row>
    <row r="2095">
      <c r="A2095" s="285" t="s">
        <v>8772</v>
      </c>
      <c r="B2095" s="252">
        <f>IF(A2095="", "", IF(IFERROR(VLOOKUP(A2095, 'Base 3F'!$B:$C, 2, FALSE),"")="", "SIN CUIT", VLOOKUP(A2095, 'Base 3F'!$B:$C, 2, FALSE)))</f>
        <v>30709248673</v>
      </c>
      <c r="C2095" s="253" t="str">
        <f>IF(A2095="", "", IF(IFERROR(VLOOKUP(A2095, 'Base 3F'!$B:$J, 9, FALSE),"")="", "SIN RUBRO", VLOOKUP(A2095, 'Base 3F'!$B:$J, 9, FALSE)))</f>
        <v>Plástica</v>
      </c>
      <c r="D2095" s="58" t="s">
        <v>10431</v>
      </c>
      <c r="E2095" s="10" t="s">
        <v>2392</v>
      </c>
      <c r="F2095" s="46" t="s">
        <v>115</v>
      </c>
    </row>
    <row r="2096">
      <c r="A2096" s="285" t="s">
        <v>8814</v>
      </c>
      <c r="B2096" s="252">
        <f>IF(A2096="", "", IF(IFERROR(VLOOKUP(A2096, 'Base 3F'!$B:$C, 2, FALSE),"")="", "SIN CUIT", VLOOKUP(A2096, 'Base 3F'!$B:$C, 2, FALSE)))</f>
        <v>30708457856</v>
      </c>
      <c r="C2096" s="253" t="str">
        <f>IF(A2096="", "", IF(IFERROR(VLOOKUP(A2096, 'Base 3F'!$B:$J, 9, FALSE),"")="", "SIN RUBRO", VLOOKUP(A2096, 'Base 3F'!$B:$J, 9, FALSE)))</f>
        <v>Plástica</v>
      </c>
      <c r="D2096" s="58" t="s">
        <v>10434</v>
      </c>
      <c r="E2096" s="10" t="s">
        <v>2392</v>
      </c>
      <c r="F2096" s="46" t="s">
        <v>115</v>
      </c>
    </row>
    <row r="2097">
      <c r="A2097" s="285" t="s">
        <v>2727</v>
      </c>
      <c r="B2097" s="252">
        <f>IF(A2097="", "", IF(IFERROR(VLOOKUP(A2097, 'Base 3F'!$B:$C, 2, FALSE),"")="", "SIN CUIT", VLOOKUP(A2097, 'Base 3F'!$B:$C, 2, FALSE)))</f>
        <v>30708397896</v>
      </c>
      <c r="C2097" s="253" t="str">
        <f>IF(A2097="", "", IF(IFERROR(VLOOKUP(A2097, 'Base 3F'!$B:$J, 9, FALSE),"")="", "SIN RUBRO", VLOOKUP(A2097, 'Base 3F'!$B:$J, 9, FALSE)))</f>
        <v>Transporte</v>
      </c>
      <c r="D2097" s="58" t="s">
        <v>10437</v>
      </c>
      <c r="E2097" s="10" t="s">
        <v>2392</v>
      </c>
      <c r="F2097" s="46" t="s">
        <v>115</v>
      </c>
    </row>
    <row r="2098">
      <c r="A2098" s="285" t="s">
        <v>8836</v>
      </c>
      <c r="B2098" s="252">
        <f>IF(A2098="", "", IF(IFERROR(VLOOKUP(A2098, 'Base 3F'!$B:$C, 2, FALSE),"")="", "SIN CUIT", VLOOKUP(A2098, 'Base 3F'!$B:$C, 2, FALSE)))</f>
        <v>33711126339</v>
      </c>
      <c r="C2098" s="253" t="str">
        <f>IF(A2098="", "", IF(IFERROR(VLOOKUP(A2098, 'Base 3F'!$B:$J, 9, FALSE),"")="", "SIN RUBRO", VLOOKUP(A2098, 'Base 3F'!$B:$J, 9, FALSE)))</f>
        <v>Textil</v>
      </c>
      <c r="D2098" s="58" t="s">
        <v>10445</v>
      </c>
      <c r="E2098" s="10" t="s">
        <v>2392</v>
      </c>
      <c r="F2098" s="46" t="s">
        <v>115</v>
      </c>
    </row>
    <row r="2099">
      <c r="A2099" s="285" t="s">
        <v>2738</v>
      </c>
      <c r="B2099" s="252">
        <f>IF(A2099="", "", IF(IFERROR(VLOOKUP(A2099, 'Base 3F'!$B:$C, 2, FALSE),"")="", "SIN CUIT", VLOOKUP(A2099, 'Base 3F'!$B:$C, 2, FALSE)))</f>
        <v>30710326246</v>
      </c>
      <c r="C2099" s="253" t="str">
        <f>IF(A2099="", "", IF(IFERROR(VLOOKUP(A2099, 'Base 3F'!$B:$J, 9, FALSE),"")="", "SIN RUBRO", VLOOKUP(A2099, 'Base 3F'!$B:$J, 9, FALSE)))</f>
        <v>Alimenticia</v>
      </c>
      <c r="D2099" s="58" t="s">
        <v>10450</v>
      </c>
      <c r="E2099" s="10" t="s">
        <v>2392</v>
      </c>
      <c r="F2099" s="46" t="s">
        <v>115</v>
      </c>
    </row>
    <row r="2100">
      <c r="A2100" s="285" t="s">
        <v>8870</v>
      </c>
      <c r="B2100" s="252">
        <f>IF(A2100="", "", IF(IFERROR(VLOOKUP(A2100, 'Base 3F'!$B:$C, 2, FALSE),"")="", "SIN CUIT", VLOOKUP(A2100, 'Base 3F'!$B:$C, 2, FALSE)))</f>
        <v>30710564422</v>
      </c>
      <c r="C2100" s="253" t="str">
        <f>IF(A2100="", "", IF(IFERROR(VLOOKUP(A2100, 'Base 3F'!$B:$J, 9, FALSE),"")="", "SIN RUBRO", VLOOKUP(A2100, 'Base 3F'!$B:$J, 9, FALSE)))</f>
        <v>Papel</v>
      </c>
      <c r="D2100" s="58" t="s">
        <v>10457</v>
      </c>
      <c r="E2100" s="10" t="s">
        <v>2392</v>
      </c>
      <c r="F2100" s="46" t="s">
        <v>115</v>
      </c>
    </row>
    <row r="2101">
      <c r="A2101" s="285" t="s">
        <v>2750</v>
      </c>
      <c r="B2101" s="252">
        <f>IF(A2101="", "", IF(IFERROR(VLOOKUP(A2101, 'Base 3F'!$B:$C, 2, FALSE),"")="", "SIN CUIT", VLOOKUP(A2101, 'Base 3F'!$B:$C, 2, FALSE)))</f>
        <v>30653678963</v>
      </c>
      <c r="C2101" s="253" t="str">
        <f>IF(A2101="", "", IF(IFERROR(VLOOKUP(A2101, 'Base 3F'!$B:$J, 9, FALSE),"")="", "SIN RUBRO", VLOOKUP(A2101, 'Base 3F'!$B:$J, 9, FALSE)))</f>
        <v>Plástica</v>
      </c>
      <c r="D2101" s="58" t="s">
        <v>10460</v>
      </c>
      <c r="E2101" s="10" t="s">
        <v>2392</v>
      </c>
      <c r="F2101" s="46" t="s">
        <v>115</v>
      </c>
    </row>
    <row r="2102">
      <c r="A2102" s="285" t="s">
        <v>10461</v>
      </c>
      <c r="B2102" s="252">
        <f>IF(A2102="", "", IF(IFERROR(VLOOKUP(A2102, 'Base 3F'!$B:$C, 2, FALSE),"")="", "SIN CUIT", VLOOKUP(A2102, 'Base 3F'!$B:$C, 2, FALSE)))</f>
        <v>30638224506</v>
      </c>
      <c r="C2102" s="253" t="str">
        <f>IF(A2102="", "", IF(IFERROR(VLOOKUP(A2102, 'Base 3F'!$B:$J, 9, FALSE),"")="", "SIN RUBRO", VLOOKUP(A2102, 'Base 3F'!$B:$J, 9, FALSE)))</f>
        <v>Textil</v>
      </c>
      <c r="D2102" s="58" t="s">
        <v>10465</v>
      </c>
      <c r="E2102" s="10" t="s">
        <v>2392</v>
      </c>
      <c r="F2102" s="46" t="s">
        <v>115</v>
      </c>
    </row>
    <row r="2103">
      <c r="A2103" s="285" t="s">
        <v>8900</v>
      </c>
      <c r="B2103" s="252">
        <f>IF(A2103="", "", IF(IFERROR(VLOOKUP(A2103, 'Base 3F'!$B:$C, 2, FALSE),"")="", "SIN CUIT", VLOOKUP(A2103, 'Base 3F'!$B:$C, 2, FALSE)))</f>
        <v>30516070524</v>
      </c>
      <c r="C2103" s="253" t="str">
        <f>IF(A2103="", "", IF(IFERROR(VLOOKUP(A2103, 'Base 3F'!$B:$J, 9, FALSE),"")="", "SIN RUBRO", VLOOKUP(A2103, 'Base 3F'!$B:$J, 9, FALSE)))</f>
        <v>Electrónica</v>
      </c>
      <c r="D2103" s="58" t="s">
        <v>10470</v>
      </c>
      <c r="E2103" s="10" t="s">
        <v>2392</v>
      </c>
      <c r="F2103" s="46" t="s">
        <v>115</v>
      </c>
    </row>
    <row r="2104">
      <c r="A2104" s="285" t="s">
        <v>10471</v>
      </c>
      <c r="B2104" s="252">
        <f>IF(A2104="", "", IF(IFERROR(VLOOKUP(A2104, 'Base 3F'!$B:$C, 2, FALSE),"")="", "SIN CUIT", VLOOKUP(A2104, 'Base 3F'!$B:$C, 2, FALSE)))</f>
        <v>23106695539</v>
      </c>
      <c r="C2104" s="253" t="str">
        <f>IF(A2104="", "", IF(IFERROR(VLOOKUP(A2104, 'Base 3F'!$B:$J, 9, FALSE),"")="", "SIN RUBRO", VLOOKUP(A2104, 'Base 3F'!$B:$J, 9, FALSE)))</f>
        <v>Papel</v>
      </c>
      <c r="D2104" s="58" t="s">
        <v>10477</v>
      </c>
      <c r="E2104" s="10" t="s">
        <v>2392</v>
      </c>
      <c r="F2104" s="46" t="s">
        <v>115</v>
      </c>
    </row>
    <row r="2105">
      <c r="A2105" s="285" t="s">
        <v>8911</v>
      </c>
      <c r="B2105" s="252">
        <f>IF(A2105="", "", IF(IFERROR(VLOOKUP(A2105, 'Base 3F'!$B:$C, 2, FALSE),"")="", "SIN CUIT", VLOOKUP(A2105, 'Base 3F'!$B:$C, 2, FALSE)))</f>
        <v>30622197185</v>
      </c>
      <c r="C2105" s="253" t="str">
        <f>IF(A2105="", "", IF(IFERROR(VLOOKUP(A2105, 'Base 3F'!$B:$J, 9, FALSE),"")="", "SIN RUBRO", VLOOKUP(A2105, 'Base 3F'!$B:$J, 9, FALSE)))</f>
        <v>Metalúrgica</v>
      </c>
      <c r="D2105" s="58" t="s">
        <v>10480</v>
      </c>
      <c r="E2105" s="10" t="s">
        <v>2392</v>
      </c>
      <c r="F2105" s="46" t="s">
        <v>115</v>
      </c>
    </row>
    <row r="2106">
      <c r="A2106" s="285" t="s">
        <v>8920</v>
      </c>
      <c r="B2106" s="252">
        <f>IF(A2106="", "", IF(IFERROR(VLOOKUP(A2106, 'Base 3F'!$B:$C, 2, FALSE),"")="", "SIN CUIT", VLOOKUP(A2106, 'Base 3F'!$B:$C, 2, FALSE)))</f>
        <v>30615546727</v>
      </c>
      <c r="C2106" s="253" t="str">
        <f>IF(A2106="", "", IF(IFERROR(VLOOKUP(A2106, 'Base 3F'!$B:$J, 9, FALSE),"")="", "SIN RUBRO", VLOOKUP(A2106, 'Base 3F'!$B:$J, 9, FALSE)))</f>
        <v>Textil</v>
      </c>
      <c r="D2106" s="58" t="s">
        <v>10482</v>
      </c>
      <c r="E2106" s="10" t="s">
        <v>2392</v>
      </c>
      <c r="F2106" s="46" t="s">
        <v>115</v>
      </c>
    </row>
    <row r="2107">
      <c r="A2107" s="285" t="s">
        <v>2766</v>
      </c>
      <c r="B2107" s="252">
        <f>IF(A2107="", "", IF(IFERROR(VLOOKUP(A2107, 'Base 3F'!$B:$C, 2, FALSE),"")="", "SIN CUIT", VLOOKUP(A2107, 'Base 3F'!$B:$C, 2, FALSE)))</f>
        <v>30636890339</v>
      </c>
      <c r="C2107" s="253" t="str">
        <f>IF(A2107="", "", IF(IFERROR(VLOOKUP(A2107, 'Base 3F'!$B:$J, 9, FALSE),"")="", "SIN RUBRO", VLOOKUP(A2107, 'Base 3F'!$B:$J, 9, FALSE)))</f>
        <v>Metalúrgica</v>
      </c>
      <c r="D2107" s="58" t="s">
        <v>10486</v>
      </c>
      <c r="E2107" s="10" t="s">
        <v>2392</v>
      </c>
      <c r="F2107" s="46" t="s">
        <v>115</v>
      </c>
    </row>
    <row r="2108">
      <c r="A2108" s="285" t="s">
        <v>2805</v>
      </c>
      <c r="B2108" s="252">
        <f>IF(A2108="", "", IF(IFERROR(VLOOKUP(A2108, 'Base 3F'!$B:$C, 2, FALSE),"")="", "SIN CUIT", VLOOKUP(A2108, 'Base 3F'!$B:$C, 2, FALSE)))</f>
        <v>33709027579</v>
      </c>
      <c r="C2108" s="253" t="str">
        <f>IF(A2108="", "", IF(IFERROR(VLOOKUP(A2108, 'Base 3F'!$B:$J, 9, FALSE),"")="", "SIN RUBRO", VLOOKUP(A2108, 'Base 3F'!$B:$J, 9, FALSE)))</f>
        <v>Química</v>
      </c>
      <c r="D2108" s="58" t="s">
        <v>10490</v>
      </c>
      <c r="E2108" s="10" t="s">
        <v>2392</v>
      </c>
      <c r="F2108" s="46" t="s">
        <v>115</v>
      </c>
    </row>
    <row r="2109">
      <c r="A2109" s="285" t="s">
        <v>4420</v>
      </c>
      <c r="B2109" s="252">
        <f>IF(A2109="", "", IF(IFERROR(VLOOKUP(A2109, 'Base 3F'!$B:$C, 2, FALSE),"")="", "SIN CUIT", VLOOKUP(A2109, 'Base 3F'!$B:$C, 2, FALSE)))</f>
        <v>30709488291</v>
      </c>
      <c r="C2109" s="253" t="str">
        <f>IF(A2109="", "", IF(IFERROR(VLOOKUP(A2109, 'Base 3F'!$B:$J, 9, FALSE),"")="", "SIN RUBRO", VLOOKUP(A2109, 'Base 3F'!$B:$J, 9, FALSE)))</f>
        <v>Química</v>
      </c>
      <c r="D2109" s="58" t="s">
        <v>10493</v>
      </c>
      <c r="E2109" s="10" t="s">
        <v>2392</v>
      </c>
      <c r="F2109" s="46" t="s">
        <v>115</v>
      </c>
    </row>
    <row r="2110">
      <c r="A2110" s="285" t="s">
        <v>2812</v>
      </c>
      <c r="B2110" s="252">
        <f>IF(A2110="", "", IF(IFERROR(VLOOKUP(A2110, 'Base 3F'!$B:$C, 2, FALSE),"")="", "SIN CUIT", VLOOKUP(A2110, 'Base 3F'!$B:$C, 2, FALSE)))</f>
        <v>30708758732</v>
      </c>
      <c r="C2110" s="253" t="str">
        <f>IF(A2110="", "", IF(IFERROR(VLOOKUP(A2110, 'Base 3F'!$B:$J, 9, FALSE),"")="", "SIN RUBRO", VLOOKUP(A2110, 'Base 3F'!$B:$J, 9, FALSE)))</f>
        <v>Metalúrgica</v>
      </c>
      <c r="D2110" s="58" t="s">
        <v>10498</v>
      </c>
      <c r="E2110" s="10" t="s">
        <v>2392</v>
      </c>
      <c r="F2110" s="46" t="s">
        <v>115</v>
      </c>
    </row>
    <row r="2111">
      <c r="A2111" s="285" t="s">
        <v>8997</v>
      </c>
      <c r="B2111" s="252">
        <f>IF(A2111="", "", IF(IFERROR(VLOOKUP(A2111, 'Base 3F'!$B:$C, 2, FALSE),"")="", "SIN CUIT", VLOOKUP(A2111, 'Base 3F'!$B:$C, 2, FALSE)))</f>
        <v>30522480122</v>
      </c>
      <c r="C2111" s="253" t="str">
        <f>IF(A2111="", "", IF(IFERROR(VLOOKUP(A2111, 'Base 3F'!$B:$J, 9, FALSE),"")="", "SIN RUBRO", VLOOKUP(A2111, 'Base 3F'!$B:$J, 9, FALSE)))</f>
        <v>Metalúrgica</v>
      </c>
      <c r="D2111" s="58" t="s">
        <v>10500</v>
      </c>
      <c r="E2111" s="10" t="s">
        <v>2392</v>
      </c>
      <c r="F2111" s="46" t="s">
        <v>115</v>
      </c>
    </row>
    <row r="2112">
      <c r="A2112" s="285" t="s">
        <v>2817</v>
      </c>
      <c r="B2112" s="252">
        <f>IF(A2112="", "", IF(IFERROR(VLOOKUP(A2112, 'Base 3F'!$B:$C, 2, FALSE),"")="", "SIN CUIT", VLOOKUP(A2112, 'Base 3F'!$B:$C, 2, FALSE)))</f>
        <v>30707338071</v>
      </c>
      <c r="C2112" s="253" t="str">
        <f>IF(A2112="", "", IF(IFERROR(VLOOKUP(A2112, 'Base 3F'!$B:$J, 9, FALSE),"")="", "SIN RUBRO", VLOOKUP(A2112, 'Base 3F'!$B:$J, 9, FALSE)))</f>
        <v>Servicios</v>
      </c>
      <c r="D2112" s="58" t="s">
        <v>10504</v>
      </c>
      <c r="E2112" s="10" t="s">
        <v>2392</v>
      </c>
      <c r="F2112" s="46" t="s">
        <v>115</v>
      </c>
    </row>
    <row r="2113">
      <c r="A2113" s="285" t="s">
        <v>9029</v>
      </c>
      <c r="B2113" s="252">
        <f>IF(A2113="", "", IF(IFERROR(VLOOKUP(A2113, 'Base 3F'!$B:$C, 2, FALSE),"")="", "SIN CUIT", VLOOKUP(A2113, 'Base 3F'!$B:$C, 2, FALSE)))</f>
        <v>30708222085</v>
      </c>
      <c r="C2113" s="253" t="str">
        <f>IF(A2113="", "", IF(IFERROR(VLOOKUP(A2113, 'Base 3F'!$B:$J, 9, FALSE),"")="", "SIN RUBRO", VLOOKUP(A2113, 'Base 3F'!$B:$J, 9, FALSE)))</f>
        <v>Metalmecánica</v>
      </c>
      <c r="D2113" s="58" t="s">
        <v>10506</v>
      </c>
      <c r="E2113" s="10" t="s">
        <v>2392</v>
      </c>
      <c r="F2113" s="46" t="s">
        <v>115</v>
      </c>
    </row>
    <row r="2114">
      <c r="A2114" s="285" t="s">
        <v>9036</v>
      </c>
      <c r="B2114" s="252">
        <f>IF(A2114="", "", IF(IFERROR(VLOOKUP(A2114, 'Base 3F'!$B:$C, 2, FALSE),"")="", "SIN CUIT", VLOOKUP(A2114, 'Base 3F'!$B:$C, 2, FALSE)))</f>
        <v>30707008969</v>
      </c>
      <c r="C2114" s="253" t="str">
        <f>IF(A2114="", "", IF(IFERROR(VLOOKUP(A2114, 'Base 3F'!$B:$J, 9, FALSE),"")="", "SIN RUBRO", VLOOKUP(A2114, 'Base 3F'!$B:$J, 9, FALSE)))</f>
        <v>Metalúrgica</v>
      </c>
      <c r="D2114" s="142" t="s">
        <v>10509</v>
      </c>
      <c r="E2114" s="10" t="s">
        <v>2392</v>
      </c>
      <c r="F2114" s="46" t="s">
        <v>115</v>
      </c>
    </row>
    <row r="2115">
      <c r="A2115" s="285" t="s">
        <v>9047</v>
      </c>
      <c r="B2115" s="252">
        <f>IF(A2115="", "", IF(IFERROR(VLOOKUP(A2115, 'Base 3F'!$B:$C, 2, FALSE),"")="", "SIN CUIT", VLOOKUP(A2115, 'Base 3F'!$B:$C, 2, FALSE)))</f>
        <v>30643957333</v>
      </c>
      <c r="C2115" s="253" t="str">
        <f>IF(A2115="", "", IF(IFERROR(VLOOKUP(A2115, 'Base 3F'!$B:$J, 9, FALSE),"")="", "SIN RUBRO", VLOOKUP(A2115, 'Base 3F'!$B:$J, 9, FALSE)))</f>
        <v>Plástica</v>
      </c>
      <c r="D2115" s="58" t="s">
        <v>10512</v>
      </c>
      <c r="E2115" s="10" t="s">
        <v>2392</v>
      </c>
      <c r="F2115" s="46" t="s">
        <v>115</v>
      </c>
    </row>
    <row r="2116">
      <c r="A2116" s="285" t="s">
        <v>9055</v>
      </c>
      <c r="B2116" s="252">
        <f>IF(A2116="", "", IF(IFERROR(VLOOKUP(A2116, 'Base 3F'!$B:$C, 2, FALSE),"")="", "SIN CUIT", VLOOKUP(A2116, 'Base 3F'!$B:$C, 2, FALSE)))</f>
        <v>30568969274</v>
      </c>
      <c r="C2116" s="253" t="str">
        <f>IF(A2116="", "", IF(IFERROR(VLOOKUP(A2116, 'Base 3F'!$B:$J, 9, FALSE),"")="", "SIN RUBRO", VLOOKUP(A2116, 'Base 3F'!$B:$J, 9, FALSE)))</f>
        <v>Química</v>
      </c>
      <c r="D2116" s="58" t="s">
        <v>10514</v>
      </c>
      <c r="E2116" s="10" t="s">
        <v>2392</v>
      </c>
      <c r="F2116" s="46" t="s">
        <v>115</v>
      </c>
    </row>
    <row r="2117">
      <c r="A2117" s="285" t="s">
        <v>9059</v>
      </c>
      <c r="B2117" s="252">
        <f>IF(A2117="", "", IF(IFERROR(VLOOKUP(A2117, 'Base 3F'!$B:$C, 2, FALSE),"")="", "SIN CUIT", VLOOKUP(A2117, 'Base 3F'!$B:$C, 2, FALSE)))</f>
        <v>30712286713</v>
      </c>
      <c r="C2117" s="253" t="str">
        <f>IF(A2117="", "", IF(IFERROR(VLOOKUP(A2117, 'Base 3F'!$B:$J, 9, FALSE),"")="", "SIN RUBRO", VLOOKUP(A2117, 'Base 3F'!$B:$J, 9, FALSE)))</f>
        <v>Plástica</v>
      </c>
      <c r="D2117" s="142" t="s">
        <v>10519</v>
      </c>
      <c r="E2117" s="10" t="s">
        <v>2392</v>
      </c>
      <c r="F2117" s="46" t="s">
        <v>115</v>
      </c>
    </row>
    <row r="2118">
      <c r="A2118" s="285" t="s">
        <v>10521</v>
      </c>
      <c r="B2118" s="252" t="str">
        <f>IF(A2118="", "", IF(IFERROR(VLOOKUP(A2118, 'Base 3F'!$B:$C, 2, FALSE),"")="", "SIN CUIT", VLOOKUP(A2118, 'Base 3F'!$B:$C, 2, FALSE)))</f>
        <v>SIN CUIT</v>
      </c>
      <c r="C2118" s="253" t="str">
        <f>IF(A2118="", "", IF(IFERROR(VLOOKUP(A2118, 'Base 3F'!$B:$J, 9, FALSE),"")="", "SIN RUBRO", VLOOKUP(A2118, 'Base 3F'!$B:$J, 9, FALSE)))</f>
        <v>SIN RUBRO</v>
      </c>
      <c r="D2118" s="58" t="s">
        <v>10524</v>
      </c>
      <c r="E2118" s="10" t="s">
        <v>2392</v>
      </c>
      <c r="F2118" s="46" t="s">
        <v>115</v>
      </c>
    </row>
    <row r="2119">
      <c r="A2119" s="285" t="s">
        <v>9076</v>
      </c>
      <c r="B2119" s="252">
        <f>IF(A2119="", "", IF(IFERROR(VLOOKUP(A2119, 'Base 3F'!$B:$C, 2, FALSE),"")="", "SIN CUIT", VLOOKUP(A2119, 'Base 3F'!$B:$C, 2, FALSE)))</f>
        <v>23047533449</v>
      </c>
      <c r="C2119" s="253" t="str">
        <f>IF(A2119="", "", IF(IFERROR(VLOOKUP(A2119, 'Base 3F'!$B:$J, 9, FALSE),"")="", "SIN RUBRO", VLOOKUP(A2119, 'Base 3F'!$B:$J, 9, FALSE)))</f>
        <v>Metalúrgica</v>
      </c>
      <c r="D2119" s="58" t="s">
        <v>10528</v>
      </c>
      <c r="E2119" s="10" t="s">
        <v>2392</v>
      </c>
      <c r="F2119" s="46" t="s">
        <v>115</v>
      </c>
    </row>
    <row r="2120">
      <c r="A2120" s="285" t="s">
        <v>10529</v>
      </c>
      <c r="B2120" s="252">
        <f>IF(A2120="", "", IF(IFERROR(VLOOKUP(A2120, 'Base 3F'!$B:$C, 2, FALSE),"")="", "SIN CUIT", VLOOKUP(A2120, 'Base 3F'!$B:$C, 2, FALSE)))</f>
        <v>20183622871</v>
      </c>
      <c r="C2120" s="253" t="str">
        <f>IF(A2120="", "", IF(IFERROR(VLOOKUP(A2120, 'Base 3F'!$B:$J, 9, FALSE),"")="", "SIN RUBRO", VLOOKUP(A2120, 'Base 3F'!$B:$J, 9, FALSE)))</f>
        <v>Metalmecánica</v>
      </c>
      <c r="D2120" s="58" t="s">
        <v>10531</v>
      </c>
      <c r="E2120" s="10" t="s">
        <v>2392</v>
      </c>
      <c r="F2120" s="46" t="s">
        <v>115</v>
      </c>
    </row>
    <row r="2121">
      <c r="A2121" s="285" t="s">
        <v>3072</v>
      </c>
      <c r="B2121" s="252">
        <f>IF(A2121="", "", IF(IFERROR(VLOOKUP(A2121, 'Base 3F'!$B:$C, 2, FALSE),"")="", "SIN CUIT", VLOOKUP(A2121, 'Base 3F'!$B:$C, 2, FALSE)))</f>
        <v>20235941156</v>
      </c>
      <c r="C2121" s="253" t="str">
        <f>IF(A2121="", "", IF(IFERROR(VLOOKUP(A2121, 'Base 3F'!$B:$J, 9, FALSE),"")="", "SIN RUBRO", VLOOKUP(A2121, 'Base 3F'!$B:$J, 9, FALSE)))</f>
        <v>Bebidas</v>
      </c>
      <c r="D2121" s="58" t="s">
        <v>10535</v>
      </c>
      <c r="E2121" s="10" t="s">
        <v>2392</v>
      </c>
      <c r="F2121" s="46" t="s">
        <v>115</v>
      </c>
    </row>
    <row r="2122">
      <c r="A2122" s="285" t="s">
        <v>3767</v>
      </c>
      <c r="B2122" s="252">
        <f>IF(A2122="", "", IF(IFERROR(VLOOKUP(A2122, 'Base 3F'!$B:$C, 2, FALSE),"")="", "SIN CUIT", VLOOKUP(A2122, 'Base 3F'!$B:$C, 2, FALSE)))</f>
        <v>30701150119</v>
      </c>
      <c r="C2122" s="253" t="str">
        <f>IF(A2122="", "", IF(IFERROR(VLOOKUP(A2122, 'Base 3F'!$B:$J, 9, FALSE),"")="", "SIN RUBRO", VLOOKUP(A2122, 'Base 3F'!$B:$J, 9, FALSE)))</f>
        <v>Plástica</v>
      </c>
      <c r="D2122" s="58" t="s">
        <v>10538</v>
      </c>
      <c r="E2122" s="10" t="s">
        <v>2392</v>
      </c>
      <c r="F2122" s="46" t="s">
        <v>115</v>
      </c>
    </row>
    <row r="2123">
      <c r="A2123" s="261" t="s">
        <v>339</v>
      </c>
      <c r="B2123" s="252">
        <f>IF(A2123="", "", IF(IFERROR(VLOOKUP(A2123, 'Base 3F'!$B:$C, 2, FALSE),"")="", "SIN CUIT", VLOOKUP(A2123, 'Base 3F'!$B:$C, 2, FALSE)))</f>
        <v>30584398694</v>
      </c>
      <c r="C2123" s="253" t="str">
        <f>IF(A2123="", "", IF(IFERROR(VLOOKUP(A2123, 'Base 3F'!$B:$J, 9, FALSE),"")="", "SIN RUBRO", VLOOKUP(A2123, 'Base 3F'!$B:$J, 9, FALSE)))</f>
        <v>Metalúrgica</v>
      </c>
      <c r="D2123" s="368" t="s">
        <v>14</v>
      </c>
      <c r="E2123" s="10" t="s">
        <v>2392</v>
      </c>
      <c r="F2123" s="46" t="s">
        <v>115</v>
      </c>
    </row>
    <row r="2124">
      <c r="A2124" s="261" t="s">
        <v>529</v>
      </c>
      <c r="B2124" s="252">
        <f>IF(A2124="", "", IF(IFERROR(VLOOKUP(A2124, 'Base 3F'!$B:$C, 2, FALSE),"")="", "SIN CUIT", VLOOKUP(A2124, 'Base 3F'!$B:$C, 2, FALSE)))</f>
        <v>30709636991</v>
      </c>
      <c r="C2124" s="253" t="str">
        <f>IF(A2124="", "", IF(IFERROR(VLOOKUP(A2124, 'Base 3F'!$B:$J, 9, FALSE),"")="", "SIN RUBRO", VLOOKUP(A2124, 'Base 3F'!$B:$J, 9, FALSE)))</f>
        <v>Metalúrgica</v>
      </c>
      <c r="D2124" s="368" t="s">
        <v>25</v>
      </c>
      <c r="E2124" s="10" t="s">
        <v>2392</v>
      </c>
      <c r="F2124" s="46" t="s">
        <v>115</v>
      </c>
    </row>
    <row r="2125">
      <c r="A2125" s="261" t="s">
        <v>672</v>
      </c>
      <c r="B2125" s="252">
        <f>IF(A2125="", "", IF(IFERROR(VLOOKUP(A2125, 'Base 3F'!$B:$C, 2, FALSE),"")="", "SIN CUIT", VLOOKUP(A2125, 'Base 3F'!$B:$C, 2, FALSE)))</f>
        <v>30711181551</v>
      </c>
      <c r="C2125" s="253" t="str">
        <f>IF(A2125="", "", IF(IFERROR(VLOOKUP(A2125, 'Base 3F'!$B:$J, 9, FALSE),"")="", "SIN RUBRO", VLOOKUP(A2125, 'Base 3F'!$B:$J, 9, FALSE)))</f>
        <v>Metalúrgica</v>
      </c>
      <c r="D2125" s="368" t="s">
        <v>1059</v>
      </c>
      <c r="E2125" s="10" t="s">
        <v>2392</v>
      </c>
      <c r="F2125" s="46" t="s">
        <v>115</v>
      </c>
    </row>
    <row r="2126">
      <c r="A2126" s="261" t="s">
        <v>844</v>
      </c>
      <c r="B2126" s="252">
        <f>IF(A2126="", "", IF(IFERROR(VLOOKUP(A2126, 'Base 3F'!$B:$C, 2, FALSE),"")="", "SIN CUIT", VLOOKUP(A2126, 'Base 3F'!$B:$C, 2, FALSE)))</f>
        <v>30707831002</v>
      </c>
      <c r="C2126" s="253" t="str">
        <f>IF(A2126="", "", IF(IFERROR(VLOOKUP(A2126, 'Base 3F'!$B:$J, 9, FALSE),"")="", "SIN RUBRO", VLOOKUP(A2126, 'Base 3F'!$B:$J, 9, FALSE)))</f>
        <v>Metalúrgica</v>
      </c>
      <c r="D2126" s="368" t="s">
        <v>40</v>
      </c>
      <c r="E2126" s="10" t="s">
        <v>2392</v>
      </c>
      <c r="F2126" s="46" t="s">
        <v>115</v>
      </c>
    </row>
    <row r="2127">
      <c r="A2127" s="261" t="s">
        <v>1021</v>
      </c>
      <c r="B2127" s="252">
        <f>IF(A2127="", "", IF(IFERROR(VLOOKUP(A2127, 'Base 3F'!$B:$C, 2, FALSE),"")="", "SIN CUIT", VLOOKUP(A2127, 'Base 3F'!$B:$C, 2, FALSE)))</f>
        <v>30685317040</v>
      </c>
      <c r="C2127" s="253" t="str">
        <f>IF(A2127="", "", IF(IFERROR(VLOOKUP(A2127, 'Base 3F'!$B:$J, 9, FALSE),"")="", "SIN RUBRO", VLOOKUP(A2127, 'Base 3F'!$B:$J, 9, FALSE)))</f>
        <v>Calzado</v>
      </c>
      <c r="D2127" s="368" t="s">
        <v>48</v>
      </c>
      <c r="E2127" s="10" t="s">
        <v>2392</v>
      </c>
      <c r="F2127" s="46" t="s">
        <v>115</v>
      </c>
    </row>
    <row r="2128">
      <c r="A2128" s="261" t="s">
        <v>1275</v>
      </c>
      <c r="B2128" s="252">
        <f>IF(A2128="", "", IF(IFERROR(VLOOKUP(A2128, 'Base 3F'!$B:$C, 2, FALSE),"")="", "SIN CUIT", VLOOKUP(A2128, 'Base 3F'!$B:$C, 2, FALSE)))</f>
        <v>30502893188</v>
      </c>
      <c r="C2128" s="253" t="str">
        <f>IF(A2128="", "", IF(IFERROR(VLOOKUP(A2128, 'Base 3F'!$B:$J, 9, FALSE),"")="", "SIN RUBRO", VLOOKUP(A2128, 'Base 3F'!$B:$J, 9, FALSE)))</f>
        <v>Metalúrgica</v>
      </c>
      <c r="D2128" s="368" t="s">
        <v>10560</v>
      </c>
      <c r="E2128" s="10" t="s">
        <v>2392</v>
      </c>
      <c r="F2128" s="46" t="s">
        <v>115</v>
      </c>
    </row>
    <row r="2129">
      <c r="A2129" s="59" t="s">
        <v>1315</v>
      </c>
      <c r="B2129" s="252">
        <f>IF(A2129="", "", IF(IFERROR(VLOOKUP(A2129, 'Base 3F'!$B:$C, 2, FALSE),"")="", "SIN CUIT", VLOOKUP(A2129, 'Base 3F'!$B:$C, 2, FALSE)))</f>
        <v>30708268204</v>
      </c>
      <c r="C2129" s="253" t="str">
        <f>IF(A2129="", "", IF(IFERROR(VLOOKUP(A2129, 'Base 3F'!$B:$J, 9, FALSE),"")="", "SIN RUBRO", VLOOKUP(A2129, 'Base 3F'!$B:$J, 9, FALSE)))</f>
        <v>Textil</v>
      </c>
      <c r="D2129" s="368" t="s">
        <v>10567</v>
      </c>
      <c r="E2129" s="10" t="s">
        <v>2392</v>
      </c>
      <c r="F2129" s="46" t="s">
        <v>115</v>
      </c>
    </row>
    <row r="2130">
      <c r="A2130" s="261" t="s">
        <v>1337</v>
      </c>
      <c r="B2130" s="252">
        <f>IF(A2130="", "", IF(IFERROR(VLOOKUP(A2130, 'Base 3F'!$B:$C, 2, FALSE),"")="", "SIN CUIT", VLOOKUP(A2130, 'Base 3F'!$B:$C, 2, FALSE)))</f>
        <v>30714028991</v>
      </c>
      <c r="C2130" s="253" t="str">
        <f>IF(A2130="", "", IF(IFERROR(VLOOKUP(A2130, 'Base 3F'!$B:$J, 9, FALSE),"")="", "SIN RUBRO", VLOOKUP(A2130, 'Base 3F'!$B:$J, 9, FALSE)))</f>
        <v>Papel</v>
      </c>
      <c r="D2130" s="368" t="s">
        <v>10569</v>
      </c>
      <c r="E2130" s="10" t="s">
        <v>2392</v>
      </c>
      <c r="F2130" s="46" t="s">
        <v>115</v>
      </c>
    </row>
    <row r="2131">
      <c r="A2131" s="261" t="s">
        <v>1478</v>
      </c>
      <c r="B2131" s="252">
        <f>IF(A2131="", "", IF(IFERROR(VLOOKUP(A2131, 'Base 3F'!$B:$C, 2, FALSE),"")="", "SIN CUIT", VLOOKUP(A2131, 'Base 3F'!$B:$C, 2, FALSE)))</f>
        <v>30709011940</v>
      </c>
      <c r="C2131" s="253" t="str">
        <f>IF(A2131="", "", IF(IFERROR(VLOOKUP(A2131, 'Base 3F'!$B:$J, 9, FALSE),"")="", "SIN RUBRO", VLOOKUP(A2131, 'Base 3F'!$B:$J, 9, FALSE)))</f>
        <v>Química</v>
      </c>
      <c r="D2131" s="368" t="s">
        <v>10573</v>
      </c>
      <c r="E2131" s="10" t="s">
        <v>2392</v>
      </c>
      <c r="F2131" s="46" t="s">
        <v>115</v>
      </c>
    </row>
    <row r="2132">
      <c r="A2132" s="261" t="s">
        <v>1484</v>
      </c>
      <c r="B2132" s="252">
        <f>IF(A2132="", "", IF(IFERROR(VLOOKUP(A2132, 'Base 3F'!$B:$C, 2, FALSE),"")="", "SIN CUIT", VLOOKUP(A2132, 'Base 3F'!$B:$C, 2, FALSE)))</f>
        <v>30711288674</v>
      </c>
      <c r="C2132" s="253" t="str">
        <f>IF(A2132="", "", IF(IFERROR(VLOOKUP(A2132, 'Base 3F'!$B:$J, 9, FALSE),"")="", "SIN RUBRO", VLOOKUP(A2132, 'Base 3F'!$B:$J, 9, FALSE)))</f>
        <v>Metalúrgica</v>
      </c>
      <c r="D2132" s="368" t="s">
        <v>10578</v>
      </c>
      <c r="E2132" s="10" t="s">
        <v>2392</v>
      </c>
      <c r="F2132" s="46" t="s">
        <v>115</v>
      </c>
    </row>
    <row r="2133">
      <c r="A2133" s="261" t="s">
        <v>1585</v>
      </c>
      <c r="B2133" s="252">
        <f>IF(A2133="", "", IF(IFERROR(VLOOKUP(A2133, 'Base 3F'!$B:$C, 2, FALSE),"")="", "SIN CUIT", VLOOKUP(A2133, 'Base 3F'!$B:$C, 2, FALSE)))</f>
        <v>30537882871</v>
      </c>
      <c r="C2133" s="253" t="str">
        <f>IF(A2133="", "", IF(IFERROR(VLOOKUP(A2133, 'Base 3F'!$B:$J, 9, FALSE),"")="", "SIN RUBRO", VLOOKUP(A2133, 'Base 3F'!$B:$J, 9, FALSE)))</f>
        <v>Bebidas</v>
      </c>
      <c r="D2133" s="368" t="s">
        <v>165</v>
      </c>
      <c r="E2133" s="10" t="s">
        <v>2392</v>
      </c>
      <c r="F2133" s="46" t="s">
        <v>115</v>
      </c>
    </row>
    <row r="2134">
      <c r="A2134" s="261" t="s">
        <v>1614</v>
      </c>
      <c r="B2134" s="252">
        <f>IF(A2134="", "", IF(IFERROR(VLOOKUP(A2134, 'Base 3F'!$B:$C, 2, FALSE),"")="", "SIN CUIT", VLOOKUP(A2134, 'Base 3F'!$B:$C, 2, FALSE)))</f>
        <v>30709748579</v>
      </c>
      <c r="C2134" s="253" t="str">
        <f>IF(A2134="", "", IF(IFERROR(VLOOKUP(A2134, 'Base 3F'!$B:$J, 9, FALSE),"")="", "SIN RUBRO", VLOOKUP(A2134, 'Base 3F'!$B:$J, 9, FALSE)))</f>
        <v>Alimenticia</v>
      </c>
      <c r="D2134" s="370" t="s">
        <v>179</v>
      </c>
      <c r="E2134" s="10" t="s">
        <v>2392</v>
      </c>
      <c r="F2134" s="46" t="s">
        <v>115</v>
      </c>
    </row>
    <row r="2135">
      <c r="A2135" s="59" t="s">
        <v>1688</v>
      </c>
      <c r="B2135" s="252">
        <f>IF(A2135="", "", IF(IFERROR(VLOOKUP(A2135, 'Base 3F'!$B:$C, 2, FALSE),"")="", "SIN CUIT", VLOOKUP(A2135, 'Base 3F'!$B:$C, 2, FALSE)))</f>
        <v>30677077596</v>
      </c>
      <c r="C2135" s="253" t="str">
        <f>IF(A2135="", "", IF(IFERROR(VLOOKUP(A2135, 'Base 3F'!$B:$J, 9, FALSE),"")="", "SIN RUBRO", VLOOKUP(A2135, 'Base 3F'!$B:$J, 9, FALSE)))</f>
        <v>Metalúrgica</v>
      </c>
      <c r="D2135" s="371" t="s">
        <v>194</v>
      </c>
      <c r="E2135" s="10" t="s">
        <v>2392</v>
      </c>
      <c r="F2135" s="46" t="s">
        <v>115</v>
      </c>
    </row>
    <row r="2136">
      <c r="A2136" s="261" t="s">
        <v>1692</v>
      </c>
      <c r="B2136" s="252">
        <f>IF(A2136="", "", IF(IFERROR(VLOOKUP(A2136, 'Base 3F'!$B:$C, 2, FALSE),"")="", "SIN CUIT", VLOOKUP(A2136, 'Base 3F'!$B:$C, 2, FALSE)))</f>
        <v>30710218486</v>
      </c>
      <c r="C2136" s="253" t="str">
        <f>IF(A2136="", "", IF(IFERROR(VLOOKUP(A2136, 'Base 3F'!$B:$J, 9, FALSE),"")="", "SIN RUBRO", VLOOKUP(A2136, 'Base 3F'!$B:$J, 9, FALSE)))</f>
        <v>Gráfica</v>
      </c>
      <c r="D2136" s="368" t="s">
        <v>199</v>
      </c>
      <c r="E2136" s="10" t="s">
        <v>2392</v>
      </c>
      <c r="F2136" s="46" t="s">
        <v>115</v>
      </c>
    </row>
    <row r="2137">
      <c r="A2137" s="261" t="s">
        <v>1864</v>
      </c>
      <c r="B2137" s="252">
        <f>IF(A2137="", "", IF(IFERROR(VLOOKUP(A2137, 'Base 3F'!$B:$C, 2, FALSE),"")="", "SIN CUIT", VLOOKUP(A2137, 'Base 3F'!$B:$C, 2, FALSE)))</f>
        <v>33712338399</v>
      </c>
      <c r="C2137" s="253" t="str">
        <f>IF(A2137="", "", IF(IFERROR(VLOOKUP(A2137, 'Base 3F'!$B:$J, 9, FALSE),"")="", "SIN RUBRO", VLOOKUP(A2137, 'Base 3F'!$B:$J, 9, FALSE)))</f>
        <v>Metalúrgica</v>
      </c>
      <c r="D2137" s="368" t="s">
        <v>258</v>
      </c>
      <c r="E2137" s="10" t="s">
        <v>2392</v>
      </c>
      <c r="F2137" s="46" t="s">
        <v>115</v>
      </c>
    </row>
    <row r="2138">
      <c r="A2138" s="261" t="s">
        <v>1912</v>
      </c>
      <c r="B2138" s="252">
        <f>IF(A2138="", "", IF(IFERROR(VLOOKUP(A2138, 'Base 3F'!$B:$C, 2, FALSE),"")="", "SIN CUIT", VLOOKUP(A2138, 'Base 3F'!$B:$C, 2, FALSE)))</f>
        <v>30701152022</v>
      </c>
      <c r="C2138" s="253" t="str">
        <f>IF(A2138="", "", IF(IFERROR(VLOOKUP(A2138, 'Base 3F'!$B:$J, 9, FALSE),"")="", "SIN RUBRO", VLOOKUP(A2138, 'Base 3F'!$B:$J, 9, FALSE)))</f>
        <v>Metalúrgica</v>
      </c>
      <c r="D2138" s="368" t="s">
        <v>271</v>
      </c>
      <c r="E2138" s="10" t="s">
        <v>2392</v>
      </c>
      <c r="F2138" s="46" t="s">
        <v>115</v>
      </c>
    </row>
    <row r="2139">
      <c r="A2139" s="261" t="s">
        <v>2134</v>
      </c>
      <c r="B2139" s="252">
        <f>IF(A2139="", "", IF(IFERROR(VLOOKUP(A2139, 'Base 3F'!$B:$C, 2, FALSE),"")="", "SIN CUIT", VLOOKUP(A2139, 'Base 3F'!$B:$C, 2, FALSE)))</f>
        <v>30708938021</v>
      </c>
      <c r="C2139" s="253" t="str">
        <f>IF(A2139="", "", IF(IFERROR(VLOOKUP(A2139, 'Base 3F'!$B:$J, 9, FALSE),"")="", "SIN RUBRO", VLOOKUP(A2139, 'Base 3F'!$B:$J, 9, FALSE)))</f>
        <v>Alimenticia</v>
      </c>
      <c r="D2139" s="368" t="s">
        <v>352</v>
      </c>
      <c r="E2139" s="10" t="s">
        <v>2392</v>
      </c>
      <c r="F2139" s="46" t="s">
        <v>115</v>
      </c>
    </row>
    <row r="2140">
      <c r="A2140" s="261" t="s">
        <v>2156</v>
      </c>
      <c r="B2140" s="252">
        <f>IF(A2140="", "", IF(IFERROR(VLOOKUP(A2140, 'Base 3F'!$B:$C, 2, FALSE),"")="", "SIN CUIT", VLOOKUP(A2140, 'Base 3F'!$B:$C, 2, FALSE)))</f>
        <v>30708590602</v>
      </c>
      <c r="C2140" s="253" t="str">
        <f>IF(A2140="", "", IF(IFERROR(VLOOKUP(A2140, 'Base 3F'!$B:$J, 9, FALSE),"")="", "SIN RUBRO", VLOOKUP(A2140, 'Base 3F'!$B:$J, 9, FALSE)))</f>
        <v>Metalúrgica</v>
      </c>
      <c r="D2140" s="368" t="s">
        <v>358</v>
      </c>
      <c r="E2140" s="10" t="s">
        <v>2392</v>
      </c>
      <c r="F2140" s="46" t="s">
        <v>115</v>
      </c>
    </row>
    <row r="2141">
      <c r="A2141" s="261" t="s">
        <v>2324</v>
      </c>
      <c r="B2141" s="252">
        <f>IF(A2141="", "", IF(IFERROR(VLOOKUP(A2141, 'Base 3F'!$B:$C, 2, FALSE),"")="", "SIN CUIT", VLOOKUP(A2141, 'Base 3F'!$B:$C, 2, FALSE)))</f>
        <v>20314226446</v>
      </c>
      <c r="C2141" s="253" t="str">
        <f>IF(A2141="", "", IF(IFERROR(VLOOKUP(A2141, 'Base 3F'!$B:$J, 9, FALSE),"")="", "SIN RUBRO", VLOOKUP(A2141, 'Base 3F'!$B:$J, 9, FALSE)))</f>
        <v>Metalúrgica</v>
      </c>
      <c r="D2141" s="368" t="s">
        <v>418</v>
      </c>
      <c r="E2141" s="10" t="s">
        <v>2392</v>
      </c>
      <c r="F2141" s="46" t="s">
        <v>115</v>
      </c>
    </row>
    <row r="2142">
      <c r="A2142" s="59" t="s">
        <v>2475</v>
      </c>
      <c r="B2142" s="252">
        <f>IF(A2142="", "", IF(IFERROR(VLOOKUP(A2142, 'Base 3F'!$B:$C, 2, FALSE),"")="", "SIN CUIT", VLOOKUP(A2142, 'Base 3F'!$B:$C, 2, FALSE)))</f>
        <v>33501880049</v>
      </c>
      <c r="C2142" s="253" t="str">
        <f>IF(A2142="", "", IF(IFERROR(VLOOKUP(A2142, 'Base 3F'!$B:$J, 9, FALSE),"")="", "SIN RUBRO", VLOOKUP(A2142, 'Base 3F'!$B:$J, 9, FALSE)))</f>
        <v>Química</v>
      </c>
      <c r="D2142" s="368" t="s">
        <v>467</v>
      </c>
      <c r="E2142" s="10" t="s">
        <v>2392</v>
      </c>
      <c r="F2142" s="46" t="s">
        <v>115</v>
      </c>
    </row>
    <row r="2143">
      <c r="A2143" s="261" t="s">
        <v>2647</v>
      </c>
      <c r="B2143" s="252">
        <f>IF(A2143="", "", IF(IFERROR(VLOOKUP(A2143, 'Base 3F'!$B:$C, 2, FALSE),"")="", "SIN CUIT", VLOOKUP(A2143, 'Base 3F'!$B:$C, 2, FALSE)))</f>
        <v>30710151950</v>
      </c>
      <c r="C2143" s="253" t="str">
        <f>IF(A2143="", "", IF(IFERROR(VLOOKUP(A2143, 'Base 3F'!$B:$J, 9, FALSE),"")="", "SIN RUBRO", VLOOKUP(A2143, 'Base 3F'!$B:$J, 9, FALSE)))</f>
        <v>Metalúrgica</v>
      </c>
      <c r="D2143" s="368" t="s">
        <v>500</v>
      </c>
      <c r="E2143" s="10" t="s">
        <v>2392</v>
      </c>
      <c r="F2143" s="46" t="s">
        <v>115</v>
      </c>
    </row>
    <row r="2144">
      <c r="A2144" s="261" t="s">
        <v>2654</v>
      </c>
      <c r="B2144" s="252">
        <f>IF(A2144="", "", IF(IFERROR(VLOOKUP(A2144, 'Base 3F'!$B:$C, 2, FALSE),"")="", "SIN CUIT", VLOOKUP(A2144, 'Base 3F'!$B:$C, 2, FALSE)))</f>
        <v>30505488004</v>
      </c>
      <c r="C2144" s="253" t="str">
        <f>IF(A2144="", "", IF(IFERROR(VLOOKUP(A2144, 'Base 3F'!$B:$J, 9, FALSE),"")="", "SIN RUBRO", VLOOKUP(A2144, 'Base 3F'!$B:$J, 9, FALSE)))</f>
        <v>Plástica</v>
      </c>
      <c r="D2144" s="372" t="s">
        <v>502</v>
      </c>
      <c r="E2144" s="10" t="s">
        <v>2392</v>
      </c>
      <c r="F2144" s="46" t="s">
        <v>115</v>
      </c>
    </row>
    <row r="2145">
      <c r="A2145" s="251" t="s">
        <v>3211</v>
      </c>
      <c r="B2145" s="252">
        <f>IF(A2145="", "", IF(IFERROR(VLOOKUP(A2145, 'Base 3F'!$B:$C, 2, FALSE),"")="", "SIN CUIT", VLOOKUP(A2145, 'Base 3F'!$B:$C, 2, FALSE)))</f>
        <v>20251303127</v>
      </c>
      <c r="C2145" s="253" t="str">
        <f>IF(A2145="", "", IF(IFERROR(VLOOKUP(A2145, 'Base 3F'!$B:$J, 9, FALSE),"")="", "SIN RUBRO", VLOOKUP(A2145, 'Base 3F'!$B:$J, 9, FALSE)))</f>
        <v>Metalúrgica</v>
      </c>
      <c r="D2145" s="251" t="s">
        <v>1193</v>
      </c>
      <c r="E2145" s="10" t="s">
        <v>2392</v>
      </c>
      <c r="F2145" s="46" t="s">
        <v>115</v>
      </c>
    </row>
    <row r="2146">
      <c r="A2146" s="59" t="s">
        <v>1150</v>
      </c>
      <c r="B2146" s="252">
        <f>IF(A2146="", "", IF(IFERROR(VLOOKUP(A2146, 'Base 3F'!$B:$C, 2, FALSE),"")="", "SIN CUIT", VLOOKUP(A2146, 'Base 3F'!$B:$C, 2, FALSE)))</f>
        <v>30709003018</v>
      </c>
      <c r="C2146" s="253" t="str">
        <f>IF(A2146="", "", IF(IFERROR(VLOOKUP(A2146, 'Base 3F'!$B:$J, 9, FALSE),"")="", "SIN RUBRO", VLOOKUP(A2146, 'Base 3F'!$B:$J, 9, FALSE)))</f>
        <v>Metalmecánica</v>
      </c>
      <c r="D2146" s="368" t="s">
        <v>823</v>
      </c>
      <c r="E2146" s="10" t="s">
        <v>2392</v>
      </c>
      <c r="F2146" s="46" t="s">
        <v>115</v>
      </c>
    </row>
    <row r="2147">
      <c r="A2147" s="261" t="s">
        <v>3963</v>
      </c>
      <c r="B2147" s="252">
        <f>IF(A2147="", "", IF(IFERROR(VLOOKUP(A2147, 'Base 3F'!$B:$C, 2, FALSE),"")="", "SIN CUIT", VLOOKUP(A2147, 'Base 3F'!$B:$C, 2, FALSE)))</f>
        <v>30707735291</v>
      </c>
      <c r="C2147" s="253" t="str">
        <f>IF(A2147="", "", IF(IFERROR(VLOOKUP(A2147, 'Base 3F'!$B:$J, 9, FALSE),"")="", "SIN RUBRO", VLOOKUP(A2147, 'Base 3F'!$B:$J, 9, FALSE)))</f>
        <v>Metalúrgica</v>
      </c>
      <c r="D2147" s="368" t="s">
        <v>847</v>
      </c>
      <c r="E2147" s="10" t="s">
        <v>2392</v>
      </c>
      <c r="F2147" s="46" t="s">
        <v>115</v>
      </c>
    </row>
    <row r="2148">
      <c r="A2148" s="59" t="s">
        <v>1478</v>
      </c>
      <c r="B2148" s="252">
        <f>IF(A2148="", "", IF(IFERROR(VLOOKUP(A2148, 'Base 3F'!$B:$C, 2, FALSE),"")="", "SIN CUIT", VLOOKUP(A2148, 'Base 3F'!$B:$C, 2, FALSE)))</f>
        <v>30709011940</v>
      </c>
      <c r="C2148" s="253" t="str">
        <f>IF(A2148="", "", IF(IFERROR(VLOOKUP(A2148, 'Base 3F'!$B:$J, 9, FALSE),"")="", "SIN RUBRO", VLOOKUP(A2148, 'Base 3F'!$B:$J, 9, FALSE)))</f>
        <v>Química</v>
      </c>
      <c r="D2148" s="368" t="s">
        <v>853</v>
      </c>
      <c r="E2148" s="10" t="s">
        <v>2392</v>
      </c>
      <c r="F2148" s="46" t="s">
        <v>115</v>
      </c>
    </row>
    <row r="2149">
      <c r="A2149" s="261" t="s">
        <v>1688</v>
      </c>
      <c r="B2149" s="252">
        <f>IF(A2149="", "", IF(IFERROR(VLOOKUP(A2149, 'Base 3F'!$B:$C, 2, FALSE),"")="", "SIN CUIT", VLOOKUP(A2149, 'Base 3F'!$B:$C, 2, FALSE)))</f>
        <v>30677077596</v>
      </c>
      <c r="C2149" s="253" t="str">
        <f>IF(A2149="", "", IF(IFERROR(VLOOKUP(A2149, 'Base 3F'!$B:$J, 9, FALSE),"")="", "SIN RUBRO", VLOOKUP(A2149, 'Base 3F'!$B:$J, 9, FALSE)))</f>
        <v>Metalúrgica</v>
      </c>
      <c r="D2149" s="368" t="s">
        <v>10637</v>
      </c>
      <c r="E2149" s="10" t="s">
        <v>2392</v>
      </c>
      <c r="F2149" s="46" t="s">
        <v>115</v>
      </c>
    </row>
    <row r="2150">
      <c r="A2150" s="261" t="s">
        <v>4131</v>
      </c>
      <c r="B2150" s="252">
        <f>IF(A2150="", "", IF(IFERROR(VLOOKUP(A2150, 'Base 3F'!$B:$C, 2, FALSE),"")="", "SIN CUIT", VLOOKUP(A2150, 'Base 3F'!$B:$C, 2, FALSE)))</f>
        <v>30677127240</v>
      </c>
      <c r="C2150" s="253" t="str">
        <f>IF(A2150="", "", IF(IFERROR(VLOOKUP(A2150, 'Base 3F'!$B:$J, 9, FALSE),"")="", "SIN RUBRO", VLOOKUP(A2150, 'Base 3F'!$B:$J, 9, FALSE)))</f>
        <v>Metalúrgica</v>
      </c>
      <c r="D2150" s="368" t="s">
        <v>911</v>
      </c>
      <c r="E2150" s="10" t="s">
        <v>2392</v>
      </c>
      <c r="F2150" s="46" t="s">
        <v>115</v>
      </c>
    </row>
    <row r="2151">
      <c r="A2151" s="274" t="s">
        <v>1970</v>
      </c>
      <c r="B2151" s="252">
        <f>IF(A2151="", "", IF(IFERROR(VLOOKUP(A2151, 'Base 3F'!$B:$C, 2, FALSE),"")="", "SIN CUIT", VLOOKUP(A2151, 'Base 3F'!$B:$C, 2, FALSE)))</f>
        <v>30708068477</v>
      </c>
      <c r="C2151" s="253" t="str">
        <f>IF(A2151="", "", IF(IFERROR(VLOOKUP(A2151, 'Base 3F'!$B:$J, 9, FALSE),"")="", "SIN RUBRO", VLOOKUP(A2151, 'Base 3F'!$B:$J, 9, FALSE)))</f>
        <v>Química</v>
      </c>
      <c r="D2151" s="274" t="s">
        <v>10642</v>
      </c>
      <c r="E2151" s="10" t="s">
        <v>2392</v>
      </c>
      <c r="F2151" s="46" t="s">
        <v>115</v>
      </c>
    </row>
    <row r="2152">
      <c r="A2152" s="261" t="s">
        <v>2196</v>
      </c>
      <c r="B2152" s="252">
        <f>IF(A2152="", "", IF(IFERROR(VLOOKUP(A2152, 'Base 3F'!$B:$C, 2, FALSE),"")="", "SIN CUIT", VLOOKUP(A2152, 'Base 3F'!$B:$C, 2, FALSE)))</f>
        <v>30689645131</v>
      </c>
      <c r="C2152" s="253" t="str">
        <f>IF(A2152="", "", IF(IFERROR(VLOOKUP(A2152, 'Base 3F'!$B:$J, 9, FALSE),"")="", "SIN RUBRO", VLOOKUP(A2152, 'Base 3F'!$B:$J, 9, FALSE)))</f>
        <v>Madera</v>
      </c>
      <c r="D2152" s="368" t="s">
        <v>7669</v>
      </c>
      <c r="E2152" s="10" t="s">
        <v>2392</v>
      </c>
      <c r="F2152" s="46" t="s">
        <v>115</v>
      </c>
    </row>
    <row r="2153">
      <c r="A2153" s="261" t="s">
        <v>2287</v>
      </c>
      <c r="B2153" s="252">
        <f>IF(A2153="", "", IF(IFERROR(VLOOKUP(A2153, 'Base 3F'!$B:$C, 2, FALSE),"")="", "SIN CUIT", VLOOKUP(A2153, 'Base 3F'!$B:$C, 2, FALSE)))</f>
        <v>30504594943</v>
      </c>
      <c r="C2153" s="253" t="str">
        <f>IF(A2153="", "", IF(IFERROR(VLOOKUP(A2153, 'Base 3F'!$B:$J, 9, FALSE),"")="", "SIN RUBRO", VLOOKUP(A2153, 'Base 3F'!$B:$J, 9, FALSE)))</f>
        <v>Bebidas</v>
      </c>
      <c r="D2153" s="368" t="s">
        <v>10650</v>
      </c>
      <c r="E2153" s="10" t="s">
        <v>2392</v>
      </c>
      <c r="F2153" s="46" t="s">
        <v>115</v>
      </c>
    </row>
    <row r="2154">
      <c r="A2154" s="59" t="s">
        <v>2654</v>
      </c>
      <c r="B2154" s="252">
        <f>IF(A2154="", "", IF(IFERROR(VLOOKUP(A2154, 'Base 3F'!$B:$C, 2, FALSE),"")="", "SIN CUIT", VLOOKUP(A2154, 'Base 3F'!$B:$C, 2, FALSE)))</f>
        <v>30505488004</v>
      </c>
      <c r="C2154" s="253" t="str">
        <f>IF(A2154="", "", IF(IFERROR(VLOOKUP(A2154, 'Base 3F'!$B:$J, 9, FALSE),"")="", "SIN RUBRO", VLOOKUP(A2154, 'Base 3F'!$B:$J, 9, FALSE)))</f>
        <v>Plástica</v>
      </c>
      <c r="D2154" s="368" t="s">
        <v>10656</v>
      </c>
      <c r="E2154" s="10" t="s">
        <v>2392</v>
      </c>
      <c r="F2154" s="46" t="s">
        <v>115</v>
      </c>
    </row>
    <row r="2155">
      <c r="A2155" s="274" t="s">
        <v>173</v>
      </c>
      <c r="B2155" s="252">
        <f>IF(A2155="", "", IF(IFERROR(VLOOKUP(A2155, 'Base 3F'!$B:$C, 2, FALSE),"")="", "SIN CUIT", VLOOKUP(A2155, 'Base 3F'!$B:$C, 2, FALSE)))</f>
        <v>30710393725</v>
      </c>
      <c r="C2155" s="253" t="str">
        <f>IF(A2155="", "", IF(IFERROR(VLOOKUP(A2155, 'Base 3F'!$B:$J, 9, FALSE),"")="", "SIN RUBRO", VLOOKUP(A2155, 'Base 3F'!$B:$J, 9, FALSE)))</f>
        <v>Metalúrgica</v>
      </c>
      <c r="D2155" s="368" t="s">
        <v>10661</v>
      </c>
      <c r="E2155" s="10" t="s">
        <v>2392</v>
      </c>
      <c r="F2155" s="46" t="s">
        <v>115</v>
      </c>
    </row>
    <row r="2156">
      <c r="A2156" s="274" t="s">
        <v>738</v>
      </c>
      <c r="B2156" s="252">
        <f>IF(A2156="", "", IF(IFERROR(VLOOKUP(A2156, 'Base 3F'!$B:$C, 2, FALSE),"")="", "SIN CUIT", VLOOKUP(A2156, 'Base 3F'!$B:$C, 2, FALSE)))</f>
        <v>30632566448</v>
      </c>
      <c r="C2156" s="253" t="str">
        <f>IF(A2156="", "", IF(IFERROR(VLOOKUP(A2156, 'Base 3F'!$B:$J, 9, FALSE),"")="", "SIN RUBRO", VLOOKUP(A2156, 'Base 3F'!$B:$J, 9, FALSE)))</f>
        <v>Cuero</v>
      </c>
      <c r="D2156" s="368" t="s">
        <v>10665</v>
      </c>
      <c r="E2156" s="10" t="s">
        <v>2392</v>
      </c>
      <c r="F2156" s="46" t="s">
        <v>115</v>
      </c>
    </row>
    <row r="2157">
      <c r="A2157" s="194" t="s">
        <v>339</v>
      </c>
      <c r="B2157" s="252">
        <f>IF(A2157="", "", IF(IFERROR(VLOOKUP(A2157, 'Base 3F'!$B:$C, 2, FALSE),"")="", "SIN CUIT", VLOOKUP(A2157, 'Base 3F'!$B:$C, 2, FALSE)))</f>
        <v>30584398694</v>
      </c>
      <c r="C2157" s="253" t="str">
        <f>IF(A2157="", "", IF(IFERROR(VLOOKUP(A2157, 'Base 3F'!$B:$J, 9, FALSE),"")="", "SIN RUBRO", VLOOKUP(A2157, 'Base 3F'!$B:$J, 9, FALSE)))</f>
        <v>Metalúrgica</v>
      </c>
      <c r="D2157" s="368" t="s">
        <v>10668</v>
      </c>
      <c r="E2157" s="10" t="s">
        <v>2392</v>
      </c>
      <c r="F2157" s="46" t="s">
        <v>115</v>
      </c>
    </row>
    <row r="2158">
      <c r="A2158" s="274" t="s">
        <v>1117</v>
      </c>
      <c r="B2158" s="252">
        <f>IF(A2158="", "", IF(IFERROR(VLOOKUP(A2158, 'Base 3F'!$B:$C, 2, FALSE),"")="", "SIN CUIT", VLOOKUP(A2158, 'Base 3F'!$B:$C, 2, FALSE)))</f>
        <v>30502185787</v>
      </c>
      <c r="C2158" s="253" t="str">
        <f>IF(A2158="", "", IF(IFERROR(VLOOKUP(A2158, 'Base 3F'!$B:$J, 9, FALSE),"")="", "SIN RUBRO", VLOOKUP(A2158, 'Base 3F'!$B:$J, 9, FALSE)))</f>
        <v>Metalúrgica</v>
      </c>
      <c r="D2158" s="368" t="s">
        <v>10674</v>
      </c>
      <c r="E2158" s="10" t="s">
        <v>2392</v>
      </c>
      <c r="F2158" s="46" t="s">
        <v>115</v>
      </c>
    </row>
    <row r="2159">
      <c r="A2159" s="274" t="s">
        <v>444</v>
      </c>
      <c r="B2159" s="252">
        <f>IF(A2159="", "", IF(IFERROR(VLOOKUP(A2159, 'Base 3F'!$B:$C, 2, FALSE),"")="", "SIN CUIT", VLOOKUP(A2159, 'Base 3F'!$B:$C, 2, FALSE)))</f>
        <v>30712300023</v>
      </c>
      <c r="C2159" s="253" t="str">
        <f>IF(A2159="", "", IF(IFERROR(VLOOKUP(A2159, 'Base 3F'!$B:$J, 9, FALSE),"")="", "SIN RUBRO", VLOOKUP(A2159, 'Base 3F'!$B:$J, 9, FALSE)))</f>
        <v>Metalmecánica</v>
      </c>
      <c r="D2159" s="368" t="s">
        <v>4814</v>
      </c>
      <c r="E2159" s="10" t="s">
        <v>2392</v>
      </c>
      <c r="F2159" s="46" t="s">
        <v>115</v>
      </c>
    </row>
    <row r="2160">
      <c r="A2160" s="274" t="s">
        <v>1211</v>
      </c>
      <c r="B2160" s="252">
        <f>IF(A2160="", "", IF(IFERROR(VLOOKUP(A2160, 'Base 3F'!$B:$C, 2, FALSE),"")="", "SIN CUIT", VLOOKUP(A2160, 'Base 3F'!$B:$C, 2, FALSE)))</f>
        <v>30548270622</v>
      </c>
      <c r="C2160" s="253" t="str">
        <f>IF(A2160="", "", IF(IFERROR(VLOOKUP(A2160, 'Base 3F'!$B:$J, 9, FALSE),"")="", "SIN RUBRO", VLOOKUP(A2160, 'Base 3F'!$B:$J, 9, FALSE)))</f>
        <v>Papel</v>
      </c>
      <c r="D2160" s="368" t="s">
        <v>10677</v>
      </c>
      <c r="E2160" s="10" t="s">
        <v>2392</v>
      </c>
      <c r="F2160" s="46" t="s">
        <v>115</v>
      </c>
    </row>
    <row r="2161">
      <c r="A2161" s="274" t="s">
        <v>1254</v>
      </c>
      <c r="B2161" s="252">
        <f>IF(A2161="", "", IF(IFERROR(VLOOKUP(A2161, 'Base 3F'!$B:$C, 2, FALSE),"")="", "SIN CUIT", VLOOKUP(A2161, 'Base 3F'!$B:$C, 2, FALSE)))</f>
        <v>30595980425</v>
      </c>
      <c r="C2161" s="253" t="str">
        <f>IF(A2161="", "", IF(IFERROR(VLOOKUP(A2161, 'Base 3F'!$B:$J, 9, FALSE),"")="", "SIN RUBRO", VLOOKUP(A2161, 'Base 3F'!$B:$J, 9, FALSE)))</f>
        <v>Metalúrgica</v>
      </c>
      <c r="D2161" s="368" t="s">
        <v>10681</v>
      </c>
      <c r="E2161" s="10" t="s">
        <v>2392</v>
      </c>
      <c r="F2161" s="46" t="s">
        <v>115</v>
      </c>
    </row>
    <row r="2162">
      <c r="A2162" s="274" t="s">
        <v>494</v>
      </c>
      <c r="B2162" s="252">
        <f>IF(A2162="", "", IF(IFERROR(VLOOKUP(A2162, 'Base 3F'!$B:$C, 2, FALSE),"")="", "SIN CUIT", VLOOKUP(A2162, 'Base 3F'!$B:$C, 2, FALSE)))</f>
        <v>30647279909</v>
      </c>
      <c r="C2162" s="253" t="str">
        <f>IF(A2162="", "", IF(IFERROR(VLOOKUP(A2162, 'Base 3F'!$B:$J, 9, FALSE),"")="", "SIN RUBRO", VLOOKUP(A2162, 'Base 3F'!$B:$J, 9, FALSE)))</f>
        <v>Metalúrgica</v>
      </c>
      <c r="D2162" s="368" t="s">
        <v>10684</v>
      </c>
      <c r="E2162" s="10" t="s">
        <v>2392</v>
      </c>
      <c r="F2162" s="46" t="s">
        <v>115</v>
      </c>
    </row>
    <row r="2163">
      <c r="A2163" s="274" t="s">
        <v>529</v>
      </c>
      <c r="B2163" s="252">
        <f>IF(A2163="", "", IF(IFERROR(VLOOKUP(A2163, 'Base 3F'!$B:$C, 2, FALSE),"")="", "SIN CUIT", VLOOKUP(A2163, 'Base 3F'!$B:$C, 2, FALSE)))</f>
        <v>30709636991</v>
      </c>
      <c r="C2163" s="253" t="str">
        <f>IF(A2163="", "", IF(IFERROR(VLOOKUP(A2163, 'Base 3F'!$B:$J, 9, FALSE),"")="", "SIN RUBRO", VLOOKUP(A2163, 'Base 3F'!$B:$J, 9, FALSE)))</f>
        <v>Metalúrgica</v>
      </c>
      <c r="D2163" s="368" t="s">
        <v>973</v>
      </c>
      <c r="E2163" s="10" t="s">
        <v>2392</v>
      </c>
      <c r="F2163" s="46" t="s">
        <v>115</v>
      </c>
    </row>
    <row r="2164">
      <c r="A2164" s="274" t="s">
        <v>1375</v>
      </c>
      <c r="B2164" s="252">
        <f>IF(A2164="", "", IF(IFERROR(VLOOKUP(A2164, 'Base 3F'!$B:$C, 2, FALSE),"")="", "SIN CUIT", VLOOKUP(A2164, 'Base 3F'!$B:$C, 2, FALSE)))</f>
        <v>30708664762</v>
      </c>
      <c r="C2164" s="253" t="str">
        <f>IF(A2164="", "", IF(IFERROR(VLOOKUP(A2164, 'Base 3F'!$B:$J, 9, FALSE),"")="", "SIN RUBRO", VLOOKUP(A2164, 'Base 3F'!$B:$J, 9, FALSE)))</f>
        <v>Alimenticia</v>
      </c>
      <c r="D2164" s="368" t="s">
        <v>10689</v>
      </c>
      <c r="E2164" s="10" t="s">
        <v>2392</v>
      </c>
      <c r="F2164" s="46" t="s">
        <v>115</v>
      </c>
    </row>
    <row r="2165">
      <c r="A2165" s="274" t="s">
        <v>1413</v>
      </c>
      <c r="B2165" s="252">
        <f>IF(A2165="", "", IF(IFERROR(VLOOKUP(A2165, 'Base 3F'!$B:$C, 2, FALSE),"")="", "SIN CUIT", VLOOKUP(A2165, 'Base 3F'!$B:$C, 2, FALSE)))</f>
        <v>30711417776</v>
      </c>
      <c r="C2165" s="253" t="str">
        <f>IF(A2165="", "", IF(IFERROR(VLOOKUP(A2165, 'Base 3F'!$B:$J, 9, FALSE),"")="", "SIN RUBRO", VLOOKUP(A2165, 'Base 3F'!$B:$J, 9, FALSE)))</f>
        <v>Papel</v>
      </c>
      <c r="D2165" s="368" t="s">
        <v>10691</v>
      </c>
      <c r="E2165" s="10" t="s">
        <v>2392</v>
      </c>
      <c r="F2165" s="46" t="s">
        <v>115</v>
      </c>
    </row>
    <row r="2166">
      <c r="A2166" s="274" t="s">
        <v>976</v>
      </c>
      <c r="B2166" s="252">
        <f>IF(A2166="", "", IF(IFERROR(VLOOKUP(A2166, 'Base 3F'!$B:$C, 2, FALSE),"")="", "SIN CUIT", VLOOKUP(A2166, 'Base 3F'!$B:$C, 2, FALSE)))</f>
        <v>30703245184</v>
      </c>
      <c r="C2166" s="253" t="str">
        <f>IF(A2166="", "", IF(IFERROR(VLOOKUP(A2166, 'Base 3F'!$B:$J, 9, FALSE),"")="", "SIN RUBRO", VLOOKUP(A2166, 'Base 3F'!$B:$J, 9, FALSE)))</f>
        <v>Alimenticia</v>
      </c>
      <c r="D2166" s="368" t="s">
        <v>44</v>
      </c>
      <c r="E2166" s="10" t="s">
        <v>2392</v>
      </c>
      <c r="F2166" s="46" t="s">
        <v>115</v>
      </c>
    </row>
    <row r="2167">
      <c r="A2167" s="274" t="s">
        <v>1809</v>
      </c>
      <c r="B2167" s="252">
        <f>IF(A2167="", "", IF(IFERROR(VLOOKUP(A2167, 'Base 3F'!$B:$C, 2, FALSE),"")="", "SIN CUIT", VLOOKUP(A2167, 'Base 3F'!$B:$C, 2, FALSE)))</f>
        <v>30519195484</v>
      </c>
      <c r="C2167" s="253" t="str">
        <f>IF(A2167="", "", IF(IFERROR(VLOOKUP(A2167, 'Base 3F'!$B:$J, 9, FALSE),"")="", "SIN RUBRO", VLOOKUP(A2167, 'Base 3F'!$B:$J, 9, FALSE)))</f>
        <v>Química</v>
      </c>
      <c r="D2167" s="274" t="s">
        <v>10702</v>
      </c>
      <c r="E2167" s="10" t="s">
        <v>2392</v>
      </c>
      <c r="F2167" s="46" t="s">
        <v>115</v>
      </c>
    </row>
    <row r="2168">
      <c r="A2168" s="194" t="s">
        <v>4795</v>
      </c>
      <c r="B2168" s="252" t="str">
        <f>IF(A2168="", "", IF(IFERROR(VLOOKUP(A2168, 'Base 3F'!$B:$C, 2, FALSE),"")="", "SIN CUIT", VLOOKUP(A2168, 'Base 3F'!$B:$C, 2, FALSE)))</f>
        <v>SIN CUIT</v>
      </c>
      <c r="C2168" s="253" t="str">
        <f>IF(A2168="", "", IF(IFERROR(VLOOKUP(A2168, 'Base 3F'!$B:$J, 9, FALSE),"")="", "SIN RUBRO", VLOOKUP(A2168, 'Base 3F'!$B:$J, 9, FALSE)))</f>
        <v>SIN RUBRO</v>
      </c>
      <c r="D2168" s="368" t="s">
        <v>10707</v>
      </c>
      <c r="E2168" s="10" t="s">
        <v>2392</v>
      </c>
      <c r="F2168" s="46" t="s">
        <v>115</v>
      </c>
    </row>
    <row r="2169">
      <c r="A2169" s="274" t="s">
        <v>1943</v>
      </c>
      <c r="B2169" s="252">
        <f>IF(A2169="", "", IF(IFERROR(VLOOKUP(A2169, 'Base 3F'!$B:$C, 2, FALSE),"")="", "SIN CUIT", VLOOKUP(A2169, 'Base 3F'!$B:$C, 2, FALSE)))</f>
        <v>30707030468</v>
      </c>
      <c r="C2169" s="253" t="str">
        <f>IF(A2169="", "", IF(IFERROR(VLOOKUP(A2169, 'Base 3F'!$B:$J, 9, FALSE),"")="", "SIN RUBRO", VLOOKUP(A2169, 'Base 3F'!$B:$J, 9, FALSE)))</f>
        <v>Metalúrgica</v>
      </c>
      <c r="D2169" s="368" t="s">
        <v>10709</v>
      </c>
      <c r="E2169" s="10" t="s">
        <v>2392</v>
      </c>
      <c r="F2169" s="46" t="s">
        <v>115</v>
      </c>
    </row>
    <row r="2170">
      <c r="A2170" s="274" t="s">
        <v>2225</v>
      </c>
      <c r="B2170" s="252">
        <f>IF(A2170="", "", IF(IFERROR(VLOOKUP(A2170, 'Base 3F'!$B:$C, 2, FALSE),"")="", "SIN CUIT", VLOOKUP(A2170, 'Base 3F'!$B:$C, 2, FALSE)))</f>
        <v>30650849805</v>
      </c>
      <c r="C2170" s="253" t="str">
        <f>IF(A2170="", "", IF(IFERROR(VLOOKUP(A2170, 'Base 3F'!$B:$J, 9, FALSE),"")="", "SIN RUBRO", VLOOKUP(A2170, 'Base 3F'!$B:$J, 9, FALSE)))</f>
        <v>Alimenticia</v>
      </c>
      <c r="D2170" s="368" t="s">
        <v>10714</v>
      </c>
      <c r="E2170" s="10" t="s">
        <v>2392</v>
      </c>
      <c r="F2170" s="46" t="s">
        <v>115</v>
      </c>
    </row>
    <row r="2171">
      <c r="A2171" s="274" t="s">
        <v>1100</v>
      </c>
      <c r="B2171" s="252">
        <f>IF(A2171="", "", IF(IFERROR(VLOOKUP(A2171, 'Base 3F'!$B:$C, 2, FALSE),"")="", "SIN CUIT", VLOOKUP(A2171, 'Base 3F'!$B:$C, 2, FALSE)))</f>
        <v>30701165191</v>
      </c>
      <c r="C2171" s="253" t="str">
        <f>IF(A2171="", "", IF(IFERROR(VLOOKUP(A2171, 'Base 3F'!$B:$J, 9, FALSE),"")="", "SIN RUBRO", VLOOKUP(A2171, 'Base 3F'!$B:$J, 9, FALSE)))</f>
        <v>Metalúrgica</v>
      </c>
      <c r="D2171" s="368" t="s">
        <v>10720</v>
      </c>
      <c r="E2171" s="10" t="s">
        <v>2392</v>
      </c>
      <c r="F2171" s="46" t="s">
        <v>115</v>
      </c>
    </row>
    <row r="2172">
      <c r="A2172" s="274" t="s">
        <v>1150</v>
      </c>
      <c r="B2172" s="252">
        <f>IF(A2172="", "", IF(IFERROR(VLOOKUP(A2172, 'Base 3F'!$B:$C, 2, FALSE),"")="", "SIN CUIT", VLOOKUP(A2172, 'Base 3F'!$B:$C, 2, FALSE)))</f>
        <v>30709003018</v>
      </c>
      <c r="C2172" s="253" t="str">
        <f>IF(A2172="", "", IF(IFERROR(VLOOKUP(A2172, 'Base 3F'!$B:$J, 9, FALSE),"")="", "SIN RUBRO", VLOOKUP(A2172, 'Base 3F'!$B:$J, 9, FALSE)))</f>
        <v>Metalmecánica</v>
      </c>
      <c r="D2172" s="373" t="s">
        <v>10724</v>
      </c>
      <c r="E2172" s="10" t="s">
        <v>2392</v>
      </c>
      <c r="F2172" s="46" t="s">
        <v>115</v>
      </c>
    </row>
    <row r="2173">
      <c r="A2173" s="194" t="s">
        <v>2576</v>
      </c>
      <c r="B2173" s="252">
        <f>IF(A2173="", "", IF(IFERROR(VLOOKUP(A2173, 'Base 3F'!$B:$C, 2, FALSE),"")="", "SIN CUIT", VLOOKUP(A2173, 'Base 3F'!$B:$C, 2, FALSE)))</f>
        <v>30707589309</v>
      </c>
      <c r="C2173" s="253" t="str">
        <f>IF(A2173="", "", IF(IFERROR(VLOOKUP(A2173, 'Base 3F'!$B:$J, 9, FALSE),"")="", "SIN RUBRO", VLOOKUP(A2173, 'Base 3F'!$B:$J, 9, FALSE)))</f>
        <v>Madera</v>
      </c>
      <c r="D2173" s="368" t="s">
        <v>10729</v>
      </c>
      <c r="E2173" s="10" t="s">
        <v>2392</v>
      </c>
      <c r="F2173" s="46" t="s">
        <v>115</v>
      </c>
    </row>
    <row r="2174">
      <c r="A2174" s="274" t="s">
        <v>2645</v>
      </c>
      <c r="B2174" s="252">
        <f>IF(A2174="", "", IF(IFERROR(VLOOKUP(A2174, 'Base 3F'!$B:$C, 2, FALSE),"")="", "SIN CUIT", VLOOKUP(A2174, 'Base 3F'!$B:$C, 2, FALSE)))</f>
        <v>33685315519</v>
      </c>
      <c r="C2174" s="253" t="str">
        <f>IF(A2174="", "", IF(IFERROR(VLOOKUP(A2174, 'Base 3F'!$B:$J, 9, FALSE),"")="", "SIN RUBRO", VLOOKUP(A2174, 'Base 3F'!$B:$J, 9, FALSE)))</f>
        <v>Automotor</v>
      </c>
      <c r="D2174" s="368" t="s">
        <v>884</v>
      </c>
      <c r="E2174" s="10" t="s">
        <v>2392</v>
      </c>
      <c r="F2174" s="46" t="s">
        <v>115</v>
      </c>
    </row>
    <row r="2175">
      <c r="A2175" s="274" t="s">
        <v>1197</v>
      </c>
      <c r="B2175" s="252">
        <f>IF(A2175="", "", IF(IFERROR(VLOOKUP(A2175, 'Base 3F'!$B:$C, 2, FALSE),"")="", "SIN CUIT", VLOOKUP(A2175, 'Base 3F'!$B:$C, 2, FALSE)))</f>
        <v>30679115274</v>
      </c>
      <c r="C2175" s="253" t="str">
        <f>IF(A2175="", "", IF(IFERROR(VLOOKUP(A2175, 'Base 3F'!$B:$J, 9, FALSE),"")="", "SIN RUBRO", VLOOKUP(A2175, 'Base 3F'!$B:$J, 9, FALSE)))</f>
        <v>Textil</v>
      </c>
      <c r="D2175" s="368" t="s">
        <v>10739</v>
      </c>
      <c r="E2175" s="10" t="s">
        <v>2392</v>
      </c>
      <c r="F2175" s="46" t="s">
        <v>115</v>
      </c>
    </row>
    <row r="2176">
      <c r="A2176" s="274" t="s">
        <v>1256</v>
      </c>
      <c r="B2176" s="252">
        <f>IF(A2176="", "", IF(IFERROR(VLOOKUP(A2176, 'Base 3F'!$B:$C, 2, FALSE),"")="", "SIN CUIT", VLOOKUP(A2176, 'Base 3F'!$B:$C, 2, FALSE)))</f>
        <v>30604118197</v>
      </c>
      <c r="C2176" s="253" t="str">
        <f>IF(A2176="", "", IF(IFERROR(VLOOKUP(A2176, 'Base 3F'!$B:$J, 9, FALSE),"")="", "SIN RUBRO", VLOOKUP(A2176, 'Base 3F'!$B:$J, 9, FALSE)))</f>
        <v>Metalúrgica</v>
      </c>
      <c r="D2176" s="368" t="s">
        <v>10745</v>
      </c>
      <c r="E2176" s="10" t="s">
        <v>2392</v>
      </c>
      <c r="F2176" s="46" t="s">
        <v>115</v>
      </c>
    </row>
    <row r="2177">
      <c r="A2177" s="274" t="s">
        <v>2941</v>
      </c>
      <c r="B2177" s="252">
        <f>IF(A2177="", "", IF(IFERROR(VLOOKUP(A2177, 'Base 3F'!$B:$C, 2, FALSE),"")="", "SIN CUIT", VLOOKUP(A2177, 'Base 3F'!$B:$C, 2, FALSE)))</f>
        <v>30712318399</v>
      </c>
      <c r="C2177" s="253" t="str">
        <f>IF(A2177="", "", IF(IFERROR(VLOOKUP(A2177, 'Base 3F'!$B:$J, 9, FALSE),"")="", "SIN RUBRO", VLOOKUP(A2177, 'Base 3F'!$B:$J, 9, FALSE)))</f>
        <v>Metalúrgica</v>
      </c>
      <c r="D2177" s="368" t="s">
        <v>10752</v>
      </c>
      <c r="E2177" s="10" t="s">
        <v>2392</v>
      </c>
      <c r="F2177" s="46" t="s">
        <v>115</v>
      </c>
    </row>
    <row r="2178">
      <c r="A2178" s="274" t="s">
        <v>2978</v>
      </c>
      <c r="B2178" s="252">
        <f>IF(A2178="", "", IF(IFERROR(VLOOKUP(A2178, 'Base 3F'!$B:$C, 2, FALSE),"")="", "SIN CUIT", VLOOKUP(A2178, 'Base 3F'!$B:$C, 2, FALSE)))</f>
        <v>30709478776</v>
      </c>
      <c r="C2178" s="253" t="str">
        <f>IF(A2178="", "", IF(IFERROR(VLOOKUP(A2178, 'Base 3F'!$B:$J, 9, FALSE),"")="", "SIN RUBRO", VLOOKUP(A2178, 'Base 3F'!$B:$J, 9, FALSE)))</f>
        <v>Servicios</v>
      </c>
      <c r="D2178" s="368" t="s">
        <v>10756</v>
      </c>
      <c r="E2178" s="10" t="s">
        <v>2392</v>
      </c>
      <c r="F2178" s="46" t="s">
        <v>115</v>
      </c>
    </row>
    <row r="2179">
      <c r="A2179" s="274" t="s">
        <v>3003</v>
      </c>
      <c r="B2179" s="252">
        <f>IF(A2179="", "", IF(IFERROR(VLOOKUP(A2179, 'Base 3F'!$B:$C, 2, FALSE),"")="", "SIN CUIT", VLOOKUP(A2179, 'Base 3F'!$B:$C, 2, FALSE)))</f>
        <v>30708570946</v>
      </c>
      <c r="C2179" s="253" t="str">
        <f>IF(A2179="", "", IF(IFERROR(VLOOKUP(A2179, 'Base 3F'!$B:$J, 9, FALSE),"")="", "SIN RUBRO", VLOOKUP(A2179, 'Base 3F'!$B:$J, 9, FALSE)))</f>
        <v>Servicios</v>
      </c>
      <c r="D2179" s="368" t="s">
        <v>10758</v>
      </c>
      <c r="E2179" s="10" t="s">
        <v>2392</v>
      </c>
      <c r="F2179" s="46" t="s">
        <v>115</v>
      </c>
    </row>
    <row r="2180">
      <c r="A2180" s="274" t="s">
        <v>1275</v>
      </c>
      <c r="B2180" s="252">
        <f>IF(A2180="", "", IF(IFERROR(VLOOKUP(A2180, 'Base 3F'!$B:$C, 2, FALSE),"")="", "SIN CUIT", VLOOKUP(A2180, 'Base 3F'!$B:$C, 2, FALSE)))</f>
        <v>30502893188</v>
      </c>
      <c r="C2180" s="253" t="str">
        <f>IF(A2180="", "", IF(IFERROR(VLOOKUP(A2180, 'Base 3F'!$B:$J, 9, FALSE),"")="", "SIN RUBRO", VLOOKUP(A2180, 'Base 3F'!$B:$J, 9, FALSE)))</f>
        <v>Metalúrgica</v>
      </c>
      <c r="D2180" s="368" t="s">
        <v>10765</v>
      </c>
      <c r="E2180" s="10" t="s">
        <v>2392</v>
      </c>
      <c r="F2180" s="46" t="s">
        <v>115</v>
      </c>
    </row>
    <row r="2181">
      <c r="A2181" s="274" t="s">
        <v>1282</v>
      </c>
      <c r="B2181" s="252">
        <f>IF(A2181="", "", IF(IFERROR(VLOOKUP(A2181, 'Base 3F'!$B:$C, 2, FALSE),"")="", "SIN CUIT", VLOOKUP(A2181, 'Base 3F'!$B:$C, 2, FALSE)))</f>
        <v>30638285335</v>
      </c>
      <c r="C2181" s="253" t="str">
        <f>IF(A2181="", "", IF(IFERROR(VLOOKUP(A2181, 'Base 3F'!$B:$J, 9, FALSE),"")="", "SIN RUBRO", VLOOKUP(A2181, 'Base 3F'!$B:$J, 9, FALSE)))</f>
        <v>Alimenticia</v>
      </c>
      <c r="D2181" s="368" t="s">
        <v>10767</v>
      </c>
      <c r="E2181" s="10" t="s">
        <v>2392</v>
      </c>
      <c r="F2181" s="46" t="s">
        <v>115</v>
      </c>
    </row>
    <row r="2182">
      <c r="A2182" s="274" t="s">
        <v>3217</v>
      </c>
      <c r="B2182" s="252">
        <f>IF(A2182="", "", IF(IFERROR(VLOOKUP(A2182, 'Base 3F'!$B:$C, 2, FALSE),"")="", "SIN CUIT", VLOOKUP(A2182, 'Base 3F'!$B:$C, 2, FALSE)))</f>
        <v>33590878079</v>
      </c>
      <c r="C2182" s="253" t="str">
        <f>IF(A2182="", "", IF(IFERROR(VLOOKUP(A2182, 'Base 3F'!$B:$J, 9, FALSE),"")="", "SIN RUBRO", VLOOKUP(A2182, 'Base 3F'!$B:$J, 9, FALSE)))</f>
        <v>Electrónica</v>
      </c>
      <c r="D2182" s="368" t="s">
        <v>10770</v>
      </c>
      <c r="E2182" s="10" t="s">
        <v>2392</v>
      </c>
      <c r="F2182" s="46" t="s">
        <v>115</v>
      </c>
    </row>
    <row r="2183">
      <c r="A2183" s="274" t="s">
        <v>1295</v>
      </c>
      <c r="B2183" s="252">
        <f>IF(A2183="", "", IF(IFERROR(VLOOKUP(A2183, 'Base 3F'!$B:$C, 2, FALSE),"")="", "SIN CUIT", VLOOKUP(A2183, 'Base 3F'!$B:$C, 2, FALSE)))</f>
        <v>30649592698</v>
      </c>
      <c r="C2183" s="253" t="str">
        <f>IF(A2183="", "", IF(IFERROR(VLOOKUP(A2183, 'Base 3F'!$B:$J, 9, FALSE),"")="", "SIN RUBRO", VLOOKUP(A2183, 'Base 3F'!$B:$J, 9, FALSE)))</f>
        <v>Papel</v>
      </c>
      <c r="D2183" s="368" t="s">
        <v>10772</v>
      </c>
      <c r="E2183" s="10" t="s">
        <v>2392</v>
      </c>
      <c r="F2183" s="46" t="s">
        <v>115</v>
      </c>
    </row>
    <row r="2184">
      <c r="A2184" s="274" t="s">
        <v>3269</v>
      </c>
      <c r="B2184" s="252">
        <f>IF(A2184="", "", IF(IFERROR(VLOOKUP(A2184, 'Base 3F'!$B:$C, 2, FALSE),"")="", "SIN CUIT", VLOOKUP(A2184, 'Base 3F'!$B:$C, 2, FALSE)))</f>
        <v>30646318420</v>
      </c>
      <c r="C2184" s="253" t="str">
        <f>IF(A2184="", "", IF(IFERROR(VLOOKUP(A2184, 'Base 3F'!$B:$J, 9, FALSE),"")="", "SIN RUBRO", VLOOKUP(A2184, 'Base 3F'!$B:$J, 9, FALSE)))</f>
        <v>Metalúrgica</v>
      </c>
      <c r="D2184" s="368" t="s">
        <v>5312</v>
      </c>
      <c r="E2184" s="10" t="s">
        <v>2392</v>
      </c>
      <c r="F2184" s="46" t="s">
        <v>115</v>
      </c>
    </row>
    <row r="2185">
      <c r="A2185" s="274" t="s">
        <v>3363</v>
      </c>
      <c r="B2185" s="252">
        <f>IF(A2185="", "", IF(IFERROR(VLOOKUP(A2185, 'Base 3F'!$B:$C, 2, FALSE),"")="", "SIN CUIT", VLOOKUP(A2185, 'Base 3F'!$B:$C, 2, FALSE)))</f>
        <v>30503891863</v>
      </c>
      <c r="C2185" s="253" t="str">
        <f>IF(A2185="", "", IF(IFERROR(VLOOKUP(A2185, 'Base 3F'!$B:$J, 9, FALSE),"")="", "SIN RUBRO", VLOOKUP(A2185, 'Base 3F'!$B:$J, 9, FALSE)))</f>
        <v>Alimenticia</v>
      </c>
      <c r="D2185" s="368" t="s">
        <v>10776</v>
      </c>
      <c r="E2185" s="10" t="s">
        <v>2392</v>
      </c>
      <c r="F2185" s="46" t="s">
        <v>115</v>
      </c>
    </row>
    <row r="2186">
      <c r="A2186" s="274" t="s">
        <v>3688</v>
      </c>
      <c r="B2186" s="252">
        <f>IF(A2186="", "", IF(IFERROR(VLOOKUP(A2186, 'Base 3F'!$B:$C, 2, FALSE),"")="", "SIN CUIT", VLOOKUP(A2186, 'Base 3F'!$B:$C, 2, FALSE)))</f>
        <v>30610752698</v>
      </c>
      <c r="C2186" s="253" t="str">
        <f>IF(A2186="", "", IF(IFERROR(VLOOKUP(A2186, 'Base 3F'!$B:$J, 9, FALSE),"")="", "SIN RUBRO", VLOOKUP(A2186, 'Base 3F'!$B:$J, 9, FALSE)))</f>
        <v>Papel</v>
      </c>
      <c r="D2186" s="368" t="s">
        <v>10786</v>
      </c>
      <c r="E2186" s="10" t="s">
        <v>2392</v>
      </c>
      <c r="F2186" s="46" t="s">
        <v>115</v>
      </c>
    </row>
    <row r="2187">
      <c r="A2187" s="274" t="s">
        <v>3704</v>
      </c>
      <c r="B2187" s="252">
        <f>IF(A2187="", "", IF(IFERROR(VLOOKUP(A2187, 'Base 3F'!$B:$C, 2, FALSE),"")="", "SIN CUIT", VLOOKUP(A2187, 'Base 3F'!$B:$C, 2, FALSE)))</f>
        <v>30645030911</v>
      </c>
      <c r="C2187" s="253" t="str">
        <f>IF(A2187="", "", IF(IFERROR(VLOOKUP(A2187, 'Base 3F'!$B:$J, 9, FALSE),"")="", "SIN RUBRO", VLOOKUP(A2187, 'Base 3F'!$B:$J, 9, FALSE)))</f>
        <v>Textil</v>
      </c>
      <c r="D2187" s="368" t="s">
        <v>7982</v>
      </c>
      <c r="E2187" s="10" t="s">
        <v>2392</v>
      </c>
      <c r="F2187" s="46" t="s">
        <v>115</v>
      </c>
    </row>
    <row r="2188">
      <c r="A2188" s="274" t="s">
        <v>3714</v>
      </c>
      <c r="B2188" s="252">
        <f>IF(A2188="", "", IF(IFERROR(VLOOKUP(A2188, 'Base 3F'!$B:$C, 2, FALSE),"")="", "SIN CUIT", VLOOKUP(A2188, 'Base 3F'!$B:$C, 2, FALSE)))</f>
        <v>30708167483</v>
      </c>
      <c r="C2188" s="253" t="str">
        <f>IF(A2188="", "", IF(IFERROR(VLOOKUP(A2188, 'Base 3F'!$B:$J, 9, FALSE),"")="", "SIN RUBRO", VLOOKUP(A2188, 'Base 3F'!$B:$J, 9, FALSE)))</f>
        <v>Metalmecánica</v>
      </c>
      <c r="D2188" s="368" t="s">
        <v>10789</v>
      </c>
      <c r="E2188" s="10" t="s">
        <v>2392</v>
      </c>
      <c r="F2188" s="46" t="s">
        <v>115</v>
      </c>
    </row>
    <row r="2189">
      <c r="A2189" s="274" t="s">
        <v>3731</v>
      </c>
      <c r="B2189" s="252">
        <f>IF(A2189="", "", IF(IFERROR(VLOOKUP(A2189, 'Base 3F'!$B:$C, 2, FALSE),"")="", "SIN CUIT", VLOOKUP(A2189, 'Base 3F'!$B:$C, 2, FALSE)))</f>
        <v>33709302839</v>
      </c>
      <c r="C2189" s="253" t="str">
        <f>IF(A2189="", "", IF(IFERROR(VLOOKUP(A2189, 'Base 3F'!$B:$J, 9, FALSE),"")="", "SIN RUBRO", VLOOKUP(A2189, 'Base 3F'!$B:$J, 9, FALSE)))</f>
        <v>Metalúrgica</v>
      </c>
      <c r="D2189" s="368" t="s">
        <v>10796</v>
      </c>
      <c r="E2189" s="10" t="s">
        <v>2392</v>
      </c>
      <c r="F2189" s="46" t="s">
        <v>115</v>
      </c>
    </row>
    <row r="2190">
      <c r="A2190" s="274" t="s">
        <v>1382</v>
      </c>
      <c r="B2190" s="252">
        <f>IF(A2190="", "", IF(IFERROR(VLOOKUP(A2190, 'Base 3F'!$B:$C, 2, FALSE),"")="", "SIN CUIT", VLOOKUP(A2190, 'Base 3F'!$B:$C, 2, FALSE)))</f>
        <v>33646693999</v>
      </c>
      <c r="C2190" s="253" t="str">
        <f>IF(A2190="", "", IF(IFERROR(VLOOKUP(A2190, 'Base 3F'!$B:$J, 9, FALSE),"")="", "SIN RUBRO", VLOOKUP(A2190, 'Base 3F'!$B:$J, 9, FALSE)))</f>
        <v>Electrónica</v>
      </c>
      <c r="D2190" s="368" t="s">
        <v>1077</v>
      </c>
      <c r="E2190" s="10" t="s">
        <v>2392</v>
      </c>
      <c r="F2190" s="46" t="s">
        <v>115</v>
      </c>
    </row>
    <row r="2191">
      <c r="A2191" s="274" t="s">
        <v>1440</v>
      </c>
      <c r="B2191" s="252">
        <f>IF(A2191="", "", IF(IFERROR(VLOOKUP(A2191, 'Base 3F'!$B:$C, 2, FALSE),"")="", "SIN CUIT", VLOOKUP(A2191, 'Base 3F'!$B:$C, 2, FALSE)))</f>
        <v>30709244961</v>
      </c>
      <c r="C2191" s="253" t="str">
        <f>IF(A2191="", "", IF(IFERROR(VLOOKUP(A2191, 'Base 3F'!$B:$J, 9, FALSE),"")="", "SIN RUBRO", VLOOKUP(A2191, 'Base 3F'!$B:$J, 9, FALSE)))</f>
        <v>Metalúrgica</v>
      </c>
      <c r="D2191" s="368" t="s">
        <v>10804</v>
      </c>
      <c r="E2191" s="10" t="s">
        <v>2392</v>
      </c>
      <c r="F2191" s="46" t="s">
        <v>115</v>
      </c>
    </row>
    <row r="2192">
      <c r="A2192" s="274" t="s">
        <v>3919</v>
      </c>
      <c r="B2192" s="252">
        <f>IF(A2192="", "", IF(IFERROR(VLOOKUP(A2192, 'Base 3F'!$B:$C, 2, FALSE),"")="", "SIN CUIT", VLOOKUP(A2192, 'Base 3F'!$B:$C, 2, FALSE)))</f>
        <v>30547885070</v>
      </c>
      <c r="C2192" s="253" t="str">
        <f>IF(A2192="", "", IF(IFERROR(VLOOKUP(A2192, 'Base 3F'!$B:$J, 9, FALSE),"")="", "SIN RUBRO", VLOOKUP(A2192, 'Base 3F'!$B:$J, 9, FALSE)))</f>
        <v>Papel</v>
      </c>
      <c r="D2192" s="368" t="s">
        <v>10809</v>
      </c>
      <c r="E2192" s="10" t="s">
        <v>2392</v>
      </c>
      <c r="F2192" s="46" t="s">
        <v>115</v>
      </c>
    </row>
    <row r="2193">
      <c r="A2193" s="274" t="s">
        <v>1478</v>
      </c>
      <c r="B2193" s="252">
        <f>IF(A2193="", "", IF(IFERROR(VLOOKUP(A2193, 'Base 3F'!$B:$C, 2, FALSE),"")="", "SIN CUIT", VLOOKUP(A2193, 'Base 3F'!$B:$C, 2, FALSE)))</f>
        <v>30709011940</v>
      </c>
      <c r="C2193" s="253" t="str">
        <f>IF(A2193="", "", IF(IFERROR(VLOOKUP(A2193, 'Base 3F'!$B:$J, 9, FALSE),"")="", "SIN RUBRO", VLOOKUP(A2193, 'Base 3F'!$B:$J, 9, FALSE)))</f>
        <v>Química</v>
      </c>
      <c r="D2193" s="368" t="s">
        <v>10813</v>
      </c>
      <c r="E2193" s="10" t="s">
        <v>2392</v>
      </c>
      <c r="F2193" s="46" t="s">
        <v>115</v>
      </c>
    </row>
    <row r="2194">
      <c r="A2194" s="274" t="s">
        <v>4446</v>
      </c>
      <c r="B2194" s="252">
        <f>IF(A2194="", "", IF(IFERROR(VLOOKUP(A2194, 'Base 3F'!$B:$C, 2, FALSE),"")="", "SIN CUIT", VLOOKUP(A2194, 'Base 3F'!$B:$C, 2, FALSE)))</f>
        <v>30663829153</v>
      </c>
      <c r="C2194" s="253" t="str">
        <f>IF(A2194="", "", IF(IFERROR(VLOOKUP(A2194, 'Base 3F'!$B:$J, 9, FALSE),"")="", "SIN RUBRO", VLOOKUP(A2194, 'Base 3F'!$B:$J, 9, FALSE)))</f>
        <v>Alimenticia</v>
      </c>
      <c r="D2194" s="368" t="s">
        <v>10819</v>
      </c>
      <c r="E2194" s="10" t="s">
        <v>2392</v>
      </c>
      <c r="F2194" s="46" t="s">
        <v>115</v>
      </c>
    </row>
    <row r="2195">
      <c r="A2195" s="274" t="s">
        <v>1553</v>
      </c>
      <c r="B2195" s="252">
        <f>IF(A2195="", "", IF(IFERROR(VLOOKUP(A2195, 'Base 3F'!$B:$C, 2, FALSE),"")="", "SIN CUIT", VLOOKUP(A2195, 'Base 3F'!$B:$C, 2, FALSE)))</f>
        <v>30642219355</v>
      </c>
      <c r="C2195" s="253" t="str">
        <f>IF(A2195="", "", IF(IFERROR(VLOOKUP(A2195, 'Base 3F'!$B:$J, 9, FALSE),"")="", "SIN RUBRO", VLOOKUP(A2195, 'Base 3F'!$B:$J, 9, FALSE)))</f>
        <v>Alimenticia</v>
      </c>
      <c r="D2195" s="368" t="s">
        <v>10825</v>
      </c>
      <c r="E2195" s="10" t="s">
        <v>2392</v>
      </c>
      <c r="F2195" s="46" t="s">
        <v>115</v>
      </c>
    </row>
    <row r="2196">
      <c r="A2196" s="274" t="s">
        <v>1590</v>
      </c>
      <c r="B2196" s="252">
        <f>IF(A2196="", "", IF(IFERROR(VLOOKUP(A2196, 'Base 3F'!$B:$C, 2, FALSE),"")="", "SIN CUIT", VLOOKUP(A2196, 'Base 3F'!$B:$C, 2, FALSE)))</f>
        <v>30538836547</v>
      </c>
      <c r="C2196" s="253" t="str">
        <f>IF(A2196="", "", IF(IFERROR(VLOOKUP(A2196, 'Base 3F'!$B:$J, 9, FALSE),"")="", "SIN RUBRO", VLOOKUP(A2196, 'Base 3F'!$B:$J, 9, FALSE)))</f>
        <v>Textil</v>
      </c>
      <c r="D2196" s="368" t="s">
        <v>10831</v>
      </c>
      <c r="E2196" s="10" t="s">
        <v>2392</v>
      </c>
      <c r="F2196" s="46" t="s">
        <v>115</v>
      </c>
    </row>
    <row r="2197">
      <c r="A2197" s="274" t="s">
        <v>4856</v>
      </c>
      <c r="B2197" s="252">
        <f>IF(A2197="", "", IF(IFERROR(VLOOKUP(A2197, 'Base 3F'!$B:$C, 2, FALSE),"")="", "SIN CUIT", VLOOKUP(A2197, 'Base 3F'!$B:$C, 2, FALSE)))</f>
        <v>30709368067</v>
      </c>
      <c r="C2197" s="253" t="str">
        <f>IF(A2197="", "", IF(IFERROR(VLOOKUP(A2197, 'Base 3F'!$B:$J, 9, FALSE),"")="", "SIN RUBRO", VLOOKUP(A2197, 'Base 3F'!$B:$J, 9, FALSE)))</f>
        <v>Plástica</v>
      </c>
      <c r="D2197" s="368" t="s">
        <v>10835</v>
      </c>
      <c r="E2197" s="10" t="s">
        <v>2392</v>
      </c>
      <c r="F2197" s="46" t="s">
        <v>115</v>
      </c>
    </row>
    <row r="2198">
      <c r="A2198" s="274" t="s">
        <v>1627</v>
      </c>
      <c r="B2198" s="252">
        <f>IF(A2198="", "", IF(IFERROR(VLOOKUP(A2198, 'Base 3F'!$B:$C, 2, FALSE),"")="", "SIN CUIT", VLOOKUP(A2198, 'Base 3F'!$B:$C, 2, FALSE)))</f>
        <v>33597021319</v>
      </c>
      <c r="C2198" s="253" t="str">
        <f>IF(A2198="", "", IF(IFERROR(VLOOKUP(A2198, 'Base 3F'!$B:$J, 9, FALSE),"")="", "SIN RUBRO", VLOOKUP(A2198, 'Base 3F'!$B:$J, 9, FALSE)))</f>
        <v>Plástica</v>
      </c>
      <c r="D2198" s="368" t="s">
        <v>10837</v>
      </c>
      <c r="E2198" s="10" t="s">
        <v>2392</v>
      </c>
      <c r="F2198" s="46" t="s">
        <v>115</v>
      </c>
    </row>
    <row r="2199">
      <c r="A2199" s="274" t="s">
        <v>4927</v>
      </c>
      <c r="B2199" s="252">
        <f>IF(A2199="", "", IF(IFERROR(VLOOKUP(A2199, 'Base 3F'!$B:$C, 2, FALSE),"")="", "SIN CUIT", VLOOKUP(A2199, 'Base 3F'!$B:$C, 2, FALSE)))</f>
        <v>30582623313</v>
      </c>
      <c r="C2199" s="253" t="str">
        <f>IF(A2199="", "", IF(IFERROR(VLOOKUP(A2199, 'Base 3F'!$B:$J, 9, FALSE),"")="", "SIN RUBRO", VLOOKUP(A2199, 'Base 3F'!$B:$J, 9, FALSE)))</f>
        <v>Metalúrgica</v>
      </c>
      <c r="D2199" s="368" t="s">
        <v>10840</v>
      </c>
      <c r="E2199" s="10" t="s">
        <v>2392</v>
      </c>
      <c r="F2199" s="46" t="s">
        <v>115</v>
      </c>
    </row>
    <row r="2200">
      <c r="A2200" s="274" t="s">
        <v>4973</v>
      </c>
      <c r="B2200" s="252">
        <f>IF(A2200="", "", IF(IFERROR(VLOOKUP(A2200, 'Base 3F'!$B:$C, 2, FALSE),"")="", "SIN CUIT", VLOOKUP(A2200, 'Base 3F'!$B:$C, 2, FALSE)))</f>
        <v>30504464632</v>
      </c>
      <c r="C2200" s="253" t="str">
        <f>IF(A2200="", "", IF(IFERROR(VLOOKUP(A2200, 'Base 3F'!$B:$J, 9, FALSE),"")="", "SIN RUBRO", VLOOKUP(A2200, 'Base 3F'!$B:$J, 9, FALSE)))</f>
        <v>Metalúrgica</v>
      </c>
      <c r="D2200" s="368" t="s">
        <v>10842</v>
      </c>
      <c r="E2200" s="10" t="s">
        <v>2392</v>
      </c>
      <c r="F2200" s="46" t="s">
        <v>115</v>
      </c>
    </row>
    <row r="2201">
      <c r="A2201" s="274" t="s">
        <v>1754</v>
      </c>
      <c r="B2201" s="252">
        <f>IF(A2201="", "", IF(IFERROR(VLOOKUP(A2201, 'Base 3F'!$B:$C, 2, FALSE),"")="", "SIN CUIT", VLOOKUP(A2201, 'Base 3F'!$B:$C, 2, FALSE)))</f>
        <v>30701149579</v>
      </c>
      <c r="C2201" s="253" t="str">
        <f>IF(A2201="", "", IF(IFERROR(VLOOKUP(A2201, 'Base 3F'!$B:$J, 9, FALSE),"")="", "SIN RUBRO", VLOOKUP(A2201, 'Base 3F'!$B:$J, 9, FALSE)))</f>
        <v>Metalúrgica</v>
      </c>
      <c r="D2201" s="368" t="s">
        <v>10846</v>
      </c>
      <c r="E2201" s="10" t="s">
        <v>2392</v>
      </c>
      <c r="F2201" s="46" t="s">
        <v>115</v>
      </c>
    </row>
    <row r="2202">
      <c r="A2202" s="274" t="s">
        <v>1784</v>
      </c>
      <c r="B2202" s="252">
        <f>IF(A2202="", "", IF(IFERROR(VLOOKUP(A2202, 'Base 3F'!$B:$C, 2, FALSE),"")="", "SIN CUIT", VLOOKUP(A2202, 'Base 3F'!$B:$C, 2, FALSE)))</f>
        <v>30711313822</v>
      </c>
      <c r="C2202" s="253" t="str">
        <f>IF(A2202="", "", IF(IFERROR(VLOOKUP(A2202, 'Base 3F'!$B:$J, 9, FALSE),"")="", "SIN RUBRO", VLOOKUP(A2202, 'Base 3F'!$B:$J, 9, FALSE)))</f>
        <v>Alimenticia</v>
      </c>
      <c r="D2202" s="368" t="s">
        <v>10848</v>
      </c>
      <c r="E2202" s="10" t="s">
        <v>2392</v>
      </c>
      <c r="F2202" s="46" t="s">
        <v>115</v>
      </c>
    </row>
    <row r="2203">
      <c r="A2203" s="274" t="s">
        <v>6032</v>
      </c>
      <c r="B2203" s="252">
        <f>IF(A2203="", "", IF(IFERROR(VLOOKUP(A2203, 'Base 3F'!$B:$C, 2, FALSE),"")="", "SIN CUIT", VLOOKUP(A2203, 'Base 3F'!$B:$C, 2, FALSE)))</f>
        <v>30709421111</v>
      </c>
      <c r="C2203" s="253" t="str">
        <f>IF(A2203="", "", IF(IFERROR(VLOOKUP(A2203, 'Base 3F'!$B:$J, 9, FALSE),"")="", "SIN RUBRO", VLOOKUP(A2203, 'Base 3F'!$B:$J, 9, FALSE)))</f>
        <v>Textil</v>
      </c>
      <c r="D2203" s="368" t="s">
        <v>10849</v>
      </c>
      <c r="E2203" s="10" t="s">
        <v>2392</v>
      </c>
      <c r="F2203" s="46" t="s">
        <v>115</v>
      </c>
    </row>
    <row r="2204">
      <c r="A2204" s="274" t="s">
        <v>1808</v>
      </c>
      <c r="B2204" s="252">
        <f>IF(A2204="", "", IF(IFERROR(VLOOKUP(A2204, 'Base 3F'!$B:$C, 2, FALSE),"")="", "SIN CUIT", VLOOKUP(A2204, 'Base 3F'!$B:$C, 2, FALSE)))</f>
        <v>33624658529</v>
      </c>
      <c r="C2204" s="253" t="str">
        <f>IF(A2204="", "", IF(IFERROR(VLOOKUP(A2204, 'Base 3F'!$B:$J, 9, FALSE),"")="", "SIN RUBRO", VLOOKUP(A2204, 'Base 3F'!$B:$J, 9, FALSE)))</f>
        <v>Gráfica</v>
      </c>
      <c r="D2204" s="368" t="s">
        <v>10855</v>
      </c>
      <c r="E2204" s="10" t="s">
        <v>2392</v>
      </c>
      <c r="F2204" s="46" t="s">
        <v>115</v>
      </c>
    </row>
    <row r="2205">
      <c r="A2205" s="274" t="s">
        <v>1890</v>
      </c>
      <c r="B2205" s="252">
        <f>IF(A2205="", "", IF(IFERROR(VLOOKUP(A2205, 'Base 3F'!$B:$C, 2, FALSE),"")="", "SIN CUIT", VLOOKUP(A2205, 'Base 3F'!$B:$C, 2, FALSE)))</f>
        <v>30709987867</v>
      </c>
      <c r="C2205" s="253" t="str">
        <f>IF(A2205="", "", IF(IFERROR(VLOOKUP(A2205, 'Base 3F'!$B:$J, 9, FALSE),"")="", "SIN RUBRO", VLOOKUP(A2205, 'Base 3F'!$B:$J, 9, FALSE)))</f>
        <v>Metalmecánica</v>
      </c>
      <c r="D2205" s="368" t="s">
        <v>10857</v>
      </c>
      <c r="E2205" s="10" t="s">
        <v>2392</v>
      </c>
      <c r="F2205" s="46" t="s">
        <v>115</v>
      </c>
    </row>
    <row r="2206">
      <c r="A2206" s="274" t="s">
        <v>4131</v>
      </c>
      <c r="B2206" s="252">
        <f>IF(A2206="", "", IF(IFERROR(VLOOKUP(A2206, 'Base 3F'!$B:$C, 2, FALSE),"")="", "SIN CUIT", VLOOKUP(A2206, 'Base 3F'!$B:$C, 2, FALSE)))</f>
        <v>30677127240</v>
      </c>
      <c r="C2206" s="253" t="str">
        <f>IF(A2206="", "", IF(IFERROR(VLOOKUP(A2206, 'Base 3F'!$B:$J, 9, FALSE),"")="", "SIN RUBRO", VLOOKUP(A2206, 'Base 3F'!$B:$J, 9, FALSE)))</f>
        <v>Metalúrgica</v>
      </c>
      <c r="D2206" s="368" t="s">
        <v>911</v>
      </c>
      <c r="E2206" s="10" t="s">
        <v>2392</v>
      </c>
      <c r="F2206" s="46" t="s">
        <v>115</v>
      </c>
    </row>
    <row r="2207">
      <c r="A2207" s="274" t="s">
        <v>6892</v>
      </c>
      <c r="B2207" s="252" t="str">
        <f>IF(A2207="", "", IF(IFERROR(VLOOKUP(A2207, 'Base 3F'!$B:$C, 2, FALSE),"")="", "SIN CUIT", VLOOKUP(A2207, 'Base 3F'!$B:$C, 2, FALSE)))</f>
        <v>30709080047 / 33663808899</v>
      </c>
      <c r="C2207" s="253" t="str">
        <f>IF(A2207="", "", IF(IFERROR(VLOOKUP(A2207, 'Base 3F'!$B:$J, 9, FALSE),"")="", "SIN RUBRO", VLOOKUP(A2207, 'Base 3F'!$B:$J, 9, FALSE)))</f>
        <v>Metalúrgica</v>
      </c>
      <c r="D2207" s="368" t="s">
        <v>10860</v>
      </c>
      <c r="E2207" s="10" t="s">
        <v>2392</v>
      </c>
      <c r="F2207" s="46" t="s">
        <v>115</v>
      </c>
    </row>
    <row r="2208">
      <c r="A2208" s="274" t="s">
        <v>2028</v>
      </c>
      <c r="B2208" s="252">
        <f>IF(A2208="", "", IF(IFERROR(VLOOKUP(A2208, 'Base 3F'!$B:$C, 2, FALSE),"")="", "SIN CUIT", VLOOKUP(A2208, 'Base 3F'!$B:$C, 2, FALSE)))</f>
        <v>30663753025</v>
      </c>
      <c r="C2208" s="253" t="str">
        <f>IF(A2208="", "", IF(IFERROR(VLOOKUP(A2208, 'Base 3F'!$B:$J, 9, FALSE),"")="", "SIN RUBRO", VLOOKUP(A2208, 'Base 3F'!$B:$J, 9, FALSE)))</f>
        <v>Plástica</v>
      </c>
      <c r="D2208" s="368" t="s">
        <v>924</v>
      </c>
      <c r="E2208" s="10" t="s">
        <v>2392</v>
      </c>
      <c r="F2208" s="46" t="s">
        <v>115</v>
      </c>
    </row>
    <row r="2209">
      <c r="A2209" s="274" t="s">
        <v>2038</v>
      </c>
      <c r="B2209" s="252">
        <f>IF(A2209="", "", IF(IFERROR(VLOOKUP(A2209, 'Base 3F'!$B:$C, 2, FALSE),"")="", "SIN CUIT", VLOOKUP(A2209, 'Base 3F'!$B:$C, 2, FALSE)))</f>
        <v>30708089083</v>
      </c>
      <c r="C2209" s="253" t="str">
        <f>IF(A2209="", "", IF(IFERROR(VLOOKUP(A2209, 'Base 3F'!$B:$J, 9, FALSE),"")="", "SIN RUBRO", VLOOKUP(A2209, 'Base 3F'!$B:$J, 9, FALSE)))</f>
        <v>Caucho</v>
      </c>
      <c r="D2209" s="368" t="s">
        <v>10871</v>
      </c>
      <c r="E2209" s="10" t="s">
        <v>2392</v>
      </c>
      <c r="F2209" s="46" t="s">
        <v>115</v>
      </c>
    </row>
    <row r="2210">
      <c r="A2210" s="274" t="s">
        <v>7412</v>
      </c>
      <c r="B2210" s="252">
        <f>IF(A2210="", "", IF(IFERROR(VLOOKUP(A2210, 'Base 3F'!$B:$C, 2, FALSE),"")="", "SIN CUIT", VLOOKUP(A2210, 'Base 3F'!$B:$C, 2, FALSE)))</f>
        <v>30656003576</v>
      </c>
      <c r="C2210" s="253" t="str">
        <f>IF(A2210="", "", IF(IFERROR(VLOOKUP(A2210, 'Base 3F'!$B:$J, 9, FALSE),"")="", "SIN RUBRO", VLOOKUP(A2210, 'Base 3F'!$B:$J, 9, FALSE)))</f>
        <v>Plástica</v>
      </c>
      <c r="D2210" s="375" t="s">
        <v>10874</v>
      </c>
      <c r="E2210" s="10" t="s">
        <v>2392</v>
      </c>
      <c r="F2210" s="46" t="s">
        <v>115</v>
      </c>
    </row>
    <row r="2211">
      <c r="A2211" s="274" t="s">
        <v>7419</v>
      </c>
      <c r="B2211" s="252">
        <f>IF(A2211="", "", IF(IFERROR(VLOOKUP(A2211, 'Base 3F'!$B:$C, 2, FALSE),"")="", "SIN CUIT", VLOOKUP(A2211, 'Base 3F'!$B:$C, 2, FALSE)))</f>
        <v>30653293174</v>
      </c>
      <c r="C2211" s="253" t="str">
        <f>IF(A2211="", "", IF(IFERROR(VLOOKUP(A2211, 'Base 3F'!$B:$J, 9, FALSE),"")="", "SIN RUBRO", VLOOKUP(A2211, 'Base 3F'!$B:$J, 9, FALSE)))</f>
        <v>Metalmecánica</v>
      </c>
      <c r="D2211" s="368" t="s">
        <v>10878</v>
      </c>
      <c r="E2211" s="10" t="s">
        <v>2392</v>
      </c>
      <c r="F2211" s="46" t="s">
        <v>115</v>
      </c>
    </row>
    <row r="2212">
      <c r="A2212" s="274" t="s">
        <v>7510</v>
      </c>
      <c r="B2212" s="252">
        <f>IF(A2212="", "", IF(IFERROR(VLOOKUP(A2212, 'Base 3F'!$B:$C, 2, FALSE),"")="", "SIN CUIT", VLOOKUP(A2212, 'Base 3F'!$B:$C, 2, FALSE)))</f>
        <v>30633349572</v>
      </c>
      <c r="C2212" s="253" t="str">
        <f>IF(A2212="", "", IF(IFERROR(VLOOKUP(A2212, 'Base 3F'!$B:$J, 9, FALSE),"")="", "SIN RUBRO", VLOOKUP(A2212, 'Base 3F'!$B:$J, 9, FALSE)))</f>
        <v>Metalúrgica</v>
      </c>
      <c r="D2212" s="368" t="s">
        <v>10035</v>
      </c>
      <c r="E2212" s="10" t="s">
        <v>2392</v>
      </c>
      <c r="F2212" s="46" t="s">
        <v>115</v>
      </c>
    </row>
    <row r="2213">
      <c r="A2213" s="274" t="s">
        <v>4257</v>
      </c>
      <c r="B2213" s="252">
        <f>IF(A2213="", "", IF(IFERROR(VLOOKUP(A2213, 'Base 3F'!$B:$C, 2, FALSE),"")="", "SIN CUIT", VLOOKUP(A2213, 'Base 3F'!$B:$C, 2, FALSE)))</f>
        <v>30707413677</v>
      </c>
      <c r="C2213" s="253" t="str">
        <f>IF(A2213="", "", IF(IFERROR(VLOOKUP(A2213, 'Base 3F'!$B:$J, 9, FALSE),"")="", "SIN RUBRO", VLOOKUP(A2213, 'Base 3F'!$B:$J, 9, FALSE)))</f>
        <v>Alimenticia</v>
      </c>
      <c r="D2213" s="368" t="s">
        <v>10881</v>
      </c>
      <c r="E2213" s="10" t="s">
        <v>2392</v>
      </c>
      <c r="F2213" s="46" t="s">
        <v>115</v>
      </c>
    </row>
    <row r="2214">
      <c r="A2214" s="274" t="s">
        <v>7838</v>
      </c>
      <c r="B2214" s="252">
        <f>IF(A2214="", "", IF(IFERROR(VLOOKUP(A2214, 'Base 3F'!$B:$C, 2, FALSE),"")="", "SIN CUIT", VLOOKUP(A2214, 'Base 3F'!$B:$C, 2, FALSE)))</f>
        <v>33709853339</v>
      </c>
      <c r="C2214" s="253" t="str">
        <f>IF(A2214="", "", IF(IFERROR(VLOOKUP(A2214, 'Base 3F'!$B:$J, 9, FALSE),"")="", "SIN RUBRO", VLOOKUP(A2214, 'Base 3F'!$B:$J, 9, FALSE)))</f>
        <v>Alimenticia</v>
      </c>
      <c r="D2214" s="368" t="s">
        <v>10885</v>
      </c>
      <c r="E2214" s="10" t="s">
        <v>2392</v>
      </c>
      <c r="F2214" s="46" t="s">
        <v>115</v>
      </c>
    </row>
    <row r="2215">
      <c r="A2215" s="274" t="s">
        <v>2281</v>
      </c>
      <c r="B2215" s="252">
        <f>IF(A2215="", "", IF(IFERROR(VLOOKUP(A2215, 'Base 3F'!$B:$C, 2, FALSE),"")="", "SIN CUIT", VLOOKUP(A2215, 'Base 3F'!$B:$C, 2, FALSE)))</f>
        <v>30708167823</v>
      </c>
      <c r="C2215" s="253" t="str">
        <f>IF(A2215="", "", IF(IFERROR(VLOOKUP(A2215, 'Base 3F'!$B:$J, 9, FALSE),"")="", "SIN RUBRO", VLOOKUP(A2215, 'Base 3F'!$B:$J, 9, FALSE)))</f>
        <v>Papel</v>
      </c>
      <c r="D2215" s="368" t="s">
        <v>10888</v>
      </c>
      <c r="E2215" s="10" t="s">
        <v>2392</v>
      </c>
      <c r="F2215" s="46" t="s">
        <v>115</v>
      </c>
    </row>
    <row r="2216">
      <c r="A2216" s="274" t="s">
        <v>8148</v>
      </c>
      <c r="B2216" s="252">
        <f>IF(A2216="", "", IF(IFERROR(VLOOKUP(A2216, 'Base 3F'!$B:$C, 2, FALSE),"")="", "SIN CUIT", VLOOKUP(A2216, 'Base 3F'!$B:$C, 2, FALSE)))</f>
        <v>30714664758</v>
      </c>
      <c r="C2216" s="253" t="str">
        <f>IF(A2216="", "", IF(IFERROR(VLOOKUP(A2216, 'Base 3F'!$B:$J, 9, FALSE),"")="", "SIN RUBRO", VLOOKUP(A2216, 'Base 3F'!$B:$J, 9, FALSE)))</f>
        <v>Gráfica</v>
      </c>
      <c r="D2216" s="368" t="s">
        <v>10893</v>
      </c>
      <c r="E2216" s="10" t="s">
        <v>2392</v>
      </c>
      <c r="F2216" s="46" t="s">
        <v>115</v>
      </c>
    </row>
    <row r="2217">
      <c r="A2217" s="194" t="s">
        <v>2384</v>
      </c>
      <c r="B2217" s="252">
        <f>IF(A2217="", "", IF(IFERROR(VLOOKUP(A2217, 'Base 3F'!$B:$C, 2, FALSE),"")="", "SIN CUIT", VLOOKUP(A2217, 'Base 3F'!$B:$C, 2, FALSE)))</f>
        <v>30707522557</v>
      </c>
      <c r="C2217" s="253" t="str">
        <f>IF(A2217="", "", IF(IFERROR(VLOOKUP(A2217, 'Base 3F'!$B:$J, 9, FALSE),"")="", "SIN RUBRO", VLOOKUP(A2217, 'Base 3F'!$B:$J, 9, FALSE)))</f>
        <v>Textil</v>
      </c>
      <c r="D2217" s="368" t="s">
        <v>10901</v>
      </c>
      <c r="E2217" s="10" t="s">
        <v>2392</v>
      </c>
      <c r="F2217" s="46" t="s">
        <v>115</v>
      </c>
    </row>
    <row r="2218">
      <c r="A2218" s="194" t="s">
        <v>8215</v>
      </c>
      <c r="B2218" s="252">
        <f>IF(A2218="", "", IF(IFERROR(VLOOKUP(A2218, 'Base 3F'!$B:$C, 2, FALSE),"")="", "SIN CUIT", VLOOKUP(A2218, 'Base 3F'!$B:$C, 2, FALSE)))</f>
        <v>30708614269</v>
      </c>
      <c r="C2218" s="253" t="str">
        <f>IF(A2218="", "", IF(IFERROR(VLOOKUP(A2218, 'Base 3F'!$B:$J, 9, FALSE),"")="", "SIN RUBRO", VLOOKUP(A2218, 'Base 3F'!$B:$J, 9, FALSE)))</f>
        <v>Metalmecánica</v>
      </c>
      <c r="D2218" s="368" t="s">
        <v>10907</v>
      </c>
      <c r="E2218" s="10" t="s">
        <v>2392</v>
      </c>
      <c r="F2218" s="46" t="s">
        <v>115</v>
      </c>
    </row>
    <row r="2219">
      <c r="A2219" s="274" t="s">
        <v>8277</v>
      </c>
      <c r="B2219" s="252">
        <f>IF(A2219="", "", IF(IFERROR(VLOOKUP(A2219, 'Base 3F'!$B:$C, 2, FALSE),"")="", "SIN CUIT", VLOOKUP(A2219, 'Base 3F'!$B:$C, 2, FALSE)))</f>
        <v>30711977917</v>
      </c>
      <c r="C2219" s="253" t="str">
        <f>IF(A2219="", "", IF(IFERROR(VLOOKUP(A2219, 'Base 3F'!$B:$J, 9, FALSE),"")="", "SIN RUBRO", VLOOKUP(A2219, 'Base 3F'!$B:$J, 9, FALSE)))</f>
        <v>Metalúrgica</v>
      </c>
      <c r="D2219" s="368" t="s">
        <v>10910</v>
      </c>
      <c r="E2219" s="10" t="s">
        <v>2392</v>
      </c>
      <c r="F2219" s="46" t="s">
        <v>115</v>
      </c>
    </row>
    <row r="2220">
      <c r="A2220" s="274" t="s">
        <v>8478</v>
      </c>
      <c r="B2220" s="252">
        <f>IF(A2220="", "", IF(IFERROR(VLOOKUP(A2220, 'Base 3F'!$B:$C, 2, FALSE),"")="", "SIN CUIT", VLOOKUP(A2220, 'Base 3F'!$B:$C, 2, FALSE)))</f>
        <v>30516385460</v>
      </c>
      <c r="C2220" s="253" t="str">
        <f>IF(A2220="", "", IF(IFERROR(VLOOKUP(A2220, 'Base 3F'!$B:$J, 9, FALSE),"")="", "SIN RUBRO", VLOOKUP(A2220, 'Base 3F'!$B:$J, 9, FALSE)))</f>
        <v>Servicios</v>
      </c>
      <c r="D2220" s="368" t="s">
        <v>10912</v>
      </c>
      <c r="E2220" s="10" t="s">
        <v>2392</v>
      </c>
      <c r="F2220" s="46" t="s">
        <v>115</v>
      </c>
    </row>
    <row r="2221">
      <c r="A2221" s="274" t="s">
        <v>2555</v>
      </c>
      <c r="B2221" s="252">
        <f>IF(A2221="", "", IF(IFERROR(VLOOKUP(A2221, 'Base 3F'!$B:$C, 2, FALSE),"")="", "SIN CUIT", VLOOKUP(A2221, 'Base 3F'!$B:$C, 2, FALSE)))</f>
        <v>30709629901</v>
      </c>
      <c r="C2221" s="253" t="str">
        <f>IF(A2221="", "", IF(IFERROR(VLOOKUP(A2221, 'Base 3F'!$B:$J, 9, FALSE),"")="", "SIN RUBRO", VLOOKUP(A2221, 'Base 3F'!$B:$J, 9, FALSE)))</f>
        <v>Metalmecánica</v>
      </c>
      <c r="D2221" s="368" t="s">
        <v>10914</v>
      </c>
      <c r="E2221" s="10" t="s">
        <v>2392</v>
      </c>
      <c r="F2221" s="46" t="s">
        <v>115</v>
      </c>
    </row>
    <row r="2222">
      <c r="A2222" s="274" t="s">
        <v>2591</v>
      </c>
      <c r="B2222" s="252">
        <f>IF(A2222="", "", IF(IFERROR(VLOOKUP(A2222, 'Base 3F'!$B:$C, 2, FALSE),"")="", "SIN CUIT", VLOOKUP(A2222, 'Base 3F'!$B:$C, 2, FALSE)))</f>
        <v>30695261418</v>
      </c>
      <c r="C2222" s="253" t="str">
        <f>IF(A2222="", "", IF(IFERROR(VLOOKUP(A2222, 'Base 3F'!$B:$J, 9, FALSE),"")="", "SIN RUBRO", VLOOKUP(A2222, 'Base 3F'!$B:$J, 9, FALSE)))</f>
        <v>Electrónica</v>
      </c>
      <c r="D2222" s="368" t="s">
        <v>10917</v>
      </c>
      <c r="E2222" s="10" t="s">
        <v>2392</v>
      </c>
      <c r="F2222" s="46" t="s">
        <v>115</v>
      </c>
    </row>
    <row r="2223">
      <c r="A2223" s="274" t="s">
        <v>2654</v>
      </c>
      <c r="B2223" s="252">
        <f>IF(A2223="", "", IF(IFERROR(VLOOKUP(A2223, 'Base 3F'!$B:$C, 2, FALSE),"")="", "SIN CUIT", VLOOKUP(A2223, 'Base 3F'!$B:$C, 2, FALSE)))</f>
        <v>30505488004</v>
      </c>
      <c r="C2223" s="253" t="str">
        <f>IF(A2223="", "", IF(IFERROR(VLOOKUP(A2223, 'Base 3F'!$B:$J, 9, FALSE),"")="", "SIN RUBRO", VLOOKUP(A2223, 'Base 3F'!$B:$J, 9, FALSE)))</f>
        <v>Plástica</v>
      </c>
      <c r="D2223" s="371" t="s">
        <v>10924</v>
      </c>
      <c r="E2223" s="10" t="s">
        <v>2392</v>
      </c>
      <c r="F2223" s="46" t="s">
        <v>115</v>
      </c>
    </row>
    <row r="2224">
      <c r="A2224" s="274" t="s">
        <v>2805</v>
      </c>
      <c r="B2224" s="252">
        <f>IF(A2224="", "", IF(IFERROR(VLOOKUP(A2224, 'Base 3F'!$B:$C, 2, FALSE),"")="", "SIN CUIT", VLOOKUP(A2224, 'Base 3F'!$B:$C, 2, FALSE)))</f>
        <v>33709027579</v>
      </c>
      <c r="C2224" s="253" t="str">
        <f>IF(A2224="", "", IF(IFERROR(VLOOKUP(A2224, 'Base 3F'!$B:$J, 9, FALSE),"")="", "SIN RUBRO", VLOOKUP(A2224, 'Base 3F'!$B:$J, 9, FALSE)))</f>
        <v>Química</v>
      </c>
      <c r="D2224" s="368" t="s">
        <v>10925</v>
      </c>
      <c r="E2224" s="10" t="s">
        <v>2392</v>
      </c>
      <c r="F2224" s="46" t="s">
        <v>115</v>
      </c>
    </row>
    <row r="2225">
      <c r="A2225" s="274" t="s">
        <v>9029</v>
      </c>
      <c r="B2225" s="252">
        <f>IF(A2225="", "", IF(IFERROR(VLOOKUP(A2225, 'Base 3F'!$B:$C, 2, FALSE),"")="", "SIN CUIT", VLOOKUP(A2225, 'Base 3F'!$B:$C, 2, FALSE)))</f>
        <v>30708222085</v>
      </c>
      <c r="C2225" s="253" t="str">
        <f>IF(A2225="", "", IF(IFERROR(VLOOKUP(A2225, 'Base 3F'!$B:$J, 9, FALSE),"")="", "SIN RUBRO", VLOOKUP(A2225, 'Base 3F'!$B:$J, 9, FALSE)))</f>
        <v>Metalmecánica</v>
      </c>
      <c r="D2225" s="368" t="s">
        <v>10506</v>
      </c>
      <c r="E2225" s="10" t="s">
        <v>2392</v>
      </c>
      <c r="F2225" s="46" t="s">
        <v>115</v>
      </c>
    </row>
    <row r="2226">
      <c r="A2226" s="194" t="s">
        <v>9047</v>
      </c>
      <c r="B2226" s="252">
        <f>IF(A2226="", "", IF(IFERROR(VLOOKUP(A2226, 'Base 3F'!$B:$C, 2, FALSE),"")="", "SIN CUIT", VLOOKUP(A2226, 'Base 3F'!$B:$C, 2, FALSE)))</f>
        <v>30643957333</v>
      </c>
      <c r="C2226" s="253" t="str">
        <f>IF(A2226="", "", IF(IFERROR(VLOOKUP(A2226, 'Base 3F'!$B:$J, 9, FALSE),"")="", "SIN RUBRO", VLOOKUP(A2226, 'Base 3F'!$B:$J, 9, FALSE)))</f>
        <v>Plástica</v>
      </c>
      <c r="D2226" s="368" t="s">
        <v>10932</v>
      </c>
      <c r="E2226" s="10" t="s">
        <v>2392</v>
      </c>
      <c r="F2226" s="46" t="s">
        <v>115</v>
      </c>
    </row>
    <row r="2227">
      <c r="A2227" s="274" t="s">
        <v>257</v>
      </c>
      <c r="B2227" s="252">
        <f>IF(A2227="", "", IF(IFERROR(VLOOKUP(A2227, 'Base 3F'!$B:$C, 2, FALSE),"")="", "SIN CUIT", VLOOKUP(A2227, 'Base 3F'!$B:$C, 2, FALSE)))</f>
        <v>30707576444</v>
      </c>
      <c r="C2227" s="253" t="str">
        <f>IF(A2227="", "", IF(IFERROR(VLOOKUP(A2227, 'Base 3F'!$B:$J, 9, FALSE),"")="", "SIN RUBRO", VLOOKUP(A2227, 'Base 3F'!$B:$J, 9, FALSE)))</f>
        <v>Metalúrgica</v>
      </c>
      <c r="D2227" s="368" t="s">
        <v>10938</v>
      </c>
      <c r="E2227" s="10" t="s">
        <v>2392</v>
      </c>
      <c r="F2227" s="46" t="s">
        <v>115</v>
      </c>
    </row>
    <row r="2228">
      <c r="A2228" s="274" t="s">
        <v>390</v>
      </c>
      <c r="B2228" s="252">
        <f>IF(A2228="", "", IF(IFERROR(VLOOKUP(A2228, 'Base 3F'!$B:$C, 2, FALSE),"")="", "SIN CUIT", VLOOKUP(A2228, 'Base 3F'!$B:$C, 2, FALSE)))</f>
        <v>30708354011</v>
      </c>
      <c r="C2228" s="253" t="str">
        <f>IF(A2228="", "", IF(IFERROR(VLOOKUP(A2228, 'Base 3F'!$B:$J, 9, FALSE),"")="", "SIN RUBRO", VLOOKUP(A2228, 'Base 3F'!$B:$J, 9, FALSE)))</f>
        <v>Química</v>
      </c>
      <c r="D2228" s="368" t="s">
        <v>10940</v>
      </c>
      <c r="E2228" s="10" t="s">
        <v>2392</v>
      </c>
      <c r="F2228" s="46" t="s">
        <v>115</v>
      </c>
    </row>
    <row r="2229">
      <c r="A2229" s="274" t="s">
        <v>444</v>
      </c>
      <c r="B2229" s="252">
        <f>IF(A2229="", "", IF(IFERROR(VLOOKUP(A2229, 'Base 3F'!$B:$C, 2, FALSE),"")="", "SIN CUIT", VLOOKUP(A2229, 'Base 3F'!$B:$C, 2, FALSE)))</f>
        <v>30712300023</v>
      </c>
      <c r="C2229" s="253" t="str">
        <f>IF(A2229="", "", IF(IFERROR(VLOOKUP(A2229, 'Base 3F'!$B:$J, 9, FALSE),"")="", "SIN RUBRO", VLOOKUP(A2229, 'Base 3F'!$B:$J, 9, FALSE)))</f>
        <v>Metalmecánica</v>
      </c>
      <c r="D2229" s="368" t="s">
        <v>10947</v>
      </c>
      <c r="E2229" s="10" t="s">
        <v>2392</v>
      </c>
      <c r="F2229" s="46" t="s">
        <v>115</v>
      </c>
    </row>
    <row r="2230">
      <c r="A2230" s="274" t="s">
        <v>529</v>
      </c>
      <c r="B2230" s="252">
        <f>IF(A2230="", "", IF(IFERROR(VLOOKUP(A2230, 'Base 3F'!$B:$C, 2, FALSE),"")="", "SIN CUIT", VLOOKUP(A2230, 'Base 3F'!$B:$C, 2, FALSE)))</f>
        <v>30709636991</v>
      </c>
      <c r="C2230" s="253" t="str">
        <f>IF(A2230="", "", IF(IFERROR(VLOOKUP(A2230, 'Base 3F'!$B:$J, 9, FALSE),"")="", "SIN RUBRO", VLOOKUP(A2230, 'Base 3F'!$B:$J, 9, FALSE)))</f>
        <v>Metalúrgica</v>
      </c>
      <c r="D2230" s="368" t="s">
        <v>10951</v>
      </c>
      <c r="E2230" s="10" t="s">
        <v>2392</v>
      </c>
      <c r="F2230" s="46" t="s">
        <v>115</v>
      </c>
    </row>
    <row r="2231">
      <c r="A2231" s="274" t="s">
        <v>616</v>
      </c>
      <c r="B2231" s="252">
        <f>IF(A2231="", "", IF(IFERROR(VLOOKUP(A2231, 'Base 3F'!$B:$C, 2, FALSE),"")="", "SIN CUIT", VLOOKUP(A2231, 'Base 3F'!$B:$C, 2, FALSE)))</f>
        <v>30661450602</v>
      </c>
      <c r="C2231" s="253" t="str">
        <f>IF(A2231="", "", IF(IFERROR(VLOOKUP(A2231, 'Base 3F'!$B:$J, 9, FALSE),"")="", "SIN RUBRO", VLOOKUP(A2231, 'Base 3F'!$B:$J, 9, FALSE)))</f>
        <v>Alimenticia</v>
      </c>
      <c r="D2231" s="368" t="s">
        <v>10954</v>
      </c>
      <c r="E2231" s="10" t="s">
        <v>2392</v>
      </c>
      <c r="F2231" s="46" t="s">
        <v>115</v>
      </c>
    </row>
    <row r="2232">
      <c r="A2232" s="274" t="s">
        <v>643</v>
      </c>
      <c r="B2232" s="252">
        <f>IF(A2232="", "", IF(IFERROR(VLOOKUP(A2232, 'Base 3F'!$B:$C, 2, FALSE),"")="", "SIN CUIT", VLOOKUP(A2232, 'Base 3F'!$B:$C, 2, FALSE)))</f>
        <v>30583370028</v>
      </c>
      <c r="C2232" s="253" t="str">
        <f>IF(A2232="", "", IF(IFERROR(VLOOKUP(A2232, 'Base 3F'!$B:$J, 9, FALSE),"")="", "SIN RUBRO", VLOOKUP(A2232, 'Base 3F'!$B:$J, 9, FALSE)))</f>
        <v>Alimenticia</v>
      </c>
      <c r="D2232" s="242" t="s">
        <v>10956</v>
      </c>
      <c r="E2232" s="10" t="s">
        <v>2392</v>
      </c>
      <c r="F2232" s="46" t="s">
        <v>1625</v>
      </c>
    </row>
    <row r="2233">
      <c r="A2233" s="274" t="s">
        <v>1503</v>
      </c>
      <c r="B2233" s="252">
        <f>IF(A2233="", "", IF(IFERROR(VLOOKUP(A2233, 'Base 3F'!$B:$C, 2, FALSE),"")="", "SIN CUIT", VLOOKUP(A2233, 'Base 3F'!$B:$C, 2, FALSE)))</f>
        <v>30556285965</v>
      </c>
      <c r="C2233" s="253" t="str">
        <f>IF(A2233="", "", IF(IFERROR(VLOOKUP(A2233, 'Base 3F'!$B:$J, 9, FALSE),"")="", "SIN RUBRO", VLOOKUP(A2233, 'Base 3F'!$B:$J, 9, FALSE)))</f>
        <v>Metalúrgica</v>
      </c>
      <c r="D2233" s="368" t="s">
        <v>10963</v>
      </c>
      <c r="E2233" s="10" t="s">
        <v>2392</v>
      </c>
      <c r="F2233" s="46" t="s">
        <v>115</v>
      </c>
    </row>
    <row r="2234">
      <c r="A2234" s="274" t="s">
        <v>1586</v>
      </c>
      <c r="B2234" s="252">
        <f>IF(A2234="", "", IF(IFERROR(VLOOKUP(A2234, 'Base 3F'!$B:$C, 2, FALSE),"")="", "SIN CUIT", VLOOKUP(A2234, 'Base 3F'!$B:$C, 2, FALSE)))</f>
        <v>30708976101</v>
      </c>
      <c r="C2234" s="253" t="str">
        <f>IF(A2234="", "", IF(IFERROR(VLOOKUP(A2234, 'Base 3F'!$B:$J, 9, FALSE),"")="", "SIN RUBRO", VLOOKUP(A2234, 'Base 3F'!$B:$J, 9, FALSE)))</f>
        <v>Madera</v>
      </c>
      <c r="D2234" s="368" t="s">
        <v>10967</v>
      </c>
      <c r="E2234" s="10" t="s">
        <v>2392</v>
      </c>
      <c r="F2234" s="46" t="s">
        <v>115</v>
      </c>
    </row>
    <row r="2235">
      <c r="A2235" s="194" t="s">
        <v>1676</v>
      </c>
      <c r="B2235" s="252">
        <f>IF(A2235="", "", IF(IFERROR(VLOOKUP(A2235, 'Base 3F'!$B:$C, 2, FALSE),"")="", "SIN CUIT", VLOOKUP(A2235, 'Base 3F'!$B:$C, 2, FALSE)))</f>
        <v>30710111428</v>
      </c>
      <c r="C2235" s="253" t="str">
        <f>IF(A2235="", "", IF(IFERROR(VLOOKUP(A2235, 'Base 3F'!$B:$J, 9, FALSE),"")="", "SIN RUBRO", VLOOKUP(A2235, 'Base 3F'!$B:$J, 9, FALSE)))</f>
        <v>Metalúrgica</v>
      </c>
      <c r="D2235" s="368" t="s">
        <v>10972</v>
      </c>
      <c r="E2235" s="10" t="s">
        <v>2392</v>
      </c>
      <c r="F2235" s="46" t="s">
        <v>115</v>
      </c>
    </row>
    <row r="2236">
      <c r="A2236" s="194" t="s">
        <v>905</v>
      </c>
      <c r="B2236" s="252">
        <f>IF(A2236="", "", IF(IFERROR(VLOOKUP(A2236, 'Base 3F'!$B:$C, 2, FALSE),"")="", "SIN CUIT", VLOOKUP(A2236, 'Base 3F'!$B:$C, 2, FALSE)))</f>
        <v>30711603340</v>
      </c>
      <c r="C2236" s="253" t="str">
        <f>IF(A2236="", "", IF(IFERROR(VLOOKUP(A2236, 'Base 3F'!$B:$J, 9, FALSE),"")="", "SIN RUBRO", VLOOKUP(A2236, 'Base 3F'!$B:$J, 9, FALSE)))</f>
        <v>Textil</v>
      </c>
      <c r="D2236" s="368" t="s">
        <v>10975</v>
      </c>
      <c r="E2236" s="10" t="s">
        <v>2392</v>
      </c>
      <c r="F2236" s="46" t="s">
        <v>115</v>
      </c>
    </row>
    <row r="2237">
      <c r="A2237" s="274" t="s">
        <v>1943</v>
      </c>
      <c r="B2237" s="252">
        <f>IF(A2237="", "", IF(IFERROR(VLOOKUP(A2237, 'Base 3F'!$B:$C, 2, FALSE),"")="", "SIN CUIT", VLOOKUP(A2237, 'Base 3F'!$B:$C, 2, FALSE)))</f>
        <v>30707030468</v>
      </c>
      <c r="C2237" s="253" t="str">
        <f>IF(A2237="", "", IF(IFERROR(VLOOKUP(A2237, 'Base 3F'!$B:$J, 9, FALSE),"")="", "SIN RUBRO", VLOOKUP(A2237, 'Base 3F'!$B:$J, 9, FALSE)))</f>
        <v>Metalúrgica</v>
      </c>
      <c r="D2237" s="368" t="s">
        <v>10979</v>
      </c>
      <c r="E2237" s="10" t="s">
        <v>2392</v>
      </c>
      <c r="F2237" s="46" t="s">
        <v>115</v>
      </c>
    </row>
    <row r="2238">
      <c r="A2238" s="274" t="s">
        <v>2073</v>
      </c>
      <c r="B2238" s="252">
        <f>IF(A2238="", "", IF(IFERROR(VLOOKUP(A2238, 'Base 3F'!$B:$C, 2, FALSE),"")="", "SIN CUIT", VLOOKUP(A2238, 'Base 3F'!$B:$C, 2, FALSE)))</f>
        <v>30701756661</v>
      </c>
      <c r="C2238" s="253" t="str">
        <f>IF(A2238="", "", IF(IFERROR(VLOOKUP(A2238, 'Base 3F'!$B:$J, 9, FALSE),"")="", "SIN RUBRO", VLOOKUP(A2238, 'Base 3F'!$B:$J, 9, FALSE)))</f>
        <v>Plástica</v>
      </c>
      <c r="D2238" s="368" t="s">
        <v>10982</v>
      </c>
      <c r="E2238" s="10" t="s">
        <v>2392</v>
      </c>
      <c r="F2238" s="46" t="s">
        <v>115</v>
      </c>
    </row>
    <row r="2239">
      <c r="A2239" s="274" t="s">
        <v>1076</v>
      </c>
      <c r="B2239" s="252">
        <f>IF(A2239="", "", IF(IFERROR(VLOOKUP(A2239, 'Base 3F'!$B:$C, 2, FALSE),"")="", "SIN CUIT", VLOOKUP(A2239, 'Base 3F'!$B:$C, 2, FALSE)))</f>
        <v>30710238061</v>
      </c>
      <c r="C2239" s="253" t="str">
        <f>IF(A2239="", "", IF(IFERROR(VLOOKUP(A2239, 'Base 3F'!$B:$J, 9, FALSE),"")="", "SIN RUBRO", VLOOKUP(A2239, 'Base 3F'!$B:$J, 9, FALSE)))</f>
        <v>Electricidad</v>
      </c>
      <c r="D2239" s="368" t="s">
        <v>10984</v>
      </c>
      <c r="E2239" s="10" t="s">
        <v>2392</v>
      </c>
      <c r="F2239" s="46" t="s">
        <v>115</v>
      </c>
    </row>
    <row r="2240">
      <c r="A2240" s="274" t="s">
        <v>1100</v>
      </c>
      <c r="B2240" s="252">
        <f>IF(A2240="", "", IF(IFERROR(VLOOKUP(A2240, 'Base 3F'!$B:$C, 2, FALSE),"")="", "SIN CUIT", VLOOKUP(A2240, 'Base 3F'!$B:$C, 2, FALSE)))</f>
        <v>30701165191</v>
      </c>
      <c r="C2240" s="253" t="str">
        <f>IF(A2240="", "", IF(IFERROR(VLOOKUP(A2240, 'Base 3F'!$B:$J, 9, FALSE),"")="", "SIN RUBRO", VLOOKUP(A2240, 'Base 3F'!$B:$J, 9, FALSE)))</f>
        <v>Metalúrgica</v>
      </c>
      <c r="D2240" s="368" t="s">
        <v>10989</v>
      </c>
      <c r="E2240" s="10" t="s">
        <v>2392</v>
      </c>
      <c r="F2240" s="46" t="s">
        <v>115</v>
      </c>
    </row>
    <row r="2241">
      <c r="A2241" s="274" t="s">
        <v>1256</v>
      </c>
      <c r="B2241" s="252">
        <f>IF(A2241="", "", IF(IFERROR(VLOOKUP(A2241, 'Base 3F'!$B:$C, 2, FALSE),"")="", "SIN CUIT", VLOOKUP(A2241, 'Base 3F'!$B:$C, 2, FALSE)))</f>
        <v>30604118197</v>
      </c>
      <c r="C2241" s="253" t="str">
        <f>IF(A2241="", "", IF(IFERROR(VLOOKUP(A2241, 'Base 3F'!$B:$J, 9, FALSE),"")="", "SIN RUBRO", VLOOKUP(A2241, 'Base 3F'!$B:$J, 9, FALSE)))</f>
        <v>Metalúrgica</v>
      </c>
      <c r="D2241" s="368" t="s">
        <v>10990</v>
      </c>
      <c r="E2241" s="10" t="s">
        <v>2392</v>
      </c>
      <c r="F2241" s="46" t="s">
        <v>115</v>
      </c>
    </row>
    <row r="2242">
      <c r="A2242" s="274" t="s">
        <v>3003</v>
      </c>
      <c r="B2242" s="252">
        <f>IF(A2242="", "", IF(IFERROR(VLOOKUP(A2242, 'Base 3F'!$B:$C, 2, FALSE),"")="", "SIN CUIT", VLOOKUP(A2242, 'Base 3F'!$B:$C, 2, FALSE)))</f>
        <v>30708570946</v>
      </c>
      <c r="C2242" s="253" t="str">
        <f>IF(A2242="", "", IF(IFERROR(VLOOKUP(A2242, 'Base 3F'!$B:$J, 9, FALSE),"")="", "SIN RUBRO", VLOOKUP(A2242, 'Base 3F'!$B:$J, 9, FALSE)))</f>
        <v>Servicios</v>
      </c>
      <c r="D2242" s="368" t="s">
        <v>831</v>
      </c>
      <c r="E2242" s="10" t="s">
        <v>2392</v>
      </c>
      <c r="F2242" s="46" t="s">
        <v>115</v>
      </c>
    </row>
    <row r="2243">
      <c r="A2243" s="274" t="s">
        <v>1282</v>
      </c>
      <c r="B2243" s="252">
        <f>IF(A2243="", "", IF(IFERROR(VLOOKUP(A2243, 'Base 3F'!$B:$C, 2, FALSE),"")="", "SIN CUIT", VLOOKUP(A2243, 'Base 3F'!$B:$C, 2, FALSE)))</f>
        <v>30638285335</v>
      </c>
      <c r="C2243" s="253" t="str">
        <f>IF(A2243="", "", IF(IFERROR(VLOOKUP(A2243, 'Base 3F'!$B:$J, 9, FALSE),"")="", "SIN RUBRO", VLOOKUP(A2243, 'Base 3F'!$B:$J, 9, FALSE)))</f>
        <v>Alimenticia</v>
      </c>
      <c r="D2243" s="368" t="s">
        <v>10992</v>
      </c>
      <c r="E2243" s="10" t="s">
        <v>2392</v>
      </c>
      <c r="F2243" s="46" t="s">
        <v>115</v>
      </c>
    </row>
    <row r="2244">
      <c r="A2244" s="274" t="s">
        <v>1295</v>
      </c>
      <c r="B2244" s="252">
        <f>IF(A2244="", "", IF(IFERROR(VLOOKUP(A2244, 'Base 3F'!$B:$C, 2, FALSE),"")="", "SIN CUIT", VLOOKUP(A2244, 'Base 3F'!$B:$C, 2, FALSE)))</f>
        <v>30649592698</v>
      </c>
      <c r="C2244" s="253" t="str">
        <f>IF(A2244="", "", IF(IFERROR(VLOOKUP(A2244, 'Base 3F'!$B:$J, 9, FALSE),"")="", "SIN RUBRO", VLOOKUP(A2244, 'Base 3F'!$B:$J, 9, FALSE)))</f>
        <v>Papel</v>
      </c>
      <c r="D2244" s="368" t="s">
        <v>10996</v>
      </c>
      <c r="E2244" s="10" t="s">
        <v>2392</v>
      </c>
      <c r="F2244" s="46" t="s">
        <v>115</v>
      </c>
    </row>
    <row r="2245">
      <c r="A2245" s="274" t="s">
        <v>3269</v>
      </c>
      <c r="B2245" s="252">
        <f>IF(A2245="", "", IF(IFERROR(VLOOKUP(A2245, 'Base 3F'!$B:$C, 2, FALSE),"")="", "SIN CUIT", VLOOKUP(A2245, 'Base 3F'!$B:$C, 2, FALSE)))</f>
        <v>30646318420</v>
      </c>
      <c r="C2245" s="253" t="str">
        <f>IF(A2245="", "", IF(IFERROR(VLOOKUP(A2245, 'Base 3F'!$B:$J, 9, FALSE),"")="", "SIN RUBRO", VLOOKUP(A2245, 'Base 3F'!$B:$J, 9, FALSE)))</f>
        <v>Metalúrgica</v>
      </c>
      <c r="D2245" s="368" t="s">
        <v>10998</v>
      </c>
      <c r="E2245" s="10" t="s">
        <v>2392</v>
      </c>
      <c r="F2245" s="46" t="s">
        <v>115</v>
      </c>
    </row>
    <row r="2246">
      <c r="A2246" s="194" t="s">
        <v>3363</v>
      </c>
      <c r="B2246" s="252">
        <f>IF(A2246="", "", IF(IFERROR(VLOOKUP(A2246, 'Base 3F'!$B:$C, 2, FALSE),"")="", "SIN CUIT", VLOOKUP(A2246, 'Base 3F'!$B:$C, 2, FALSE)))</f>
        <v>30503891863</v>
      </c>
      <c r="C2246" s="253" t="str">
        <f>IF(A2246="", "", IF(IFERROR(VLOOKUP(A2246, 'Base 3F'!$B:$J, 9, FALSE),"")="", "SIN RUBRO", VLOOKUP(A2246, 'Base 3F'!$B:$J, 9, FALSE)))</f>
        <v>Alimenticia</v>
      </c>
      <c r="D2246" s="368" t="s">
        <v>11004</v>
      </c>
      <c r="E2246" s="10" t="s">
        <v>2392</v>
      </c>
      <c r="F2246" s="46" t="s">
        <v>115</v>
      </c>
    </row>
    <row r="2247">
      <c r="A2247" s="274" t="s">
        <v>1327</v>
      </c>
      <c r="B2247" s="252">
        <f>IF(A2247="", "", IF(IFERROR(VLOOKUP(A2247, 'Base 3F'!$B:$C, 2, FALSE),"")="", "SIN CUIT", VLOOKUP(A2247, 'Base 3F'!$B:$C, 2, FALSE)))</f>
        <v>30576877710</v>
      </c>
      <c r="C2247" s="253" t="str">
        <f>IF(A2247="", "", IF(IFERROR(VLOOKUP(A2247, 'Base 3F'!$B:$J, 9, FALSE),"")="", "SIN RUBRO", VLOOKUP(A2247, 'Base 3F'!$B:$J, 9, FALSE)))</f>
        <v>Metalmecánica</v>
      </c>
      <c r="D2247" s="368" t="s">
        <v>11012</v>
      </c>
      <c r="E2247" s="10" t="s">
        <v>2392</v>
      </c>
      <c r="F2247" s="46" t="s">
        <v>115</v>
      </c>
    </row>
    <row r="2248">
      <c r="A2248" s="194" t="s">
        <v>3583</v>
      </c>
      <c r="B2248" s="252">
        <f>IF(A2248="", "", IF(IFERROR(VLOOKUP(A2248, 'Base 3F'!$B:$C, 2, FALSE),"")="", "SIN CUIT", VLOOKUP(A2248, 'Base 3F'!$B:$C, 2, FALSE)))</f>
        <v>30574603788</v>
      </c>
      <c r="C2248" s="253" t="str">
        <f>IF(A2248="", "", IF(IFERROR(VLOOKUP(A2248, 'Base 3F'!$B:$J, 9, FALSE),"")="", "SIN RUBRO", VLOOKUP(A2248, 'Base 3F'!$B:$J, 9, FALSE)))</f>
        <v>Química</v>
      </c>
      <c r="D2248" s="368" t="s">
        <v>11014</v>
      </c>
      <c r="E2248" s="10" t="s">
        <v>2392</v>
      </c>
      <c r="F2248" s="46" t="s">
        <v>115</v>
      </c>
    </row>
    <row r="2249">
      <c r="A2249" s="274" t="s">
        <v>3590</v>
      </c>
      <c r="B2249" s="252">
        <f>IF(A2249="", "", IF(IFERROR(VLOOKUP(A2249, 'Base 3F'!$B:$C, 2, FALSE),"")="", "SIN CUIT", VLOOKUP(A2249, 'Base 3F'!$B:$C, 2, FALSE)))</f>
        <v>30687516709</v>
      </c>
      <c r="C2249" s="253" t="str">
        <f>IF(A2249="", "", IF(IFERROR(VLOOKUP(A2249, 'Base 3F'!$B:$J, 9, FALSE),"")="", "SIN RUBRO", VLOOKUP(A2249, 'Base 3F'!$B:$J, 9, FALSE)))</f>
        <v>Metalúrgica</v>
      </c>
      <c r="D2249" s="368" t="s">
        <v>11016</v>
      </c>
      <c r="E2249" s="10" t="s">
        <v>2392</v>
      </c>
      <c r="F2249" s="46" t="s">
        <v>115</v>
      </c>
    </row>
    <row r="2250">
      <c r="A2250" s="274" t="s">
        <v>1354</v>
      </c>
      <c r="B2250" s="252">
        <f>IF(A2250="", "", IF(IFERROR(VLOOKUP(A2250, 'Base 3F'!$B:$C, 2, FALSE),"")="", "SIN CUIT", VLOOKUP(A2250, 'Base 3F'!$B:$C, 2, FALSE)))</f>
        <v>30708214236</v>
      </c>
      <c r="C2250" s="253" t="str">
        <f>IF(A2250="", "", IF(IFERROR(VLOOKUP(A2250, 'Base 3F'!$B:$J, 9, FALSE),"")="", "SIN RUBRO", VLOOKUP(A2250, 'Base 3F'!$B:$J, 9, FALSE)))</f>
        <v>Construcción</v>
      </c>
      <c r="D2250" s="368" t="s">
        <v>11022</v>
      </c>
      <c r="E2250" s="10" t="s">
        <v>2392</v>
      </c>
      <c r="F2250" s="46" t="s">
        <v>115</v>
      </c>
    </row>
    <row r="2251">
      <c r="A2251" s="194" t="s">
        <v>3688</v>
      </c>
      <c r="B2251" s="252">
        <f>IF(A2251="", "", IF(IFERROR(VLOOKUP(A2251, 'Base 3F'!$B:$C, 2, FALSE),"")="", "SIN CUIT", VLOOKUP(A2251, 'Base 3F'!$B:$C, 2, FALSE)))</f>
        <v>30610752698</v>
      </c>
      <c r="C2251" s="253" t="str">
        <f>IF(A2251="", "", IF(IFERROR(VLOOKUP(A2251, 'Base 3F'!$B:$J, 9, FALSE),"")="", "SIN RUBRO", VLOOKUP(A2251, 'Base 3F'!$B:$J, 9, FALSE)))</f>
        <v>Papel</v>
      </c>
      <c r="D2251" s="375" t="s">
        <v>11028</v>
      </c>
      <c r="E2251" s="10" t="s">
        <v>2392</v>
      </c>
      <c r="F2251" s="46" t="s">
        <v>115</v>
      </c>
    </row>
    <row r="2252">
      <c r="A2252" s="274" t="s">
        <v>3714</v>
      </c>
      <c r="B2252" s="252">
        <f>IF(A2252="", "", IF(IFERROR(VLOOKUP(A2252, 'Base 3F'!$B:$C, 2, FALSE),"")="", "SIN CUIT", VLOOKUP(A2252, 'Base 3F'!$B:$C, 2, FALSE)))</f>
        <v>30708167483</v>
      </c>
      <c r="C2252" s="253" t="str">
        <f>IF(A2252="", "", IF(IFERROR(VLOOKUP(A2252, 'Base 3F'!$B:$J, 9, FALSE),"")="", "SIN RUBRO", VLOOKUP(A2252, 'Base 3F'!$B:$J, 9, FALSE)))</f>
        <v>Metalmecánica</v>
      </c>
      <c r="D2252" s="368" t="s">
        <v>11032</v>
      </c>
      <c r="E2252" s="10" t="s">
        <v>2392</v>
      </c>
      <c r="F2252" s="46" t="s">
        <v>115</v>
      </c>
    </row>
    <row r="2253">
      <c r="A2253" s="274" t="s">
        <v>3844</v>
      </c>
      <c r="B2253" s="252">
        <f>IF(A2253="", "", IF(IFERROR(VLOOKUP(A2253, 'Base 3F'!$B:$C, 2, FALSE),"")="", "SIN CUIT", VLOOKUP(A2253, 'Base 3F'!$B:$C, 2, FALSE)))</f>
        <v>30554835313</v>
      </c>
      <c r="C2253" s="253" t="str">
        <f>IF(A2253="", "", IF(IFERROR(VLOOKUP(A2253, 'Base 3F'!$B:$J, 9, FALSE),"")="", "SIN RUBRO", VLOOKUP(A2253, 'Base 3F'!$B:$J, 9, FALSE)))</f>
        <v>Servicios</v>
      </c>
      <c r="D2253" s="368" t="s">
        <v>11036</v>
      </c>
      <c r="E2253" s="10" t="s">
        <v>2392</v>
      </c>
      <c r="F2253" s="46" t="s">
        <v>115</v>
      </c>
    </row>
    <row r="2254">
      <c r="A2254" s="274" t="s">
        <v>3919</v>
      </c>
      <c r="B2254" s="252">
        <f>IF(A2254="", "", IF(IFERROR(VLOOKUP(A2254, 'Base 3F'!$B:$C, 2, FALSE),"")="", "SIN CUIT", VLOOKUP(A2254, 'Base 3F'!$B:$C, 2, FALSE)))</f>
        <v>30547885070</v>
      </c>
      <c r="C2254" s="253" t="str">
        <f>IF(A2254="", "", IF(IFERROR(VLOOKUP(A2254, 'Base 3F'!$B:$J, 9, FALSE),"")="", "SIN RUBRO", VLOOKUP(A2254, 'Base 3F'!$B:$J, 9, FALSE)))</f>
        <v>Papel</v>
      </c>
      <c r="D2254" s="368" t="s">
        <v>11039</v>
      </c>
      <c r="E2254" s="10" t="s">
        <v>2392</v>
      </c>
      <c r="F2254" s="46" t="s">
        <v>115</v>
      </c>
    </row>
    <row r="2255">
      <c r="A2255" s="194" t="s">
        <v>1553</v>
      </c>
      <c r="B2255" s="252">
        <f>IF(A2255="", "", IF(IFERROR(VLOOKUP(A2255, 'Base 3F'!$B:$C, 2, FALSE),"")="", "SIN CUIT", VLOOKUP(A2255, 'Base 3F'!$B:$C, 2, FALSE)))</f>
        <v>30642219355</v>
      </c>
      <c r="C2255" s="253" t="str">
        <f>IF(A2255="", "", IF(IFERROR(VLOOKUP(A2255, 'Base 3F'!$B:$J, 9, FALSE),"")="", "SIN RUBRO", VLOOKUP(A2255, 'Base 3F'!$B:$J, 9, FALSE)))</f>
        <v>Alimenticia</v>
      </c>
      <c r="D2255" s="242" t="s">
        <v>11041</v>
      </c>
      <c r="E2255" s="10" t="s">
        <v>2392</v>
      </c>
      <c r="F2255" s="46" t="s">
        <v>1625</v>
      </c>
    </row>
    <row r="2256">
      <c r="A2256" s="194" t="s">
        <v>1614</v>
      </c>
      <c r="B2256" s="252">
        <f>IF(A2256="", "", IF(IFERROR(VLOOKUP(A2256, 'Base 3F'!$B:$C, 2, FALSE),"")="", "SIN CUIT", VLOOKUP(A2256, 'Base 3F'!$B:$C, 2, FALSE)))</f>
        <v>30709748579</v>
      </c>
      <c r="C2256" s="253" t="str">
        <f>IF(A2256="", "", IF(IFERROR(VLOOKUP(A2256, 'Base 3F'!$B:$J, 9, FALSE),"")="", "SIN RUBRO", VLOOKUP(A2256, 'Base 3F'!$B:$J, 9, FALSE)))</f>
        <v>Alimenticia</v>
      </c>
      <c r="D2256" s="368" t="s">
        <v>11043</v>
      </c>
      <c r="E2256" s="10" t="s">
        <v>2392</v>
      </c>
      <c r="F2256" s="46" t="s">
        <v>115</v>
      </c>
    </row>
    <row r="2257">
      <c r="A2257" s="274" t="s">
        <v>1627</v>
      </c>
      <c r="B2257" s="252">
        <f>IF(A2257="", "", IF(IFERROR(VLOOKUP(A2257, 'Base 3F'!$B:$C, 2, FALSE),"")="", "SIN CUIT", VLOOKUP(A2257, 'Base 3F'!$B:$C, 2, FALSE)))</f>
        <v>33597021319</v>
      </c>
      <c r="C2257" s="253" t="str">
        <f>IF(A2257="", "", IF(IFERROR(VLOOKUP(A2257, 'Base 3F'!$B:$J, 9, FALSE),"")="", "SIN RUBRO", VLOOKUP(A2257, 'Base 3F'!$B:$J, 9, FALSE)))</f>
        <v>Plástica</v>
      </c>
      <c r="D2257" s="368" t="s">
        <v>11047</v>
      </c>
      <c r="E2257" s="10" t="s">
        <v>2392</v>
      </c>
      <c r="F2257" s="46" t="s">
        <v>115</v>
      </c>
    </row>
    <row r="2258">
      <c r="A2258" s="194" t="s">
        <v>5580</v>
      </c>
      <c r="B2258" s="252">
        <f>IF(A2258="", "", IF(IFERROR(VLOOKUP(A2258, 'Base 3F'!$B:$C, 2, FALSE),"")="", "SIN CUIT", VLOOKUP(A2258, 'Base 3F'!$B:$C, 2, FALSE)))</f>
        <v>30710141874</v>
      </c>
      <c r="C2258" s="253" t="str">
        <f>IF(A2258="", "", IF(IFERROR(VLOOKUP(A2258, 'Base 3F'!$B:$J, 9, FALSE),"")="", "SIN RUBRO", VLOOKUP(A2258, 'Base 3F'!$B:$J, 9, FALSE)))</f>
        <v>Química</v>
      </c>
      <c r="D2258" s="368" t="s">
        <v>11050</v>
      </c>
      <c r="E2258" s="10" t="s">
        <v>2392</v>
      </c>
      <c r="F2258" s="46" t="s">
        <v>115</v>
      </c>
    </row>
    <row r="2259">
      <c r="A2259" s="274" t="s">
        <v>1745</v>
      </c>
      <c r="B2259" s="252">
        <f>IF(A2259="", "", IF(IFERROR(VLOOKUP(A2259, 'Base 3F'!$B:$C, 2, FALSE),"")="", "SIN CUIT", VLOOKUP(A2259, 'Base 3F'!$B:$C, 2, FALSE)))</f>
        <v>30628418329</v>
      </c>
      <c r="C2259" s="253" t="str">
        <f>IF(A2259="", "", IF(IFERROR(VLOOKUP(A2259, 'Base 3F'!$B:$J, 9, FALSE),"")="", "SIN RUBRO", VLOOKUP(A2259, 'Base 3F'!$B:$J, 9, FALSE)))</f>
        <v>Metalúrgica</v>
      </c>
      <c r="D2259" s="368" t="s">
        <v>11053</v>
      </c>
      <c r="E2259" s="10" t="s">
        <v>2392</v>
      </c>
      <c r="F2259" s="46" t="s">
        <v>115</v>
      </c>
    </row>
    <row r="2260">
      <c r="A2260" s="274" t="s">
        <v>1808</v>
      </c>
      <c r="B2260" s="252">
        <f>IF(A2260="", "", IF(IFERROR(VLOOKUP(A2260, 'Base 3F'!$B:$C, 2, FALSE),"")="", "SIN CUIT", VLOOKUP(A2260, 'Base 3F'!$B:$C, 2, FALSE)))</f>
        <v>33624658529</v>
      </c>
      <c r="C2260" s="253" t="str">
        <f>IF(A2260="", "", IF(IFERROR(VLOOKUP(A2260, 'Base 3F'!$B:$J, 9, FALSE),"")="", "SIN RUBRO", VLOOKUP(A2260, 'Base 3F'!$B:$J, 9, FALSE)))</f>
        <v>Gráfica</v>
      </c>
      <c r="D2260" s="368" t="s">
        <v>11056</v>
      </c>
      <c r="E2260" s="10" t="s">
        <v>2392</v>
      </c>
      <c r="F2260" s="46" t="s">
        <v>115</v>
      </c>
    </row>
    <row r="2261">
      <c r="A2261" s="274" t="s">
        <v>6505</v>
      </c>
      <c r="B2261" s="252">
        <f>IF(A2261="", "", IF(IFERROR(VLOOKUP(A2261, 'Base 3F'!$B:$C, 2, FALSE),"")="", "SIN CUIT", VLOOKUP(A2261, 'Base 3F'!$B:$C, 2, FALSE)))</f>
        <v>33712338399</v>
      </c>
      <c r="C2261" s="253" t="str">
        <f>IF(A2261="", "", IF(IFERROR(VLOOKUP(A2261, 'Base 3F'!$B:$J, 9, FALSE),"")="", "SIN RUBRO", VLOOKUP(A2261, 'Base 3F'!$B:$J, 9, FALSE)))</f>
        <v>Metalúrgica</v>
      </c>
      <c r="D2261" s="82" t="s">
        <v>258</v>
      </c>
      <c r="E2261" s="10" t="s">
        <v>2392</v>
      </c>
      <c r="F2261" s="46" t="s">
        <v>115</v>
      </c>
    </row>
    <row r="2262">
      <c r="A2262" s="274" t="s">
        <v>1912</v>
      </c>
      <c r="B2262" s="252">
        <f>IF(A2262="", "", IF(IFERROR(VLOOKUP(A2262, 'Base 3F'!$B:$C, 2, FALSE),"")="", "SIN CUIT", VLOOKUP(A2262, 'Base 3F'!$B:$C, 2, FALSE)))</f>
        <v>30701152022</v>
      </c>
      <c r="C2262" s="253" t="str">
        <f>IF(A2262="", "", IF(IFERROR(VLOOKUP(A2262, 'Base 3F'!$B:$J, 9, FALSE),"")="", "SIN RUBRO", VLOOKUP(A2262, 'Base 3F'!$B:$J, 9, FALSE)))</f>
        <v>Metalúrgica</v>
      </c>
      <c r="D2262" s="371" t="s">
        <v>907</v>
      </c>
      <c r="E2262" s="10" t="s">
        <v>2392</v>
      </c>
      <c r="F2262" s="46" t="s">
        <v>115</v>
      </c>
    </row>
    <row r="2263">
      <c r="A2263" s="194" t="s">
        <v>4131</v>
      </c>
      <c r="B2263" s="252">
        <f>IF(A2263="", "", IF(IFERROR(VLOOKUP(A2263, 'Base 3F'!$B:$C, 2, FALSE),"")="", "SIN CUIT", VLOOKUP(A2263, 'Base 3F'!$B:$C, 2, FALSE)))</f>
        <v>30677127240</v>
      </c>
      <c r="C2263" s="253" t="str">
        <f>IF(A2263="", "", IF(IFERROR(VLOOKUP(A2263, 'Base 3F'!$B:$J, 9, FALSE),"")="", "SIN RUBRO", VLOOKUP(A2263, 'Base 3F'!$B:$J, 9, FALSE)))</f>
        <v>Metalúrgica</v>
      </c>
      <c r="D2263" s="373" t="s">
        <v>11067</v>
      </c>
      <c r="E2263" s="10" t="s">
        <v>2392</v>
      </c>
      <c r="F2263" s="46" t="s">
        <v>115</v>
      </c>
    </row>
    <row r="2264">
      <c r="A2264" s="274" t="s">
        <v>6892</v>
      </c>
      <c r="B2264" s="252" t="str">
        <f>IF(A2264="", "", IF(IFERROR(VLOOKUP(A2264, 'Base 3F'!$B:$C, 2, FALSE),"")="", "SIN CUIT", VLOOKUP(A2264, 'Base 3F'!$B:$C, 2, FALSE)))</f>
        <v>30709080047 / 33663808899</v>
      </c>
      <c r="C2264" s="253" t="str">
        <f>IF(A2264="", "", IF(IFERROR(VLOOKUP(A2264, 'Base 3F'!$B:$J, 9, FALSE),"")="", "SIN RUBRO", VLOOKUP(A2264, 'Base 3F'!$B:$J, 9, FALSE)))</f>
        <v>Metalúrgica</v>
      </c>
      <c r="D2264" s="368" t="s">
        <v>11071</v>
      </c>
      <c r="E2264" s="10" t="s">
        <v>2392</v>
      </c>
      <c r="F2264" s="46" t="s">
        <v>115</v>
      </c>
    </row>
    <row r="2265">
      <c r="A2265" s="274" t="s">
        <v>7219</v>
      </c>
      <c r="B2265" s="252">
        <f>IF(A2265="", "", IF(IFERROR(VLOOKUP(A2265, 'Base 3F'!$B:$C, 2, FALSE),"")="", "SIN CUIT", VLOOKUP(A2265, 'Base 3F'!$B:$C, 2, FALSE)))</f>
        <v>30707510826</v>
      </c>
      <c r="C2265" s="253" t="str">
        <f>IF(A2265="", "", IF(IFERROR(VLOOKUP(A2265, 'Base 3F'!$B:$J, 9, FALSE),"")="", "SIN RUBRO", VLOOKUP(A2265, 'Base 3F'!$B:$J, 9, FALSE)))</f>
        <v>Metalúrgica</v>
      </c>
      <c r="D2265" s="368" t="s">
        <v>7221</v>
      </c>
      <c r="E2265" s="10" t="s">
        <v>2392</v>
      </c>
      <c r="F2265" s="46" t="s">
        <v>115</v>
      </c>
    </row>
    <row r="2266">
      <c r="A2266" s="274" t="s">
        <v>7684</v>
      </c>
      <c r="B2266" s="252">
        <f>IF(A2266="", "", IF(IFERROR(VLOOKUP(A2266, 'Base 3F'!$B:$C, 2, FALSE),"")="", "SIN CUIT", VLOOKUP(A2266, 'Base 3F'!$B:$C, 2, FALSE)))</f>
        <v>33714944679</v>
      </c>
      <c r="C2266" s="253" t="str">
        <f>IF(A2266="", "", IF(IFERROR(VLOOKUP(A2266, 'Base 3F'!$B:$J, 9, FALSE),"")="", "SIN RUBRO", VLOOKUP(A2266, 'Base 3F'!$B:$J, 9, FALSE)))</f>
        <v>Metalúrgica</v>
      </c>
      <c r="D2266" s="368" t="s">
        <v>11075</v>
      </c>
      <c r="E2266" s="10" t="s">
        <v>2392</v>
      </c>
      <c r="F2266" s="46" t="s">
        <v>115</v>
      </c>
    </row>
    <row r="2267">
      <c r="A2267" s="194" t="s">
        <v>8148</v>
      </c>
      <c r="B2267" s="252">
        <f>IF(A2267="", "", IF(IFERROR(VLOOKUP(A2267, 'Base 3F'!$B:$C, 2, FALSE),"")="", "SIN CUIT", VLOOKUP(A2267, 'Base 3F'!$B:$C, 2, FALSE)))</f>
        <v>30714664758</v>
      </c>
      <c r="C2267" s="253" t="str">
        <f>IF(A2267="", "", IF(IFERROR(VLOOKUP(A2267, 'Base 3F'!$B:$J, 9, FALSE),"")="", "SIN RUBRO", VLOOKUP(A2267, 'Base 3F'!$B:$J, 9, FALSE)))</f>
        <v>Gráfica</v>
      </c>
      <c r="D2267" s="368" t="s">
        <v>11078</v>
      </c>
      <c r="E2267" s="10" t="s">
        <v>2392</v>
      </c>
      <c r="F2267" s="46" t="s">
        <v>115</v>
      </c>
    </row>
    <row r="2268">
      <c r="A2268" s="194" t="s">
        <v>2384</v>
      </c>
      <c r="B2268" s="252">
        <f>IF(A2268="", "", IF(IFERROR(VLOOKUP(A2268, 'Base 3F'!$B:$C, 2, FALSE),"")="", "SIN CUIT", VLOOKUP(A2268, 'Base 3F'!$B:$C, 2, FALSE)))</f>
        <v>30707522557</v>
      </c>
      <c r="C2268" s="253" t="str">
        <f>IF(A2268="", "", IF(IFERROR(VLOOKUP(A2268, 'Base 3F'!$B:$J, 9, FALSE),"")="", "SIN RUBRO", VLOOKUP(A2268, 'Base 3F'!$B:$J, 9, FALSE)))</f>
        <v>Textil</v>
      </c>
      <c r="D2268" s="368" t="s">
        <v>11082</v>
      </c>
      <c r="E2268" s="10" t="s">
        <v>2392</v>
      </c>
      <c r="F2268" s="46" t="s">
        <v>115</v>
      </c>
    </row>
    <row r="2269">
      <c r="A2269" s="274" t="s">
        <v>2458</v>
      </c>
      <c r="B2269" s="252">
        <f>IF(A2269="", "", IF(IFERROR(VLOOKUP(A2269, 'Base 3F'!$B:$C, 2, FALSE),"")="", "SIN CUIT", VLOOKUP(A2269, 'Base 3F'!$B:$C, 2, FALSE)))</f>
        <v>30500719687</v>
      </c>
      <c r="C2269" s="253" t="str">
        <f>IF(A2269="", "", IF(IFERROR(VLOOKUP(A2269, 'Base 3F'!$B:$J, 9, FALSE),"")="", "SIN RUBRO", VLOOKUP(A2269, 'Base 3F'!$B:$J, 9, FALSE)))</f>
        <v>Química</v>
      </c>
      <c r="D2269" s="368" t="s">
        <v>11087</v>
      </c>
      <c r="E2269" s="10" t="s">
        <v>2392</v>
      </c>
      <c r="F2269" s="46" t="s">
        <v>115</v>
      </c>
    </row>
    <row r="2270">
      <c r="A2270" s="274" t="s">
        <v>2486</v>
      </c>
      <c r="B2270" s="252">
        <f>IF(A2270="", "", IF(IFERROR(VLOOKUP(A2270, 'Base 3F'!$B:$C, 2, FALSE),"")="", "SIN CUIT", VLOOKUP(A2270, 'Base 3F'!$B:$C, 2, FALSE)))</f>
        <v>30643786172</v>
      </c>
      <c r="C2270" s="253" t="str">
        <f>IF(A2270="", "", IF(IFERROR(VLOOKUP(A2270, 'Base 3F'!$B:$J, 9, FALSE),"")="", "SIN RUBRO", VLOOKUP(A2270, 'Base 3F'!$B:$J, 9, FALSE)))</f>
        <v>Electrónica</v>
      </c>
      <c r="D2270" s="368" t="s">
        <v>11094</v>
      </c>
      <c r="E2270" s="10" t="s">
        <v>2392</v>
      </c>
      <c r="F2270" s="46" t="s">
        <v>115</v>
      </c>
    </row>
    <row r="2271">
      <c r="A2271" s="274" t="s">
        <v>8478</v>
      </c>
      <c r="B2271" s="252">
        <f>IF(A2271="", "", IF(IFERROR(VLOOKUP(A2271, 'Base 3F'!$B:$C, 2, FALSE),"")="", "SIN CUIT", VLOOKUP(A2271, 'Base 3F'!$B:$C, 2, FALSE)))</f>
        <v>30516385460</v>
      </c>
      <c r="C2271" s="253" t="str">
        <f>IF(A2271="", "", IF(IFERROR(VLOOKUP(A2271, 'Base 3F'!$B:$J, 9, FALSE),"")="", "SIN RUBRO", VLOOKUP(A2271, 'Base 3F'!$B:$J, 9, FALSE)))</f>
        <v>Servicios</v>
      </c>
      <c r="D2271" s="368" t="s">
        <v>11098</v>
      </c>
      <c r="E2271" s="10" t="s">
        <v>2392</v>
      </c>
      <c r="F2271" s="46" t="s">
        <v>115</v>
      </c>
    </row>
    <row r="2272">
      <c r="A2272" s="274" t="s">
        <v>2531</v>
      </c>
      <c r="B2272" s="252">
        <f>IF(A2272="", "", IF(IFERROR(VLOOKUP(A2272, 'Base 3F'!$B:$C, 2, FALSE),"")="", "SIN CUIT", VLOOKUP(A2272, 'Base 3F'!$B:$C, 2, FALSE)))</f>
        <v>30709382817</v>
      </c>
      <c r="C2272" s="253" t="str">
        <f>IF(A2272="", "", IF(IFERROR(VLOOKUP(A2272, 'Base 3F'!$B:$J, 9, FALSE),"")="", "SIN RUBRO", VLOOKUP(A2272, 'Base 3F'!$B:$J, 9, FALSE)))</f>
        <v>Metalúrgica</v>
      </c>
      <c r="D2272" s="368" t="s">
        <v>11102</v>
      </c>
      <c r="E2272" s="10" t="s">
        <v>2392</v>
      </c>
      <c r="F2272" s="46" t="s">
        <v>115</v>
      </c>
    </row>
    <row r="2273">
      <c r="A2273" s="274" t="s">
        <v>8568</v>
      </c>
      <c r="B2273" s="252">
        <f>IF(A2273="", "", IF(IFERROR(VLOOKUP(A2273, 'Base 3F'!$B:$C, 2, FALSE),"")="", "SIN CUIT", VLOOKUP(A2273, 'Base 3F'!$B:$C, 2, FALSE)))</f>
        <v>30708377496</v>
      </c>
      <c r="C2273" s="253" t="str">
        <f>IF(A2273="", "", IF(IFERROR(VLOOKUP(A2273, 'Base 3F'!$B:$J, 9, FALSE),"")="", "SIN RUBRO", VLOOKUP(A2273, 'Base 3F'!$B:$J, 9, FALSE)))</f>
        <v>Metalúrgica</v>
      </c>
      <c r="D2273" s="368" t="s">
        <v>8572</v>
      </c>
      <c r="E2273" s="10" t="s">
        <v>2392</v>
      </c>
      <c r="F2273" s="46" t="s">
        <v>115</v>
      </c>
    </row>
    <row r="2274">
      <c r="A2274" s="274" t="s">
        <v>2640</v>
      </c>
      <c r="B2274" s="252">
        <f>IF(A2274="", "", IF(IFERROR(VLOOKUP(A2274, 'Base 3F'!$B:$C, 2, FALSE),"")="", "SIN CUIT", VLOOKUP(A2274, 'Base 3F'!$B:$C, 2, FALSE)))</f>
        <v>30714532215</v>
      </c>
      <c r="C2274" s="253" t="str">
        <f>IF(A2274="", "", IF(IFERROR(VLOOKUP(A2274, 'Base 3F'!$B:$J, 9, FALSE),"")="", "SIN RUBRO", VLOOKUP(A2274, 'Base 3F'!$B:$J, 9, FALSE)))</f>
        <v>Plástica</v>
      </c>
      <c r="D2274" s="368" t="s">
        <v>11108</v>
      </c>
      <c r="E2274" s="10" t="s">
        <v>2392</v>
      </c>
      <c r="F2274" s="46" t="s">
        <v>115</v>
      </c>
    </row>
    <row r="2275">
      <c r="A2275" s="274" t="s">
        <v>2654</v>
      </c>
      <c r="B2275" s="252">
        <f>IF(A2275="", "", IF(IFERROR(VLOOKUP(A2275, 'Base 3F'!$B:$C, 2, FALSE),"")="", "SIN CUIT", VLOOKUP(A2275, 'Base 3F'!$B:$C, 2, FALSE)))</f>
        <v>30505488004</v>
      </c>
      <c r="C2275" s="253" t="str">
        <f>IF(A2275="", "", IF(IFERROR(VLOOKUP(A2275, 'Base 3F'!$B:$J, 9, FALSE),"")="", "SIN RUBRO", VLOOKUP(A2275, 'Base 3F'!$B:$J, 9, FALSE)))</f>
        <v>Plástica</v>
      </c>
      <c r="D2275" s="368" t="s">
        <v>11110</v>
      </c>
      <c r="E2275" s="10" t="s">
        <v>2392</v>
      </c>
      <c r="F2275" s="46" t="s">
        <v>115</v>
      </c>
    </row>
    <row r="2276">
      <c r="A2276" s="274" t="s">
        <v>2805</v>
      </c>
      <c r="B2276" s="252">
        <f>IF(A2276="", "", IF(IFERROR(VLOOKUP(A2276, 'Base 3F'!$B:$C, 2, FALSE),"")="", "SIN CUIT", VLOOKUP(A2276, 'Base 3F'!$B:$C, 2, FALSE)))</f>
        <v>33709027579</v>
      </c>
      <c r="C2276" s="253" t="str">
        <f>IF(A2276="", "", IF(IFERROR(VLOOKUP(A2276, 'Base 3F'!$B:$J, 9, FALSE),"")="", "SIN RUBRO", VLOOKUP(A2276, 'Base 3F'!$B:$J, 9, FALSE)))</f>
        <v>Química</v>
      </c>
      <c r="D2276" s="368" t="s">
        <v>11115</v>
      </c>
      <c r="E2276" s="10" t="s">
        <v>2392</v>
      </c>
      <c r="F2276" s="46" t="s">
        <v>115</v>
      </c>
    </row>
    <row r="2277">
      <c r="A2277" s="274" t="s">
        <v>9047</v>
      </c>
      <c r="B2277" s="252">
        <f>IF(A2277="", "", IF(IFERROR(VLOOKUP(A2277, 'Base 3F'!$B:$C, 2, FALSE),"")="", "SIN CUIT", VLOOKUP(A2277, 'Base 3F'!$B:$C, 2, FALSE)))</f>
        <v>30643957333</v>
      </c>
      <c r="C2277" s="253" t="str">
        <f>IF(A2277="", "", IF(IFERROR(VLOOKUP(A2277, 'Base 3F'!$B:$J, 9, FALSE),"")="", "SIN RUBRO", VLOOKUP(A2277, 'Base 3F'!$B:$J, 9, FALSE)))</f>
        <v>Plástica</v>
      </c>
      <c r="D2277" s="368" t="s">
        <v>11118</v>
      </c>
      <c r="E2277" s="10" t="s">
        <v>2392</v>
      </c>
      <c r="F2277" s="46" t="s">
        <v>115</v>
      </c>
    </row>
    <row r="2278">
      <c r="A2278" s="261" t="s">
        <v>672</v>
      </c>
      <c r="B2278" s="252">
        <f>IF(A2278="", "", IF(IFERROR(VLOOKUP(A2278, 'Base 3F'!$B:$C, 2, FALSE),"")="", "SIN CUIT", VLOOKUP(A2278, 'Base 3F'!$B:$C, 2, FALSE)))</f>
        <v>30711181551</v>
      </c>
      <c r="C2278" s="253" t="str">
        <f>IF(A2278="", "", IF(IFERROR(VLOOKUP(A2278, 'Base 3F'!$B:$J, 9, FALSE),"")="", "SIN RUBRO", VLOOKUP(A2278, 'Base 3F'!$B:$J, 9, FALSE)))</f>
        <v>Metalúrgica</v>
      </c>
      <c r="D2278" s="368" t="s">
        <v>32</v>
      </c>
      <c r="E2278" s="10" t="s">
        <v>2392</v>
      </c>
      <c r="F2278" s="46" t="s">
        <v>115</v>
      </c>
    </row>
    <row r="2279">
      <c r="A2279" s="261" t="s">
        <v>844</v>
      </c>
      <c r="B2279" s="252">
        <f>IF(A2279="", "", IF(IFERROR(VLOOKUP(A2279, 'Base 3F'!$B:$C, 2, FALSE),"")="", "SIN CUIT", VLOOKUP(A2279, 'Base 3F'!$B:$C, 2, FALSE)))</f>
        <v>30707831002</v>
      </c>
      <c r="C2279" s="253" t="str">
        <f>IF(A2279="", "", IF(IFERROR(VLOOKUP(A2279, 'Base 3F'!$B:$J, 9, FALSE),"")="", "SIN RUBRO", VLOOKUP(A2279, 'Base 3F'!$B:$J, 9, FALSE)))</f>
        <v>Metalúrgica</v>
      </c>
      <c r="D2279" s="368" t="s">
        <v>41</v>
      </c>
      <c r="E2279" s="10" t="s">
        <v>2392</v>
      </c>
      <c r="F2279" s="46" t="s">
        <v>115</v>
      </c>
    </row>
    <row r="2280">
      <c r="A2280" s="261" t="s">
        <v>1275</v>
      </c>
      <c r="B2280" s="252">
        <f>IF(A2280="", "", IF(IFERROR(VLOOKUP(A2280, 'Base 3F'!$B:$C, 2, FALSE),"")="", "SIN CUIT", VLOOKUP(A2280, 'Base 3F'!$B:$C, 2, FALSE)))</f>
        <v>30502893188</v>
      </c>
      <c r="C2280" s="253" t="str">
        <f>IF(A2280="", "", IF(IFERROR(VLOOKUP(A2280, 'Base 3F'!$B:$J, 9, FALSE),"")="", "SIN RUBRO", VLOOKUP(A2280, 'Base 3F'!$B:$J, 9, FALSE)))</f>
        <v>Metalúrgica</v>
      </c>
      <c r="D2280" s="368" t="s">
        <v>94</v>
      </c>
      <c r="E2280" s="10" t="s">
        <v>2392</v>
      </c>
      <c r="F2280" s="46" t="s">
        <v>115</v>
      </c>
    </row>
    <row r="2281">
      <c r="A2281" s="261" t="s">
        <v>1315</v>
      </c>
      <c r="B2281" s="252">
        <f>IF(A2281="", "", IF(IFERROR(VLOOKUP(A2281, 'Base 3F'!$B:$C, 2, FALSE),"")="", "SIN CUIT", VLOOKUP(A2281, 'Base 3F'!$B:$C, 2, FALSE)))</f>
        <v>30708268204</v>
      </c>
      <c r="C2281" s="253" t="str">
        <f>IF(A2281="", "", IF(IFERROR(VLOOKUP(A2281, 'Base 3F'!$B:$J, 9, FALSE),"")="", "SIN RUBRO", VLOOKUP(A2281, 'Base 3F'!$B:$J, 9, FALSE)))</f>
        <v>Textil</v>
      </c>
      <c r="D2281" s="368" t="s">
        <v>11132</v>
      </c>
      <c r="E2281" s="10" t="s">
        <v>2392</v>
      </c>
      <c r="F2281" s="46" t="s">
        <v>115</v>
      </c>
    </row>
    <row r="2282">
      <c r="A2282" s="261" t="s">
        <v>1478</v>
      </c>
      <c r="B2282" s="252">
        <f>IF(A2282="", "", IF(IFERROR(VLOOKUP(A2282, 'Base 3F'!$B:$C, 2, FALSE),"")="", "SIN CUIT", VLOOKUP(A2282, 'Base 3F'!$B:$C, 2, FALSE)))</f>
        <v>30709011940</v>
      </c>
      <c r="C2282" s="253" t="str">
        <f>IF(A2282="", "", IF(IFERROR(VLOOKUP(A2282, 'Base 3F'!$B:$J, 9, FALSE),"")="", "SIN RUBRO", VLOOKUP(A2282, 'Base 3F'!$B:$J, 9, FALSE)))</f>
        <v>Química</v>
      </c>
      <c r="D2282" s="368" t="s">
        <v>143</v>
      </c>
      <c r="E2282" s="10" t="s">
        <v>2392</v>
      </c>
      <c r="F2282" s="46" t="s">
        <v>115</v>
      </c>
    </row>
    <row r="2283">
      <c r="A2283" s="261" t="s">
        <v>1688</v>
      </c>
      <c r="B2283" s="252">
        <f>IF(A2283="", "", IF(IFERROR(VLOOKUP(A2283, 'Base 3F'!$B:$C, 2, FALSE),"")="", "SIN CUIT", VLOOKUP(A2283, 'Base 3F'!$B:$C, 2, FALSE)))</f>
        <v>30677077596</v>
      </c>
      <c r="C2283" s="253" t="str">
        <f>IF(A2283="", "", IF(IFERROR(VLOOKUP(A2283, 'Base 3F'!$B:$J, 9, FALSE),"")="", "SIN RUBRO", VLOOKUP(A2283, 'Base 3F'!$B:$J, 9, FALSE)))</f>
        <v>Metalúrgica</v>
      </c>
      <c r="D2283" s="368" t="s">
        <v>879</v>
      </c>
      <c r="E2283" s="10" t="s">
        <v>2392</v>
      </c>
      <c r="F2283" s="46" t="s">
        <v>115</v>
      </c>
    </row>
    <row r="2284">
      <c r="A2284" s="59" t="s">
        <v>2654</v>
      </c>
      <c r="B2284" s="252">
        <f>IF(A2284="", "", IF(IFERROR(VLOOKUP(A2284, 'Base 3F'!$B:$C, 2, FALSE),"")="", "SIN CUIT", VLOOKUP(A2284, 'Base 3F'!$B:$C, 2, FALSE)))</f>
        <v>30505488004</v>
      </c>
      <c r="C2284" s="253" t="str">
        <f>IF(A2284="", "", IF(IFERROR(VLOOKUP(A2284, 'Base 3F'!$B:$J, 9, FALSE),"")="", "SIN RUBRO", VLOOKUP(A2284, 'Base 3F'!$B:$J, 9, FALSE)))</f>
        <v>Plástica</v>
      </c>
      <c r="D2284" s="368" t="s">
        <v>11141</v>
      </c>
      <c r="E2284" s="10" t="s">
        <v>2392</v>
      </c>
      <c r="F2284" s="46" t="s">
        <v>115</v>
      </c>
    </row>
    <row r="2285">
      <c r="A2285" s="274" t="s">
        <v>1117</v>
      </c>
      <c r="B2285" s="252">
        <f>IF(A2285="", "", IF(IFERROR(VLOOKUP(A2285, 'Base 3F'!$B:$C, 2, FALSE),"")="", "SIN CUIT", VLOOKUP(A2285, 'Base 3F'!$B:$C, 2, FALSE)))</f>
        <v>30502185787</v>
      </c>
      <c r="C2285" s="253" t="str">
        <f>IF(A2285="", "", IF(IFERROR(VLOOKUP(A2285, 'Base 3F'!$B:$J, 9, FALSE),"")="", "SIN RUBRO", VLOOKUP(A2285, 'Base 3F'!$B:$J, 9, FALSE)))</f>
        <v>Metalúrgica</v>
      </c>
      <c r="D2285" s="368" t="s">
        <v>11144</v>
      </c>
      <c r="E2285" s="10" t="s">
        <v>2392</v>
      </c>
      <c r="F2285" s="46" t="s">
        <v>115</v>
      </c>
    </row>
    <row r="2286">
      <c r="A2286" s="274" t="s">
        <v>1150</v>
      </c>
      <c r="B2286" s="252">
        <f>IF(A2286="", "", IF(IFERROR(VLOOKUP(A2286, 'Base 3F'!$B:$C, 2, FALSE),"")="", "SIN CUIT", VLOOKUP(A2286, 'Base 3F'!$B:$C, 2, FALSE)))</f>
        <v>30709003018</v>
      </c>
      <c r="C2286" s="253" t="str">
        <f>IF(A2286="", "", IF(IFERROR(VLOOKUP(A2286, 'Base 3F'!$B:$J, 9, FALSE),"")="", "SIN RUBRO", VLOOKUP(A2286, 'Base 3F'!$B:$J, 9, FALSE)))</f>
        <v>Metalmecánica</v>
      </c>
      <c r="D2286" s="373" t="s">
        <v>11150</v>
      </c>
      <c r="E2286" s="10" t="s">
        <v>2392</v>
      </c>
      <c r="F2286" s="46" t="s">
        <v>115</v>
      </c>
    </row>
    <row r="2287">
      <c r="A2287" s="194" t="s">
        <v>3003</v>
      </c>
      <c r="B2287" s="252">
        <f>IF(A2287="", "", IF(IFERROR(VLOOKUP(A2287, 'Base 3F'!$B:$C, 2, FALSE),"")="", "SIN CUIT", VLOOKUP(A2287, 'Base 3F'!$B:$C, 2, FALSE)))</f>
        <v>30708570946</v>
      </c>
      <c r="C2287" s="253" t="str">
        <f>IF(A2287="", "", IF(IFERROR(VLOOKUP(A2287, 'Base 3F'!$B:$J, 9, FALSE),"")="", "SIN RUBRO", VLOOKUP(A2287, 'Base 3F'!$B:$J, 9, FALSE)))</f>
        <v>Servicios</v>
      </c>
      <c r="D2287" s="368" t="s">
        <v>11151</v>
      </c>
      <c r="E2287" s="10" t="s">
        <v>2392</v>
      </c>
      <c r="F2287" s="46" t="s">
        <v>115</v>
      </c>
    </row>
    <row r="2288">
      <c r="A2288" s="274" t="s">
        <v>1282</v>
      </c>
      <c r="B2288" s="252">
        <f>IF(A2288="", "", IF(IFERROR(VLOOKUP(A2288, 'Base 3F'!$B:$C, 2, FALSE),"")="", "SIN CUIT", VLOOKUP(A2288, 'Base 3F'!$B:$C, 2, FALSE)))</f>
        <v>30638285335</v>
      </c>
      <c r="C2288" s="253" t="str">
        <f>IF(A2288="", "", IF(IFERROR(VLOOKUP(A2288, 'Base 3F'!$B:$J, 9, FALSE),"")="", "SIN RUBRO", VLOOKUP(A2288, 'Base 3F'!$B:$J, 9, FALSE)))</f>
        <v>Alimenticia</v>
      </c>
      <c r="D2288" s="242" t="s">
        <v>11158</v>
      </c>
      <c r="E2288" s="10" t="s">
        <v>2392</v>
      </c>
      <c r="F2288" s="46" t="s">
        <v>1625</v>
      </c>
    </row>
    <row r="2289">
      <c r="A2289" s="274" t="s">
        <v>3363</v>
      </c>
      <c r="B2289" s="252">
        <f>IF(A2289="", "", IF(IFERROR(VLOOKUP(A2289, 'Base 3F'!$B:$C, 2, FALSE),"")="", "SIN CUIT", VLOOKUP(A2289, 'Base 3F'!$B:$C, 2, FALSE)))</f>
        <v>30503891863</v>
      </c>
      <c r="C2289" s="253" t="str">
        <f>IF(A2289="", "", IF(IFERROR(VLOOKUP(A2289, 'Base 3F'!$B:$J, 9, FALSE),"")="", "SIN RUBRO", VLOOKUP(A2289, 'Base 3F'!$B:$J, 9, FALSE)))</f>
        <v>Alimenticia</v>
      </c>
      <c r="D2289" s="368" t="s">
        <v>11165</v>
      </c>
      <c r="E2289" s="10" t="s">
        <v>2392</v>
      </c>
      <c r="F2289" s="46" t="s">
        <v>115</v>
      </c>
    </row>
    <row r="2290">
      <c r="A2290" s="274" t="s">
        <v>4446</v>
      </c>
      <c r="B2290" s="252">
        <f>IF(A2290="", "", IF(IFERROR(VLOOKUP(A2290, 'Base 3F'!$B:$C, 2, FALSE),"")="", "SIN CUIT", VLOOKUP(A2290, 'Base 3F'!$B:$C, 2, FALSE)))</f>
        <v>30663829153</v>
      </c>
      <c r="C2290" s="253" t="str">
        <f>IF(A2290="", "", IF(IFERROR(VLOOKUP(A2290, 'Base 3F'!$B:$J, 9, FALSE),"")="", "SIN RUBRO", VLOOKUP(A2290, 'Base 3F'!$B:$J, 9, FALSE)))</f>
        <v>Alimenticia</v>
      </c>
      <c r="D2290" s="368" t="s">
        <v>11167</v>
      </c>
      <c r="E2290" s="10" t="s">
        <v>2392</v>
      </c>
      <c r="F2290" s="46" t="s">
        <v>115</v>
      </c>
    </row>
    <row r="2291">
      <c r="A2291" s="274" t="s">
        <v>4856</v>
      </c>
      <c r="B2291" s="252">
        <f>IF(A2291="", "", IF(IFERROR(VLOOKUP(A2291, 'Base 3F'!$B:$C, 2, FALSE),"")="", "SIN CUIT", VLOOKUP(A2291, 'Base 3F'!$B:$C, 2, FALSE)))</f>
        <v>30709368067</v>
      </c>
      <c r="C2291" s="253" t="str">
        <f>IF(A2291="", "", IF(IFERROR(VLOOKUP(A2291, 'Base 3F'!$B:$J, 9, FALSE),"")="", "SIN RUBRO", VLOOKUP(A2291, 'Base 3F'!$B:$J, 9, FALSE)))</f>
        <v>Plástica</v>
      </c>
      <c r="D2291" s="368" t="s">
        <v>11173</v>
      </c>
      <c r="E2291" s="10" t="s">
        <v>2392</v>
      </c>
      <c r="F2291" s="46" t="s">
        <v>115</v>
      </c>
    </row>
    <row r="2292">
      <c r="A2292" s="274" t="s">
        <v>4131</v>
      </c>
      <c r="B2292" s="252">
        <f>IF(A2292="", "", IF(IFERROR(VLOOKUP(A2292, 'Base 3F'!$B:$C, 2, FALSE),"")="", "SIN CUIT", VLOOKUP(A2292, 'Base 3F'!$B:$C, 2, FALSE)))</f>
        <v>30677127240</v>
      </c>
      <c r="C2292" s="253" t="str">
        <f>IF(A2292="", "", IF(IFERROR(VLOOKUP(A2292, 'Base 3F'!$B:$J, 9, FALSE),"")="", "SIN RUBRO", VLOOKUP(A2292, 'Base 3F'!$B:$J, 9, FALSE)))</f>
        <v>Metalúrgica</v>
      </c>
      <c r="D2292" s="368" t="s">
        <v>11182</v>
      </c>
      <c r="E2292" s="10" t="s">
        <v>2392</v>
      </c>
      <c r="F2292" s="46" t="s">
        <v>115</v>
      </c>
    </row>
    <row r="2293">
      <c r="A2293" s="274" t="s">
        <v>2038</v>
      </c>
      <c r="B2293" s="252">
        <f>IF(A2293="", "", IF(IFERROR(VLOOKUP(A2293, 'Base 3F'!$B:$C, 2, FALSE),"")="", "SIN CUIT", VLOOKUP(A2293, 'Base 3F'!$B:$C, 2, FALSE)))</f>
        <v>30708089083</v>
      </c>
      <c r="C2293" s="253" t="str">
        <f>IF(A2293="", "", IF(IFERROR(VLOOKUP(A2293, 'Base 3F'!$B:$J, 9, FALSE),"")="", "SIN RUBRO", VLOOKUP(A2293, 'Base 3F'!$B:$J, 9, FALSE)))</f>
        <v>Caucho</v>
      </c>
      <c r="D2293" s="368" t="s">
        <v>11185</v>
      </c>
      <c r="E2293" s="10" t="s">
        <v>2392</v>
      </c>
      <c r="F2293" s="46" t="s">
        <v>115</v>
      </c>
    </row>
    <row r="2294">
      <c r="A2294" s="274" t="s">
        <v>8478</v>
      </c>
      <c r="B2294" s="252">
        <f>IF(A2294="", "", IF(IFERROR(VLOOKUP(A2294, 'Base 3F'!$B:$C, 2, FALSE),"")="", "SIN CUIT", VLOOKUP(A2294, 'Base 3F'!$B:$C, 2, FALSE)))</f>
        <v>30516385460</v>
      </c>
      <c r="C2294" s="253" t="str">
        <f>IF(A2294="", "", IF(IFERROR(VLOOKUP(A2294, 'Base 3F'!$B:$J, 9, FALSE),"")="", "SIN RUBRO", VLOOKUP(A2294, 'Base 3F'!$B:$J, 9, FALSE)))</f>
        <v>Servicios</v>
      </c>
      <c r="D2294" s="368" t="s">
        <v>11190</v>
      </c>
      <c r="E2294" s="10" t="s">
        <v>2392</v>
      </c>
      <c r="F2294" s="46" t="s">
        <v>115</v>
      </c>
    </row>
    <row r="2295">
      <c r="A2295" s="274" t="s">
        <v>1100</v>
      </c>
      <c r="B2295" s="252">
        <f>IF(A2295="", "", IF(IFERROR(VLOOKUP(A2295, 'Base 3F'!$B:$C, 2, FALSE),"")="", "SIN CUIT", VLOOKUP(A2295, 'Base 3F'!$B:$C, 2, FALSE)))</f>
        <v>30701165191</v>
      </c>
      <c r="C2295" s="253" t="str">
        <f>IF(A2295="", "", IF(IFERROR(VLOOKUP(A2295, 'Base 3F'!$B:$J, 9, FALSE),"")="", "SIN RUBRO", VLOOKUP(A2295, 'Base 3F'!$B:$J, 9, FALSE)))</f>
        <v>Metalúrgica</v>
      </c>
      <c r="D2295" s="368" t="s">
        <v>11194</v>
      </c>
      <c r="E2295" s="10" t="s">
        <v>2392</v>
      </c>
      <c r="F2295" s="46" t="s">
        <v>115</v>
      </c>
    </row>
    <row r="2296">
      <c r="A2296" s="274" t="s">
        <v>1256</v>
      </c>
      <c r="B2296" s="252">
        <f>IF(A2296="", "", IF(IFERROR(VLOOKUP(A2296, 'Base 3F'!$B:$C, 2, FALSE),"")="", "SIN CUIT", VLOOKUP(A2296, 'Base 3F'!$B:$C, 2, FALSE)))</f>
        <v>30604118197</v>
      </c>
      <c r="C2296" s="253" t="str">
        <f>IF(A2296="", "", IF(IFERROR(VLOOKUP(A2296, 'Base 3F'!$B:$J, 9, FALSE),"")="", "SIN RUBRO", VLOOKUP(A2296, 'Base 3F'!$B:$J, 9, FALSE)))</f>
        <v>Metalúrgica</v>
      </c>
      <c r="D2296" s="368" t="s">
        <v>11196</v>
      </c>
      <c r="E2296" s="10" t="s">
        <v>2392</v>
      </c>
      <c r="F2296" s="46" t="s">
        <v>115</v>
      </c>
    </row>
    <row r="2297">
      <c r="A2297" s="274" t="s">
        <v>3003</v>
      </c>
      <c r="B2297" s="252">
        <f>IF(A2297="", "", IF(IFERROR(VLOOKUP(A2297, 'Base 3F'!$B:$C, 2, FALSE),"")="", "SIN CUIT", VLOOKUP(A2297, 'Base 3F'!$B:$C, 2, FALSE)))</f>
        <v>30708570946</v>
      </c>
      <c r="C2297" s="253" t="str">
        <f>IF(A2297="", "", IF(IFERROR(VLOOKUP(A2297, 'Base 3F'!$B:$J, 9, FALSE),"")="", "SIN RUBRO", VLOOKUP(A2297, 'Base 3F'!$B:$J, 9, FALSE)))</f>
        <v>Servicios</v>
      </c>
      <c r="D2297" s="368" t="s">
        <v>11201</v>
      </c>
      <c r="E2297" s="10" t="s">
        <v>2392</v>
      </c>
      <c r="F2297" s="46" t="s">
        <v>115</v>
      </c>
    </row>
    <row r="2298">
      <c r="A2298" s="274" t="s">
        <v>3269</v>
      </c>
      <c r="B2298" s="252">
        <f>IF(A2298="", "", IF(IFERROR(VLOOKUP(A2298, 'Base 3F'!$B:$C, 2, FALSE),"")="", "SIN CUIT", VLOOKUP(A2298, 'Base 3F'!$B:$C, 2, FALSE)))</f>
        <v>30646318420</v>
      </c>
      <c r="C2298" s="253" t="str">
        <f>IF(A2298="", "", IF(IFERROR(VLOOKUP(A2298, 'Base 3F'!$B:$J, 9, FALSE),"")="", "SIN RUBRO", VLOOKUP(A2298, 'Base 3F'!$B:$J, 9, FALSE)))</f>
        <v>Metalúrgica</v>
      </c>
      <c r="D2298" s="368" t="s">
        <v>9438</v>
      </c>
      <c r="E2298" s="10" t="s">
        <v>2392</v>
      </c>
      <c r="F2298" s="46" t="s">
        <v>115</v>
      </c>
    </row>
    <row r="2299">
      <c r="A2299" s="274" t="s">
        <v>1354</v>
      </c>
      <c r="B2299" s="252">
        <f>IF(A2299="", "", IF(IFERROR(VLOOKUP(A2299, 'Base 3F'!$B:$C, 2, FALSE),"")="", "SIN CUIT", VLOOKUP(A2299, 'Base 3F'!$B:$C, 2, FALSE)))</f>
        <v>30708214236</v>
      </c>
      <c r="C2299" s="253" t="str">
        <f>IF(A2299="", "", IF(IFERROR(VLOOKUP(A2299, 'Base 3F'!$B:$J, 9, FALSE),"")="", "SIN RUBRO", VLOOKUP(A2299, 'Base 3F'!$B:$J, 9, FALSE)))</f>
        <v>Construcción</v>
      </c>
      <c r="D2299" s="368" t="s">
        <v>11207</v>
      </c>
      <c r="E2299" s="10" t="s">
        <v>2392</v>
      </c>
      <c r="F2299" s="46" t="s">
        <v>115</v>
      </c>
    </row>
    <row r="2300">
      <c r="A2300" s="274" t="s">
        <v>1745</v>
      </c>
      <c r="B2300" s="252">
        <f>IF(A2300="", "", IF(IFERROR(VLOOKUP(A2300, 'Base 3F'!$B:$C, 2, FALSE),"")="", "SIN CUIT", VLOOKUP(A2300, 'Base 3F'!$B:$C, 2, FALSE)))</f>
        <v>30628418329</v>
      </c>
      <c r="C2300" s="253" t="str">
        <f>IF(A2300="", "", IF(IFERROR(VLOOKUP(A2300, 'Base 3F'!$B:$J, 9, FALSE),"")="", "SIN RUBRO", VLOOKUP(A2300, 'Base 3F'!$B:$J, 9, FALSE)))</f>
        <v>Metalúrgica</v>
      </c>
      <c r="D2300" s="368" t="s">
        <v>11211</v>
      </c>
      <c r="E2300" s="10" t="s">
        <v>2392</v>
      </c>
      <c r="F2300" s="46" t="s">
        <v>115</v>
      </c>
    </row>
    <row r="2301">
      <c r="A2301" s="274" t="s">
        <v>1808</v>
      </c>
      <c r="B2301" s="252">
        <f>IF(A2301="", "", IF(IFERROR(VLOOKUP(A2301, 'Base 3F'!$B:$C, 2, FALSE),"")="", "SIN CUIT", VLOOKUP(A2301, 'Base 3F'!$B:$C, 2, FALSE)))</f>
        <v>33624658529</v>
      </c>
      <c r="C2301" s="253" t="str">
        <f>IF(A2301="", "", IF(IFERROR(VLOOKUP(A2301, 'Base 3F'!$B:$J, 9, FALSE),"")="", "SIN RUBRO", VLOOKUP(A2301, 'Base 3F'!$B:$J, 9, FALSE)))</f>
        <v>Gráfica</v>
      </c>
      <c r="D2301" s="368" t="s">
        <v>11213</v>
      </c>
      <c r="E2301" s="10" t="s">
        <v>2392</v>
      </c>
      <c r="F2301" s="46" t="s">
        <v>115</v>
      </c>
    </row>
    <row r="2302">
      <c r="A2302" s="274" t="s">
        <v>4131</v>
      </c>
      <c r="B2302" s="252">
        <f>IF(A2302="", "", IF(IFERROR(VLOOKUP(A2302, 'Base 3F'!$B:$C, 2, FALSE),"")="", "SIN CUIT", VLOOKUP(A2302, 'Base 3F'!$B:$C, 2, FALSE)))</f>
        <v>30677127240</v>
      </c>
      <c r="C2302" s="253" t="str">
        <f>IF(A2302="", "", IF(IFERROR(VLOOKUP(A2302, 'Base 3F'!$B:$J, 9, FALSE),"")="", "SIN RUBRO", VLOOKUP(A2302, 'Base 3F'!$B:$J, 9, FALSE)))</f>
        <v>Metalúrgica</v>
      </c>
      <c r="D2302" s="371" t="s">
        <v>11219</v>
      </c>
      <c r="E2302" s="10" t="s">
        <v>2392</v>
      </c>
      <c r="F2302" s="46" t="s">
        <v>115</v>
      </c>
    </row>
    <row r="2303">
      <c r="A2303" s="274" t="s">
        <v>2458</v>
      </c>
      <c r="B2303" s="252">
        <f>IF(A2303="", "", IF(IFERROR(VLOOKUP(A2303, 'Base 3F'!$B:$C, 2, FALSE),"")="", "SIN CUIT", VLOOKUP(A2303, 'Base 3F'!$B:$C, 2, FALSE)))</f>
        <v>30500719687</v>
      </c>
      <c r="C2303" s="253" t="str">
        <f>IF(A2303="", "", IF(IFERROR(VLOOKUP(A2303, 'Base 3F'!$B:$J, 9, FALSE),"")="", "SIN RUBRO", VLOOKUP(A2303, 'Base 3F'!$B:$J, 9, FALSE)))</f>
        <v>Química</v>
      </c>
      <c r="D2303" s="368" t="s">
        <v>11227</v>
      </c>
      <c r="E2303" s="10" t="s">
        <v>2392</v>
      </c>
      <c r="F2303" s="46" t="s">
        <v>115</v>
      </c>
    </row>
    <row r="2304">
      <c r="A2304" s="274" t="s">
        <v>8478</v>
      </c>
      <c r="B2304" s="252">
        <f>IF(A2304="", "", IF(IFERROR(VLOOKUP(A2304, 'Base 3F'!$B:$C, 2, FALSE),"")="", "SIN CUIT", VLOOKUP(A2304, 'Base 3F'!$B:$C, 2, FALSE)))</f>
        <v>30516385460</v>
      </c>
      <c r="C2304" s="253" t="str">
        <f>IF(A2304="", "", IF(IFERROR(VLOOKUP(A2304, 'Base 3F'!$B:$J, 9, FALSE),"")="", "SIN RUBRO", VLOOKUP(A2304, 'Base 3F'!$B:$J, 9, FALSE)))</f>
        <v>Servicios</v>
      </c>
      <c r="D2304" s="368" t="s">
        <v>11230</v>
      </c>
      <c r="E2304" s="10" t="s">
        <v>2392</v>
      </c>
      <c r="F2304" s="46" t="s">
        <v>115</v>
      </c>
    </row>
    <row r="2305">
      <c r="A2305" s="274" t="s">
        <v>2805</v>
      </c>
      <c r="B2305" s="252">
        <f>IF(A2305="", "", IF(IFERROR(VLOOKUP(A2305, 'Base 3F'!$B:$C, 2, FALSE),"")="", "SIN CUIT", VLOOKUP(A2305, 'Base 3F'!$B:$C, 2, FALSE)))</f>
        <v>33709027579</v>
      </c>
      <c r="C2305" s="253" t="str">
        <f>IF(A2305="", "", IF(IFERROR(VLOOKUP(A2305, 'Base 3F'!$B:$J, 9, FALSE),"")="", "SIN RUBRO", VLOOKUP(A2305, 'Base 3F'!$B:$J, 9, FALSE)))</f>
        <v>Química</v>
      </c>
      <c r="D2305" s="368" t="s">
        <v>11231</v>
      </c>
      <c r="E2305" s="10" t="s">
        <v>2392</v>
      </c>
      <c r="F2305" s="46" t="s">
        <v>115</v>
      </c>
    </row>
    <row r="2306">
      <c r="A2306" s="274" t="s">
        <v>9047</v>
      </c>
      <c r="B2306" s="252">
        <f>IF(A2306="", "", IF(IFERROR(VLOOKUP(A2306, 'Base 3F'!$B:$C, 2, FALSE),"")="", "SIN CUIT", VLOOKUP(A2306, 'Base 3F'!$B:$C, 2, FALSE)))</f>
        <v>30643957333</v>
      </c>
      <c r="C2306" s="253" t="str">
        <f>IF(A2306="", "", IF(IFERROR(VLOOKUP(A2306, 'Base 3F'!$B:$J, 9, FALSE),"")="", "SIN RUBRO", VLOOKUP(A2306, 'Base 3F'!$B:$J, 9, FALSE)))</f>
        <v>Plástica</v>
      </c>
      <c r="D2306" s="368" t="s">
        <v>11235</v>
      </c>
      <c r="E2306" s="10" t="s">
        <v>2392</v>
      </c>
      <c r="F2306" s="46" t="s">
        <v>115</v>
      </c>
    </row>
    <row r="2307">
      <c r="A2307" s="274" t="s">
        <v>3363</v>
      </c>
      <c r="B2307" s="252">
        <f>IF(A2307="", "", IF(IFERROR(VLOOKUP(A2307, 'Base 3F'!$B:$C, 2, FALSE),"")="", "SIN CUIT", VLOOKUP(A2307, 'Base 3F'!$B:$C, 2, FALSE)))</f>
        <v>30503891863</v>
      </c>
      <c r="C2307" s="253" t="str">
        <f>IF(A2307="", "", IF(IFERROR(VLOOKUP(A2307, 'Base 3F'!$B:$J, 9, FALSE),"")="", "SIN RUBRO", VLOOKUP(A2307, 'Base 3F'!$B:$J, 9, FALSE)))</f>
        <v>Alimenticia</v>
      </c>
      <c r="D2307" s="368" t="s">
        <v>11239</v>
      </c>
      <c r="E2307" s="10" t="s">
        <v>2392</v>
      </c>
      <c r="F2307" s="46" t="s">
        <v>115</v>
      </c>
    </row>
    <row r="2308">
      <c r="A2308" s="82" t="s">
        <v>312</v>
      </c>
      <c r="B2308" s="252">
        <f>IF(A2308="", "", IF(IFERROR(VLOOKUP(A2308, 'Base 3F'!$B:$C, 2, FALSE),"")="", "SIN CUIT", VLOOKUP(A2308, 'Base 3F'!$B:$C, 2, FALSE)))</f>
        <v>30714815179</v>
      </c>
      <c r="C2308" s="253" t="str">
        <f>IF(A2308="", "", IF(IFERROR(VLOOKUP(A2308, 'Base 3F'!$B:$J, 9, FALSE),"")="", "SIN RUBRO", VLOOKUP(A2308, 'Base 3F'!$B:$J, 9, FALSE)))</f>
        <v>Química</v>
      </c>
      <c r="D2308" s="10" t="s">
        <v>11243</v>
      </c>
      <c r="E2308" s="10" t="s">
        <v>109</v>
      </c>
      <c r="F2308" s="46" t="s">
        <v>7757</v>
      </c>
    </row>
    <row r="2309">
      <c r="A2309" s="82" t="s">
        <v>312</v>
      </c>
      <c r="B2309" s="252">
        <f>IF(A2309="", "", IF(IFERROR(VLOOKUP(A2309, 'Base 3F'!$B:$C, 2, FALSE),"")="", "SIN CUIT", VLOOKUP(A2309, 'Base 3F'!$B:$C, 2, FALSE)))</f>
        <v>30714815179</v>
      </c>
      <c r="C2309" s="253" t="str">
        <f>IF(A2309="", "", IF(IFERROR(VLOOKUP(A2309, 'Base 3F'!$B:$J, 9, FALSE),"")="", "SIN RUBRO", VLOOKUP(A2309, 'Base 3F'!$B:$J, 9, FALSE)))</f>
        <v>Química</v>
      </c>
      <c r="D2309" s="10" t="s">
        <v>11246</v>
      </c>
      <c r="E2309" s="10" t="s">
        <v>109</v>
      </c>
      <c r="F2309" s="46" t="s">
        <v>115</v>
      </c>
    </row>
    <row r="2310">
      <c r="A2310" s="82" t="s">
        <v>312</v>
      </c>
      <c r="B2310" s="252">
        <f>IF(A2310="", "", IF(IFERROR(VLOOKUP(A2310, 'Base 3F'!$B:$C, 2, FALSE),"")="", "SIN CUIT", VLOOKUP(A2310, 'Base 3F'!$B:$C, 2, FALSE)))</f>
        <v>30714815179</v>
      </c>
      <c r="C2310" s="253" t="str">
        <f>IF(A2310="", "", IF(IFERROR(VLOOKUP(A2310, 'Base 3F'!$B:$J, 9, FALSE),"")="", "SIN RUBRO", VLOOKUP(A2310, 'Base 3F'!$B:$J, 9, FALSE)))</f>
        <v>Química</v>
      </c>
      <c r="D2310" s="10" t="s">
        <v>11249</v>
      </c>
      <c r="E2310" s="10" t="s">
        <v>2392</v>
      </c>
      <c r="F2310" s="46" t="s">
        <v>115</v>
      </c>
    </row>
    <row r="2311">
      <c r="A2311" s="82" t="s">
        <v>312</v>
      </c>
      <c r="B2311" s="252">
        <f>IF(A2311="", "", IF(IFERROR(VLOOKUP(A2311, 'Base 3F'!$B:$C, 2, FALSE),"")="", "SIN CUIT", VLOOKUP(A2311, 'Base 3F'!$B:$C, 2, FALSE)))</f>
        <v>30714815179</v>
      </c>
      <c r="C2311" s="253" t="str">
        <f>IF(A2311="", "", IF(IFERROR(VLOOKUP(A2311, 'Base 3F'!$B:$J, 9, FALSE),"")="", "SIN RUBRO", VLOOKUP(A2311, 'Base 3F'!$B:$J, 9, FALSE)))</f>
        <v>Química</v>
      </c>
      <c r="D2311" s="379" t="s">
        <v>11253</v>
      </c>
      <c r="E2311" s="10" t="s">
        <v>2392</v>
      </c>
      <c r="F2311" s="46" t="s">
        <v>7757</v>
      </c>
    </row>
    <row r="2312">
      <c r="A2312" s="82" t="s">
        <v>312</v>
      </c>
      <c r="B2312" s="252">
        <f>IF(A2312="", "", IF(IFERROR(VLOOKUP(A2312, 'Base 3F'!$B:$C, 2, FALSE),"")="", "SIN CUIT", VLOOKUP(A2312, 'Base 3F'!$B:$C, 2, FALSE)))</f>
        <v>30714815179</v>
      </c>
      <c r="C2312" s="253" t="str">
        <f>IF(A2312="", "", IF(IFERROR(VLOOKUP(A2312, 'Base 3F'!$B:$J, 9, FALSE),"")="", "SIN RUBRO", VLOOKUP(A2312, 'Base 3F'!$B:$J, 9, FALSE)))</f>
        <v>Química</v>
      </c>
      <c r="D2312" s="379" t="s">
        <v>11263</v>
      </c>
      <c r="E2312" s="10" t="s">
        <v>2392</v>
      </c>
      <c r="F2312" s="46" t="s">
        <v>7757</v>
      </c>
    </row>
    <row r="2313">
      <c r="A2313" s="82" t="s">
        <v>312</v>
      </c>
      <c r="B2313" s="252">
        <f>IF(A2313="", "", IF(IFERROR(VLOOKUP(A2313, 'Base 3F'!$B:$C, 2, FALSE),"")="", "SIN CUIT", VLOOKUP(A2313, 'Base 3F'!$B:$C, 2, FALSE)))</f>
        <v>30714815179</v>
      </c>
      <c r="C2313" s="253" t="str">
        <f>IF(A2313="", "", IF(IFERROR(VLOOKUP(A2313, 'Base 3F'!$B:$J, 9, FALSE),"")="", "SIN RUBRO", VLOOKUP(A2313, 'Base 3F'!$B:$J, 9, FALSE)))</f>
        <v>Química</v>
      </c>
      <c r="D2313" s="379" t="s">
        <v>11268</v>
      </c>
      <c r="E2313" s="10" t="s">
        <v>2392</v>
      </c>
      <c r="F2313" s="46" t="s">
        <v>7757</v>
      </c>
    </row>
    <row r="2314">
      <c r="A2314" s="82" t="s">
        <v>312</v>
      </c>
      <c r="B2314" s="252">
        <f>IF(A2314="", "", IF(IFERROR(VLOOKUP(A2314, 'Base 3F'!$B:$C, 2, FALSE),"")="", "SIN CUIT", VLOOKUP(A2314, 'Base 3F'!$B:$C, 2, FALSE)))</f>
        <v>30714815179</v>
      </c>
      <c r="C2314" s="253" t="str">
        <f>IF(A2314="", "", IF(IFERROR(VLOOKUP(A2314, 'Base 3F'!$B:$J, 9, FALSE),"")="", "SIN RUBRO", VLOOKUP(A2314, 'Base 3F'!$B:$J, 9, FALSE)))</f>
        <v>Química</v>
      </c>
      <c r="D2314" s="379" t="s">
        <v>11273</v>
      </c>
      <c r="E2314" s="10" t="s">
        <v>2392</v>
      </c>
      <c r="F2314" s="46" t="s">
        <v>7757</v>
      </c>
    </row>
    <row r="2315">
      <c r="A2315" s="82" t="s">
        <v>312</v>
      </c>
      <c r="B2315" s="252">
        <f>IF(A2315="", "", IF(IFERROR(VLOOKUP(A2315, 'Base 3F'!$B:$C, 2, FALSE),"")="", "SIN CUIT", VLOOKUP(A2315, 'Base 3F'!$B:$C, 2, FALSE)))</f>
        <v>30714815179</v>
      </c>
      <c r="C2315" s="253" t="str">
        <f>IF(A2315="", "", IF(IFERROR(VLOOKUP(A2315, 'Base 3F'!$B:$J, 9, FALSE),"")="", "SIN RUBRO", VLOOKUP(A2315, 'Base 3F'!$B:$J, 9, FALSE)))</f>
        <v>Química</v>
      </c>
      <c r="D2315" s="379" t="s">
        <v>11278</v>
      </c>
      <c r="E2315" s="10" t="s">
        <v>2392</v>
      </c>
      <c r="F2315" s="46" t="s">
        <v>7757</v>
      </c>
    </row>
    <row r="2316">
      <c r="A2316" s="82" t="s">
        <v>312</v>
      </c>
      <c r="B2316" s="252">
        <f>IF(A2316="", "", IF(IFERROR(VLOOKUP(A2316, 'Base 3F'!$B:$C, 2, FALSE),"")="", "SIN CUIT", VLOOKUP(A2316, 'Base 3F'!$B:$C, 2, FALSE)))</f>
        <v>30714815179</v>
      </c>
      <c r="C2316" s="253" t="str">
        <f>IF(A2316="", "", IF(IFERROR(VLOOKUP(A2316, 'Base 3F'!$B:$J, 9, FALSE),"")="", "SIN RUBRO", VLOOKUP(A2316, 'Base 3F'!$B:$J, 9, FALSE)))</f>
        <v>Química</v>
      </c>
      <c r="D2316" s="379" t="s">
        <v>11285</v>
      </c>
      <c r="E2316" s="10" t="s">
        <v>2392</v>
      </c>
      <c r="F2316" s="46" t="s">
        <v>7757</v>
      </c>
    </row>
    <row r="2317">
      <c r="A2317" s="82" t="s">
        <v>312</v>
      </c>
      <c r="B2317" s="252">
        <f>IF(A2317="", "", IF(IFERROR(VLOOKUP(A2317, 'Base 3F'!$B:$C, 2, FALSE),"")="", "SIN CUIT", VLOOKUP(A2317, 'Base 3F'!$B:$C, 2, FALSE)))</f>
        <v>30714815179</v>
      </c>
      <c r="C2317" s="253" t="str">
        <f>IF(A2317="", "", IF(IFERROR(VLOOKUP(A2317, 'Base 3F'!$B:$J, 9, FALSE),"")="", "SIN RUBRO", VLOOKUP(A2317, 'Base 3F'!$B:$J, 9, FALSE)))</f>
        <v>Química</v>
      </c>
      <c r="D2317" s="379" t="s">
        <v>11289</v>
      </c>
      <c r="E2317" s="10" t="s">
        <v>2392</v>
      </c>
      <c r="F2317" s="46" t="s">
        <v>7757</v>
      </c>
    </row>
    <row r="2318">
      <c r="A2318" s="82" t="s">
        <v>312</v>
      </c>
      <c r="B2318" s="252">
        <f>IF(A2318="", "", IF(IFERROR(VLOOKUP(A2318, 'Base 3F'!$B:$C, 2, FALSE),"")="", "SIN CUIT", VLOOKUP(A2318, 'Base 3F'!$B:$C, 2, FALSE)))</f>
        <v>30714815179</v>
      </c>
      <c r="C2318" s="253" t="str">
        <f>IF(A2318="", "", IF(IFERROR(VLOOKUP(A2318, 'Base 3F'!$B:$J, 9, FALSE),"")="", "SIN RUBRO", VLOOKUP(A2318, 'Base 3F'!$B:$J, 9, FALSE)))</f>
        <v>Química</v>
      </c>
      <c r="D2318" s="379" t="s">
        <v>11298</v>
      </c>
      <c r="E2318" s="10" t="s">
        <v>2392</v>
      </c>
      <c r="F2318" s="46" t="s">
        <v>7757</v>
      </c>
    </row>
    <row r="2319">
      <c r="A2319" s="82" t="s">
        <v>312</v>
      </c>
      <c r="B2319" s="252">
        <f>IF(A2319="", "", IF(IFERROR(VLOOKUP(A2319, 'Base 3F'!$B:$C, 2, FALSE),"")="", "SIN CUIT", VLOOKUP(A2319, 'Base 3F'!$B:$C, 2, FALSE)))</f>
        <v>30714815179</v>
      </c>
      <c r="C2319" s="253" t="str">
        <f>IF(A2319="", "", IF(IFERROR(VLOOKUP(A2319, 'Base 3F'!$B:$J, 9, FALSE),"")="", "SIN RUBRO", VLOOKUP(A2319, 'Base 3F'!$B:$J, 9, FALSE)))</f>
        <v>Química</v>
      </c>
      <c r="D2319" s="10" t="s">
        <v>11305</v>
      </c>
      <c r="E2319" s="10" t="s">
        <v>109</v>
      </c>
      <c r="F2319" s="46" t="s">
        <v>115</v>
      </c>
    </row>
    <row r="2320">
      <c r="A2320" s="82" t="s">
        <v>312</v>
      </c>
      <c r="B2320" s="252">
        <f>IF(A2320="", "", IF(IFERROR(VLOOKUP(A2320, 'Base 3F'!$B:$C, 2, FALSE),"")="", "SIN CUIT", VLOOKUP(A2320, 'Base 3F'!$B:$C, 2, FALSE)))</f>
        <v>30714815179</v>
      </c>
      <c r="C2320" s="253" t="str">
        <f>IF(A2320="", "", IF(IFERROR(VLOOKUP(A2320, 'Base 3F'!$B:$J, 9, FALSE),"")="", "SIN RUBRO", VLOOKUP(A2320, 'Base 3F'!$B:$J, 9, FALSE)))</f>
        <v>Química</v>
      </c>
      <c r="D2320" s="10" t="s">
        <v>11310</v>
      </c>
      <c r="E2320" s="10" t="s">
        <v>109</v>
      </c>
      <c r="F2320" s="46" t="s">
        <v>11311</v>
      </c>
    </row>
    <row r="2321">
      <c r="A2321" s="82"/>
      <c r="B2321" s="252"/>
      <c r="C2321" s="253"/>
      <c r="E2321" s="381"/>
      <c r="F2321" s="46"/>
    </row>
    <row r="2322">
      <c r="A2322" s="82"/>
      <c r="B2322" s="252"/>
      <c r="C2322" s="253"/>
      <c r="E2322" s="381"/>
      <c r="F2322" s="46"/>
    </row>
    <row r="2323">
      <c r="B2323" s="252"/>
      <c r="C2323" s="253"/>
    </row>
    <row r="2324">
      <c r="B2324" s="252"/>
      <c r="C2324" s="253"/>
    </row>
    <row r="2337">
      <c r="A2337" s="382"/>
    </row>
    <row r="2349">
      <c r="A2349" s="382"/>
    </row>
    <row r="2357">
      <c r="A2357" s="382"/>
    </row>
    <row r="2359">
      <c r="A2359" s="382"/>
    </row>
    <row r="2360">
      <c r="A2360" s="382"/>
    </row>
    <row r="2371">
      <c r="A2371" s="382"/>
    </row>
    <row r="2377">
      <c r="A2377" s="382"/>
    </row>
  </sheetData>
  <conditionalFormatting sqref="B2:B8708 A1895 A4058">
    <cfRule type="expression" dxfId="3" priority="1">
      <formula>"duplicado"</formula>
    </cfRule>
  </conditionalFormatting>
  <dataValidations>
    <dataValidation type="list" allowBlank="1" showErrorMessage="1" sqref="F2:F2322">
      <formula1>"rebotado_inexistente,funcional,rebotado_bandeja_llena,rebotado_spam,error_formato,ESTADO,rebotado_desconocido"</formula1>
    </dataValidation>
    <dataValidation type="list" allowBlank="1" showErrorMessage="1" sqref="C2:C2324">
      <formula1>"Agropecuaria,Alimenticia,Automotor,Autopartes,Bebidas,Calzado,Caucho,Comercio,Construcción,Cosmética,Cotillon,Cuero,Electricidad,Electrónica,Fundicion,Gráfica,Imprenta,Industria,Informática,Inmobiliarios,Insumos medicos,Logística,Madera,Manufactura,Marmol"&amp;"eria,Metalmecánica,Metalúrgica,Minería,Olivicola,Orfebrería,Papel,Papelera,Petróleo,Piedra,Plástica,Publicidad,Química,Rubro,Servicios,Textil,Transporte,Vidrio,-,Alimenticia ,Plastico,RUBRO"</formula1>
    </dataValidation>
    <dataValidation type="list" allowBlank="1" showErrorMessage="1" sqref="E2:E2322">
      <formula1>"Secundario,Principal"</formula1>
    </dataValidation>
    <dataValidation type="list" allowBlank="1" showErrorMessage="1" sqref="A2:A548 A2123:A2145 A2278:A2282 A2308:A2322">
      <formula1>'Base 3F'!$B$2:$B8708</formula1>
    </dataValidation>
  </dataValidations>
  <hyperlinks>
    <hyperlink r:id="rId4" ref="D24"/>
    <hyperlink r:id="rId5" ref="D50"/>
    <hyperlink r:id="rId6" ref="D81"/>
    <hyperlink r:id="rId7" ref="D187"/>
    <hyperlink r:id="rId8" ref="D193"/>
    <hyperlink r:id="rId9" ref="A195"/>
    <hyperlink r:id="rId10" ref="D199"/>
    <hyperlink r:id="rId11" ref="D329"/>
    <hyperlink r:id="rId12" ref="D335"/>
    <hyperlink r:id="rId13" ref="D435"/>
    <hyperlink r:id="rId14" ref="D523"/>
    <hyperlink r:id="rId15" ref="D524"/>
    <hyperlink r:id="rId16" ref="D544"/>
    <hyperlink r:id="rId17" ref="D559"/>
    <hyperlink r:id="rId18" ref="D575"/>
    <hyperlink r:id="rId19" ref="D619"/>
    <hyperlink r:id="rId20" ref="D710"/>
    <hyperlink r:id="rId21" ref="D980"/>
    <hyperlink r:id="rId22" ref="D1019"/>
    <hyperlink r:id="rId23" ref="D1044"/>
    <hyperlink r:id="rId24" ref="D1097"/>
    <hyperlink r:id="rId25" location="0" ref="D1208"/>
    <hyperlink r:id="rId26" ref="D1227"/>
    <hyperlink r:id="rId27" ref="D1268"/>
    <hyperlink r:id="rId28" ref="D1279"/>
    <hyperlink r:id="rId29" ref="D1305"/>
    <hyperlink r:id="rId30" ref="D1325"/>
    <hyperlink r:id="rId31" ref="D1350"/>
    <hyperlink r:id="rId32" ref="D1378"/>
    <hyperlink r:id="rId33" ref="D1481"/>
    <hyperlink r:id="rId34" ref="D1503"/>
    <hyperlink r:id="rId35" ref="D1561"/>
    <hyperlink r:id="rId36" ref="D1624"/>
    <hyperlink r:id="rId37" ref="D1683"/>
    <hyperlink r:id="rId38" ref="D1685"/>
    <hyperlink r:id="rId39" ref="D1692"/>
    <hyperlink r:id="rId40" ref="D1703"/>
    <hyperlink r:id="rId41" ref="D2311"/>
    <hyperlink r:id="rId42" ref="D2312"/>
    <hyperlink r:id="rId43" ref="D2313"/>
    <hyperlink r:id="rId44" ref="D2314"/>
    <hyperlink r:id="rId45" ref="D2315"/>
    <hyperlink r:id="rId46" ref="D2316"/>
    <hyperlink r:id="rId47" ref="D2317"/>
    <hyperlink r:id="rId48" ref="D2318"/>
  </hyperlinks>
  <drawing r:id="rId49"/>
  <legacyDrawing r:id="rId50"/>
  <tableParts count="34">
    <tablePart r:id="rId85"/>
    <tablePart r:id="rId86"/>
    <tablePart r:id="rId87"/>
    <tablePart r:id="rId88"/>
    <tablePart r:id="rId89"/>
    <tablePart r:id="rId90"/>
    <tablePart r:id="rId91"/>
    <tablePart r:id="rId92"/>
    <tablePart r:id="rId93"/>
    <tablePart r:id="rId94"/>
    <tablePart r:id="rId95"/>
    <tablePart r:id="rId96"/>
    <tablePart r:id="rId97"/>
    <tablePart r:id="rId98"/>
    <tablePart r:id="rId99"/>
    <tablePart r:id="rId100"/>
    <tablePart r:id="rId101"/>
    <tablePart r:id="rId102"/>
    <tablePart r:id="rId103"/>
    <tablePart r:id="rId104"/>
    <tablePart r:id="rId105"/>
    <tablePart r:id="rId106"/>
    <tablePart r:id="rId107"/>
    <tablePart r:id="rId108"/>
    <tablePart r:id="rId109"/>
    <tablePart r:id="rId110"/>
    <tablePart r:id="rId111"/>
    <tablePart r:id="rId112"/>
    <tablePart r:id="rId113"/>
    <tablePart r:id="rId114"/>
    <tablePart r:id="rId115"/>
    <tablePart r:id="rId116"/>
    <tablePart r:id="rId117"/>
    <tablePart r:id="rId11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29"/>
    <col customWidth="1" min="2" max="2" width="8.86"/>
    <col customWidth="1" min="3" max="3" width="8.71"/>
    <col customWidth="1" min="4" max="4" width="10.71"/>
    <col customWidth="1" min="5" max="5" width="29.29"/>
    <col customWidth="1" min="6" max="6" width="8.86"/>
    <col customWidth="1" min="7" max="7" width="8.71"/>
  </cols>
  <sheetData>
    <row r="1">
      <c r="A1" s="1" t="s">
        <v>0</v>
      </c>
      <c r="B1" s="2" t="s">
        <v>1</v>
      </c>
      <c r="C1" s="3" t="s">
        <v>2</v>
      </c>
      <c r="D1" s="4"/>
      <c r="E1" s="5" t="s">
        <v>3</v>
      </c>
      <c r="F1" s="6" t="s">
        <v>1</v>
      </c>
      <c r="G1" s="7" t="s">
        <v>2</v>
      </c>
    </row>
    <row r="2">
      <c r="A2" s="9" t="s">
        <v>5</v>
      </c>
      <c r="B2" s="13">
        <f>COUNTIF('Base 3F'!J5:J1964, A2)</f>
        <v>6</v>
      </c>
      <c r="C2" s="14">
        <f t="shared" ref="C2:C34" si="1">B2/B$35</f>
        <v>0.003311258278</v>
      </c>
      <c r="D2" s="4"/>
      <c r="E2" s="9" t="s">
        <v>15</v>
      </c>
      <c r="F2" s="15">
        <f>COUNTIF('Base 3F'!G5:G1964, E2)</f>
        <v>813</v>
      </c>
      <c r="G2" s="17">
        <f t="shared" ref="G2:G17" si="2">F2/F$18</f>
        <v>0.4020771513</v>
      </c>
      <c r="H2" s="18"/>
      <c r="I2" s="18"/>
      <c r="J2" s="18"/>
      <c r="K2" s="18"/>
      <c r="L2" s="18"/>
      <c r="M2" s="18"/>
      <c r="N2" s="18"/>
      <c r="O2" s="18"/>
      <c r="P2" s="18"/>
      <c r="Q2" s="18"/>
      <c r="R2" s="18"/>
    </row>
    <row r="3">
      <c r="A3" s="19" t="s">
        <v>22</v>
      </c>
      <c r="B3" s="22">
        <f>COUNTIF('Base 3F'!J5:J1964, A3)</f>
        <v>113</v>
      </c>
      <c r="C3" s="24">
        <f t="shared" si="1"/>
        <v>0.06236203091</v>
      </c>
      <c r="D3" s="4"/>
      <c r="E3" s="19" t="s">
        <v>33</v>
      </c>
      <c r="F3" s="25">
        <f>COUNTIF('Base 3F'!G6:G1964, E3)</f>
        <v>2</v>
      </c>
      <c r="G3" s="28">
        <f t="shared" si="2"/>
        <v>0.0009891196835</v>
      </c>
    </row>
    <row r="4">
      <c r="A4" s="19" t="s">
        <v>37</v>
      </c>
      <c r="B4" s="22">
        <f>COUNTIF('Base 3F'!J5:J1964, A4)</f>
        <v>14</v>
      </c>
      <c r="C4" s="24">
        <f t="shared" si="1"/>
        <v>0.007726269316</v>
      </c>
      <c r="D4" s="4"/>
      <c r="E4" s="19" t="s">
        <v>47</v>
      </c>
      <c r="F4" s="25">
        <f>COUNTIF('Base 3F'!G7:G1964, E4)</f>
        <v>16</v>
      </c>
      <c r="G4" s="28">
        <f t="shared" si="2"/>
        <v>0.007912957468</v>
      </c>
    </row>
    <row r="5">
      <c r="A5" s="32" t="s">
        <v>57</v>
      </c>
      <c r="B5" s="34">
        <f>COUNTIF('Base 3F'!J5:J1964, A5)</f>
        <v>18</v>
      </c>
      <c r="C5" s="24">
        <f t="shared" si="1"/>
        <v>0.009933774834</v>
      </c>
      <c r="D5" s="4"/>
      <c r="E5" s="19" t="s">
        <v>68</v>
      </c>
      <c r="F5" s="25">
        <f>COUNTIF('Base 3F'!G7:G1964, E5)</f>
        <v>483</v>
      </c>
      <c r="G5" s="28">
        <f t="shared" si="2"/>
        <v>0.2388724036</v>
      </c>
    </row>
    <row r="6">
      <c r="A6" s="32" t="s">
        <v>73</v>
      </c>
      <c r="B6" s="34">
        <f>COUNTIF('Base 3F'!J5:J1964, A6)</f>
        <v>33</v>
      </c>
      <c r="C6" s="24">
        <f t="shared" si="1"/>
        <v>0.01821192053</v>
      </c>
      <c r="D6" s="4"/>
      <c r="E6" s="19" t="s">
        <v>82</v>
      </c>
      <c r="F6" s="25">
        <f>COUNTIF('Base 3F'!G8:G1964, E6)</f>
        <v>0</v>
      </c>
      <c r="G6" s="28">
        <f t="shared" si="2"/>
        <v>0</v>
      </c>
    </row>
    <row r="7">
      <c r="A7" s="32" t="s">
        <v>88</v>
      </c>
      <c r="B7" s="34">
        <f>COUNTIF('Base 3F'!J5:J1964, A7)</f>
        <v>19</v>
      </c>
      <c r="C7" s="24">
        <f t="shared" si="1"/>
        <v>0.01048565121</v>
      </c>
      <c r="D7" s="4"/>
      <c r="E7" s="19" t="s">
        <v>97</v>
      </c>
      <c r="F7" s="25">
        <f>COUNTIF('Base 3F'!G9:G1964, E7)</f>
        <v>61</v>
      </c>
      <c r="G7" s="28">
        <f t="shared" si="2"/>
        <v>0.03016815035</v>
      </c>
    </row>
    <row r="8">
      <c r="A8" s="19" t="s">
        <v>107</v>
      </c>
      <c r="B8" s="22">
        <f>COUNTIF('Base 3F'!J5:J1964, A8)</f>
        <v>1</v>
      </c>
      <c r="C8" s="24">
        <f t="shared" si="1"/>
        <v>0.0005518763797</v>
      </c>
      <c r="D8" s="4"/>
      <c r="E8" s="19" t="s">
        <v>119</v>
      </c>
      <c r="F8" s="25">
        <f>COUNTIF('Base 3F'!G10:G1964, E8)</f>
        <v>235</v>
      </c>
      <c r="G8" s="28">
        <f t="shared" si="2"/>
        <v>0.1162215628</v>
      </c>
    </row>
    <row r="9">
      <c r="A9" s="32" t="s">
        <v>125</v>
      </c>
      <c r="B9" s="34">
        <f>COUNTIF('Base 3F'!J5:J1964, A9)</f>
        <v>80</v>
      </c>
      <c r="C9" s="24">
        <f t="shared" si="1"/>
        <v>0.04415011038</v>
      </c>
      <c r="D9" s="4"/>
      <c r="E9" s="19" t="s">
        <v>134</v>
      </c>
      <c r="F9" s="25">
        <f>COUNTIF('Base 3F'!G11:G1964, E9)</f>
        <v>31</v>
      </c>
      <c r="G9" s="28">
        <f t="shared" si="2"/>
        <v>0.01533135509</v>
      </c>
    </row>
    <row r="10">
      <c r="A10" s="19" t="s">
        <v>142</v>
      </c>
      <c r="B10" s="22">
        <f>COUNTIF('Base 3F'!J5:J1964, A10)</f>
        <v>2</v>
      </c>
      <c r="C10" s="24">
        <f t="shared" si="1"/>
        <v>0.001103752759</v>
      </c>
      <c r="D10" s="4"/>
      <c r="E10" s="19" t="s">
        <v>154</v>
      </c>
      <c r="F10" s="25">
        <f>COUNTIF('Base 3F'!G12:G1964, E10)</f>
        <v>0</v>
      </c>
      <c r="G10" s="28">
        <f t="shared" si="2"/>
        <v>0</v>
      </c>
    </row>
    <row r="11">
      <c r="A11" s="32" t="s">
        <v>163</v>
      </c>
      <c r="B11" s="34">
        <f>COUNTIF('Base 3F'!J5:J1964, A11)</f>
        <v>5</v>
      </c>
      <c r="C11" s="24">
        <f t="shared" si="1"/>
        <v>0.002759381898</v>
      </c>
      <c r="D11" s="4"/>
      <c r="E11" s="19" t="s">
        <v>175</v>
      </c>
      <c r="F11" s="25">
        <f>COUNTIF('Base 3F'!G13:G1964, E11)</f>
        <v>67</v>
      </c>
      <c r="G11" s="28">
        <f t="shared" si="2"/>
        <v>0.0331355094</v>
      </c>
    </row>
    <row r="12">
      <c r="A12" s="19" t="s">
        <v>185</v>
      </c>
      <c r="B12" s="22">
        <f>COUNTIF('Base 3F'!J5:J1964, A12)</f>
        <v>4</v>
      </c>
      <c r="C12" s="24">
        <f t="shared" si="1"/>
        <v>0.002207505519</v>
      </c>
      <c r="D12" s="4"/>
      <c r="E12" s="19" t="s">
        <v>195</v>
      </c>
      <c r="F12" s="25">
        <f>COUNTIF('Base 3F'!G14:G1964, E12)</f>
        <v>0</v>
      </c>
      <c r="G12" s="28">
        <f t="shared" si="2"/>
        <v>0</v>
      </c>
    </row>
    <row r="13">
      <c r="A13" s="32" t="s">
        <v>207</v>
      </c>
      <c r="B13" s="34">
        <f>COUNTIF('Base 3F'!J5:J1964, A13)</f>
        <v>67</v>
      </c>
      <c r="C13" s="24">
        <f t="shared" si="1"/>
        <v>0.03697571744</v>
      </c>
      <c r="D13" s="4"/>
      <c r="E13" s="19" t="s">
        <v>226</v>
      </c>
      <c r="F13" s="25">
        <f>COUNTIF('Base 3F'!G15:G1964, E13)</f>
        <v>49</v>
      </c>
      <c r="G13" s="28">
        <f t="shared" si="2"/>
        <v>0.02423343225</v>
      </c>
    </row>
    <row r="14">
      <c r="A14" s="19" t="s">
        <v>238</v>
      </c>
      <c r="B14" s="22">
        <f>COUNTIF('Base 3F'!J5:J1964, A14)</f>
        <v>29</v>
      </c>
      <c r="C14" s="24">
        <f t="shared" si="1"/>
        <v>0.01600441501</v>
      </c>
      <c r="D14" s="4"/>
      <c r="E14" s="19" t="s">
        <v>249</v>
      </c>
      <c r="F14" s="25">
        <f>COUNTIF('Base 3F'!G16:G1964, E14)</f>
        <v>65</v>
      </c>
      <c r="G14" s="28">
        <f t="shared" si="2"/>
        <v>0.03214638971</v>
      </c>
    </row>
    <row r="15">
      <c r="A15" s="19" t="s">
        <v>261</v>
      </c>
      <c r="B15" s="22">
        <f>COUNTIF('Base 3F'!J5:J1964, A15)</f>
        <v>25</v>
      </c>
      <c r="C15" s="24">
        <f t="shared" si="1"/>
        <v>0.01379690949</v>
      </c>
      <c r="D15" s="4"/>
      <c r="E15" s="19" t="s">
        <v>269</v>
      </c>
      <c r="F15" s="25">
        <f>COUNTIF('Base 3F'!G17:G1964, E15)</f>
        <v>113</v>
      </c>
      <c r="G15" s="28">
        <f t="shared" si="2"/>
        <v>0.05588526212</v>
      </c>
    </row>
    <row r="16">
      <c r="A16" s="19" t="s">
        <v>278</v>
      </c>
      <c r="B16" s="22">
        <f>COUNTIF('Base 3F'!J5:J1964, A16)</f>
        <v>4</v>
      </c>
      <c r="C16" s="24">
        <f t="shared" si="1"/>
        <v>0.002207505519</v>
      </c>
      <c r="D16" s="4"/>
      <c r="E16" s="19" t="s">
        <v>285</v>
      </c>
      <c r="F16" s="25">
        <f>COUNTIF('Base 3F'!G18:G1964, E16)</f>
        <v>20</v>
      </c>
      <c r="G16" s="28">
        <f t="shared" si="2"/>
        <v>0.009891196835</v>
      </c>
    </row>
    <row r="17">
      <c r="A17" s="19" t="s">
        <v>293</v>
      </c>
      <c r="B17" s="22">
        <f>COUNTIF('Base 3F'!J5:J1964, A17)</f>
        <v>1</v>
      </c>
      <c r="C17" s="24">
        <f t="shared" si="1"/>
        <v>0.0005518763797</v>
      </c>
      <c r="D17" s="4"/>
      <c r="E17" s="87" t="s">
        <v>304</v>
      </c>
      <c r="F17" s="89">
        <v>67.0</v>
      </c>
      <c r="G17" s="90">
        <f t="shared" si="2"/>
        <v>0.0331355094</v>
      </c>
    </row>
    <row r="18">
      <c r="A18" s="32" t="s">
        <v>313</v>
      </c>
      <c r="B18" s="22">
        <f>COUNTIF('Base 3F'!J5:J1964, A18)</f>
        <v>114</v>
      </c>
      <c r="C18" s="24">
        <f t="shared" si="1"/>
        <v>0.06291390728</v>
      </c>
      <c r="D18" s="4"/>
      <c r="E18" s="92" t="s">
        <v>315</v>
      </c>
      <c r="F18" s="93">
        <f t="shared" ref="F18:G18" si="3">SUM(F2:F17)</f>
        <v>2022</v>
      </c>
      <c r="G18" s="94">
        <f t="shared" si="3"/>
        <v>1</v>
      </c>
    </row>
    <row r="19">
      <c r="A19" s="19" t="s">
        <v>327</v>
      </c>
      <c r="B19" s="22">
        <f>COUNTIF('Base 3F'!J5:J1964, A19)</f>
        <v>16</v>
      </c>
      <c r="C19" s="24">
        <f t="shared" si="1"/>
        <v>0.008830022075</v>
      </c>
      <c r="D19" s="4"/>
      <c r="E19" s="97"/>
    </row>
    <row r="20">
      <c r="A20" s="32" t="s">
        <v>337</v>
      </c>
      <c r="B20" s="22">
        <f>COUNTIF('Base 3F'!J5:J1964, A20)</f>
        <v>80</v>
      </c>
      <c r="C20" s="24">
        <f t="shared" si="1"/>
        <v>0.04415011038</v>
      </c>
      <c r="D20" s="4"/>
      <c r="E20" s="97"/>
    </row>
    <row r="21">
      <c r="A21" s="32" t="s">
        <v>347</v>
      </c>
      <c r="B21" s="22">
        <f>COUNTIF('Base 3F'!J5:J1964, A21)</f>
        <v>637</v>
      </c>
      <c r="C21" s="24">
        <f t="shared" si="1"/>
        <v>0.3515452539</v>
      </c>
      <c r="D21" s="4"/>
      <c r="E21" s="97"/>
    </row>
    <row r="22">
      <c r="A22" s="19" t="s">
        <v>356</v>
      </c>
      <c r="B22" s="22">
        <f>COUNTIF('Base 3F'!J5:J1964, A22)</f>
        <v>1</v>
      </c>
      <c r="C22" s="24">
        <f t="shared" si="1"/>
        <v>0.0005518763797</v>
      </c>
      <c r="D22" s="4"/>
      <c r="E22" s="97"/>
    </row>
    <row r="23">
      <c r="A23" s="19" t="s">
        <v>363</v>
      </c>
      <c r="B23" s="22">
        <f>COUNTIF('Base 3F'!J5:J1964, A23)</f>
        <v>1</v>
      </c>
      <c r="C23" s="24">
        <f t="shared" si="1"/>
        <v>0.0005518763797</v>
      </c>
      <c r="D23" s="4"/>
      <c r="E23" s="97"/>
    </row>
    <row r="24">
      <c r="A24" s="19" t="s">
        <v>375</v>
      </c>
      <c r="B24" s="22">
        <f>COUNTIF('Base 3F'!J5:J1964, A24)</f>
        <v>2</v>
      </c>
      <c r="C24" s="24">
        <f t="shared" si="1"/>
        <v>0.001103752759</v>
      </c>
      <c r="D24" s="4"/>
      <c r="E24" s="97"/>
    </row>
    <row r="25">
      <c r="A25" s="32" t="s">
        <v>283</v>
      </c>
      <c r="B25" s="34">
        <f>COUNTIF('Base 3F'!J5:J1964, A25)</f>
        <v>47</v>
      </c>
      <c r="C25" s="24">
        <f t="shared" si="1"/>
        <v>0.02593818985</v>
      </c>
      <c r="D25" s="4"/>
      <c r="E25" s="97"/>
    </row>
    <row r="26">
      <c r="A26" s="19" t="s">
        <v>387</v>
      </c>
      <c r="B26" s="22">
        <f>COUNTIF('Base 3F'!J5:J1964, A26)</f>
        <v>1</v>
      </c>
      <c r="C26" s="24">
        <f t="shared" si="1"/>
        <v>0.0005518763797</v>
      </c>
      <c r="D26" s="4"/>
      <c r="E26" s="97"/>
    </row>
    <row r="27">
      <c r="A27" s="32" t="s">
        <v>396</v>
      </c>
      <c r="B27" s="34">
        <f>COUNTIF('Base 3F'!J5:J1964, A27)</f>
        <v>3</v>
      </c>
      <c r="C27" s="24">
        <f t="shared" si="1"/>
        <v>0.001655629139</v>
      </c>
      <c r="D27" s="4"/>
      <c r="E27" s="97"/>
    </row>
    <row r="28">
      <c r="A28" s="19" t="s">
        <v>403</v>
      </c>
      <c r="B28" s="22">
        <f>COUNTIF('Base 3F'!J5:J1964, A28)</f>
        <v>0</v>
      </c>
      <c r="C28" s="24">
        <f t="shared" si="1"/>
        <v>0</v>
      </c>
      <c r="D28" s="4"/>
      <c r="E28" s="97"/>
    </row>
    <row r="29">
      <c r="A29" s="19" t="s">
        <v>410</v>
      </c>
      <c r="B29" s="22">
        <f>COUNTIF('Base 3F'!J5:J1964, A29)</f>
        <v>1</v>
      </c>
      <c r="C29" s="24">
        <f t="shared" si="1"/>
        <v>0.0005518763797</v>
      </c>
      <c r="D29" s="4"/>
      <c r="E29" s="97"/>
    </row>
    <row r="30">
      <c r="A30" s="32" t="s">
        <v>433</v>
      </c>
      <c r="B30" s="22">
        <f>COUNTIF('Base 3F'!J5:J1964, A30)</f>
        <v>241</v>
      </c>
      <c r="C30" s="24">
        <f t="shared" si="1"/>
        <v>0.1330022075</v>
      </c>
      <c r="D30" s="4"/>
      <c r="E30" s="97"/>
    </row>
    <row r="31">
      <c r="A31" s="19" t="s">
        <v>316</v>
      </c>
      <c r="B31" s="22">
        <f>COUNTIF('Base 3F'!J5:J1964, A31)</f>
        <v>90</v>
      </c>
      <c r="C31" s="24">
        <f t="shared" si="1"/>
        <v>0.04966887417</v>
      </c>
      <c r="D31" s="4"/>
      <c r="E31" s="97"/>
    </row>
    <row r="32">
      <c r="A32" s="32" t="s">
        <v>448</v>
      </c>
      <c r="B32" s="22">
        <f>COUNTIF('Base 3F'!J5:J1964, A32)</f>
        <v>146</v>
      </c>
      <c r="C32" s="24">
        <f t="shared" si="1"/>
        <v>0.08057395143</v>
      </c>
      <c r="D32" s="4"/>
      <c r="E32" s="97"/>
    </row>
    <row r="33">
      <c r="A33" s="19" t="s">
        <v>457</v>
      </c>
      <c r="B33" s="22">
        <f>COUNTIF('Base 3F'!J5:J1964, A33)</f>
        <v>9</v>
      </c>
      <c r="C33" s="24">
        <f t="shared" si="1"/>
        <v>0.004966887417</v>
      </c>
      <c r="D33" s="4"/>
      <c r="E33" s="97"/>
    </row>
    <row r="34">
      <c r="A34" s="87" t="s">
        <v>466</v>
      </c>
      <c r="B34" s="105">
        <f>COUNTIF('Base 3F'!J5:J1964, "=-")</f>
        <v>2</v>
      </c>
      <c r="C34" s="106">
        <f t="shared" si="1"/>
        <v>0.001103752759</v>
      </c>
      <c r="D34" s="4"/>
      <c r="E34" s="97"/>
    </row>
    <row r="35">
      <c r="A35" s="108" t="s">
        <v>315</v>
      </c>
      <c r="B35" s="109">
        <f t="shared" ref="B35:C35" si="4">SUM(B2:B34)</f>
        <v>1812</v>
      </c>
      <c r="C35" s="110">
        <f t="shared" si="4"/>
        <v>1</v>
      </c>
      <c r="D35" s="4"/>
      <c r="E35" s="97"/>
    </row>
    <row r="36" ht="15.75" customHeight="1">
      <c r="A36" s="4"/>
      <c r="B36" s="111"/>
      <c r="C36" s="112"/>
      <c r="E36" s="97"/>
    </row>
    <row r="37" ht="15.75" customHeight="1">
      <c r="A37" s="4"/>
      <c r="B37" s="113"/>
    </row>
    <row r="38" ht="15.75" customHeight="1">
      <c r="A38" s="4"/>
      <c r="B38" s="113"/>
    </row>
    <row r="39" ht="15.75" customHeight="1">
      <c r="B39" s="113"/>
    </row>
    <row r="40" ht="15.75" customHeight="1">
      <c r="B40" s="113"/>
    </row>
    <row r="41" ht="15.75" customHeight="1">
      <c r="B41" s="113"/>
    </row>
    <row r="42" ht="15.75" customHeight="1">
      <c r="B42" s="113"/>
    </row>
    <row r="43" ht="15.75" customHeight="1">
      <c r="B43" s="113"/>
    </row>
    <row r="44" ht="15.75" customHeight="1">
      <c r="B44" s="113"/>
    </row>
    <row r="45" ht="15.75" customHeight="1">
      <c r="B45" s="113"/>
    </row>
    <row r="46" ht="15.75" customHeight="1">
      <c r="B46" s="113"/>
    </row>
    <row r="47" ht="15.75" customHeight="1">
      <c r="B47" s="113"/>
    </row>
    <row r="48" ht="15.75" customHeight="1">
      <c r="B48" s="113"/>
    </row>
    <row r="49" ht="15.75" customHeight="1">
      <c r="B49" s="113"/>
    </row>
    <row r="50" ht="15.75" customHeight="1">
      <c r="B50" s="113"/>
    </row>
    <row r="51" ht="15.75" customHeight="1">
      <c r="B51" s="113"/>
    </row>
    <row r="52" ht="15.75" customHeight="1">
      <c r="B52" s="113"/>
    </row>
    <row r="53" ht="15.75" customHeight="1">
      <c r="B53" s="113"/>
    </row>
    <row r="54" ht="15.75" customHeight="1">
      <c r="B54" s="113"/>
    </row>
    <row r="55" ht="15.75" customHeight="1">
      <c r="B55" s="113"/>
    </row>
    <row r="56" ht="15.75" customHeight="1">
      <c r="B56" s="113"/>
    </row>
    <row r="57" ht="15.75" customHeight="1">
      <c r="B57" s="113"/>
    </row>
    <row r="58" ht="15.75" customHeight="1">
      <c r="B58" s="113"/>
    </row>
    <row r="59" ht="15.75" customHeight="1">
      <c r="B59" s="113"/>
    </row>
    <row r="60" ht="15.75" customHeight="1">
      <c r="B60" s="113"/>
    </row>
    <row r="61" ht="15.75" customHeight="1">
      <c r="B61" s="113"/>
    </row>
    <row r="62" ht="15.75" customHeight="1">
      <c r="B62" s="113"/>
    </row>
    <row r="63" ht="15.75" customHeight="1">
      <c r="B63" s="113"/>
    </row>
    <row r="64" ht="15.75" customHeight="1">
      <c r="B64" s="113"/>
    </row>
    <row r="65" ht="15.75" customHeight="1">
      <c r="B65" s="113"/>
    </row>
    <row r="66" ht="15.75" customHeight="1">
      <c r="B66" s="113"/>
    </row>
    <row r="67" ht="15.75" customHeight="1">
      <c r="B67" s="113"/>
    </row>
    <row r="68" ht="15.75" customHeight="1">
      <c r="B68" s="113"/>
    </row>
    <row r="69" ht="15.75" customHeight="1">
      <c r="B69" s="113"/>
    </row>
    <row r="70" ht="15.75" customHeight="1">
      <c r="B70" s="113"/>
    </row>
    <row r="71" ht="15.75" customHeight="1">
      <c r="B71" s="113"/>
    </row>
    <row r="72" ht="15.75" customHeight="1">
      <c r="B72" s="113"/>
    </row>
    <row r="73" ht="15.75" customHeight="1">
      <c r="B73" s="113"/>
    </row>
    <row r="74" ht="15.75" customHeight="1">
      <c r="B74" s="113"/>
    </row>
    <row r="75" ht="15.75" customHeight="1">
      <c r="B75" s="113"/>
    </row>
    <row r="76" ht="15.75" customHeight="1">
      <c r="B76" s="113"/>
    </row>
    <row r="77" ht="15.75" customHeight="1">
      <c r="B77" s="113"/>
    </row>
    <row r="78" ht="15.75" customHeight="1">
      <c r="B78" s="113"/>
    </row>
    <row r="79" ht="15.75" customHeight="1">
      <c r="B79" s="113"/>
    </row>
    <row r="80" ht="15.75" customHeight="1">
      <c r="B80" s="113"/>
    </row>
    <row r="81" ht="15.75" customHeight="1">
      <c r="B81" s="113"/>
    </row>
    <row r="82" ht="15.75" customHeight="1">
      <c r="B82" s="113"/>
    </row>
    <row r="83" ht="15.75" customHeight="1">
      <c r="B83" s="113"/>
    </row>
    <row r="84" ht="15.75" customHeight="1">
      <c r="B84" s="113"/>
    </row>
    <row r="85" ht="15.75" customHeight="1">
      <c r="B85" s="113"/>
    </row>
    <row r="86" ht="15.75" customHeight="1">
      <c r="B86" s="113"/>
    </row>
    <row r="87" ht="15.75" customHeight="1">
      <c r="B87" s="113"/>
    </row>
    <row r="88" ht="15.75" customHeight="1">
      <c r="B88" s="113"/>
    </row>
    <row r="89" ht="15.75" customHeight="1">
      <c r="B89" s="113"/>
    </row>
    <row r="90" ht="15.75" customHeight="1">
      <c r="B90" s="113"/>
    </row>
    <row r="91" ht="15.75" customHeight="1">
      <c r="B91" s="113"/>
    </row>
    <row r="92" ht="15.75" customHeight="1">
      <c r="B92" s="113"/>
    </row>
    <row r="93" ht="15.75" customHeight="1">
      <c r="B93" s="113"/>
    </row>
    <row r="94" ht="15.75" customHeight="1">
      <c r="B94" s="113"/>
    </row>
    <row r="95" ht="15.75" customHeight="1">
      <c r="B95" s="113"/>
    </row>
    <row r="96" ht="15.75" customHeight="1">
      <c r="B96" s="113"/>
    </row>
    <row r="97" ht="15.75" customHeight="1">
      <c r="B97" s="113"/>
    </row>
    <row r="98" ht="15.75" customHeight="1">
      <c r="B98" s="113"/>
    </row>
    <row r="99" ht="15.75" customHeight="1">
      <c r="B99" s="113"/>
    </row>
    <row r="100" ht="15.75" customHeight="1">
      <c r="B100" s="113"/>
    </row>
    <row r="101" ht="15.75" customHeight="1">
      <c r="B101" s="113"/>
    </row>
    <row r="102" ht="15.75" customHeight="1">
      <c r="B102" s="113"/>
    </row>
    <row r="103" ht="15.75" customHeight="1">
      <c r="B103" s="113"/>
    </row>
    <row r="104" ht="15.75" customHeight="1">
      <c r="B104" s="113"/>
    </row>
    <row r="105" ht="15.75" customHeight="1">
      <c r="B105" s="113"/>
    </row>
    <row r="106" ht="15.75" customHeight="1">
      <c r="B106" s="113"/>
    </row>
    <row r="107" ht="15.75" customHeight="1">
      <c r="B107" s="113"/>
    </row>
    <row r="108" ht="15.75" customHeight="1">
      <c r="B108" s="113"/>
    </row>
    <row r="109" ht="15.75" customHeight="1">
      <c r="B109" s="113"/>
    </row>
    <row r="110" ht="15.75" customHeight="1">
      <c r="B110" s="113"/>
    </row>
    <row r="111" ht="15.75" customHeight="1">
      <c r="B111" s="113"/>
    </row>
    <row r="112" ht="15.75" customHeight="1">
      <c r="B112" s="113"/>
    </row>
    <row r="113" ht="15.75" customHeight="1">
      <c r="B113" s="113"/>
    </row>
    <row r="114" ht="15.75" customHeight="1">
      <c r="B114" s="113"/>
    </row>
    <row r="115" ht="15.75" customHeight="1">
      <c r="B115" s="113"/>
    </row>
    <row r="116" ht="15.75" customHeight="1">
      <c r="B116" s="113"/>
    </row>
    <row r="117" ht="15.75" customHeight="1">
      <c r="B117" s="113"/>
    </row>
    <row r="118" ht="15.75" customHeight="1">
      <c r="B118" s="113"/>
    </row>
    <row r="119" ht="15.75" customHeight="1">
      <c r="B119" s="113"/>
    </row>
    <row r="120" ht="15.75" customHeight="1">
      <c r="B120" s="113"/>
    </row>
    <row r="121" ht="15.75" customHeight="1">
      <c r="B121" s="113"/>
    </row>
    <row r="122" ht="15.75" customHeight="1">
      <c r="B122" s="113"/>
    </row>
    <row r="123" ht="15.75" customHeight="1">
      <c r="B123" s="113"/>
    </row>
    <row r="124" ht="15.75" customHeight="1">
      <c r="B124" s="113"/>
    </row>
    <row r="125" ht="15.75" customHeight="1">
      <c r="B125" s="113"/>
    </row>
    <row r="126" ht="15.75" customHeight="1">
      <c r="B126" s="113"/>
    </row>
    <row r="127" ht="15.75" customHeight="1">
      <c r="B127" s="113"/>
    </row>
    <row r="128" ht="15.75" customHeight="1">
      <c r="B128" s="113"/>
    </row>
    <row r="129" ht="15.75" customHeight="1">
      <c r="B129" s="113"/>
    </row>
    <row r="130" ht="15.75" customHeight="1">
      <c r="B130" s="113"/>
    </row>
    <row r="131" ht="15.75" customHeight="1">
      <c r="B131" s="113"/>
    </row>
    <row r="132" ht="15.75" customHeight="1">
      <c r="B132" s="113"/>
    </row>
    <row r="133" ht="15.75" customHeight="1">
      <c r="B133" s="113"/>
    </row>
    <row r="134" ht="15.75" customHeight="1">
      <c r="B134" s="113"/>
    </row>
    <row r="135" ht="15.75" customHeight="1">
      <c r="B135" s="113"/>
    </row>
    <row r="136" ht="15.75" customHeight="1">
      <c r="B136" s="113"/>
    </row>
    <row r="137" ht="15.75" customHeight="1">
      <c r="B137" s="113"/>
    </row>
    <row r="138" ht="15.75" customHeight="1">
      <c r="B138" s="113"/>
    </row>
    <row r="139" ht="15.75" customHeight="1">
      <c r="B139" s="113"/>
    </row>
    <row r="140" ht="15.75" customHeight="1">
      <c r="B140" s="113"/>
    </row>
    <row r="141" ht="15.75" customHeight="1">
      <c r="B141" s="113"/>
    </row>
    <row r="142" ht="15.75" customHeight="1">
      <c r="B142" s="113"/>
    </row>
    <row r="143" ht="15.75" customHeight="1">
      <c r="B143" s="113"/>
    </row>
    <row r="144" ht="15.75" customHeight="1">
      <c r="B144" s="113"/>
    </row>
    <row r="145" ht="15.75" customHeight="1">
      <c r="B145" s="113"/>
    </row>
    <row r="146" ht="15.75" customHeight="1">
      <c r="B146" s="113"/>
    </row>
    <row r="147" ht="15.75" customHeight="1">
      <c r="B147" s="113"/>
    </row>
    <row r="148" ht="15.75" customHeight="1">
      <c r="B148" s="113"/>
    </row>
    <row r="149" ht="15.75" customHeight="1">
      <c r="B149" s="113"/>
    </row>
    <row r="150" ht="15.75" customHeight="1">
      <c r="B150" s="113"/>
    </row>
    <row r="151" ht="15.75" customHeight="1">
      <c r="B151" s="113"/>
    </row>
    <row r="152" ht="15.75" customHeight="1">
      <c r="B152" s="113"/>
    </row>
    <row r="153" ht="15.75" customHeight="1">
      <c r="B153" s="113"/>
    </row>
    <row r="154" ht="15.75" customHeight="1">
      <c r="B154" s="113"/>
    </row>
    <row r="155" ht="15.75" customHeight="1">
      <c r="B155" s="113"/>
    </row>
    <row r="156" ht="15.75" customHeight="1">
      <c r="B156" s="113"/>
    </row>
    <row r="157" ht="15.75" customHeight="1">
      <c r="B157" s="113"/>
    </row>
    <row r="158" ht="15.75" customHeight="1">
      <c r="B158" s="113"/>
    </row>
    <row r="159" ht="15.75" customHeight="1">
      <c r="B159" s="113"/>
    </row>
    <row r="160" ht="15.75" customHeight="1">
      <c r="B160" s="113"/>
    </row>
    <row r="161" ht="15.75" customHeight="1">
      <c r="B161" s="113"/>
    </row>
    <row r="162" ht="15.75" customHeight="1">
      <c r="B162" s="113"/>
    </row>
    <row r="163" ht="15.75" customHeight="1">
      <c r="B163" s="113"/>
    </row>
    <row r="164" ht="15.75" customHeight="1">
      <c r="B164" s="113"/>
    </row>
    <row r="165" ht="15.75" customHeight="1">
      <c r="B165" s="113"/>
    </row>
    <row r="166" ht="15.75" customHeight="1">
      <c r="B166" s="113"/>
    </row>
    <row r="167" ht="15.75" customHeight="1">
      <c r="B167" s="113"/>
    </row>
    <row r="168" ht="15.75" customHeight="1">
      <c r="B168" s="113"/>
    </row>
    <row r="169" ht="15.75" customHeight="1">
      <c r="B169" s="113"/>
    </row>
    <row r="170" ht="15.75" customHeight="1">
      <c r="B170" s="113"/>
    </row>
    <row r="171" ht="15.75" customHeight="1">
      <c r="B171" s="113"/>
    </row>
    <row r="172" ht="15.75" customHeight="1">
      <c r="B172" s="113"/>
    </row>
    <row r="173" ht="15.75" customHeight="1">
      <c r="B173" s="113"/>
    </row>
    <row r="174" ht="15.75" customHeight="1">
      <c r="B174" s="113"/>
    </row>
    <row r="175" ht="15.75" customHeight="1">
      <c r="B175" s="113"/>
    </row>
    <row r="176" ht="15.75" customHeight="1">
      <c r="B176" s="113"/>
    </row>
    <row r="177" ht="15.75" customHeight="1">
      <c r="B177" s="113"/>
    </row>
    <row r="178" ht="15.75" customHeight="1">
      <c r="B178" s="113"/>
    </row>
    <row r="179" ht="15.75" customHeight="1">
      <c r="B179" s="113"/>
    </row>
    <row r="180" ht="15.75" customHeight="1">
      <c r="B180" s="113"/>
    </row>
    <row r="181" ht="15.75" customHeight="1">
      <c r="B181" s="113"/>
    </row>
    <row r="182" ht="15.75" customHeight="1">
      <c r="B182" s="113"/>
    </row>
    <row r="183" ht="15.75" customHeight="1">
      <c r="B183" s="113"/>
    </row>
    <row r="184" ht="15.75" customHeight="1">
      <c r="B184" s="113"/>
    </row>
    <row r="185" ht="15.75" customHeight="1">
      <c r="B185" s="113"/>
    </row>
    <row r="186" ht="15.75" customHeight="1">
      <c r="B186" s="113"/>
    </row>
    <row r="187" ht="15.75" customHeight="1">
      <c r="B187" s="113"/>
    </row>
    <row r="188" ht="15.75" customHeight="1">
      <c r="B188" s="113"/>
    </row>
    <row r="189" ht="15.75" customHeight="1">
      <c r="B189" s="113"/>
    </row>
    <row r="190" ht="15.75" customHeight="1">
      <c r="B190" s="113"/>
    </row>
    <row r="191" ht="15.75" customHeight="1">
      <c r="B191" s="113"/>
    </row>
    <row r="192" ht="15.75" customHeight="1">
      <c r="B192" s="113"/>
    </row>
    <row r="193" ht="15.75" customHeight="1">
      <c r="B193" s="113"/>
    </row>
    <row r="194" ht="15.75" customHeight="1">
      <c r="B194" s="113"/>
    </row>
    <row r="195" ht="15.75" customHeight="1">
      <c r="B195" s="113"/>
    </row>
    <row r="196" ht="15.75" customHeight="1">
      <c r="B196" s="113"/>
    </row>
    <row r="197" ht="15.75" customHeight="1">
      <c r="B197" s="113"/>
    </row>
    <row r="198" ht="15.75" customHeight="1">
      <c r="B198" s="113"/>
    </row>
    <row r="199" ht="15.75" customHeight="1">
      <c r="B199" s="113"/>
    </row>
    <row r="200" ht="15.75" customHeight="1">
      <c r="B200" s="113"/>
    </row>
    <row r="201" ht="15.75" customHeight="1">
      <c r="B201" s="113"/>
    </row>
    <row r="202" ht="15.75" customHeight="1">
      <c r="B202" s="113"/>
    </row>
    <row r="203" ht="15.75" customHeight="1">
      <c r="B203" s="113"/>
    </row>
    <row r="204" ht="15.75" customHeight="1">
      <c r="B204" s="113"/>
    </row>
    <row r="205" ht="15.75" customHeight="1">
      <c r="B205" s="113"/>
    </row>
    <row r="206" ht="15.75" customHeight="1">
      <c r="B206" s="113"/>
    </row>
    <row r="207" ht="15.75" customHeight="1">
      <c r="B207" s="113"/>
    </row>
    <row r="208" ht="15.75" customHeight="1">
      <c r="B208" s="113"/>
    </row>
    <row r="209" ht="15.75" customHeight="1">
      <c r="B209" s="113"/>
    </row>
    <row r="210" ht="15.75" customHeight="1">
      <c r="B210" s="113"/>
    </row>
    <row r="211" ht="15.75" customHeight="1">
      <c r="B211" s="113"/>
    </row>
    <row r="212" ht="15.75" customHeight="1">
      <c r="B212" s="113"/>
    </row>
    <row r="213" ht="15.75" customHeight="1">
      <c r="B213" s="113"/>
    </row>
    <row r="214" ht="15.75" customHeight="1">
      <c r="B214" s="113"/>
    </row>
    <row r="215" ht="15.75" customHeight="1">
      <c r="B215" s="113"/>
    </row>
    <row r="216" ht="15.75" customHeight="1">
      <c r="B216" s="113"/>
    </row>
    <row r="217" ht="15.75" customHeight="1">
      <c r="B217" s="113"/>
    </row>
    <row r="218" ht="15.75" customHeight="1">
      <c r="B218" s="113"/>
    </row>
    <row r="219" ht="15.75" customHeight="1">
      <c r="B219" s="113"/>
    </row>
    <row r="220" ht="15.75" customHeight="1">
      <c r="B220" s="113"/>
    </row>
    <row r="221" ht="15.75" customHeight="1">
      <c r="B221" s="113"/>
    </row>
    <row r="222" ht="15.75" customHeight="1">
      <c r="B222" s="113"/>
    </row>
    <row r="223" ht="15.75" customHeight="1">
      <c r="B223" s="113"/>
    </row>
    <row r="224" ht="15.75" customHeight="1">
      <c r="B224" s="113"/>
    </row>
    <row r="225" ht="15.75" customHeight="1">
      <c r="B225" s="113"/>
    </row>
    <row r="226" ht="15.75" customHeight="1">
      <c r="B226" s="113"/>
    </row>
    <row r="227" ht="15.75" customHeight="1">
      <c r="B227" s="113"/>
    </row>
    <row r="228" ht="15.75" customHeight="1">
      <c r="B228" s="113"/>
    </row>
    <row r="229" ht="15.75" customHeight="1">
      <c r="B229" s="113"/>
    </row>
    <row r="230" ht="15.75" customHeight="1">
      <c r="B230" s="113"/>
    </row>
    <row r="231" ht="15.75" customHeight="1">
      <c r="B231" s="113"/>
    </row>
    <row r="232" ht="15.75" customHeight="1">
      <c r="B232" s="113"/>
    </row>
    <row r="233" ht="15.75" customHeight="1">
      <c r="B233" s="113"/>
    </row>
    <row r="234" ht="15.75" customHeight="1">
      <c r="B234" s="113"/>
    </row>
    <row r="235" ht="15.75" customHeight="1">
      <c r="B235" s="113"/>
    </row>
    <row r="236" ht="15.75" customHeight="1">
      <c r="B236" s="113"/>
    </row>
    <row r="237" ht="15.75" customHeight="1">
      <c r="B237" s="113"/>
    </row>
    <row r="238" ht="15.75" customHeight="1">
      <c r="B238" s="113"/>
    </row>
    <row r="239" ht="15.75" customHeight="1">
      <c r="B239" s="113"/>
    </row>
    <row r="240" ht="15.75" customHeight="1">
      <c r="B240" s="113"/>
    </row>
    <row r="241" ht="15.75" customHeight="1">
      <c r="B241" s="113"/>
    </row>
    <row r="242" ht="15.75" customHeight="1">
      <c r="B242" s="113"/>
    </row>
    <row r="243" ht="15.75" customHeight="1">
      <c r="B243" s="113"/>
    </row>
    <row r="244" ht="15.75" customHeight="1">
      <c r="B244" s="113"/>
    </row>
    <row r="245" ht="15.75" customHeight="1">
      <c r="B245" s="113"/>
    </row>
    <row r="246" ht="15.75" customHeight="1">
      <c r="B246" s="113"/>
    </row>
    <row r="247" ht="15.75" customHeight="1">
      <c r="B247" s="113"/>
    </row>
    <row r="248" ht="15.75" customHeight="1">
      <c r="B248" s="113"/>
    </row>
    <row r="249" ht="15.75" customHeight="1">
      <c r="B249" s="113"/>
    </row>
    <row r="250" ht="15.75" customHeight="1">
      <c r="B250" s="113"/>
    </row>
    <row r="251" ht="15.75" customHeight="1">
      <c r="B251" s="113"/>
    </row>
    <row r="252" ht="15.75" customHeight="1">
      <c r="B252" s="113"/>
    </row>
    <row r="253" ht="15.75" customHeight="1">
      <c r="B253" s="113"/>
    </row>
    <row r="254" ht="15.75" customHeight="1">
      <c r="B254" s="113"/>
    </row>
    <row r="255" ht="15.75" customHeight="1">
      <c r="B255" s="113"/>
    </row>
    <row r="256" ht="15.75" customHeight="1">
      <c r="B256" s="113"/>
    </row>
    <row r="257" ht="15.75" customHeight="1">
      <c r="B257" s="113"/>
    </row>
    <row r="258" ht="15.75" customHeight="1">
      <c r="B258" s="113"/>
    </row>
    <row r="259" ht="15.75" customHeight="1">
      <c r="B259" s="113"/>
    </row>
    <row r="260" ht="15.75" customHeight="1">
      <c r="B260" s="113"/>
    </row>
    <row r="261" ht="15.75" customHeight="1">
      <c r="B261" s="113"/>
    </row>
    <row r="262" ht="15.75" customHeight="1">
      <c r="B262" s="113"/>
    </row>
    <row r="263" ht="15.75" customHeight="1">
      <c r="B263" s="113"/>
    </row>
    <row r="264" ht="15.75" customHeight="1">
      <c r="B264" s="113"/>
    </row>
    <row r="265" ht="15.75" customHeight="1">
      <c r="B265" s="113"/>
    </row>
    <row r="266" ht="15.75" customHeight="1">
      <c r="B266" s="113"/>
    </row>
    <row r="267" ht="15.75" customHeight="1">
      <c r="B267" s="113"/>
    </row>
    <row r="268" ht="15.75" customHeight="1">
      <c r="B268" s="113"/>
    </row>
    <row r="269" ht="15.75" customHeight="1">
      <c r="B269" s="113"/>
    </row>
    <row r="270" ht="15.75" customHeight="1">
      <c r="B270" s="113"/>
    </row>
    <row r="271" ht="15.75" customHeight="1">
      <c r="B271" s="113"/>
    </row>
    <row r="272" ht="15.75" customHeight="1">
      <c r="B272" s="113"/>
    </row>
    <row r="273" ht="15.75" customHeight="1">
      <c r="B273" s="113"/>
    </row>
    <row r="274" ht="15.75" customHeight="1">
      <c r="B274" s="113"/>
    </row>
    <row r="275" ht="15.75" customHeight="1">
      <c r="B275" s="113"/>
    </row>
    <row r="276" ht="15.75" customHeight="1">
      <c r="B276" s="113"/>
    </row>
    <row r="277" ht="15.75" customHeight="1">
      <c r="B277" s="113"/>
    </row>
    <row r="278" ht="15.75" customHeight="1">
      <c r="B278" s="113"/>
    </row>
    <row r="279" ht="15.75" customHeight="1">
      <c r="B279" s="113"/>
    </row>
    <row r="280" ht="15.75" customHeight="1">
      <c r="B280" s="113"/>
    </row>
    <row r="281" ht="15.75" customHeight="1">
      <c r="B281" s="113"/>
    </row>
    <row r="282" ht="15.75" customHeight="1">
      <c r="B282" s="113"/>
    </row>
    <row r="283" ht="15.75" customHeight="1">
      <c r="B283" s="113"/>
    </row>
    <row r="284" ht="15.75" customHeight="1">
      <c r="B284" s="113"/>
    </row>
    <row r="285" ht="15.75" customHeight="1">
      <c r="B285" s="113"/>
    </row>
    <row r="286" ht="15.75" customHeight="1">
      <c r="B286" s="113"/>
    </row>
    <row r="287" ht="15.75" customHeight="1">
      <c r="B287" s="113"/>
    </row>
    <row r="288" ht="15.75" customHeight="1">
      <c r="B288" s="113"/>
    </row>
    <row r="289" ht="15.75" customHeight="1">
      <c r="B289" s="113"/>
    </row>
    <row r="290" ht="15.75" customHeight="1">
      <c r="B290" s="113"/>
    </row>
    <row r="291" ht="15.75" customHeight="1">
      <c r="B291" s="113"/>
    </row>
    <row r="292" ht="15.75" customHeight="1">
      <c r="B292" s="113"/>
    </row>
    <row r="293" ht="15.75" customHeight="1">
      <c r="B293" s="113"/>
    </row>
    <row r="294" ht="15.75" customHeight="1">
      <c r="B294" s="113"/>
    </row>
    <row r="295" ht="15.75" customHeight="1">
      <c r="B295" s="113"/>
    </row>
    <row r="296" ht="15.75" customHeight="1">
      <c r="B296" s="113"/>
    </row>
    <row r="297" ht="15.75" customHeight="1">
      <c r="B297" s="113"/>
    </row>
    <row r="298" ht="15.75" customHeight="1">
      <c r="B298" s="113"/>
    </row>
    <row r="299" ht="15.75" customHeight="1">
      <c r="B299" s="113"/>
    </row>
    <row r="300" ht="15.75" customHeight="1">
      <c r="B300" s="113"/>
    </row>
    <row r="301" ht="15.75" customHeight="1">
      <c r="B301" s="113"/>
    </row>
    <row r="302" ht="15.75" customHeight="1">
      <c r="B302" s="113"/>
    </row>
    <row r="303" ht="15.75" customHeight="1">
      <c r="B303" s="113"/>
    </row>
    <row r="304" ht="15.75" customHeight="1">
      <c r="B304" s="113"/>
    </row>
    <row r="305" ht="15.75" customHeight="1">
      <c r="B305" s="113"/>
    </row>
    <row r="306" ht="15.75" customHeight="1">
      <c r="B306" s="113"/>
    </row>
    <row r="307" ht="15.75" customHeight="1">
      <c r="B307" s="113"/>
    </row>
    <row r="308" ht="15.75" customHeight="1">
      <c r="B308" s="113"/>
    </row>
    <row r="309" ht="15.75" customHeight="1">
      <c r="B309" s="113"/>
    </row>
    <row r="310" ht="15.75" customHeight="1">
      <c r="B310" s="113"/>
    </row>
    <row r="311" ht="15.75" customHeight="1">
      <c r="B311" s="113"/>
    </row>
    <row r="312" ht="15.75" customHeight="1">
      <c r="B312" s="113"/>
    </row>
    <row r="313" ht="15.75" customHeight="1">
      <c r="B313" s="113"/>
    </row>
    <row r="314" ht="15.75" customHeight="1">
      <c r="B314" s="113"/>
    </row>
    <row r="315" ht="15.75" customHeight="1">
      <c r="B315" s="113"/>
    </row>
    <row r="316" ht="15.75" customHeight="1">
      <c r="B316" s="113"/>
    </row>
    <row r="317" ht="15.75" customHeight="1">
      <c r="B317" s="113"/>
    </row>
    <row r="318" ht="15.75" customHeight="1">
      <c r="B318" s="113"/>
    </row>
    <row r="319" ht="15.75" customHeight="1">
      <c r="B319" s="113"/>
    </row>
    <row r="320" ht="15.75" customHeight="1">
      <c r="B320" s="113"/>
    </row>
    <row r="321" ht="15.75" customHeight="1">
      <c r="B321" s="113"/>
    </row>
    <row r="322" ht="15.75" customHeight="1">
      <c r="B322" s="113"/>
    </row>
    <row r="323" ht="15.75" customHeight="1">
      <c r="B323" s="113"/>
    </row>
    <row r="324" ht="15.75" customHeight="1">
      <c r="B324" s="113"/>
    </row>
    <row r="325" ht="15.75" customHeight="1">
      <c r="B325" s="113"/>
    </row>
    <row r="326" ht="15.75" customHeight="1">
      <c r="B326" s="113"/>
    </row>
    <row r="327" ht="15.75" customHeight="1">
      <c r="B327" s="113"/>
    </row>
    <row r="328" ht="15.75" customHeight="1">
      <c r="B328" s="113"/>
    </row>
    <row r="329" ht="15.75" customHeight="1">
      <c r="B329" s="113"/>
    </row>
    <row r="330" ht="15.75" customHeight="1">
      <c r="B330" s="113"/>
    </row>
    <row r="331" ht="15.75" customHeight="1">
      <c r="B331" s="113"/>
    </row>
    <row r="332" ht="15.75" customHeight="1">
      <c r="B332" s="113"/>
    </row>
    <row r="333" ht="15.75" customHeight="1">
      <c r="B333" s="113"/>
    </row>
    <row r="334" ht="15.75" customHeight="1">
      <c r="B334" s="113"/>
    </row>
    <row r="335" ht="15.75" customHeight="1">
      <c r="B335" s="113"/>
    </row>
    <row r="336" ht="15.75" customHeight="1">
      <c r="B336" s="113"/>
    </row>
    <row r="337" ht="15.75" customHeight="1">
      <c r="B337" s="113"/>
    </row>
    <row r="338" ht="15.75" customHeight="1">
      <c r="B338" s="113"/>
    </row>
    <row r="339" ht="15.75" customHeight="1">
      <c r="B339" s="113"/>
    </row>
    <row r="340" ht="15.75" customHeight="1">
      <c r="B340" s="113"/>
    </row>
    <row r="341" ht="15.75" customHeight="1">
      <c r="B341" s="113"/>
    </row>
    <row r="342" ht="15.75" customHeight="1">
      <c r="B342" s="113"/>
    </row>
    <row r="343" ht="15.75" customHeight="1">
      <c r="B343" s="113"/>
    </row>
    <row r="344" ht="15.75" customHeight="1">
      <c r="B344" s="113"/>
    </row>
    <row r="345" ht="15.75" customHeight="1">
      <c r="B345" s="113"/>
    </row>
    <row r="346" ht="15.75" customHeight="1">
      <c r="B346" s="113"/>
    </row>
    <row r="347" ht="15.75" customHeight="1">
      <c r="B347" s="113"/>
    </row>
    <row r="348" ht="15.75" customHeight="1">
      <c r="B348" s="113"/>
    </row>
    <row r="349" ht="15.75" customHeight="1">
      <c r="B349" s="113"/>
    </row>
    <row r="350" ht="15.75" customHeight="1">
      <c r="B350" s="113"/>
    </row>
    <row r="351" ht="15.75" customHeight="1">
      <c r="B351" s="113"/>
    </row>
    <row r="352" ht="15.75" customHeight="1">
      <c r="B352" s="113"/>
    </row>
    <row r="353" ht="15.75" customHeight="1">
      <c r="B353" s="113"/>
    </row>
    <row r="354" ht="15.75" customHeight="1">
      <c r="B354" s="113"/>
    </row>
    <row r="355" ht="15.75" customHeight="1">
      <c r="B355" s="113"/>
    </row>
    <row r="356" ht="15.75" customHeight="1">
      <c r="B356" s="113"/>
    </row>
    <row r="357" ht="15.75" customHeight="1">
      <c r="B357" s="113"/>
    </row>
    <row r="358" ht="15.75" customHeight="1">
      <c r="B358" s="113"/>
    </row>
    <row r="359" ht="15.75" customHeight="1">
      <c r="B359" s="113"/>
    </row>
    <row r="360" ht="15.75" customHeight="1">
      <c r="B360" s="113"/>
    </row>
    <row r="361" ht="15.75" customHeight="1">
      <c r="B361" s="113"/>
    </row>
    <row r="362" ht="15.75" customHeight="1">
      <c r="B362" s="113"/>
    </row>
    <row r="363" ht="15.75" customHeight="1">
      <c r="B363" s="113"/>
    </row>
    <row r="364" ht="15.75" customHeight="1">
      <c r="B364" s="113"/>
    </row>
    <row r="365" ht="15.75" customHeight="1">
      <c r="B365" s="113"/>
    </row>
    <row r="366" ht="15.75" customHeight="1">
      <c r="B366" s="113"/>
    </row>
    <row r="367" ht="15.75" customHeight="1">
      <c r="B367" s="113"/>
    </row>
    <row r="368" ht="15.75" customHeight="1">
      <c r="B368" s="113"/>
    </row>
    <row r="369" ht="15.75" customHeight="1">
      <c r="B369" s="113"/>
    </row>
    <row r="370" ht="15.75" customHeight="1">
      <c r="B370" s="113"/>
    </row>
    <row r="371" ht="15.75" customHeight="1">
      <c r="B371" s="113"/>
    </row>
    <row r="372" ht="15.75" customHeight="1">
      <c r="B372" s="113"/>
    </row>
    <row r="373" ht="15.75" customHeight="1">
      <c r="B373" s="113"/>
    </row>
    <row r="374" ht="15.75" customHeight="1">
      <c r="B374" s="113"/>
    </row>
    <row r="375" ht="15.75" customHeight="1">
      <c r="B375" s="113"/>
    </row>
    <row r="376" ht="15.75" customHeight="1">
      <c r="B376" s="113"/>
    </row>
    <row r="377" ht="15.75" customHeight="1">
      <c r="B377" s="113"/>
    </row>
    <row r="378" ht="15.75" customHeight="1">
      <c r="B378" s="113"/>
    </row>
    <row r="379" ht="15.75" customHeight="1">
      <c r="B379" s="113"/>
    </row>
    <row r="380" ht="15.75" customHeight="1">
      <c r="B380" s="113"/>
    </row>
    <row r="381" ht="15.75" customHeight="1">
      <c r="B381" s="113"/>
    </row>
    <row r="382" ht="15.75" customHeight="1">
      <c r="B382" s="113"/>
    </row>
    <row r="383" ht="15.75" customHeight="1">
      <c r="B383" s="113"/>
    </row>
    <row r="384" ht="15.75" customHeight="1">
      <c r="B384" s="113"/>
    </row>
    <row r="385" ht="15.75" customHeight="1">
      <c r="B385" s="113"/>
    </row>
    <row r="386" ht="15.75" customHeight="1">
      <c r="B386" s="113"/>
    </row>
    <row r="387" ht="15.75" customHeight="1">
      <c r="B387" s="113"/>
    </row>
    <row r="388" ht="15.75" customHeight="1">
      <c r="B388" s="113"/>
    </row>
    <row r="389" ht="15.75" customHeight="1">
      <c r="B389" s="113"/>
    </row>
    <row r="390" ht="15.75" customHeight="1">
      <c r="B390" s="113"/>
    </row>
    <row r="391" ht="15.75" customHeight="1">
      <c r="B391" s="113"/>
    </row>
    <row r="392" ht="15.75" customHeight="1">
      <c r="B392" s="113"/>
    </row>
    <row r="393" ht="15.75" customHeight="1">
      <c r="B393" s="113"/>
    </row>
    <row r="394" ht="15.75" customHeight="1">
      <c r="B394" s="113"/>
    </row>
    <row r="395" ht="15.75" customHeight="1">
      <c r="B395" s="113"/>
    </row>
    <row r="396" ht="15.75" customHeight="1">
      <c r="B396" s="113"/>
    </row>
    <row r="397" ht="15.75" customHeight="1">
      <c r="B397" s="113"/>
    </row>
    <row r="398" ht="15.75" customHeight="1">
      <c r="B398" s="113"/>
    </row>
    <row r="399" ht="15.75" customHeight="1">
      <c r="B399" s="113"/>
    </row>
    <row r="400" ht="15.75" customHeight="1">
      <c r="B400" s="113"/>
    </row>
    <row r="401" ht="15.75" customHeight="1">
      <c r="B401" s="113"/>
    </row>
    <row r="402" ht="15.75" customHeight="1">
      <c r="B402" s="113"/>
    </row>
    <row r="403" ht="15.75" customHeight="1">
      <c r="B403" s="113"/>
    </row>
    <row r="404" ht="15.75" customHeight="1">
      <c r="B404" s="113"/>
    </row>
    <row r="405" ht="15.75" customHeight="1">
      <c r="B405" s="113"/>
    </row>
    <row r="406" ht="15.75" customHeight="1">
      <c r="B406" s="113"/>
    </row>
    <row r="407" ht="15.75" customHeight="1">
      <c r="B407" s="113"/>
    </row>
    <row r="408" ht="15.75" customHeight="1">
      <c r="B408" s="113"/>
    </row>
    <row r="409" ht="15.75" customHeight="1">
      <c r="B409" s="113"/>
    </row>
    <row r="410" ht="15.75" customHeight="1">
      <c r="B410" s="113"/>
    </row>
    <row r="411" ht="15.75" customHeight="1">
      <c r="B411" s="113"/>
    </row>
    <row r="412" ht="15.75" customHeight="1">
      <c r="B412" s="113"/>
    </row>
    <row r="413" ht="15.75" customHeight="1">
      <c r="B413" s="113"/>
    </row>
    <row r="414" ht="15.75" customHeight="1">
      <c r="B414" s="113"/>
    </row>
    <row r="415" ht="15.75" customHeight="1">
      <c r="B415" s="113"/>
    </row>
    <row r="416" ht="15.75" customHeight="1">
      <c r="B416" s="113"/>
    </row>
    <row r="417" ht="15.75" customHeight="1">
      <c r="B417" s="113"/>
    </row>
    <row r="418" ht="15.75" customHeight="1">
      <c r="B418" s="113"/>
    </row>
    <row r="419" ht="15.75" customHeight="1">
      <c r="B419" s="113"/>
    </row>
    <row r="420" ht="15.75" customHeight="1">
      <c r="B420" s="113"/>
    </row>
    <row r="421" ht="15.75" customHeight="1">
      <c r="B421" s="113"/>
    </row>
    <row r="422" ht="15.75" customHeight="1">
      <c r="B422" s="113"/>
    </row>
    <row r="423" ht="15.75" customHeight="1">
      <c r="B423" s="113"/>
    </row>
    <row r="424" ht="15.75" customHeight="1">
      <c r="B424" s="113"/>
    </row>
    <row r="425" ht="15.75" customHeight="1">
      <c r="B425" s="113"/>
    </row>
    <row r="426" ht="15.75" customHeight="1">
      <c r="B426" s="113"/>
    </row>
    <row r="427" ht="15.75" customHeight="1">
      <c r="B427" s="113"/>
    </row>
    <row r="428" ht="15.75" customHeight="1">
      <c r="B428" s="113"/>
    </row>
    <row r="429" ht="15.75" customHeight="1">
      <c r="B429" s="113"/>
    </row>
    <row r="430" ht="15.75" customHeight="1">
      <c r="B430" s="113"/>
    </row>
    <row r="431" ht="15.75" customHeight="1">
      <c r="B431" s="113"/>
    </row>
    <row r="432" ht="15.75" customHeight="1">
      <c r="B432" s="113"/>
    </row>
    <row r="433" ht="15.75" customHeight="1">
      <c r="B433" s="113"/>
    </row>
    <row r="434" ht="15.75" customHeight="1">
      <c r="B434" s="113"/>
    </row>
    <row r="435" ht="15.75" customHeight="1">
      <c r="B435" s="113"/>
    </row>
    <row r="436" ht="15.75" customHeight="1">
      <c r="B436" s="113"/>
    </row>
    <row r="437" ht="15.75" customHeight="1">
      <c r="B437" s="113"/>
    </row>
    <row r="438" ht="15.75" customHeight="1">
      <c r="B438" s="113"/>
    </row>
    <row r="439" ht="15.75" customHeight="1">
      <c r="B439" s="113"/>
    </row>
    <row r="440" ht="15.75" customHeight="1">
      <c r="B440" s="113"/>
    </row>
    <row r="441" ht="15.75" customHeight="1">
      <c r="B441" s="113"/>
    </row>
    <row r="442" ht="15.75" customHeight="1">
      <c r="B442" s="113"/>
    </row>
    <row r="443" ht="15.75" customHeight="1">
      <c r="B443" s="113"/>
    </row>
    <row r="444" ht="15.75" customHeight="1">
      <c r="B444" s="113"/>
    </row>
    <row r="445" ht="15.75" customHeight="1">
      <c r="B445" s="113"/>
    </row>
    <row r="446" ht="15.75" customHeight="1">
      <c r="B446" s="113"/>
    </row>
    <row r="447" ht="15.75" customHeight="1">
      <c r="B447" s="113"/>
    </row>
    <row r="448" ht="15.75" customHeight="1">
      <c r="B448" s="113"/>
    </row>
    <row r="449" ht="15.75" customHeight="1">
      <c r="B449" s="113"/>
    </row>
    <row r="450" ht="15.75" customHeight="1">
      <c r="B450" s="113"/>
    </row>
    <row r="451" ht="15.75" customHeight="1">
      <c r="B451" s="113"/>
    </row>
    <row r="452" ht="15.75" customHeight="1">
      <c r="B452" s="113"/>
    </row>
    <row r="453" ht="15.75" customHeight="1">
      <c r="B453" s="113"/>
    </row>
    <row r="454" ht="15.75" customHeight="1">
      <c r="B454" s="113"/>
    </row>
    <row r="455" ht="15.75" customHeight="1">
      <c r="B455" s="113"/>
    </row>
    <row r="456" ht="15.75" customHeight="1">
      <c r="B456" s="113"/>
    </row>
    <row r="457" ht="15.75" customHeight="1">
      <c r="B457" s="113"/>
    </row>
    <row r="458" ht="15.75" customHeight="1">
      <c r="B458" s="113"/>
    </row>
    <row r="459" ht="15.75" customHeight="1">
      <c r="B459" s="113"/>
    </row>
    <row r="460" ht="15.75" customHeight="1">
      <c r="B460" s="113"/>
    </row>
    <row r="461" ht="15.75" customHeight="1">
      <c r="B461" s="113"/>
    </row>
    <row r="462" ht="15.75" customHeight="1">
      <c r="B462" s="113"/>
    </row>
    <row r="463" ht="15.75" customHeight="1">
      <c r="B463" s="113"/>
    </row>
    <row r="464" ht="15.75" customHeight="1">
      <c r="B464" s="113"/>
    </row>
    <row r="465" ht="15.75" customHeight="1">
      <c r="B465" s="113"/>
    </row>
    <row r="466" ht="15.75" customHeight="1">
      <c r="B466" s="113"/>
    </row>
    <row r="467" ht="15.75" customHeight="1">
      <c r="B467" s="113"/>
    </row>
    <row r="468" ht="15.75" customHeight="1">
      <c r="B468" s="113"/>
    </row>
    <row r="469" ht="15.75" customHeight="1">
      <c r="B469" s="113"/>
    </row>
    <row r="470" ht="15.75" customHeight="1">
      <c r="B470" s="113"/>
    </row>
    <row r="471" ht="15.75" customHeight="1">
      <c r="B471" s="113"/>
    </row>
    <row r="472" ht="15.75" customHeight="1">
      <c r="B472" s="113"/>
    </row>
    <row r="473" ht="15.75" customHeight="1">
      <c r="B473" s="113"/>
    </row>
    <row r="474" ht="15.75" customHeight="1">
      <c r="B474" s="113"/>
    </row>
    <row r="475" ht="15.75" customHeight="1">
      <c r="B475" s="113"/>
    </row>
    <row r="476" ht="15.75" customHeight="1">
      <c r="B476" s="113"/>
    </row>
    <row r="477" ht="15.75" customHeight="1">
      <c r="B477" s="113"/>
    </row>
    <row r="478" ht="15.75" customHeight="1">
      <c r="B478" s="113"/>
    </row>
    <row r="479" ht="15.75" customHeight="1">
      <c r="B479" s="113"/>
    </row>
    <row r="480" ht="15.75" customHeight="1">
      <c r="B480" s="113"/>
    </row>
    <row r="481" ht="15.75" customHeight="1">
      <c r="B481" s="113"/>
    </row>
    <row r="482" ht="15.75" customHeight="1">
      <c r="B482" s="113"/>
    </row>
    <row r="483" ht="15.75" customHeight="1">
      <c r="B483" s="113"/>
    </row>
    <row r="484" ht="15.75" customHeight="1">
      <c r="B484" s="113"/>
    </row>
    <row r="485" ht="15.75" customHeight="1">
      <c r="B485" s="113"/>
    </row>
    <row r="486" ht="15.75" customHeight="1">
      <c r="B486" s="113"/>
    </row>
    <row r="487" ht="15.75" customHeight="1">
      <c r="B487" s="113"/>
    </row>
    <row r="488" ht="15.75" customHeight="1">
      <c r="B488" s="113"/>
    </row>
    <row r="489" ht="15.75" customHeight="1">
      <c r="B489" s="113"/>
    </row>
    <row r="490" ht="15.75" customHeight="1">
      <c r="B490" s="113"/>
    </row>
    <row r="491" ht="15.75" customHeight="1">
      <c r="B491" s="113"/>
    </row>
    <row r="492" ht="15.75" customHeight="1">
      <c r="B492" s="113"/>
    </row>
    <row r="493" ht="15.75" customHeight="1">
      <c r="B493" s="113"/>
    </row>
    <row r="494" ht="15.75" customHeight="1">
      <c r="B494" s="113"/>
    </row>
    <row r="495" ht="15.75" customHeight="1">
      <c r="B495" s="113"/>
    </row>
    <row r="496" ht="15.75" customHeight="1">
      <c r="B496" s="113"/>
    </row>
    <row r="497" ht="15.75" customHeight="1">
      <c r="B497" s="113"/>
    </row>
    <row r="498" ht="15.75" customHeight="1">
      <c r="B498" s="113"/>
    </row>
    <row r="499" ht="15.75" customHeight="1">
      <c r="B499" s="113"/>
    </row>
    <row r="500" ht="15.75" customHeight="1">
      <c r="B500" s="113"/>
    </row>
    <row r="501" ht="15.75" customHeight="1">
      <c r="B501" s="113"/>
    </row>
    <row r="502" ht="15.75" customHeight="1">
      <c r="B502" s="113"/>
    </row>
    <row r="503" ht="15.75" customHeight="1">
      <c r="B503" s="113"/>
    </row>
    <row r="504" ht="15.75" customHeight="1">
      <c r="B504" s="113"/>
    </row>
    <row r="505" ht="15.75" customHeight="1">
      <c r="B505" s="113"/>
    </row>
    <row r="506" ht="15.75" customHeight="1">
      <c r="B506" s="113"/>
    </row>
    <row r="507" ht="15.75" customHeight="1">
      <c r="B507" s="113"/>
    </row>
    <row r="508" ht="15.75" customHeight="1">
      <c r="B508" s="113"/>
    </row>
    <row r="509" ht="15.75" customHeight="1">
      <c r="B509" s="113"/>
    </row>
    <row r="510" ht="15.75" customHeight="1">
      <c r="B510" s="113"/>
    </row>
    <row r="511" ht="15.75" customHeight="1">
      <c r="B511" s="113"/>
    </row>
    <row r="512" ht="15.75" customHeight="1">
      <c r="B512" s="113"/>
    </row>
    <row r="513" ht="15.75" customHeight="1">
      <c r="B513" s="113"/>
    </row>
    <row r="514" ht="15.75" customHeight="1">
      <c r="B514" s="113"/>
    </row>
    <row r="515" ht="15.75" customHeight="1">
      <c r="B515" s="113"/>
    </row>
    <row r="516" ht="15.75" customHeight="1">
      <c r="B516" s="113"/>
    </row>
    <row r="517" ht="15.75" customHeight="1">
      <c r="B517" s="113"/>
    </row>
    <row r="518" ht="15.75" customHeight="1">
      <c r="B518" s="113"/>
    </row>
    <row r="519" ht="15.75" customHeight="1">
      <c r="B519" s="113"/>
    </row>
    <row r="520" ht="15.75" customHeight="1">
      <c r="B520" s="113"/>
    </row>
    <row r="521" ht="15.75" customHeight="1">
      <c r="B521" s="113"/>
    </row>
    <row r="522" ht="15.75" customHeight="1">
      <c r="B522" s="113"/>
    </row>
    <row r="523" ht="15.75" customHeight="1">
      <c r="B523" s="113"/>
    </row>
    <row r="524" ht="15.75" customHeight="1">
      <c r="B524" s="113"/>
    </row>
    <row r="525" ht="15.75" customHeight="1">
      <c r="B525" s="113"/>
    </row>
    <row r="526" ht="15.75" customHeight="1">
      <c r="B526" s="113"/>
    </row>
    <row r="527" ht="15.75" customHeight="1">
      <c r="B527" s="113"/>
    </row>
    <row r="528" ht="15.75" customHeight="1">
      <c r="B528" s="113"/>
    </row>
    <row r="529" ht="15.75" customHeight="1">
      <c r="B529" s="113"/>
    </row>
    <row r="530" ht="15.75" customHeight="1">
      <c r="B530" s="113"/>
    </row>
    <row r="531" ht="15.75" customHeight="1">
      <c r="B531" s="113"/>
    </row>
    <row r="532" ht="15.75" customHeight="1">
      <c r="B532" s="113"/>
    </row>
    <row r="533" ht="15.75" customHeight="1">
      <c r="B533" s="113"/>
    </row>
    <row r="534" ht="15.75" customHeight="1">
      <c r="B534" s="113"/>
    </row>
    <row r="535" ht="15.75" customHeight="1">
      <c r="B535" s="113"/>
    </row>
    <row r="536" ht="15.75" customHeight="1">
      <c r="B536" s="113"/>
    </row>
    <row r="537" ht="15.75" customHeight="1">
      <c r="B537" s="113"/>
    </row>
    <row r="538" ht="15.75" customHeight="1">
      <c r="B538" s="113"/>
    </row>
    <row r="539" ht="15.75" customHeight="1">
      <c r="B539" s="113"/>
    </row>
    <row r="540" ht="15.75" customHeight="1">
      <c r="B540" s="113"/>
    </row>
    <row r="541" ht="15.75" customHeight="1">
      <c r="B541" s="113"/>
    </row>
    <row r="542" ht="15.75" customHeight="1">
      <c r="B542" s="113"/>
    </row>
    <row r="543" ht="15.75" customHeight="1">
      <c r="B543" s="113"/>
    </row>
    <row r="544" ht="15.75" customHeight="1">
      <c r="B544" s="113"/>
    </row>
    <row r="545" ht="15.75" customHeight="1">
      <c r="B545" s="113"/>
    </row>
    <row r="546" ht="15.75" customHeight="1">
      <c r="B546" s="113"/>
    </row>
    <row r="547" ht="15.75" customHeight="1">
      <c r="B547" s="113"/>
    </row>
    <row r="548" ht="15.75" customHeight="1">
      <c r="B548" s="113"/>
    </row>
    <row r="549" ht="15.75" customHeight="1">
      <c r="B549" s="113"/>
    </row>
    <row r="550" ht="15.75" customHeight="1">
      <c r="B550" s="113"/>
    </row>
    <row r="551" ht="15.75" customHeight="1">
      <c r="B551" s="113"/>
    </row>
    <row r="552" ht="15.75" customHeight="1">
      <c r="B552" s="113"/>
    </row>
    <row r="553" ht="15.75" customHeight="1">
      <c r="B553" s="113"/>
    </row>
    <row r="554" ht="15.75" customHeight="1">
      <c r="B554" s="113"/>
    </row>
    <row r="555" ht="15.75" customHeight="1">
      <c r="B555" s="113"/>
    </row>
    <row r="556" ht="15.75" customHeight="1">
      <c r="B556" s="113"/>
    </row>
    <row r="557" ht="15.75" customHeight="1">
      <c r="B557" s="113"/>
    </row>
    <row r="558" ht="15.75" customHeight="1">
      <c r="B558" s="113"/>
    </row>
    <row r="559" ht="15.75" customHeight="1">
      <c r="B559" s="113"/>
    </row>
    <row r="560" ht="15.75" customHeight="1">
      <c r="B560" s="113"/>
    </row>
    <row r="561" ht="15.75" customHeight="1">
      <c r="B561" s="113"/>
    </row>
    <row r="562" ht="15.75" customHeight="1">
      <c r="B562" s="113"/>
    </row>
    <row r="563" ht="15.75" customHeight="1">
      <c r="B563" s="113"/>
    </row>
    <row r="564" ht="15.75" customHeight="1">
      <c r="B564" s="113"/>
    </row>
    <row r="565" ht="15.75" customHeight="1">
      <c r="B565" s="113"/>
    </row>
    <row r="566" ht="15.75" customHeight="1">
      <c r="B566" s="113"/>
    </row>
    <row r="567" ht="15.75" customHeight="1">
      <c r="B567" s="113"/>
    </row>
    <row r="568" ht="15.75" customHeight="1">
      <c r="B568" s="113"/>
    </row>
    <row r="569" ht="15.75" customHeight="1">
      <c r="B569" s="113"/>
    </row>
    <row r="570" ht="15.75" customHeight="1">
      <c r="B570" s="113"/>
    </row>
    <row r="571" ht="15.75" customHeight="1">
      <c r="B571" s="113"/>
    </row>
    <row r="572" ht="15.75" customHeight="1">
      <c r="B572" s="113"/>
    </row>
    <row r="573" ht="15.75" customHeight="1">
      <c r="B573" s="113"/>
    </row>
    <row r="574" ht="15.75" customHeight="1">
      <c r="B574" s="113"/>
    </row>
    <row r="575" ht="15.75" customHeight="1">
      <c r="B575" s="113"/>
    </row>
    <row r="576" ht="15.75" customHeight="1">
      <c r="B576" s="113"/>
    </row>
    <row r="577" ht="15.75" customHeight="1">
      <c r="B577" s="113"/>
    </row>
    <row r="578" ht="15.75" customHeight="1">
      <c r="B578" s="113"/>
    </row>
    <row r="579" ht="15.75" customHeight="1">
      <c r="B579" s="113"/>
    </row>
    <row r="580" ht="15.75" customHeight="1">
      <c r="B580" s="113"/>
    </row>
    <row r="581" ht="15.75" customHeight="1">
      <c r="B581" s="113"/>
    </row>
    <row r="582" ht="15.75" customHeight="1">
      <c r="B582" s="113"/>
    </row>
    <row r="583" ht="15.75" customHeight="1">
      <c r="B583" s="113"/>
    </row>
    <row r="584" ht="15.75" customHeight="1">
      <c r="B584" s="113"/>
    </row>
    <row r="585" ht="15.75" customHeight="1">
      <c r="B585" s="113"/>
    </row>
    <row r="586" ht="15.75" customHeight="1">
      <c r="B586" s="113"/>
    </row>
    <row r="587" ht="15.75" customHeight="1">
      <c r="B587" s="113"/>
    </row>
    <row r="588" ht="15.75" customHeight="1">
      <c r="B588" s="113"/>
    </row>
    <row r="589" ht="15.75" customHeight="1">
      <c r="B589" s="113"/>
    </row>
    <row r="590" ht="15.75" customHeight="1">
      <c r="B590" s="113"/>
    </row>
    <row r="591" ht="15.75" customHeight="1">
      <c r="B591" s="113"/>
    </row>
    <row r="592" ht="15.75" customHeight="1">
      <c r="B592" s="113"/>
    </row>
    <row r="593" ht="15.75" customHeight="1">
      <c r="B593" s="113"/>
    </row>
    <row r="594" ht="15.75" customHeight="1">
      <c r="B594" s="113"/>
    </row>
    <row r="595" ht="15.75" customHeight="1">
      <c r="B595" s="113"/>
    </row>
    <row r="596" ht="15.75" customHeight="1">
      <c r="B596" s="113"/>
    </row>
    <row r="597" ht="15.75" customHeight="1">
      <c r="B597" s="113"/>
    </row>
    <row r="598" ht="15.75" customHeight="1">
      <c r="B598" s="113"/>
    </row>
    <row r="599" ht="15.75" customHeight="1">
      <c r="B599" s="113"/>
    </row>
    <row r="600" ht="15.75" customHeight="1">
      <c r="B600" s="113"/>
    </row>
    <row r="601" ht="15.75" customHeight="1">
      <c r="B601" s="113"/>
    </row>
    <row r="602" ht="15.75" customHeight="1">
      <c r="B602" s="113"/>
    </row>
    <row r="603" ht="15.75" customHeight="1">
      <c r="B603" s="113"/>
    </row>
    <row r="604" ht="15.75" customHeight="1">
      <c r="B604" s="113"/>
    </row>
    <row r="605" ht="15.75" customHeight="1">
      <c r="B605" s="113"/>
    </row>
    <row r="606" ht="15.75" customHeight="1">
      <c r="B606" s="113"/>
    </row>
    <row r="607" ht="15.75" customHeight="1">
      <c r="B607" s="113"/>
    </row>
    <row r="608" ht="15.75" customHeight="1">
      <c r="B608" s="113"/>
    </row>
    <row r="609" ht="15.75" customHeight="1">
      <c r="B609" s="113"/>
    </row>
    <row r="610" ht="15.75" customHeight="1">
      <c r="B610" s="113"/>
    </row>
    <row r="611" ht="15.75" customHeight="1">
      <c r="B611" s="113"/>
    </row>
    <row r="612" ht="15.75" customHeight="1">
      <c r="B612" s="113"/>
    </row>
    <row r="613" ht="15.75" customHeight="1">
      <c r="B613" s="113"/>
    </row>
    <row r="614" ht="15.75" customHeight="1">
      <c r="B614" s="113"/>
    </row>
    <row r="615" ht="15.75" customHeight="1">
      <c r="B615" s="113"/>
    </row>
    <row r="616" ht="15.75" customHeight="1">
      <c r="B616" s="113"/>
    </row>
    <row r="617" ht="15.75" customHeight="1">
      <c r="B617" s="113"/>
    </row>
    <row r="618" ht="15.75" customHeight="1">
      <c r="B618" s="113"/>
    </row>
    <row r="619" ht="15.75" customHeight="1">
      <c r="B619" s="113"/>
    </row>
    <row r="620" ht="15.75" customHeight="1">
      <c r="B620" s="113"/>
    </row>
    <row r="621" ht="15.75" customHeight="1">
      <c r="B621" s="113"/>
    </row>
    <row r="622" ht="15.75" customHeight="1">
      <c r="B622" s="113"/>
    </row>
    <row r="623" ht="15.75" customHeight="1">
      <c r="B623" s="113"/>
    </row>
    <row r="624" ht="15.75" customHeight="1">
      <c r="B624" s="113"/>
    </row>
    <row r="625" ht="15.75" customHeight="1">
      <c r="B625" s="113"/>
    </row>
    <row r="626" ht="15.75" customHeight="1">
      <c r="B626" s="113"/>
    </row>
    <row r="627" ht="15.75" customHeight="1">
      <c r="B627" s="113"/>
    </row>
    <row r="628" ht="15.75" customHeight="1">
      <c r="B628" s="113"/>
    </row>
    <row r="629" ht="15.75" customHeight="1">
      <c r="B629" s="113"/>
    </row>
    <row r="630" ht="15.75" customHeight="1">
      <c r="B630" s="113"/>
    </row>
    <row r="631" ht="15.75" customHeight="1">
      <c r="B631" s="113"/>
    </row>
    <row r="632" ht="15.75" customHeight="1">
      <c r="B632" s="113"/>
    </row>
    <row r="633" ht="15.75" customHeight="1">
      <c r="B633" s="113"/>
    </row>
    <row r="634" ht="15.75" customHeight="1">
      <c r="B634" s="113"/>
    </row>
    <row r="635" ht="15.75" customHeight="1">
      <c r="B635" s="113"/>
    </row>
    <row r="636" ht="15.75" customHeight="1">
      <c r="B636" s="113"/>
    </row>
    <row r="637" ht="15.75" customHeight="1">
      <c r="B637" s="113"/>
    </row>
    <row r="638" ht="15.75" customHeight="1">
      <c r="B638" s="113"/>
    </row>
    <row r="639" ht="15.75" customHeight="1">
      <c r="B639" s="113"/>
    </row>
    <row r="640" ht="15.75" customHeight="1">
      <c r="B640" s="113"/>
    </row>
    <row r="641" ht="15.75" customHeight="1">
      <c r="B641" s="113"/>
    </row>
    <row r="642" ht="15.75" customHeight="1">
      <c r="B642" s="113"/>
    </row>
    <row r="643" ht="15.75" customHeight="1">
      <c r="B643" s="113"/>
    </row>
    <row r="644" ht="15.75" customHeight="1">
      <c r="B644" s="113"/>
    </row>
    <row r="645" ht="15.75" customHeight="1">
      <c r="B645" s="113"/>
    </row>
    <row r="646" ht="15.75" customHeight="1">
      <c r="B646" s="113"/>
    </row>
    <row r="647" ht="15.75" customHeight="1">
      <c r="B647" s="113"/>
    </row>
    <row r="648" ht="15.75" customHeight="1">
      <c r="B648" s="113"/>
    </row>
    <row r="649" ht="15.75" customHeight="1">
      <c r="B649" s="113"/>
    </row>
    <row r="650" ht="15.75" customHeight="1">
      <c r="B650" s="113"/>
    </row>
    <row r="651" ht="15.75" customHeight="1">
      <c r="B651" s="113"/>
    </row>
    <row r="652" ht="15.75" customHeight="1">
      <c r="B652" s="113"/>
    </row>
    <row r="653" ht="15.75" customHeight="1">
      <c r="B653" s="113"/>
    </row>
    <row r="654" ht="15.75" customHeight="1">
      <c r="B654" s="113"/>
    </row>
    <row r="655" ht="15.75" customHeight="1">
      <c r="B655" s="113"/>
    </row>
    <row r="656" ht="15.75" customHeight="1">
      <c r="B656" s="113"/>
    </row>
    <row r="657" ht="15.75" customHeight="1">
      <c r="B657" s="113"/>
    </row>
    <row r="658" ht="15.75" customHeight="1">
      <c r="B658" s="113"/>
    </row>
    <row r="659" ht="15.75" customHeight="1">
      <c r="B659" s="113"/>
    </row>
    <row r="660" ht="15.75" customHeight="1">
      <c r="B660" s="113"/>
    </row>
    <row r="661" ht="15.75" customHeight="1">
      <c r="B661" s="113"/>
    </row>
    <row r="662" ht="15.75" customHeight="1">
      <c r="B662" s="113"/>
    </row>
    <row r="663" ht="15.75" customHeight="1">
      <c r="B663" s="113"/>
    </row>
    <row r="664" ht="15.75" customHeight="1">
      <c r="B664" s="113"/>
    </row>
    <row r="665" ht="15.75" customHeight="1">
      <c r="B665" s="113"/>
    </row>
    <row r="666" ht="15.75" customHeight="1">
      <c r="B666" s="113"/>
    </row>
    <row r="667" ht="15.75" customHeight="1">
      <c r="B667" s="113"/>
    </row>
    <row r="668" ht="15.75" customHeight="1">
      <c r="B668" s="113"/>
    </row>
    <row r="669" ht="15.75" customHeight="1">
      <c r="B669" s="113"/>
    </row>
    <row r="670" ht="15.75" customHeight="1">
      <c r="B670" s="113"/>
    </row>
    <row r="671" ht="15.75" customHeight="1">
      <c r="B671" s="113"/>
    </row>
    <row r="672" ht="15.75" customHeight="1">
      <c r="B672" s="113"/>
    </row>
    <row r="673" ht="15.75" customHeight="1">
      <c r="B673" s="113"/>
    </row>
    <row r="674" ht="15.75" customHeight="1">
      <c r="B674" s="113"/>
    </row>
    <row r="675" ht="15.75" customHeight="1">
      <c r="B675" s="113"/>
    </row>
    <row r="676" ht="15.75" customHeight="1">
      <c r="B676" s="113"/>
    </row>
    <row r="677" ht="15.75" customHeight="1">
      <c r="B677" s="113"/>
    </row>
    <row r="678" ht="15.75" customHeight="1">
      <c r="B678" s="113"/>
    </row>
    <row r="679" ht="15.75" customHeight="1">
      <c r="B679" s="113"/>
    </row>
    <row r="680" ht="15.75" customHeight="1">
      <c r="B680" s="113"/>
    </row>
    <row r="681" ht="15.75" customHeight="1">
      <c r="B681" s="113"/>
    </row>
    <row r="682" ht="15.75" customHeight="1">
      <c r="B682" s="113"/>
    </row>
    <row r="683" ht="15.75" customHeight="1">
      <c r="B683" s="113"/>
    </row>
    <row r="684" ht="15.75" customHeight="1">
      <c r="B684" s="113"/>
    </row>
    <row r="685" ht="15.75" customHeight="1">
      <c r="B685" s="113"/>
    </row>
    <row r="686" ht="15.75" customHeight="1">
      <c r="B686" s="113"/>
    </row>
    <row r="687" ht="15.75" customHeight="1">
      <c r="B687" s="113"/>
    </row>
    <row r="688" ht="15.75" customHeight="1">
      <c r="B688" s="113"/>
    </row>
    <row r="689" ht="15.75" customHeight="1">
      <c r="B689" s="113"/>
    </row>
    <row r="690" ht="15.75" customHeight="1">
      <c r="B690" s="113"/>
    </row>
    <row r="691" ht="15.75" customHeight="1">
      <c r="B691" s="113"/>
    </row>
    <row r="692" ht="15.75" customHeight="1">
      <c r="B692" s="113"/>
    </row>
    <row r="693" ht="15.75" customHeight="1">
      <c r="B693" s="113"/>
    </row>
    <row r="694" ht="15.75" customHeight="1">
      <c r="B694" s="113"/>
    </row>
    <row r="695" ht="15.75" customHeight="1">
      <c r="B695" s="113"/>
    </row>
    <row r="696" ht="15.75" customHeight="1">
      <c r="B696" s="113"/>
    </row>
    <row r="697" ht="15.75" customHeight="1">
      <c r="B697" s="113"/>
    </row>
    <row r="698" ht="15.75" customHeight="1">
      <c r="B698" s="113"/>
    </row>
    <row r="699" ht="15.75" customHeight="1">
      <c r="B699" s="113"/>
    </row>
    <row r="700" ht="15.75" customHeight="1">
      <c r="B700" s="113"/>
    </row>
    <row r="701" ht="15.75" customHeight="1">
      <c r="B701" s="113"/>
    </row>
    <row r="702" ht="15.75" customHeight="1">
      <c r="B702" s="113"/>
    </row>
    <row r="703" ht="15.75" customHeight="1">
      <c r="B703" s="113"/>
    </row>
    <row r="704" ht="15.75" customHeight="1">
      <c r="B704" s="113"/>
    </row>
    <row r="705" ht="15.75" customHeight="1">
      <c r="B705" s="113"/>
    </row>
    <row r="706" ht="15.75" customHeight="1">
      <c r="B706" s="113"/>
    </row>
    <row r="707" ht="15.75" customHeight="1">
      <c r="B707" s="113"/>
    </row>
    <row r="708" ht="15.75" customHeight="1">
      <c r="B708" s="113"/>
    </row>
    <row r="709" ht="15.75" customHeight="1">
      <c r="B709" s="113"/>
    </row>
    <row r="710" ht="15.75" customHeight="1">
      <c r="B710" s="113"/>
    </row>
    <row r="711" ht="15.75" customHeight="1">
      <c r="B711" s="113"/>
    </row>
    <row r="712" ht="15.75" customHeight="1">
      <c r="B712" s="113"/>
    </row>
    <row r="713" ht="15.75" customHeight="1">
      <c r="B713" s="113"/>
    </row>
    <row r="714" ht="15.75" customHeight="1">
      <c r="B714" s="113"/>
    </row>
    <row r="715" ht="15.75" customHeight="1">
      <c r="B715" s="113"/>
    </row>
    <row r="716" ht="15.75" customHeight="1">
      <c r="B716" s="113"/>
    </row>
    <row r="717" ht="15.75" customHeight="1">
      <c r="B717" s="113"/>
    </row>
    <row r="718" ht="15.75" customHeight="1">
      <c r="B718" s="113"/>
    </row>
    <row r="719" ht="15.75" customHeight="1">
      <c r="B719" s="113"/>
    </row>
    <row r="720" ht="15.75" customHeight="1">
      <c r="B720" s="113"/>
    </row>
    <row r="721" ht="15.75" customHeight="1">
      <c r="B721" s="113"/>
    </row>
    <row r="722" ht="15.75" customHeight="1">
      <c r="B722" s="113"/>
    </row>
    <row r="723" ht="15.75" customHeight="1">
      <c r="B723" s="113"/>
    </row>
    <row r="724" ht="15.75" customHeight="1">
      <c r="B724" s="113"/>
    </row>
    <row r="725" ht="15.75" customHeight="1">
      <c r="B725" s="113"/>
    </row>
    <row r="726" ht="15.75" customHeight="1">
      <c r="B726" s="113"/>
    </row>
    <row r="727" ht="15.75" customHeight="1">
      <c r="B727" s="113"/>
    </row>
    <row r="728" ht="15.75" customHeight="1">
      <c r="B728" s="113"/>
    </row>
    <row r="729" ht="15.75" customHeight="1">
      <c r="B729" s="113"/>
    </row>
    <row r="730" ht="15.75" customHeight="1">
      <c r="B730" s="113"/>
    </row>
    <row r="731" ht="15.75" customHeight="1">
      <c r="B731" s="113"/>
    </row>
    <row r="732" ht="15.75" customHeight="1">
      <c r="B732" s="113"/>
    </row>
    <row r="733" ht="15.75" customHeight="1">
      <c r="B733" s="113"/>
    </row>
    <row r="734" ht="15.75" customHeight="1">
      <c r="B734" s="113"/>
    </row>
    <row r="735" ht="15.75" customHeight="1">
      <c r="B735" s="113"/>
    </row>
    <row r="736" ht="15.75" customHeight="1">
      <c r="B736" s="113"/>
    </row>
    <row r="737" ht="15.75" customHeight="1">
      <c r="B737" s="113"/>
    </row>
    <row r="738" ht="15.75" customHeight="1">
      <c r="B738" s="113"/>
    </row>
    <row r="739" ht="15.75" customHeight="1">
      <c r="B739" s="113"/>
    </row>
    <row r="740" ht="15.75" customHeight="1">
      <c r="B740" s="113"/>
    </row>
    <row r="741" ht="15.75" customHeight="1">
      <c r="B741" s="113"/>
    </row>
    <row r="742" ht="15.75" customHeight="1">
      <c r="B742" s="113"/>
    </row>
    <row r="743" ht="15.75" customHeight="1">
      <c r="B743" s="113"/>
    </row>
    <row r="744" ht="15.75" customHeight="1">
      <c r="B744" s="113"/>
    </row>
    <row r="745" ht="15.75" customHeight="1">
      <c r="B745" s="113"/>
    </row>
    <row r="746" ht="15.75" customHeight="1">
      <c r="B746" s="113"/>
    </row>
    <row r="747" ht="15.75" customHeight="1">
      <c r="B747" s="113"/>
    </row>
    <row r="748" ht="15.75" customHeight="1">
      <c r="B748" s="113"/>
    </row>
    <row r="749" ht="15.75" customHeight="1">
      <c r="B749" s="113"/>
    </row>
    <row r="750" ht="15.75" customHeight="1">
      <c r="B750" s="113"/>
    </row>
    <row r="751" ht="15.75" customHeight="1">
      <c r="B751" s="113"/>
    </row>
    <row r="752" ht="15.75" customHeight="1">
      <c r="B752" s="113"/>
    </row>
    <row r="753" ht="15.75" customHeight="1">
      <c r="B753" s="113"/>
    </row>
    <row r="754" ht="15.75" customHeight="1">
      <c r="B754" s="113"/>
    </row>
    <row r="755" ht="15.75" customHeight="1">
      <c r="B755" s="113"/>
    </row>
    <row r="756" ht="15.75" customHeight="1">
      <c r="B756" s="113"/>
    </row>
    <row r="757" ht="15.75" customHeight="1">
      <c r="B757" s="113"/>
    </row>
    <row r="758" ht="15.75" customHeight="1">
      <c r="B758" s="113"/>
    </row>
    <row r="759" ht="15.75" customHeight="1">
      <c r="B759" s="113"/>
    </row>
    <row r="760" ht="15.75" customHeight="1">
      <c r="B760" s="113"/>
    </row>
    <row r="761" ht="15.75" customHeight="1">
      <c r="B761" s="113"/>
    </row>
    <row r="762" ht="15.75" customHeight="1">
      <c r="B762" s="113"/>
    </row>
    <row r="763" ht="15.75" customHeight="1">
      <c r="B763" s="113"/>
    </row>
    <row r="764" ht="15.75" customHeight="1">
      <c r="B764" s="113"/>
    </row>
    <row r="765" ht="15.75" customHeight="1">
      <c r="B765" s="113"/>
    </row>
    <row r="766" ht="15.75" customHeight="1">
      <c r="B766" s="113"/>
    </row>
    <row r="767" ht="15.75" customHeight="1">
      <c r="B767" s="113"/>
    </row>
    <row r="768" ht="15.75" customHeight="1">
      <c r="B768" s="113"/>
    </row>
    <row r="769" ht="15.75" customHeight="1">
      <c r="B769" s="113"/>
    </row>
    <row r="770" ht="15.75" customHeight="1">
      <c r="B770" s="113"/>
    </row>
    <row r="771" ht="15.75" customHeight="1">
      <c r="B771" s="113"/>
    </row>
    <row r="772" ht="15.75" customHeight="1">
      <c r="B772" s="113"/>
    </row>
    <row r="773" ht="15.75" customHeight="1">
      <c r="B773" s="113"/>
    </row>
    <row r="774" ht="15.75" customHeight="1">
      <c r="B774" s="113"/>
    </row>
    <row r="775" ht="15.75" customHeight="1">
      <c r="B775" s="113"/>
    </row>
    <row r="776" ht="15.75" customHeight="1">
      <c r="B776" s="113"/>
    </row>
    <row r="777" ht="15.75" customHeight="1">
      <c r="B777" s="113"/>
    </row>
    <row r="778" ht="15.75" customHeight="1">
      <c r="B778" s="113"/>
    </row>
    <row r="779" ht="15.75" customHeight="1">
      <c r="B779" s="113"/>
    </row>
    <row r="780" ht="15.75" customHeight="1">
      <c r="B780" s="113"/>
    </row>
    <row r="781" ht="15.75" customHeight="1">
      <c r="B781" s="113"/>
    </row>
    <row r="782" ht="15.75" customHeight="1">
      <c r="B782" s="113"/>
    </row>
    <row r="783" ht="15.75" customHeight="1">
      <c r="B783" s="113"/>
    </row>
    <row r="784" ht="15.75" customHeight="1">
      <c r="B784" s="113"/>
    </row>
    <row r="785" ht="15.75" customHeight="1">
      <c r="B785" s="113"/>
    </row>
    <row r="786" ht="15.75" customHeight="1">
      <c r="B786" s="113"/>
    </row>
    <row r="787" ht="15.75" customHeight="1">
      <c r="B787" s="113"/>
    </row>
    <row r="788" ht="15.75" customHeight="1">
      <c r="B788" s="113"/>
    </row>
    <row r="789" ht="15.75" customHeight="1">
      <c r="B789" s="113"/>
    </row>
    <row r="790" ht="15.75" customHeight="1">
      <c r="B790" s="113"/>
    </row>
    <row r="791" ht="15.75" customHeight="1">
      <c r="B791" s="113"/>
    </row>
    <row r="792" ht="15.75" customHeight="1">
      <c r="B792" s="113"/>
    </row>
    <row r="793" ht="15.75" customHeight="1">
      <c r="B793" s="113"/>
    </row>
    <row r="794" ht="15.75" customHeight="1">
      <c r="B794" s="113"/>
    </row>
    <row r="795" ht="15.75" customHeight="1">
      <c r="B795" s="113"/>
    </row>
    <row r="796" ht="15.75" customHeight="1">
      <c r="B796" s="113"/>
    </row>
    <row r="797" ht="15.75" customHeight="1">
      <c r="B797" s="113"/>
    </row>
    <row r="798" ht="15.75" customHeight="1">
      <c r="B798" s="113"/>
    </row>
    <row r="799" ht="15.75" customHeight="1">
      <c r="B799" s="113"/>
    </row>
    <row r="800" ht="15.75" customHeight="1">
      <c r="B800" s="113"/>
    </row>
    <row r="801" ht="15.75" customHeight="1">
      <c r="B801" s="113"/>
    </row>
    <row r="802" ht="15.75" customHeight="1">
      <c r="B802" s="113"/>
    </row>
    <row r="803" ht="15.75" customHeight="1">
      <c r="B803" s="113"/>
    </row>
    <row r="804" ht="15.75" customHeight="1">
      <c r="B804" s="113"/>
    </row>
    <row r="805" ht="15.75" customHeight="1">
      <c r="B805" s="113"/>
    </row>
    <row r="806" ht="15.75" customHeight="1">
      <c r="B806" s="113"/>
    </row>
    <row r="807" ht="15.75" customHeight="1">
      <c r="B807" s="113"/>
    </row>
    <row r="808" ht="15.75" customHeight="1">
      <c r="B808" s="113"/>
    </row>
    <row r="809" ht="15.75" customHeight="1">
      <c r="B809" s="113"/>
    </row>
    <row r="810" ht="15.75" customHeight="1">
      <c r="B810" s="113"/>
    </row>
    <row r="811" ht="15.75" customHeight="1">
      <c r="B811" s="113"/>
    </row>
    <row r="812" ht="15.75" customHeight="1">
      <c r="B812" s="113"/>
    </row>
    <row r="813" ht="15.75" customHeight="1">
      <c r="B813" s="113"/>
    </row>
    <row r="814" ht="15.75" customHeight="1">
      <c r="B814" s="113"/>
    </row>
    <row r="815" ht="15.75" customHeight="1">
      <c r="B815" s="113"/>
    </row>
    <row r="816" ht="15.75" customHeight="1">
      <c r="B816" s="113"/>
    </row>
    <row r="817" ht="15.75" customHeight="1">
      <c r="B817" s="113"/>
    </row>
    <row r="818" ht="15.75" customHeight="1">
      <c r="B818" s="113"/>
    </row>
    <row r="819" ht="15.75" customHeight="1">
      <c r="B819" s="113"/>
    </row>
    <row r="820" ht="15.75" customHeight="1">
      <c r="B820" s="113"/>
    </row>
    <row r="821" ht="15.75" customHeight="1">
      <c r="B821" s="113"/>
    </row>
    <row r="822" ht="15.75" customHeight="1">
      <c r="B822" s="113"/>
    </row>
    <row r="823" ht="15.75" customHeight="1">
      <c r="B823" s="113"/>
    </row>
    <row r="824" ht="15.75" customHeight="1">
      <c r="B824" s="113"/>
    </row>
    <row r="825" ht="15.75" customHeight="1">
      <c r="B825" s="113"/>
    </row>
    <row r="826" ht="15.75" customHeight="1">
      <c r="B826" s="113"/>
    </row>
    <row r="827" ht="15.75" customHeight="1">
      <c r="B827" s="113"/>
    </row>
    <row r="828" ht="15.75" customHeight="1">
      <c r="B828" s="113"/>
    </row>
    <row r="829" ht="15.75" customHeight="1">
      <c r="B829" s="113"/>
    </row>
    <row r="830" ht="15.75" customHeight="1">
      <c r="B830" s="113"/>
    </row>
    <row r="831" ht="15.75" customHeight="1">
      <c r="B831" s="113"/>
    </row>
    <row r="832" ht="15.75" customHeight="1">
      <c r="B832" s="113"/>
    </row>
    <row r="833" ht="15.75" customHeight="1">
      <c r="B833" s="113"/>
    </row>
    <row r="834" ht="15.75" customHeight="1">
      <c r="B834" s="113"/>
    </row>
    <row r="835" ht="15.75" customHeight="1">
      <c r="B835" s="113"/>
    </row>
    <row r="836" ht="15.75" customHeight="1">
      <c r="B836" s="113"/>
    </row>
    <row r="837" ht="15.75" customHeight="1">
      <c r="B837" s="113"/>
    </row>
    <row r="838" ht="15.75" customHeight="1">
      <c r="B838" s="113"/>
    </row>
    <row r="839" ht="15.75" customHeight="1">
      <c r="B839" s="113"/>
    </row>
    <row r="840" ht="15.75" customHeight="1">
      <c r="B840" s="113"/>
    </row>
    <row r="841" ht="15.75" customHeight="1">
      <c r="B841" s="113"/>
    </row>
    <row r="842" ht="15.75" customHeight="1">
      <c r="B842" s="113"/>
    </row>
    <row r="843" ht="15.75" customHeight="1">
      <c r="B843" s="113"/>
    </row>
    <row r="844" ht="15.75" customHeight="1">
      <c r="B844" s="113"/>
    </row>
    <row r="845" ht="15.75" customHeight="1">
      <c r="B845" s="113"/>
    </row>
    <row r="846" ht="15.75" customHeight="1">
      <c r="B846" s="113"/>
    </row>
    <row r="847" ht="15.75" customHeight="1">
      <c r="B847" s="113"/>
    </row>
    <row r="848" ht="15.75" customHeight="1">
      <c r="B848" s="113"/>
    </row>
    <row r="849" ht="15.75" customHeight="1">
      <c r="B849" s="113"/>
    </row>
    <row r="850" ht="15.75" customHeight="1">
      <c r="B850" s="113"/>
    </row>
    <row r="851" ht="15.75" customHeight="1">
      <c r="B851" s="113"/>
    </row>
    <row r="852" ht="15.75" customHeight="1">
      <c r="B852" s="113"/>
    </row>
    <row r="853" ht="15.75" customHeight="1">
      <c r="B853" s="113"/>
    </row>
    <row r="854" ht="15.75" customHeight="1">
      <c r="B854" s="113"/>
    </row>
    <row r="855" ht="15.75" customHeight="1">
      <c r="B855" s="113"/>
    </row>
    <row r="856" ht="15.75" customHeight="1">
      <c r="B856" s="113"/>
    </row>
    <row r="857" ht="15.75" customHeight="1">
      <c r="B857" s="113"/>
    </row>
    <row r="858" ht="15.75" customHeight="1">
      <c r="B858" s="113"/>
    </row>
    <row r="859" ht="15.75" customHeight="1">
      <c r="B859" s="113"/>
    </row>
    <row r="860" ht="15.75" customHeight="1">
      <c r="B860" s="113"/>
    </row>
    <row r="861" ht="15.75" customHeight="1">
      <c r="B861" s="113"/>
    </row>
    <row r="862" ht="15.75" customHeight="1">
      <c r="B862" s="113"/>
    </row>
    <row r="863" ht="15.75" customHeight="1">
      <c r="B863" s="113"/>
    </row>
    <row r="864" ht="15.75" customHeight="1">
      <c r="B864" s="113"/>
    </row>
    <row r="865" ht="15.75" customHeight="1">
      <c r="B865" s="113"/>
    </row>
    <row r="866" ht="15.75" customHeight="1">
      <c r="B866" s="113"/>
    </row>
    <row r="867" ht="15.75" customHeight="1">
      <c r="B867" s="113"/>
    </row>
    <row r="868" ht="15.75" customHeight="1">
      <c r="B868" s="113"/>
    </row>
    <row r="869" ht="15.75" customHeight="1">
      <c r="B869" s="113"/>
    </row>
    <row r="870" ht="15.75" customHeight="1">
      <c r="B870" s="113"/>
    </row>
    <row r="871" ht="15.75" customHeight="1">
      <c r="B871" s="113"/>
    </row>
    <row r="872" ht="15.75" customHeight="1">
      <c r="B872" s="113"/>
    </row>
    <row r="873" ht="15.75" customHeight="1">
      <c r="B873" s="113"/>
    </row>
    <row r="874" ht="15.75" customHeight="1">
      <c r="B874" s="113"/>
    </row>
    <row r="875" ht="15.75" customHeight="1">
      <c r="B875" s="113"/>
    </row>
    <row r="876" ht="15.75" customHeight="1">
      <c r="B876" s="113"/>
    </row>
    <row r="877" ht="15.75" customHeight="1">
      <c r="B877" s="113"/>
    </row>
    <row r="878" ht="15.75" customHeight="1">
      <c r="B878" s="113"/>
    </row>
    <row r="879" ht="15.75" customHeight="1">
      <c r="B879" s="113"/>
    </row>
    <row r="880" ht="15.75" customHeight="1">
      <c r="B880" s="113"/>
    </row>
    <row r="881" ht="15.75" customHeight="1">
      <c r="B881" s="113"/>
    </row>
    <row r="882" ht="15.75" customHeight="1">
      <c r="B882" s="113"/>
    </row>
    <row r="883" ht="15.75" customHeight="1">
      <c r="B883" s="113"/>
    </row>
    <row r="884" ht="15.75" customHeight="1">
      <c r="B884" s="113"/>
    </row>
    <row r="885" ht="15.75" customHeight="1">
      <c r="B885" s="113"/>
    </row>
    <row r="886" ht="15.75" customHeight="1">
      <c r="B886" s="113"/>
    </row>
    <row r="887" ht="15.75" customHeight="1">
      <c r="B887" s="113"/>
    </row>
    <row r="888" ht="15.75" customHeight="1">
      <c r="B888" s="113"/>
    </row>
    <row r="889" ht="15.75" customHeight="1">
      <c r="B889" s="113"/>
    </row>
    <row r="890" ht="15.75" customHeight="1">
      <c r="B890" s="113"/>
    </row>
    <row r="891" ht="15.75" customHeight="1">
      <c r="B891" s="113"/>
    </row>
    <row r="892" ht="15.75" customHeight="1">
      <c r="B892" s="113"/>
    </row>
    <row r="893" ht="15.75" customHeight="1">
      <c r="B893" s="113"/>
    </row>
    <row r="894" ht="15.75" customHeight="1">
      <c r="B894" s="113"/>
    </row>
    <row r="895" ht="15.75" customHeight="1">
      <c r="B895" s="113"/>
    </row>
    <row r="896" ht="15.75" customHeight="1">
      <c r="B896" s="113"/>
    </row>
    <row r="897" ht="15.75" customHeight="1">
      <c r="B897" s="113"/>
    </row>
    <row r="898" ht="15.75" customHeight="1">
      <c r="B898" s="113"/>
    </row>
    <row r="899" ht="15.75" customHeight="1">
      <c r="B899" s="113"/>
    </row>
    <row r="900" ht="15.75" customHeight="1">
      <c r="B900" s="113"/>
    </row>
    <row r="901" ht="15.75" customHeight="1">
      <c r="B901" s="113"/>
    </row>
    <row r="902" ht="15.75" customHeight="1">
      <c r="B902" s="113"/>
    </row>
    <row r="903" ht="15.75" customHeight="1">
      <c r="B903" s="113"/>
    </row>
    <row r="904" ht="15.75" customHeight="1">
      <c r="B904" s="113"/>
    </row>
    <row r="905" ht="15.75" customHeight="1">
      <c r="B905" s="113"/>
    </row>
    <row r="906" ht="15.75" customHeight="1">
      <c r="B906" s="113"/>
    </row>
    <row r="907" ht="15.75" customHeight="1">
      <c r="B907" s="113"/>
    </row>
    <row r="908" ht="15.75" customHeight="1">
      <c r="B908" s="113"/>
    </row>
    <row r="909" ht="15.75" customHeight="1">
      <c r="B909" s="113"/>
    </row>
    <row r="910" ht="15.75" customHeight="1">
      <c r="B910" s="113"/>
    </row>
    <row r="911" ht="15.75" customHeight="1">
      <c r="B911" s="113"/>
    </row>
    <row r="912" ht="15.75" customHeight="1">
      <c r="B912" s="113"/>
    </row>
    <row r="913" ht="15.75" customHeight="1">
      <c r="B913" s="113"/>
    </row>
    <row r="914" ht="15.75" customHeight="1">
      <c r="B914" s="113"/>
    </row>
    <row r="915" ht="15.75" customHeight="1">
      <c r="B915" s="113"/>
    </row>
    <row r="916" ht="15.75" customHeight="1">
      <c r="B916" s="113"/>
    </row>
    <row r="917" ht="15.75" customHeight="1">
      <c r="B917" s="113"/>
    </row>
    <row r="918" ht="15.75" customHeight="1">
      <c r="B918" s="113"/>
    </row>
    <row r="919" ht="15.75" customHeight="1">
      <c r="B919" s="113"/>
    </row>
    <row r="920" ht="15.75" customHeight="1">
      <c r="B920" s="113"/>
    </row>
    <row r="921" ht="15.75" customHeight="1">
      <c r="B921" s="113"/>
    </row>
    <row r="922" ht="15.75" customHeight="1">
      <c r="B922" s="113"/>
    </row>
    <row r="923" ht="15.75" customHeight="1">
      <c r="B923" s="113"/>
    </row>
    <row r="924" ht="15.75" customHeight="1">
      <c r="B924" s="113"/>
    </row>
    <row r="925" ht="15.75" customHeight="1">
      <c r="B925" s="113"/>
    </row>
    <row r="926" ht="15.75" customHeight="1">
      <c r="B926" s="113"/>
    </row>
    <row r="927" ht="15.75" customHeight="1">
      <c r="B927" s="113"/>
    </row>
    <row r="928" ht="15.75" customHeight="1">
      <c r="B928" s="113"/>
    </row>
    <row r="929" ht="15.75" customHeight="1">
      <c r="B929" s="113"/>
    </row>
    <row r="930" ht="15.75" customHeight="1">
      <c r="B930" s="113"/>
    </row>
    <row r="931" ht="15.75" customHeight="1">
      <c r="B931" s="113"/>
    </row>
    <row r="932" ht="15.75" customHeight="1">
      <c r="B932" s="113"/>
    </row>
    <row r="933" ht="15.75" customHeight="1">
      <c r="B933" s="113"/>
    </row>
    <row r="934" ht="15.75" customHeight="1">
      <c r="B934" s="113"/>
    </row>
    <row r="935" ht="15.75" customHeight="1">
      <c r="B935" s="113"/>
    </row>
    <row r="936" ht="15.75" customHeight="1">
      <c r="B936" s="113"/>
    </row>
    <row r="937" ht="15.75" customHeight="1">
      <c r="B937" s="113"/>
    </row>
    <row r="938" ht="15.75" customHeight="1">
      <c r="B938" s="113"/>
    </row>
    <row r="939" ht="15.75" customHeight="1">
      <c r="B939" s="113"/>
    </row>
    <row r="940" ht="15.75" customHeight="1">
      <c r="B940" s="113"/>
    </row>
    <row r="941" ht="15.75" customHeight="1">
      <c r="B941" s="113"/>
    </row>
    <row r="942" ht="15.75" customHeight="1">
      <c r="B942" s="113"/>
    </row>
    <row r="943" ht="15.75" customHeight="1">
      <c r="B943" s="113"/>
    </row>
    <row r="944" ht="15.75" customHeight="1">
      <c r="B944" s="113"/>
    </row>
    <row r="945" ht="15.75" customHeight="1">
      <c r="B945" s="113"/>
    </row>
    <row r="946" ht="15.75" customHeight="1">
      <c r="B946" s="113"/>
    </row>
    <row r="947" ht="15.75" customHeight="1">
      <c r="B947" s="113"/>
    </row>
    <row r="948" ht="15.75" customHeight="1">
      <c r="B948" s="113"/>
    </row>
    <row r="949" ht="15.75" customHeight="1">
      <c r="B949" s="113"/>
    </row>
    <row r="950" ht="15.75" customHeight="1">
      <c r="B950" s="113"/>
    </row>
    <row r="951" ht="15.75" customHeight="1">
      <c r="B951" s="113"/>
    </row>
    <row r="952" ht="15.75" customHeight="1">
      <c r="B952" s="113"/>
    </row>
    <row r="953" ht="15.75" customHeight="1">
      <c r="B953" s="113"/>
    </row>
    <row r="954" ht="15.75" customHeight="1">
      <c r="B954" s="113"/>
    </row>
    <row r="955" ht="15.75" customHeight="1">
      <c r="B955" s="113"/>
    </row>
    <row r="956" ht="15.75" customHeight="1">
      <c r="B956" s="113"/>
    </row>
    <row r="957" ht="15.75" customHeight="1">
      <c r="B957" s="113"/>
    </row>
    <row r="958" ht="15.75" customHeight="1">
      <c r="B958" s="113"/>
    </row>
    <row r="959" ht="15.75" customHeight="1">
      <c r="B959" s="113"/>
    </row>
    <row r="960" ht="15.75" customHeight="1">
      <c r="B960" s="113"/>
    </row>
    <row r="961" ht="15.75" customHeight="1">
      <c r="B961" s="113"/>
    </row>
    <row r="962" ht="15.75" customHeight="1">
      <c r="B962" s="113"/>
    </row>
    <row r="963" ht="15.75" customHeight="1">
      <c r="B963" s="113"/>
    </row>
    <row r="964" ht="15.75" customHeight="1">
      <c r="B964" s="113"/>
    </row>
    <row r="965" ht="15.75" customHeight="1">
      <c r="B965" s="113"/>
    </row>
    <row r="966" ht="15.75" customHeight="1">
      <c r="B966" s="113"/>
    </row>
    <row r="967" ht="15.75" customHeight="1">
      <c r="B967" s="113"/>
    </row>
    <row r="968" ht="15.75" customHeight="1">
      <c r="B968" s="113"/>
    </row>
    <row r="969" ht="15.75" customHeight="1">
      <c r="B969" s="113"/>
    </row>
    <row r="970" ht="15.75" customHeight="1">
      <c r="B970" s="113"/>
    </row>
    <row r="971" ht="15.75" customHeight="1">
      <c r="B971" s="113"/>
    </row>
    <row r="972" ht="15.75" customHeight="1">
      <c r="B972" s="113"/>
    </row>
    <row r="973" ht="15.75" customHeight="1">
      <c r="B973" s="113"/>
    </row>
    <row r="974" ht="15.75" customHeight="1">
      <c r="B974" s="113"/>
    </row>
    <row r="975" ht="15.75" customHeight="1">
      <c r="B975" s="113"/>
    </row>
    <row r="976" ht="15.75" customHeight="1">
      <c r="B976" s="113"/>
    </row>
    <row r="977" ht="15.75" customHeight="1">
      <c r="B977" s="113"/>
    </row>
    <row r="978" ht="15.75" customHeight="1">
      <c r="B978" s="113"/>
    </row>
    <row r="979" ht="15.75" customHeight="1">
      <c r="B979" s="113"/>
    </row>
    <row r="980" ht="15.75" customHeight="1">
      <c r="B980" s="113"/>
    </row>
    <row r="981" ht="15.75" customHeight="1">
      <c r="B981" s="113"/>
    </row>
    <row r="982" ht="15.75" customHeight="1">
      <c r="B982" s="113"/>
    </row>
    <row r="983" ht="15.75" customHeight="1">
      <c r="B983" s="113"/>
    </row>
    <row r="984" ht="15.75" customHeight="1">
      <c r="B984" s="113"/>
    </row>
    <row r="985" ht="15.75" customHeight="1">
      <c r="B985" s="113"/>
    </row>
    <row r="986" ht="15.75" customHeight="1">
      <c r="B986" s="113"/>
    </row>
    <row r="987" ht="15.75" customHeight="1">
      <c r="B987" s="113"/>
    </row>
    <row r="988" ht="15.75" customHeight="1">
      <c r="B988" s="113"/>
    </row>
    <row r="989" ht="15.75" customHeight="1">
      <c r="B989" s="113"/>
    </row>
    <row r="990" ht="15.75" customHeight="1">
      <c r="B990" s="113"/>
    </row>
    <row r="991" ht="15.75" customHeight="1">
      <c r="B991" s="113"/>
    </row>
    <row r="992" ht="15.75" customHeight="1">
      <c r="B992" s="113"/>
    </row>
    <row r="993" ht="15.75" customHeight="1">
      <c r="B993" s="113"/>
    </row>
    <row r="994" ht="15.75" customHeight="1">
      <c r="B994" s="113"/>
    </row>
    <row r="995" ht="15.75" customHeight="1">
      <c r="B995" s="113"/>
    </row>
    <row r="996" ht="15.75" customHeight="1">
      <c r="B996" s="113"/>
    </row>
    <row r="997" ht="15.75" customHeight="1">
      <c r="B997" s="113"/>
    </row>
    <row r="998" ht="15.75" customHeight="1">
      <c r="B998" s="113"/>
    </row>
    <row r="999" ht="15.75" customHeight="1">
      <c r="B999" s="113"/>
    </row>
    <row r="1000" ht="15.75" customHeight="1">
      <c r="B1000" s="113"/>
    </row>
    <row r="1001" ht="15.75" customHeight="1">
      <c r="B1001" s="113"/>
    </row>
    <row r="1002" ht="15.75" customHeight="1">
      <c r="B1002" s="113"/>
    </row>
    <row r="1003" ht="15.75" customHeight="1">
      <c r="B1003" s="113"/>
    </row>
    <row r="1004" ht="15.75" customHeight="1">
      <c r="B1004" s="113"/>
    </row>
    <row r="1005" ht="15.75" customHeight="1">
      <c r="B1005" s="113"/>
    </row>
    <row r="1006" ht="15.75" customHeight="1">
      <c r="B1006" s="113"/>
    </row>
    <row r="1007" ht="15.75" customHeight="1">
      <c r="B1007" s="113"/>
    </row>
    <row r="1008" ht="15.75" customHeight="1">
      <c r="B1008" s="113"/>
    </row>
    <row r="1009" ht="15.75" customHeight="1">
      <c r="B1009" s="113"/>
    </row>
    <row r="1010" ht="15.75" customHeight="1">
      <c r="B1010" s="113"/>
    </row>
    <row r="1011" ht="15.75" customHeight="1">
      <c r="B1011" s="113"/>
    </row>
    <row r="1012" ht="15.75" customHeight="1">
      <c r="B1012" s="113"/>
    </row>
  </sheetData>
  <conditionalFormatting sqref="C2:C34 G2:G17">
    <cfRule type="colorScale" priority="1">
      <colorScale>
        <cfvo type="min"/>
        <cfvo type="percentile" val="50"/>
        <cfvo type="max"/>
        <color rgb="FFF8696B"/>
        <color rgb="FFFFEB84"/>
        <color rgb="FF63BE7B"/>
      </colorScale>
    </cfRule>
  </conditionalFormatting>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4.43" defaultRowHeight="15.0"/>
  <cols>
    <col customWidth="1" min="1" max="1" width="55.29"/>
  </cols>
  <sheetData>
    <row r="1">
      <c r="A1" s="8" t="s">
        <v>4</v>
      </c>
      <c r="B1" s="10" t="s">
        <v>6</v>
      </c>
    </row>
    <row r="2">
      <c r="A2" s="11"/>
    </row>
    <row r="3">
      <c r="A3" s="12" t="s">
        <v>7</v>
      </c>
    </row>
    <row r="4">
      <c r="A4" s="12" t="s">
        <v>8</v>
      </c>
    </row>
    <row r="5">
      <c r="A5" s="12" t="s">
        <v>9</v>
      </c>
    </row>
    <row r="6">
      <c r="A6" s="12" t="s">
        <v>10</v>
      </c>
    </row>
    <row r="7">
      <c r="A7" s="12" t="s">
        <v>11</v>
      </c>
    </row>
    <row r="8">
      <c r="A8" s="12" t="s">
        <v>12</v>
      </c>
    </row>
    <row r="9">
      <c r="A9" s="12" t="s">
        <v>13</v>
      </c>
    </row>
    <row r="10">
      <c r="A10" s="16" t="s">
        <v>14</v>
      </c>
    </row>
    <row r="11">
      <c r="A11" s="12" t="s">
        <v>16</v>
      </c>
    </row>
    <row r="12">
      <c r="A12" s="12" t="s">
        <v>17</v>
      </c>
    </row>
    <row r="13">
      <c r="A13" s="12" t="s">
        <v>18</v>
      </c>
    </row>
    <row r="14">
      <c r="A14" s="12" t="s">
        <v>19</v>
      </c>
    </row>
    <row r="15">
      <c r="A15" s="12" t="s">
        <v>20</v>
      </c>
    </row>
    <row r="16">
      <c r="A16" s="12" t="s">
        <v>21</v>
      </c>
    </row>
    <row r="17">
      <c r="A17" s="12" t="s">
        <v>23</v>
      </c>
    </row>
    <row r="18">
      <c r="A18" s="12" t="s">
        <v>25</v>
      </c>
    </row>
    <row r="19">
      <c r="A19" s="21" t="s">
        <v>26</v>
      </c>
    </row>
    <row r="20">
      <c r="A20" s="12" t="s">
        <v>28</v>
      </c>
    </row>
    <row r="21">
      <c r="A21" s="12" t="s">
        <v>29</v>
      </c>
    </row>
    <row r="22">
      <c r="A22" s="12" t="s">
        <v>30</v>
      </c>
    </row>
    <row r="23">
      <c r="A23" s="12" t="s">
        <v>31</v>
      </c>
    </row>
    <row r="24">
      <c r="A24" s="12" t="s">
        <v>32</v>
      </c>
    </row>
    <row r="25">
      <c r="A25" s="27" t="s">
        <v>34</v>
      </c>
    </row>
    <row r="26">
      <c r="A26" s="12" t="s">
        <v>35</v>
      </c>
    </row>
    <row r="27">
      <c r="A27" s="12" t="s">
        <v>36</v>
      </c>
    </row>
    <row r="28">
      <c r="A28" s="12" t="s">
        <v>38</v>
      </c>
    </row>
    <row r="29">
      <c r="A29" s="12" t="s">
        <v>39</v>
      </c>
    </row>
    <row r="30">
      <c r="A30" s="12" t="s">
        <v>40</v>
      </c>
    </row>
    <row r="31">
      <c r="A31" s="12" t="s">
        <v>41</v>
      </c>
    </row>
    <row r="32">
      <c r="A32" s="12" t="s">
        <v>42</v>
      </c>
    </row>
    <row r="33">
      <c r="A33" s="12" t="s">
        <v>43</v>
      </c>
    </row>
    <row r="34">
      <c r="A34" s="12" t="s">
        <v>44</v>
      </c>
    </row>
    <row r="35">
      <c r="A35" s="12" t="s">
        <v>45</v>
      </c>
    </row>
    <row r="36">
      <c r="A36" s="12" t="s">
        <v>46</v>
      </c>
    </row>
    <row r="37">
      <c r="A37" s="12" t="s">
        <v>48</v>
      </c>
    </row>
    <row r="38">
      <c r="A38" s="12" t="s">
        <v>49</v>
      </c>
    </row>
    <row r="39">
      <c r="A39" s="12" t="s">
        <v>50</v>
      </c>
    </row>
    <row r="40">
      <c r="A40" s="12" t="s">
        <v>51</v>
      </c>
    </row>
    <row r="41">
      <c r="A41" s="12" t="s">
        <v>52</v>
      </c>
    </row>
    <row r="42">
      <c r="A42" s="12" t="s">
        <v>53</v>
      </c>
    </row>
    <row r="43">
      <c r="A43" s="12" t="s">
        <v>54</v>
      </c>
    </row>
    <row r="44">
      <c r="A44" s="12" t="s">
        <v>55</v>
      </c>
    </row>
    <row r="45">
      <c r="A45" s="12" t="s">
        <v>56</v>
      </c>
    </row>
    <row r="46">
      <c r="A46" s="12" t="s">
        <v>58</v>
      </c>
    </row>
    <row r="47">
      <c r="A47" s="12" t="s">
        <v>60</v>
      </c>
    </row>
    <row r="48">
      <c r="A48" s="12" t="s">
        <v>61</v>
      </c>
    </row>
    <row r="49">
      <c r="A49" s="12" t="s">
        <v>62</v>
      </c>
    </row>
    <row r="50">
      <c r="A50" s="12" t="s">
        <v>63</v>
      </c>
    </row>
    <row r="51">
      <c r="A51" s="12" t="s">
        <v>64</v>
      </c>
    </row>
    <row r="52">
      <c r="A52" s="37" t="s">
        <v>66</v>
      </c>
    </row>
    <row r="53">
      <c r="A53" s="39" t="s">
        <v>72</v>
      </c>
    </row>
    <row r="54">
      <c r="A54" s="39" t="s">
        <v>74</v>
      </c>
    </row>
    <row r="55">
      <c r="A55" s="39" t="s">
        <v>75</v>
      </c>
    </row>
    <row r="56">
      <c r="A56" s="39" t="s">
        <v>76</v>
      </c>
    </row>
    <row r="57">
      <c r="A57" s="39" t="s">
        <v>77</v>
      </c>
    </row>
    <row r="58">
      <c r="A58" s="39" t="s">
        <v>78</v>
      </c>
    </row>
    <row r="59">
      <c r="A59" s="39" t="s">
        <v>79</v>
      </c>
    </row>
    <row r="60">
      <c r="A60" s="39" t="s">
        <v>81</v>
      </c>
    </row>
    <row r="61">
      <c r="A61" s="39" t="s">
        <v>83</v>
      </c>
    </row>
    <row r="62">
      <c r="A62" s="39" t="s">
        <v>84</v>
      </c>
    </row>
    <row r="63">
      <c r="A63" s="39" t="s">
        <v>85</v>
      </c>
    </row>
    <row r="64">
      <c r="A64" s="39" t="s">
        <v>86</v>
      </c>
    </row>
    <row r="65">
      <c r="A65" s="39" t="s">
        <v>87</v>
      </c>
    </row>
    <row r="66">
      <c r="A66" s="39" t="s">
        <v>89</v>
      </c>
    </row>
    <row r="67">
      <c r="A67" s="39" t="s">
        <v>90</v>
      </c>
    </row>
    <row r="68">
      <c r="A68" s="39" t="s">
        <v>91</v>
      </c>
    </row>
    <row r="69">
      <c r="A69" s="39" t="s">
        <v>92</v>
      </c>
    </row>
    <row r="70">
      <c r="A70" s="39" t="s">
        <v>93</v>
      </c>
    </row>
    <row r="71">
      <c r="A71" s="39" t="s">
        <v>94</v>
      </c>
    </row>
    <row r="72">
      <c r="A72" s="39" t="s">
        <v>95</v>
      </c>
    </row>
    <row r="73">
      <c r="A73" s="39" t="s">
        <v>96</v>
      </c>
    </row>
    <row r="74">
      <c r="A74" s="39" t="s">
        <v>98</v>
      </c>
    </row>
    <row r="75">
      <c r="A75" s="39" t="s">
        <v>99</v>
      </c>
    </row>
    <row r="76">
      <c r="A76" s="39" t="s">
        <v>100</v>
      </c>
    </row>
    <row r="77">
      <c r="A77" s="39" t="s">
        <v>101</v>
      </c>
    </row>
    <row r="78">
      <c r="A78" s="39" t="s">
        <v>102</v>
      </c>
    </row>
    <row r="79">
      <c r="A79" s="39" t="s">
        <v>103</v>
      </c>
    </row>
    <row r="80">
      <c r="A80" s="39" t="s">
        <v>105</v>
      </c>
    </row>
    <row r="81">
      <c r="A81" s="39" t="s">
        <v>106</v>
      </c>
    </row>
    <row r="82">
      <c r="A82" s="39" t="s">
        <v>108</v>
      </c>
    </row>
    <row r="83">
      <c r="A83" s="39" t="s">
        <v>110</v>
      </c>
    </row>
    <row r="84">
      <c r="A84" s="39" t="s">
        <v>111</v>
      </c>
    </row>
    <row r="85">
      <c r="A85" s="39" t="s">
        <v>113</v>
      </c>
    </row>
    <row r="86">
      <c r="A86" s="39" t="s">
        <v>114</v>
      </c>
    </row>
    <row r="87">
      <c r="A87" s="39" t="s">
        <v>116</v>
      </c>
    </row>
    <row r="88">
      <c r="A88" s="39" t="s">
        <v>117</v>
      </c>
    </row>
    <row r="89">
      <c r="A89" s="39" t="s">
        <v>118</v>
      </c>
    </row>
    <row r="90">
      <c r="A90" s="49" t="s">
        <v>120</v>
      </c>
    </row>
    <row r="91">
      <c r="A91" s="39" t="s">
        <v>124</v>
      </c>
    </row>
    <row r="92">
      <c r="A92" s="39" t="s">
        <v>126</v>
      </c>
    </row>
    <row r="93">
      <c r="A93" s="39" t="s">
        <v>127</v>
      </c>
    </row>
    <row r="94">
      <c r="A94" s="39" t="s">
        <v>129</v>
      </c>
    </row>
    <row r="95">
      <c r="A95" s="39" t="s">
        <v>130</v>
      </c>
    </row>
    <row r="96">
      <c r="A96" s="39" t="s">
        <v>131</v>
      </c>
    </row>
    <row r="97">
      <c r="A97" s="39" t="s">
        <v>132</v>
      </c>
    </row>
    <row r="98">
      <c r="A98" s="39" t="s">
        <v>133</v>
      </c>
    </row>
    <row r="99">
      <c r="A99" s="39" t="s">
        <v>135</v>
      </c>
    </row>
    <row r="100">
      <c r="A100" s="39" t="s">
        <v>136</v>
      </c>
    </row>
    <row r="101">
      <c r="A101" s="39" t="s">
        <v>137</v>
      </c>
    </row>
    <row r="102">
      <c r="A102" s="39" t="s">
        <v>138</v>
      </c>
    </row>
    <row r="103">
      <c r="A103" s="53" t="s">
        <v>139</v>
      </c>
    </row>
    <row r="104">
      <c r="A104" s="53" t="s">
        <v>140</v>
      </c>
    </row>
    <row r="105">
      <c r="A105" s="53" t="s">
        <v>141</v>
      </c>
    </row>
    <row r="106">
      <c r="A106" s="53" t="s">
        <v>143</v>
      </c>
    </row>
    <row r="107">
      <c r="A107" s="53" t="s">
        <v>145</v>
      </c>
    </row>
    <row r="108">
      <c r="A108" s="53" t="s">
        <v>146</v>
      </c>
    </row>
    <row r="109">
      <c r="A109" s="53" t="s">
        <v>147</v>
      </c>
    </row>
    <row r="110">
      <c r="A110" s="53" t="s">
        <v>148</v>
      </c>
    </row>
    <row r="111">
      <c r="A111" s="53" t="s">
        <v>149</v>
      </c>
    </row>
    <row r="112">
      <c r="A112" s="53" t="s">
        <v>151</v>
      </c>
    </row>
    <row r="113">
      <c r="A113" s="53" t="s">
        <v>152</v>
      </c>
    </row>
    <row r="114">
      <c r="A114" s="53" t="s">
        <v>153</v>
      </c>
    </row>
    <row r="115">
      <c r="A115" s="53" t="s">
        <v>155</v>
      </c>
    </row>
    <row r="116">
      <c r="A116" s="53" t="s">
        <v>156</v>
      </c>
    </row>
    <row r="117">
      <c r="A117" s="53" t="s">
        <v>157</v>
      </c>
    </row>
    <row r="118">
      <c r="A118" s="53" t="s">
        <v>158</v>
      </c>
    </row>
    <row r="119">
      <c r="A119" s="53" t="s">
        <v>159</v>
      </c>
    </row>
    <row r="120">
      <c r="A120" s="53" t="s">
        <v>160</v>
      </c>
    </row>
    <row r="121">
      <c r="A121" s="53" t="s">
        <v>162</v>
      </c>
    </row>
    <row r="122">
      <c r="A122" s="53" t="s">
        <v>164</v>
      </c>
    </row>
    <row r="123">
      <c r="A123" s="53" t="s">
        <v>165</v>
      </c>
    </row>
    <row r="124">
      <c r="A124" s="53" t="s">
        <v>167</v>
      </c>
    </row>
    <row r="125">
      <c r="A125" s="53" t="s">
        <v>168</v>
      </c>
    </row>
    <row r="126">
      <c r="A126" s="53" t="s">
        <v>169</v>
      </c>
    </row>
    <row r="127">
      <c r="A127" s="53" t="s">
        <v>171</v>
      </c>
    </row>
    <row r="128">
      <c r="A128" s="53" t="s">
        <v>172</v>
      </c>
    </row>
    <row r="129">
      <c r="A129" s="53" t="s">
        <v>174</v>
      </c>
    </row>
    <row r="130">
      <c r="A130" s="53" t="s">
        <v>176</v>
      </c>
    </row>
    <row r="131">
      <c r="A131" s="53" t="s">
        <v>177</v>
      </c>
    </row>
    <row r="132">
      <c r="A132" s="53" t="s">
        <v>179</v>
      </c>
    </row>
    <row r="133">
      <c r="A133" s="53" t="s">
        <v>180</v>
      </c>
    </row>
    <row r="134">
      <c r="A134" s="61" t="s">
        <v>181</v>
      </c>
    </row>
    <row r="135">
      <c r="A135" s="53" t="s">
        <v>182</v>
      </c>
    </row>
    <row r="136">
      <c r="A136" s="53" t="s">
        <v>183</v>
      </c>
    </row>
    <row r="137">
      <c r="A137" s="53" t="s">
        <v>184</v>
      </c>
    </row>
    <row r="138">
      <c r="A138" s="53" t="s">
        <v>186</v>
      </c>
    </row>
    <row r="139">
      <c r="A139" s="53" t="s">
        <v>187</v>
      </c>
    </row>
    <row r="140">
      <c r="A140" s="53" t="s">
        <v>189</v>
      </c>
    </row>
    <row r="141">
      <c r="A141" s="53" t="s">
        <v>190</v>
      </c>
    </row>
    <row r="142">
      <c r="A142" s="53" t="s">
        <v>191</v>
      </c>
    </row>
    <row r="143">
      <c r="A143" s="53" t="s">
        <v>192</v>
      </c>
    </row>
    <row r="144">
      <c r="A144" s="53" t="s">
        <v>192</v>
      </c>
    </row>
    <row r="145">
      <c r="A145" s="53" t="s">
        <v>194</v>
      </c>
    </row>
    <row r="146">
      <c r="A146" s="53" t="s">
        <v>197</v>
      </c>
    </row>
    <row r="147">
      <c r="A147" s="53" t="s">
        <v>199</v>
      </c>
    </row>
    <row r="148">
      <c r="A148" s="53" t="s">
        <v>200</v>
      </c>
    </row>
    <row r="149">
      <c r="A149" s="53" t="s">
        <v>202</v>
      </c>
    </row>
    <row r="150">
      <c r="A150" s="53" t="s">
        <v>203</v>
      </c>
    </row>
    <row r="151">
      <c r="A151" s="53" t="s">
        <v>204</v>
      </c>
    </row>
    <row r="152">
      <c r="A152" s="53" t="s">
        <v>205</v>
      </c>
    </row>
    <row r="153">
      <c r="A153" s="67" t="s">
        <v>208</v>
      </c>
    </row>
    <row r="154">
      <c r="A154" s="67" t="s">
        <v>210</v>
      </c>
    </row>
    <row r="155">
      <c r="A155" s="67" t="s">
        <v>211</v>
      </c>
    </row>
    <row r="156">
      <c r="A156" s="67" t="s">
        <v>213</v>
      </c>
    </row>
    <row r="157">
      <c r="A157" s="67" t="s">
        <v>215</v>
      </c>
    </row>
    <row r="158">
      <c r="A158" s="67" t="s">
        <v>218</v>
      </c>
    </row>
    <row r="159">
      <c r="A159" s="67" t="s">
        <v>220</v>
      </c>
    </row>
    <row r="160">
      <c r="A160" s="67" t="s">
        <v>222</v>
      </c>
    </row>
    <row r="161">
      <c r="A161" s="67" t="s">
        <v>224</v>
      </c>
    </row>
    <row r="162">
      <c r="A162" s="67" t="s">
        <v>225</v>
      </c>
    </row>
    <row r="163">
      <c r="A163" s="67" t="s">
        <v>227</v>
      </c>
    </row>
    <row r="164">
      <c r="A164" s="67" t="s">
        <v>229</v>
      </c>
    </row>
    <row r="165">
      <c r="A165" s="67" t="s">
        <v>231</v>
      </c>
    </row>
    <row r="166">
      <c r="A166" s="67" t="s">
        <v>233</v>
      </c>
    </row>
    <row r="167">
      <c r="A167" s="67" t="s">
        <v>234</v>
      </c>
    </row>
    <row r="168">
      <c r="A168" s="67" t="s">
        <v>236</v>
      </c>
    </row>
    <row r="169">
      <c r="A169" s="67" t="s">
        <v>237</v>
      </c>
    </row>
    <row r="170">
      <c r="A170" s="67" t="s">
        <v>240</v>
      </c>
    </row>
    <row r="171">
      <c r="A171" s="73" t="s">
        <v>241</v>
      </c>
    </row>
    <row r="172">
      <c r="A172" s="67" t="s">
        <v>244</v>
      </c>
    </row>
    <row r="173">
      <c r="A173" s="67" t="s">
        <v>245</v>
      </c>
    </row>
    <row r="174">
      <c r="A174" s="75" t="s">
        <v>246</v>
      </c>
    </row>
    <row r="175">
      <c r="A175" s="67" t="s">
        <v>248</v>
      </c>
    </row>
    <row r="176">
      <c r="A176" s="67" t="s">
        <v>250</v>
      </c>
    </row>
    <row r="177">
      <c r="A177" s="67" t="s">
        <v>251</v>
      </c>
    </row>
    <row r="178">
      <c r="A178" s="67" t="s">
        <v>252</v>
      </c>
    </row>
    <row r="179">
      <c r="A179" s="67" t="s">
        <v>254</v>
      </c>
    </row>
    <row r="180">
      <c r="A180" s="67" t="s">
        <v>255</v>
      </c>
    </row>
    <row r="181">
      <c r="A181" s="67" t="s">
        <v>256</v>
      </c>
    </row>
    <row r="182">
      <c r="A182" s="67" t="s">
        <v>258</v>
      </c>
    </row>
    <row r="183">
      <c r="A183" s="67" t="s">
        <v>259</v>
      </c>
    </row>
    <row r="184">
      <c r="A184" s="67" t="s">
        <v>260</v>
      </c>
    </row>
    <row r="185">
      <c r="A185" s="67" t="s">
        <v>262</v>
      </c>
    </row>
    <row r="186">
      <c r="A186" s="67" t="s">
        <v>263</v>
      </c>
    </row>
    <row r="187">
      <c r="A187" s="67" t="s">
        <v>265</v>
      </c>
    </row>
    <row r="188">
      <c r="A188" s="67" t="s">
        <v>267</v>
      </c>
    </row>
    <row r="189">
      <c r="A189" s="67" t="s">
        <v>268</v>
      </c>
    </row>
    <row r="190">
      <c r="A190" s="67" t="s">
        <v>270</v>
      </c>
    </row>
    <row r="191">
      <c r="A191" s="67" t="s">
        <v>271</v>
      </c>
    </row>
    <row r="192">
      <c r="A192" s="67" t="s">
        <v>272</v>
      </c>
    </row>
    <row r="193">
      <c r="A193" s="67" t="s">
        <v>273</v>
      </c>
    </row>
    <row r="194">
      <c r="A194" s="67" t="s">
        <v>274</v>
      </c>
    </row>
    <row r="195">
      <c r="A195" s="67" t="s">
        <v>275</v>
      </c>
    </row>
    <row r="196">
      <c r="A196" s="67" t="s">
        <v>276</v>
      </c>
    </row>
    <row r="197">
      <c r="A197" s="67" t="s">
        <v>277</v>
      </c>
    </row>
    <row r="198">
      <c r="A198" s="67" t="s">
        <v>279</v>
      </c>
    </row>
    <row r="199">
      <c r="A199" s="67" t="s">
        <v>280</v>
      </c>
    </row>
    <row r="200">
      <c r="A200" s="67" t="s">
        <v>281</v>
      </c>
    </row>
    <row r="201">
      <c r="A201" s="81" t="s">
        <v>282</v>
      </c>
    </row>
    <row r="202">
      <c r="A202" s="67" t="s">
        <v>289</v>
      </c>
    </row>
    <row r="203">
      <c r="A203" s="84" t="s">
        <v>290</v>
      </c>
    </row>
    <row r="204">
      <c r="A204" s="84" t="s">
        <v>292</v>
      </c>
    </row>
    <row r="205">
      <c r="A205" s="84" t="s">
        <v>294</v>
      </c>
    </row>
    <row r="206">
      <c r="A206" s="84" t="s">
        <v>296</v>
      </c>
    </row>
    <row r="207">
      <c r="A207" s="84" t="s">
        <v>297</v>
      </c>
    </row>
    <row r="208">
      <c r="A208" s="84" t="s">
        <v>299</v>
      </c>
    </row>
    <row r="209">
      <c r="A209" s="84" t="s">
        <v>300</v>
      </c>
    </row>
    <row r="210">
      <c r="A210" s="84" t="s">
        <v>301</v>
      </c>
    </row>
    <row r="211">
      <c r="A211" s="84" t="s">
        <v>303</v>
      </c>
    </row>
    <row r="212">
      <c r="A212" s="84" t="s">
        <v>305</v>
      </c>
    </row>
    <row r="213">
      <c r="A213" s="84" t="s">
        <v>307</v>
      </c>
    </row>
    <row r="214">
      <c r="A214" s="91" t="s">
        <v>308</v>
      </c>
    </row>
    <row r="215">
      <c r="A215" s="84" t="s">
        <v>317</v>
      </c>
    </row>
    <row r="216">
      <c r="A216" s="84" t="s">
        <v>319</v>
      </c>
    </row>
    <row r="217">
      <c r="A217" s="84" t="s">
        <v>320</v>
      </c>
    </row>
    <row r="218">
      <c r="A218" s="84" t="s">
        <v>321</v>
      </c>
    </row>
    <row r="219">
      <c r="A219" s="84" t="s">
        <v>323</v>
      </c>
    </row>
    <row r="220">
      <c r="A220" s="84" t="s">
        <v>325</v>
      </c>
    </row>
    <row r="221">
      <c r="A221" s="84" t="s">
        <v>326</v>
      </c>
    </row>
    <row r="222">
      <c r="A222" s="84" t="s">
        <v>329</v>
      </c>
    </row>
    <row r="223">
      <c r="A223" s="95" t="s">
        <v>331</v>
      </c>
    </row>
    <row r="224">
      <c r="A224" s="84" t="s">
        <v>334</v>
      </c>
    </row>
    <row r="225">
      <c r="A225" s="84" t="s">
        <v>335</v>
      </c>
    </row>
    <row r="226">
      <c r="A226" s="84" t="s">
        <v>336</v>
      </c>
    </row>
    <row r="227">
      <c r="A227" s="84" t="s">
        <v>338</v>
      </c>
    </row>
    <row r="228">
      <c r="A228" s="84" t="s">
        <v>340</v>
      </c>
    </row>
    <row r="229">
      <c r="A229" s="84" t="s">
        <v>341</v>
      </c>
    </row>
    <row r="230">
      <c r="A230" s="84" t="s">
        <v>342</v>
      </c>
    </row>
    <row r="231">
      <c r="A231" s="84" t="s">
        <v>343</v>
      </c>
    </row>
    <row r="232">
      <c r="A232" s="84" t="s">
        <v>344</v>
      </c>
    </row>
    <row r="233">
      <c r="A233" s="84" t="s">
        <v>345</v>
      </c>
    </row>
    <row r="234">
      <c r="A234" s="84" t="s">
        <v>346</v>
      </c>
    </row>
    <row r="235">
      <c r="A235" s="84" t="s">
        <v>348</v>
      </c>
    </row>
    <row r="236">
      <c r="A236" s="84" t="s">
        <v>349</v>
      </c>
    </row>
    <row r="237">
      <c r="A237" s="84" t="s">
        <v>350</v>
      </c>
    </row>
    <row r="238">
      <c r="A238" s="84" t="s">
        <v>351</v>
      </c>
    </row>
    <row r="239">
      <c r="A239" s="84" t="s">
        <v>352</v>
      </c>
    </row>
    <row r="240">
      <c r="A240" s="84" t="s">
        <v>353</v>
      </c>
    </row>
    <row r="241">
      <c r="A241" s="84" t="s">
        <v>354</v>
      </c>
    </row>
    <row r="242">
      <c r="A242" s="84" t="s">
        <v>355</v>
      </c>
    </row>
    <row r="243">
      <c r="A243" s="84" t="s">
        <v>357</v>
      </c>
    </row>
    <row r="244">
      <c r="A244" s="84" t="s">
        <v>358</v>
      </c>
    </row>
    <row r="245">
      <c r="A245" s="84" t="s">
        <v>360</v>
      </c>
    </row>
    <row r="246">
      <c r="A246" s="84" t="s">
        <v>362</v>
      </c>
    </row>
    <row r="247">
      <c r="A247" s="84" t="s">
        <v>364</v>
      </c>
    </row>
    <row r="248">
      <c r="A248" s="84" t="s">
        <v>366</v>
      </c>
    </row>
    <row r="249">
      <c r="A249" s="84" t="s">
        <v>368</v>
      </c>
    </row>
    <row r="250">
      <c r="A250" s="84" t="s">
        <v>371</v>
      </c>
    </row>
    <row r="251">
      <c r="A251" s="84" t="s">
        <v>372</v>
      </c>
    </row>
    <row r="252">
      <c r="A252" s="84" t="s">
        <v>374</v>
      </c>
    </row>
    <row r="253">
      <c r="A253" s="99" t="s">
        <v>376</v>
      </c>
    </row>
    <row r="254">
      <c r="A254" s="99" t="s">
        <v>378</v>
      </c>
    </row>
    <row r="255">
      <c r="A255" s="99" t="s">
        <v>380</v>
      </c>
    </row>
    <row r="256">
      <c r="A256" s="99" t="s">
        <v>381</v>
      </c>
    </row>
    <row r="257">
      <c r="A257" s="99" t="s">
        <v>383</v>
      </c>
    </row>
    <row r="258">
      <c r="A258" s="99" t="s">
        <v>384</v>
      </c>
    </row>
    <row r="259">
      <c r="A259" s="100" t="s">
        <v>385</v>
      </c>
    </row>
    <row r="260">
      <c r="A260" s="99" t="s">
        <v>386</v>
      </c>
    </row>
    <row r="261">
      <c r="A261" s="99" t="s">
        <v>388</v>
      </c>
    </row>
    <row r="262">
      <c r="A262" s="99" t="s">
        <v>389</v>
      </c>
    </row>
    <row r="263">
      <c r="A263" s="99" t="s">
        <v>391</v>
      </c>
    </row>
    <row r="264">
      <c r="A264" s="99" t="s">
        <v>392</v>
      </c>
    </row>
    <row r="265">
      <c r="A265" s="99" t="s">
        <v>394</v>
      </c>
    </row>
    <row r="266">
      <c r="A266" s="99" t="s">
        <v>395</v>
      </c>
    </row>
    <row r="267">
      <c r="A267" s="99" t="s">
        <v>397</v>
      </c>
    </row>
    <row r="268">
      <c r="A268" s="99" t="s">
        <v>399</v>
      </c>
    </row>
    <row r="269">
      <c r="A269" s="99" t="s">
        <v>400</v>
      </c>
    </row>
    <row r="270">
      <c r="A270" s="99" t="s">
        <v>401</v>
      </c>
    </row>
    <row r="271">
      <c r="A271" s="99" t="s">
        <v>402</v>
      </c>
    </row>
    <row r="272">
      <c r="A272" s="99" t="s">
        <v>404</v>
      </c>
    </row>
    <row r="273">
      <c r="A273" s="99" t="s">
        <v>405</v>
      </c>
    </row>
    <row r="274">
      <c r="A274" s="99" t="s">
        <v>406</v>
      </c>
    </row>
    <row r="275">
      <c r="A275" s="99" t="s">
        <v>408</v>
      </c>
    </row>
    <row r="276">
      <c r="A276" s="99" t="s">
        <v>409</v>
      </c>
    </row>
    <row r="277">
      <c r="A277" s="99" t="s">
        <v>411</v>
      </c>
    </row>
    <row r="278">
      <c r="A278" s="99" t="s">
        <v>412</v>
      </c>
    </row>
    <row r="279">
      <c r="A279" s="99" t="s">
        <v>413</v>
      </c>
    </row>
    <row r="280">
      <c r="A280" s="99" t="s">
        <v>414</v>
      </c>
    </row>
    <row r="281">
      <c r="A281" s="99" t="s">
        <v>415</v>
      </c>
    </row>
    <row r="282">
      <c r="A282" s="99" t="s">
        <v>416</v>
      </c>
    </row>
    <row r="283">
      <c r="A283" s="99" t="s">
        <v>418</v>
      </c>
    </row>
    <row r="284">
      <c r="A284" s="99" t="s">
        <v>419</v>
      </c>
    </row>
    <row r="285">
      <c r="A285" s="99" t="s">
        <v>421</v>
      </c>
    </row>
    <row r="286">
      <c r="A286" s="99" t="s">
        <v>422</v>
      </c>
    </row>
    <row r="287">
      <c r="A287" s="99" t="s">
        <v>423</v>
      </c>
    </row>
    <row r="288">
      <c r="A288" s="99" t="s">
        <v>425</v>
      </c>
    </row>
    <row r="289">
      <c r="A289" s="99" t="s">
        <v>427</v>
      </c>
    </row>
    <row r="290">
      <c r="A290" s="99" t="s">
        <v>428</v>
      </c>
    </row>
    <row r="291">
      <c r="A291" s="99" t="s">
        <v>430</v>
      </c>
    </row>
    <row r="292">
      <c r="A292" s="99" t="s">
        <v>431</v>
      </c>
    </row>
    <row r="293">
      <c r="A293" s="99" t="s">
        <v>432</v>
      </c>
    </row>
    <row r="294">
      <c r="A294" s="99" t="s">
        <v>434</v>
      </c>
    </row>
    <row r="295">
      <c r="A295" s="99" t="s">
        <v>435</v>
      </c>
    </row>
    <row r="296">
      <c r="A296" s="99" t="s">
        <v>436</v>
      </c>
    </row>
    <row r="297">
      <c r="A297" s="99" t="s">
        <v>437</v>
      </c>
    </row>
    <row r="298">
      <c r="A298" s="99" t="s">
        <v>439</v>
      </c>
    </row>
    <row r="299">
      <c r="A299" s="99" t="s">
        <v>440</v>
      </c>
    </row>
    <row r="300">
      <c r="A300" s="99" t="s">
        <v>441</v>
      </c>
    </row>
    <row r="301">
      <c r="A301" s="99" t="s">
        <v>443</v>
      </c>
    </row>
    <row r="302">
      <c r="A302" s="99" t="s">
        <v>445</v>
      </c>
    </row>
    <row r="303">
      <c r="A303" s="104" t="s">
        <v>446</v>
      </c>
    </row>
    <row r="304">
      <c r="A304" s="104" t="s">
        <v>447</v>
      </c>
    </row>
    <row r="305">
      <c r="A305" s="104" t="s">
        <v>449</v>
      </c>
    </row>
    <row r="306">
      <c r="A306" s="104" t="s">
        <v>450</v>
      </c>
    </row>
    <row r="307">
      <c r="A307" s="104" t="s">
        <v>452</v>
      </c>
    </row>
    <row r="308">
      <c r="A308" s="104" t="s">
        <v>454</v>
      </c>
    </row>
    <row r="309">
      <c r="A309" s="104" t="s">
        <v>455</v>
      </c>
    </row>
    <row r="310">
      <c r="A310" s="104" t="s">
        <v>456</v>
      </c>
    </row>
    <row r="311">
      <c r="A311" s="104" t="s">
        <v>458</v>
      </c>
    </row>
    <row r="312">
      <c r="A312" s="104" t="s">
        <v>459</v>
      </c>
    </row>
    <row r="313">
      <c r="A313" s="104" t="s">
        <v>461</v>
      </c>
    </row>
    <row r="314">
      <c r="A314" s="104" t="s">
        <v>463</v>
      </c>
    </row>
    <row r="315">
      <c r="A315" s="104" t="s">
        <v>464</v>
      </c>
    </row>
    <row r="316">
      <c r="A316" s="104" t="s">
        <v>465</v>
      </c>
    </row>
    <row r="317">
      <c r="A317" s="104" t="s">
        <v>467</v>
      </c>
    </row>
    <row r="318">
      <c r="A318" s="104" t="s">
        <v>468</v>
      </c>
    </row>
    <row r="319">
      <c r="A319" s="104" t="s">
        <v>469</v>
      </c>
    </row>
    <row r="320">
      <c r="A320" s="104" t="s">
        <v>471</v>
      </c>
    </row>
    <row r="321">
      <c r="A321" s="104" t="s">
        <v>472</v>
      </c>
    </row>
    <row r="322">
      <c r="A322" s="104" t="s">
        <v>473</v>
      </c>
    </row>
    <row r="323">
      <c r="A323" s="104" t="s">
        <v>475</v>
      </c>
    </row>
    <row r="324">
      <c r="A324" s="104" t="s">
        <v>476</v>
      </c>
    </row>
    <row r="325">
      <c r="A325" s="104" t="s">
        <v>477</v>
      </c>
    </row>
    <row r="326">
      <c r="A326" s="107" t="s">
        <v>479</v>
      </c>
    </row>
    <row r="327">
      <c r="A327" s="104" t="s">
        <v>480</v>
      </c>
    </row>
    <row r="328">
      <c r="A328" s="104" t="s">
        <v>481</v>
      </c>
    </row>
    <row r="329">
      <c r="A329" s="104" t="s">
        <v>482</v>
      </c>
    </row>
    <row r="330">
      <c r="A330" s="104" t="s">
        <v>483</v>
      </c>
    </row>
    <row r="331">
      <c r="A331" s="104" t="s">
        <v>485</v>
      </c>
    </row>
    <row r="332">
      <c r="A332" s="104" t="s">
        <v>486</v>
      </c>
    </row>
    <row r="333">
      <c r="A333" s="104" t="s">
        <v>487</v>
      </c>
    </row>
    <row r="334">
      <c r="A334" s="104" t="s">
        <v>488</v>
      </c>
    </row>
    <row r="335">
      <c r="A335" s="104" t="s">
        <v>489</v>
      </c>
    </row>
    <row r="336">
      <c r="A336" s="104" t="s">
        <v>491</v>
      </c>
    </row>
    <row r="337">
      <c r="A337" s="104" t="s">
        <v>492</v>
      </c>
    </row>
    <row r="338">
      <c r="A338" s="104" t="s">
        <v>493</v>
      </c>
    </row>
    <row r="339">
      <c r="A339" s="104" t="s">
        <v>495</v>
      </c>
    </row>
    <row r="340">
      <c r="A340" s="104" t="s">
        <v>496</v>
      </c>
    </row>
    <row r="341">
      <c r="A341" s="104" t="s">
        <v>497</v>
      </c>
    </row>
    <row r="342">
      <c r="A342" s="104" t="s">
        <v>498</v>
      </c>
    </row>
    <row r="343">
      <c r="A343" s="104" t="s">
        <v>500</v>
      </c>
    </row>
    <row r="344">
      <c r="A344" s="104" t="s">
        <v>501</v>
      </c>
    </row>
    <row r="345">
      <c r="A345" s="104" t="s">
        <v>502</v>
      </c>
    </row>
    <row r="346">
      <c r="A346" s="104" t="s">
        <v>504</v>
      </c>
    </row>
    <row r="347">
      <c r="A347" s="104" t="s">
        <v>505</v>
      </c>
    </row>
    <row r="348">
      <c r="A348" s="104" t="s">
        <v>506</v>
      </c>
    </row>
    <row r="349">
      <c r="A349" s="104" t="s">
        <v>507</v>
      </c>
    </row>
    <row r="350">
      <c r="A350" s="115" t="s">
        <v>508</v>
      </c>
    </row>
    <row r="351">
      <c r="A351" s="104" t="s">
        <v>513</v>
      </c>
    </row>
    <row r="352">
      <c r="A352" s="104" t="s">
        <v>514</v>
      </c>
    </row>
    <row r="353">
      <c r="A353" s="116" t="s">
        <v>515</v>
      </c>
    </row>
    <row r="354">
      <c r="A354" s="116" t="s">
        <v>517</v>
      </c>
    </row>
    <row r="355">
      <c r="A355" s="117" t="s">
        <v>518</v>
      </c>
    </row>
    <row r="356">
      <c r="A356" s="116" t="s">
        <v>519</v>
      </c>
    </row>
    <row r="357">
      <c r="A357" s="116" t="s">
        <v>439</v>
      </c>
    </row>
    <row r="358">
      <c r="A358" s="116" t="s">
        <v>520</v>
      </c>
    </row>
    <row r="359">
      <c r="A359" s="116" t="s">
        <v>521</v>
      </c>
    </row>
    <row r="360">
      <c r="A360" s="116" t="s">
        <v>522</v>
      </c>
    </row>
    <row r="361">
      <c r="A361" s="116" t="s">
        <v>523</v>
      </c>
    </row>
    <row r="362">
      <c r="A362" s="116" t="s">
        <v>524</v>
      </c>
    </row>
    <row r="363">
      <c r="A363" s="116" t="s">
        <v>525</v>
      </c>
    </row>
    <row r="364">
      <c r="A364" s="116" t="s">
        <v>526</v>
      </c>
    </row>
    <row r="365">
      <c r="A365" s="116" t="s">
        <v>528</v>
      </c>
    </row>
    <row r="366">
      <c r="A366" s="118" t="s">
        <v>530</v>
      </c>
    </row>
    <row r="367">
      <c r="A367" s="116" t="s">
        <v>531</v>
      </c>
    </row>
    <row r="368">
      <c r="A368" s="116" t="s">
        <v>533</v>
      </c>
    </row>
    <row r="369">
      <c r="A369" s="116" t="s">
        <v>534</v>
      </c>
    </row>
    <row r="370">
      <c r="A370" s="116" t="s">
        <v>535</v>
      </c>
    </row>
    <row r="371">
      <c r="A371" s="116" t="s">
        <v>536</v>
      </c>
    </row>
    <row r="372">
      <c r="A372" s="116" t="s">
        <v>537</v>
      </c>
    </row>
    <row r="373">
      <c r="A373" s="116" t="s">
        <v>538</v>
      </c>
    </row>
    <row r="374">
      <c r="A374" s="116" t="s">
        <v>540</v>
      </c>
    </row>
    <row r="375">
      <c r="A375" s="116" t="s">
        <v>541</v>
      </c>
    </row>
    <row r="376">
      <c r="A376" s="116" t="s">
        <v>542</v>
      </c>
    </row>
    <row r="377">
      <c r="A377" s="116" t="s">
        <v>543</v>
      </c>
    </row>
    <row r="378">
      <c r="A378" s="116" t="s">
        <v>544</v>
      </c>
    </row>
    <row r="379">
      <c r="A379" s="116" t="s">
        <v>545</v>
      </c>
    </row>
    <row r="380">
      <c r="A380" s="116" t="s">
        <v>547</v>
      </c>
    </row>
    <row r="381">
      <c r="A381" s="116" t="s">
        <v>550</v>
      </c>
    </row>
    <row r="382">
      <c r="A382" s="116" t="s">
        <v>552</v>
      </c>
    </row>
    <row r="383">
      <c r="A383" s="116" t="s">
        <v>553</v>
      </c>
    </row>
    <row r="384">
      <c r="A384" s="116" t="s">
        <v>554</v>
      </c>
    </row>
    <row r="385">
      <c r="A385" s="116" t="s">
        <v>555</v>
      </c>
    </row>
    <row r="386">
      <c r="A386" s="116" t="s">
        <v>556</v>
      </c>
    </row>
    <row r="387">
      <c r="A387" s="116" t="s">
        <v>557</v>
      </c>
    </row>
    <row r="388">
      <c r="A388" s="116" t="s">
        <v>558</v>
      </c>
    </row>
    <row r="389">
      <c r="A389" s="116" t="s">
        <v>559</v>
      </c>
    </row>
    <row r="390">
      <c r="A390" s="116" t="s">
        <v>560</v>
      </c>
    </row>
    <row r="391">
      <c r="A391" s="116" t="s">
        <v>562</v>
      </c>
    </row>
    <row r="392">
      <c r="A392" s="116" t="s">
        <v>563</v>
      </c>
    </row>
    <row r="393">
      <c r="A393" s="116" t="s">
        <v>565</v>
      </c>
    </row>
    <row r="394">
      <c r="A394" s="116" t="s">
        <v>566</v>
      </c>
    </row>
    <row r="395">
      <c r="A395" s="116" t="s">
        <v>567</v>
      </c>
    </row>
    <row r="396">
      <c r="A396" s="116" t="s">
        <v>570</v>
      </c>
    </row>
    <row r="397">
      <c r="A397" s="116" t="s">
        <v>571</v>
      </c>
    </row>
    <row r="398">
      <c r="A398" s="116" t="s">
        <v>572</v>
      </c>
    </row>
    <row r="399">
      <c r="A399" s="116" t="s">
        <v>573</v>
      </c>
    </row>
    <row r="400">
      <c r="A400" s="116" t="s">
        <v>574</v>
      </c>
    </row>
    <row r="401">
      <c r="A401" s="116" t="s">
        <v>576</v>
      </c>
    </row>
    <row r="402">
      <c r="A402" s="116" t="s">
        <v>578</v>
      </c>
    </row>
    <row r="403">
      <c r="A403" s="121" t="s">
        <v>580</v>
      </c>
    </row>
    <row r="404">
      <c r="A404" s="121" t="s">
        <v>581</v>
      </c>
    </row>
    <row r="405">
      <c r="A405" s="121" t="s">
        <v>582</v>
      </c>
    </row>
    <row r="406">
      <c r="A406" s="121" t="s">
        <v>583</v>
      </c>
    </row>
    <row r="407">
      <c r="A407" s="121" t="s">
        <v>584</v>
      </c>
    </row>
    <row r="408">
      <c r="A408" s="121" t="s">
        <v>586</v>
      </c>
    </row>
    <row r="409">
      <c r="A409" s="121" t="s">
        <v>587</v>
      </c>
    </row>
    <row r="410">
      <c r="A410" s="121" t="s">
        <v>588</v>
      </c>
    </row>
    <row r="411">
      <c r="A411" s="121" t="s">
        <v>590</v>
      </c>
    </row>
    <row r="412">
      <c r="A412" s="121" t="s">
        <v>592</v>
      </c>
    </row>
    <row r="413">
      <c r="A413" s="121" t="s">
        <v>593</v>
      </c>
    </row>
    <row r="414">
      <c r="A414" s="121" t="s">
        <v>594</v>
      </c>
    </row>
    <row r="415">
      <c r="A415" s="121" t="s">
        <v>595</v>
      </c>
    </row>
    <row r="416">
      <c r="A416" s="121" t="s">
        <v>597</v>
      </c>
    </row>
    <row r="417">
      <c r="A417" s="121" t="s">
        <v>428</v>
      </c>
    </row>
    <row r="418">
      <c r="A418" s="123" t="s">
        <v>598</v>
      </c>
    </row>
    <row r="419">
      <c r="A419" s="123" t="s">
        <v>600</v>
      </c>
    </row>
    <row r="420">
      <c r="A420" s="123" t="s">
        <v>602</v>
      </c>
    </row>
    <row r="421">
      <c r="A421" s="123" t="s">
        <v>603</v>
      </c>
    </row>
    <row r="422">
      <c r="A422" s="123" t="s">
        <v>604</v>
      </c>
    </row>
    <row r="423">
      <c r="A423" s="123" t="s">
        <v>606</v>
      </c>
    </row>
    <row r="424">
      <c r="A424" s="123" t="s">
        <v>607</v>
      </c>
    </row>
    <row r="425">
      <c r="A425" s="123" t="s">
        <v>609</v>
      </c>
    </row>
    <row r="426">
      <c r="A426" s="123" t="s">
        <v>610</v>
      </c>
    </row>
    <row r="427">
      <c r="A427" s="123" t="s">
        <v>612</v>
      </c>
    </row>
    <row r="428">
      <c r="A428" s="123" t="s">
        <v>613</v>
      </c>
    </row>
    <row r="429">
      <c r="A429" s="124" t="s">
        <v>615</v>
      </c>
    </row>
    <row r="430">
      <c r="A430" s="123" t="s">
        <v>617</v>
      </c>
    </row>
    <row r="431">
      <c r="A431" s="123" t="s">
        <v>618</v>
      </c>
    </row>
    <row r="432">
      <c r="A432" s="123" t="s">
        <v>620</v>
      </c>
    </row>
    <row r="433">
      <c r="A433" s="123" t="s">
        <v>623</v>
      </c>
    </row>
    <row r="434">
      <c r="A434" s="123" t="s">
        <v>624</v>
      </c>
    </row>
    <row r="435">
      <c r="A435" s="124" t="s">
        <v>626</v>
      </c>
    </row>
    <row r="436">
      <c r="A436" s="123" t="s">
        <v>627</v>
      </c>
    </row>
    <row r="437">
      <c r="A437" s="123" t="s">
        <v>628</v>
      </c>
    </row>
    <row r="438">
      <c r="A438" s="127" t="s">
        <v>629</v>
      </c>
    </row>
    <row r="439">
      <c r="A439" s="124" t="s">
        <v>630</v>
      </c>
    </row>
    <row r="440">
      <c r="A440" s="123" t="s">
        <v>632</v>
      </c>
    </row>
    <row r="441">
      <c r="A441" s="123" t="s">
        <v>634</v>
      </c>
    </row>
    <row r="442">
      <c r="A442" s="123" t="s">
        <v>635</v>
      </c>
    </row>
    <row r="443">
      <c r="A443" s="123" t="s">
        <v>636</v>
      </c>
    </row>
    <row r="444">
      <c r="A444" s="123" t="s">
        <v>637</v>
      </c>
    </row>
    <row r="445">
      <c r="A445" s="123" t="s">
        <v>639</v>
      </c>
    </row>
    <row r="446">
      <c r="A446" s="123" t="s">
        <v>640</v>
      </c>
    </row>
    <row r="447">
      <c r="A447" s="123" t="s">
        <v>641</v>
      </c>
    </row>
    <row r="448">
      <c r="A448" s="123" t="s">
        <v>644</v>
      </c>
    </row>
    <row r="449">
      <c r="A449" s="123" t="s">
        <v>645</v>
      </c>
    </row>
    <row r="450">
      <c r="A450" s="123" t="s">
        <v>648</v>
      </c>
    </row>
    <row r="451">
      <c r="A451" s="123" t="s">
        <v>650</v>
      </c>
    </row>
    <row r="452">
      <c r="A452" s="123" t="s">
        <v>651</v>
      </c>
    </row>
    <row r="453">
      <c r="A453" s="130" t="s">
        <v>652</v>
      </c>
    </row>
    <row r="454">
      <c r="A454" s="130" t="s">
        <v>653</v>
      </c>
    </row>
    <row r="455">
      <c r="A455" s="131" t="s">
        <v>654</v>
      </c>
    </row>
    <row r="456">
      <c r="A456" s="130" t="s">
        <v>655</v>
      </c>
    </row>
    <row r="457">
      <c r="A457" s="130" t="s">
        <v>656</v>
      </c>
    </row>
    <row r="458">
      <c r="A458" s="130" t="s">
        <v>657</v>
      </c>
    </row>
    <row r="459">
      <c r="A459" s="132" t="s">
        <v>658</v>
      </c>
    </row>
    <row r="460">
      <c r="A460" s="130" t="s">
        <v>664</v>
      </c>
    </row>
    <row r="461">
      <c r="A461" s="130" t="s">
        <v>665</v>
      </c>
    </row>
    <row r="462">
      <c r="A462" s="130" t="s">
        <v>668</v>
      </c>
    </row>
    <row r="463">
      <c r="A463" s="130" t="s">
        <v>671</v>
      </c>
    </row>
    <row r="464">
      <c r="A464" s="130" t="s">
        <v>673</v>
      </c>
    </row>
    <row r="465">
      <c r="A465" s="130" t="s">
        <v>674</v>
      </c>
    </row>
    <row r="466">
      <c r="A466" s="130" t="s">
        <v>676</v>
      </c>
    </row>
    <row r="467">
      <c r="A467" s="130" t="s">
        <v>677</v>
      </c>
    </row>
    <row r="468">
      <c r="A468" s="131" t="s">
        <v>679</v>
      </c>
    </row>
    <row r="469">
      <c r="A469" s="130" t="s">
        <v>680</v>
      </c>
    </row>
    <row r="470">
      <c r="A470" s="130" t="s">
        <v>681</v>
      </c>
    </row>
    <row r="471">
      <c r="A471" s="130" t="s">
        <v>683</v>
      </c>
    </row>
    <row r="472">
      <c r="A472" s="130" t="s">
        <v>684</v>
      </c>
    </row>
    <row r="473">
      <c r="A473" s="130" t="s">
        <v>685</v>
      </c>
    </row>
    <row r="474">
      <c r="A474" s="130" t="s">
        <v>686</v>
      </c>
    </row>
    <row r="475">
      <c r="A475" s="130" t="s">
        <v>688</v>
      </c>
    </row>
    <row r="476">
      <c r="A476" s="130" t="s">
        <v>689</v>
      </c>
    </row>
    <row r="477">
      <c r="A477" s="130" t="s">
        <v>690</v>
      </c>
    </row>
    <row r="478">
      <c r="A478" s="130" t="s">
        <v>691</v>
      </c>
    </row>
    <row r="479">
      <c r="A479" s="130" t="s">
        <v>692</v>
      </c>
    </row>
    <row r="480">
      <c r="A480" s="130" t="s">
        <v>695</v>
      </c>
    </row>
    <row r="481">
      <c r="A481" s="130" t="s">
        <v>697</v>
      </c>
    </row>
    <row r="482">
      <c r="A482" s="130" t="s">
        <v>698</v>
      </c>
    </row>
    <row r="483">
      <c r="A483" s="130" t="s">
        <v>699</v>
      </c>
    </row>
    <row r="484">
      <c r="A484" s="130" t="s">
        <v>700</v>
      </c>
    </row>
    <row r="485">
      <c r="A485" s="130" t="s">
        <v>702</v>
      </c>
    </row>
    <row r="486">
      <c r="A486" s="130" t="s">
        <v>703</v>
      </c>
    </row>
    <row r="487">
      <c r="A487" s="130" t="s">
        <v>705</v>
      </c>
    </row>
    <row r="488">
      <c r="A488" s="130" t="s">
        <v>706</v>
      </c>
    </row>
    <row r="489">
      <c r="A489" s="130" t="s">
        <v>710</v>
      </c>
    </row>
    <row r="490">
      <c r="A490" s="130" t="s">
        <v>711</v>
      </c>
    </row>
    <row r="491">
      <c r="A491" s="130" t="s">
        <v>712</v>
      </c>
    </row>
    <row r="492">
      <c r="A492" s="130" t="s">
        <v>713</v>
      </c>
    </row>
    <row r="493">
      <c r="A493" s="130" t="s">
        <v>714</v>
      </c>
    </row>
    <row r="494">
      <c r="A494" s="130" t="s">
        <v>711</v>
      </c>
    </row>
    <row r="495">
      <c r="A495" s="130" t="s">
        <v>715</v>
      </c>
    </row>
    <row r="496">
      <c r="A496" s="130" t="s">
        <v>716</v>
      </c>
    </row>
    <row r="497">
      <c r="A497" s="130" t="s">
        <v>717</v>
      </c>
    </row>
    <row r="498">
      <c r="A498" s="130" t="s">
        <v>718</v>
      </c>
    </row>
    <row r="499">
      <c r="A499" s="130" t="s">
        <v>719</v>
      </c>
    </row>
    <row r="500">
      <c r="A500" s="130" t="s">
        <v>720</v>
      </c>
    </row>
    <row r="501">
      <c r="A501" s="130" t="s">
        <v>721</v>
      </c>
    </row>
    <row r="502">
      <c r="A502" s="130" t="s">
        <v>724</v>
      </c>
    </row>
    <row r="503">
      <c r="A503" s="134" t="s">
        <v>725</v>
      </c>
    </row>
    <row r="504">
      <c r="A504" s="135" t="s">
        <v>727</v>
      </c>
    </row>
    <row r="505">
      <c r="A505" s="135" t="s">
        <v>728</v>
      </c>
    </row>
    <row r="506">
      <c r="A506" s="135" t="s">
        <v>729</v>
      </c>
    </row>
    <row r="507">
      <c r="A507" s="135" t="s">
        <v>697</v>
      </c>
    </row>
    <row r="508">
      <c r="A508" s="135" t="s">
        <v>732</v>
      </c>
    </row>
    <row r="509">
      <c r="A509" s="135" t="s">
        <v>733</v>
      </c>
    </row>
    <row r="510">
      <c r="A510" s="135" t="s">
        <v>735</v>
      </c>
    </row>
    <row r="511">
      <c r="A511" s="135" t="s">
        <v>736</v>
      </c>
    </row>
    <row r="512">
      <c r="A512" s="135" t="s">
        <v>737</v>
      </c>
    </row>
    <row r="513">
      <c r="A513" s="135" t="s">
        <v>740</v>
      </c>
    </row>
    <row r="514">
      <c r="A514" s="135" t="s">
        <v>741</v>
      </c>
    </row>
    <row r="515">
      <c r="A515" s="135" t="s">
        <v>743</v>
      </c>
    </row>
    <row r="516">
      <c r="A516" s="135" t="s">
        <v>744</v>
      </c>
    </row>
    <row r="517">
      <c r="A517" s="135" t="s">
        <v>745</v>
      </c>
    </row>
    <row r="518">
      <c r="A518" s="135" t="s">
        <v>746</v>
      </c>
    </row>
    <row r="519">
      <c r="A519" s="135" t="s">
        <v>747</v>
      </c>
    </row>
    <row r="520">
      <c r="A520" s="135" t="s">
        <v>748</v>
      </c>
    </row>
    <row r="521">
      <c r="A521" s="135" t="s">
        <v>750</v>
      </c>
    </row>
    <row r="522">
      <c r="A522" s="137" t="s">
        <v>751</v>
      </c>
    </row>
    <row r="523">
      <c r="A523" s="138" t="s">
        <v>753</v>
      </c>
    </row>
    <row r="524">
      <c r="A524" s="138" t="s">
        <v>754</v>
      </c>
    </row>
    <row r="525">
      <c r="A525" s="138" t="s">
        <v>755</v>
      </c>
    </row>
    <row r="526">
      <c r="A526" s="138" t="s">
        <v>732</v>
      </c>
    </row>
    <row r="527">
      <c r="A527" s="138" t="s">
        <v>759</v>
      </c>
    </row>
    <row r="528">
      <c r="A528" s="138" t="s">
        <v>761</v>
      </c>
    </row>
    <row r="529">
      <c r="A529" s="138" t="s">
        <v>762</v>
      </c>
    </row>
    <row r="530">
      <c r="A530" s="138" t="s">
        <v>763</v>
      </c>
    </row>
    <row r="531">
      <c r="A531" s="138" t="s">
        <v>764</v>
      </c>
    </row>
    <row r="532">
      <c r="A532" s="138" t="s">
        <v>766</v>
      </c>
    </row>
    <row r="533">
      <c r="A533" s="138" t="s">
        <v>767</v>
      </c>
    </row>
    <row r="534">
      <c r="A534" s="138" t="s">
        <v>768</v>
      </c>
    </row>
    <row r="535">
      <c r="A535" s="138" t="s">
        <v>769</v>
      </c>
    </row>
    <row r="536">
      <c r="A536" s="138" t="s">
        <v>770</v>
      </c>
    </row>
    <row r="537">
      <c r="A537" s="138" t="s">
        <v>772</v>
      </c>
    </row>
    <row r="538">
      <c r="A538" s="138" t="s">
        <v>624</v>
      </c>
    </row>
    <row r="539">
      <c r="A539" s="138" t="s">
        <v>637</v>
      </c>
    </row>
    <row r="540">
      <c r="A540" s="138" t="s">
        <v>774</v>
      </c>
    </row>
    <row r="541">
      <c r="A541" s="138" t="s">
        <v>775</v>
      </c>
    </row>
    <row r="542">
      <c r="A542" s="138" t="s">
        <v>776</v>
      </c>
    </row>
    <row r="543">
      <c r="A543" s="138" t="s">
        <v>732</v>
      </c>
    </row>
    <row r="544">
      <c r="A544" s="138" t="s">
        <v>777</v>
      </c>
    </row>
    <row r="545">
      <c r="A545" s="138" t="s">
        <v>732</v>
      </c>
    </row>
    <row r="546">
      <c r="A546" s="138" t="s">
        <v>779</v>
      </c>
    </row>
    <row r="547">
      <c r="A547" s="138" t="s">
        <v>780</v>
      </c>
    </row>
    <row r="548">
      <c r="A548" s="138" t="s">
        <v>762</v>
      </c>
    </row>
    <row r="549">
      <c r="A549" s="138" t="s">
        <v>781</v>
      </c>
    </row>
    <row r="550">
      <c r="A550" s="138" t="s">
        <v>782</v>
      </c>
    </row>
    <row r="551">
      <c r="A551" s="138" t="s">
        <v>783</v>
      </c>
    </row>
    <row r="552">
      <c r="A552" s="138" t="s">
        <v>785</v>
      </c>
    </row>
    <row r="553">
      <c r="A553" s="138" t="s">
        <v>786</v>
      </c>
    </row>
    <row r="554">
      <c r="A554" s="139" t="s">
        <v>788</v>
      </c>
    </row>
    <row r="555">
      <c r="A555" s="139" t="s">
        <v>790</v>
      </c>
    </row>
    <row r="556">
      <c r="A556" s="139" t="s">
        <v>791</v>
      </c>
    </row>
    <row r="557">
      <c r="A557" s="139" t="s">
        <v>792</v>
      </c>
    </row>
    <row r="558">
      <c r="A558" s="139" t="s">
        <v>793</v>
      </c>
    </row>
    <row r="559">
      <c r="A559" s="139" t="s">
        <v>794</v>
      </c>
    </row>
    <row r="560">
      <c r="A560" s="139" t="s">
        <v>795</v>
      </c>
    </row>
    <row r="561">
      <c r="A561" s="140" t="s">
        <v>796</v>
      </c>
    </row>
    <row r="562">
      <c r="A562" s="141" t="s">
        <v>797</v>
      </c>
    </row>
    <row r="563">
      <c r="A563" s="141" t="s">
        <v>798</v>
      </c>
    </row>
    <row r="564">
      <c r="A564" s="141" t="s">
        <v>799</v>
      </c>
    </row>
    <row r="565">
      <c r="A565" s="141" t="s">
        <v>800</v>
      </c>
    </row>
    <row r="566">
      <c r="A566" s="141" t="s">
        <v>801</v>
      </c>
    </row>
    <row r="567">
      <c r="A567" s="141" t="s">
        <v>803</v>
      </c>
    </row>
    <row r="568">
      <c r="A568" s="141" t="s">
        <v>804</v>
      </c>
    </row>
    <row r="569">
      <c r="A569" s="141" t="s">
        <v>805</v>
      </c>
    </row>
    <row r="570">
      <c r="A570" s="141" t="s">
        <v>806</v>
      </c>
    </row>
    <row r="571">
      <c r="A571" s="141" t="s">
        <v>807</v>
      </c>
    </row>
    <row r="572">
      <c r="A572" s="141" t="s">
        <v>808</v>
      </c>
    </row>
    <row r="573">
      <c r="A573" s="141" t="s">
        <v>809</v>
      </c>
    </row>
    <row r="574">
      <c r="A574" s="141" t="s">
        <v>810</v>
      </c>
    </row>
    <row r="575">
      <c r="A575" s="141" t="s">
        <v>811</v>
      </c>
    </row>
    <row r="576">
      <c r="A576" s="141" t="s">
        <v>812</v>
      </c>
    </row>
    <row r="577">
      <c r="A577" s="141" t="s">
        <v>813</v>
      </c>
    </row>
    <row r="578">
      <c r="A578" s="141" t="s">
        <v>814</v>
      </c>
    </row>
    <row r="579">
      <c r="A579" s="141" t="s">
        <v>815</v>
      </c>
    </row>
    <row r="580">
      <c r="A580" s="141" t="s">
        <v>816</v>
      </c>
    </row>
    <row r="581">
      <c r="A581" s="141" t="s">
        <v>53</v>
      </c>
    </row>
    <row r="582">
      <c r="A582" s="141" t="s">
        <v>817</v>
      </c>
    </row>
    <row r="583">
      <c r="A583" s="141" t="s">
        <v>818</v>
      </c>
    </row>
    <row r="584">
      <c r="A584" s="141" t="s">
        <v>819</v>
      </c>
    </row>
    <row r="585">
      <c r="A585" s="141" t="s">
        <v>820</v>
      </c>
    </row>
    <row r="586">
      <c r="A586" s="141" t="s">
        <v>821</v>
      </c>
    </row>
    <row r="587">
      <c r="A587" s="141" t="s">
        <v>822</v>
      </c>
    </row>
    <row r="588">
      <c r="A588" s="141" t="s">
        <v>823</v>
      </c>
    </row>
    <row r="589">
      <c r="A589" s="141" t="s">
        <v>824</v>
      </c>
    </row>
    <row r="590">
      <c r="A590" s="141" t="s">
        <v>825</v>
      </c>
    </row>
    <row r="591">
      <c r="A591" s="141" t="s">
        <v>827</v>
      </c>
    </row>
    <row r="592">
      <c r="A592" s="141" t="s">
        <v>828</v>
      </c>
    </row>
    <row r="593">
      <c r="A593" s="141" t="s">
        <v>829</v>
      </c>
    </row>
    <row r="594">
      <c r="A594" s="141" t="s">
        <v>830</v>
      </c>
    </row>
    <row r="595">
      <c r="A595" s="141" t="s">
        <v>831</v>
      </c>
    </row>
    <row r="596">
      <c r="A596" s="141" t="s">
        <v>832</v>
      </c>
    </row>
    <row r="597">
      <c r="A597" s="141" t="s">
        <v>833</v>
      </c>
    </row>
    <row r="598">
      <c r="A598" s="141" t="s">
        <v>834</v>
      </c>
    </row>
    <row r="599">
      <c r="A599" s="141" t="s">
        <v>835</v>
      </c>
    </row>
    <row r="600">
      <c r="A600" s="141" t="s">
        <v>836</v>
      </c>
    </row>
    <row r="601">
      <c r="A601" s="141" t="s">
        <v>837</v>
      </c>
    </row>
    <row r="602">
      <c r="A602" s="141" t="s">
        <v>838</v>
      </c>
    </row>
    <row r="603">
      <c r="A603" s="141" t="s">
        <v>840</v>
      </c>
    </row>
    <row r="604">
      <c r="A604" s="141" t="s">
        <v>841</v>
      </c>
    </row>
    <row r="605">
      <c r="A605" s="143" t="s">
        <v>842</v>
      </c>
    </row>
    <row r="606">
      <c r="A606" s="143" t="s">
        <v>843</v>
      </c>
    </row>
    <row r="607">
      <c r="A607" s="143" t="s">
        <v>845</v>
      </c>
    </row>
    <row r="608">
      <c r="A608" s="143" t="s">
        <v>846</v>
      </c>
    </row>
    <row r="609">
      <c r="A609" s="143" t="s">
        <v>847</v>
      </c>
    </row>
    <row r="610">
      <c r="A610" s="143" t="s">
        <v>848</v>
      </c>
    </row>
    <row r="611">
      <c r="A611" s="143" t="s">
        <v>849</v>
      </c>
    </row>
    <row r="612">
      <c r="A612" s="143" t="s">
        <v>850</v>
      </c>
    </row>
    <row r="613">
      <c r="A613" s="143" t="s">
        <v>852</v>
      </c>
    </row>
    <row r="614">
      <c r="A614" s="143" t="s">
        <v>853</v>
      </c>
    </row>
    <row r="615">
      <c r="A615" s="143" t="s">
        <v>855</v>
      </c>
    </row>
    <row r="616">
      <c r="A616" s="143" t="s">
        <v>857</v>
      </c>
    </row>
    <row r="617">
      <c r="A617" s="143" t="s">
        <v>858</v>
      </c>
    </row>
    <row r="618">
      <c r="A618" s="143" t="s">
        <v>860</v>
      </c>
    </row>
    <row r="619">
      <c r="A619" s="143" t="s">
        <v>862</v>
      </c>
    </row>
    <row r="620">
      <c r="A620" s="143" t="s">
        <v>863</v>
      </c>
    </row>
    <row r="621">
      <c r="A621" s="143" t="s">
        <v>865</v>
      </c>
    </row>
    <row r="622">
      <c r="A622" s="143" t="s">
        <v>867</v>
      </c>
    </row>
    <row r="623">
      <c r="A623" s="143" t="s">
        <v>160</v>
      </c>
    </row>
    <row r="624">
      <c r="A624" s="143" t="s">
        <v>868</v>
      </c>
    </row>
    <row r="625">
      <c r="A625" s="143" t="s">
        <v>869</v>
      </c>
    </row>
    <row r="626">
      <c r="A626" s="143" t="s">
        <v>870</v>
      </c>
    </row>
    <row r="627">
      <c r="A627" s="143" t="s">
        <v>871</v>
      </c>
    </row>
    <row r="628">
      <c r="A628" s="143" t="s">
        <v>872</v>
      </c>
    </row>
    <row r="629">
      <c r="A629" s="143" t="s">
        <v>873</v>
      </c>
    </row>
    <row r="630">
      <c r="A630" s="143" t="s">
        <v>874</v>
      </c>
    </row>
    <row r="631">
      <c r="A631" s="143" t="s">
        <v>875</v>
      </c>
    </row>
    <row r="632">
      <c r="A632" s="143" t="s">
        <v>876</v>
      </c>
    </row>
    <row r="633">
      <c r="A633" s="143" t="s">
        <v>877</v>
      </c>
    </row>
    <row r="634">
      <c r="A634" s="143" t="s">
        <v>878</v>
      </c>
    </row>
    <row r="635">
      <c r="A635" s="143" t="s">
        <v>879</v>
      </c>
    </row>
    <row r="636">
      <c r="A636" s="143" t="s">
        <v>881</v>
      </c>
    </row>
    <row r="637">
      <c r="A637" s="143" t="s">
        <v>882</v>
      </c>
    </row>
    <row r="638">
      <c r="A638" s="143" t="s">
        <v>883</v>
      </c>
    </row>
    <row r="639">
      <c r="A639" s="143" t="s">
        <v>884</v>
      </c>
    </row>
    <row r="640">
      <c r="A640" s="143" t="s">
        <v>885</v>
      </c>
    </row>
    <row r="641">
      <c r="A641" s="143" t="s">
        <v>886</v>
      </c>
    </row>
    <row r="642">
      <c r="A642" s="143" t="s">
        <v>887</v>
      </c>
    </row>
    <row r="643">
      <c r="A643" s="143" t="s">
        <v>888</v>
      </c>
    </row>
    <row r="644">
      <c r="A644" s="143" t="s">
        <v>889</v>
      </c>
    </row>
    <row r="645">
      <c r="A645" s="143" t="s">
        <v>890</v>
      </c>
    </row>
    <row r="646">
      <c r="A646" s="143" t="s">
        <v>892</v>
      </c>
    </row>
    <row r="647">
      <c r="A647" s="143" t="s">
        <v>893</v>
      </c>
    </row>
    <row r="648">
      <c r="A648" s="143" t="s">
        <v>894</v>
      </c>
    </row>
    <row r="649">
      <c r="A649" s="143" t="s">
        <v>895</v>
      </c>
    </row>
    <row r="650">
      <c r="A650" s="143" t="s">
        <v>896</v>
      </c>
    </row>
    <row r="651">
      <c r="A651" s="143" t="s">
        <v>897</v>
      </c>
    </row>
    <row r="652">
      <c r="A652" s="143" t="s">
        <v>899</v>
      </c>
    </row>
    <row r="653">
      <c r="A653" s="143" t="s">
        <v>900</v>
      </c>
    </row>
    <row r="654">
      <c r="A654" s="143" t="s">
        <v>901</v>
      </c>
    </row>
    <row r="655">
      <c r="A655" s="127" t="s">
        <v>902</v>
      </c>
    </row>
    <row r="656">
      <c r="A656" s="145" t="s">
        <v>903</v>
      </c>
    </row>
    <row r="657">
      <c r="A657" s="127" t="s">
        <v>904</v>
      </c>
    </row>
    <row r="658">
      <c r="A658" s="127" t="s">
        <v>906</v>
      </c>
    </row>
    <row r="659">
      <c r="A659" s="127" t="s">
        <v>907</v>
      </c>
    </row>
    <row r="660">
      <c r="A660" s="127" t="s">
        <v>908</v>
      </c>
    </row>
    <row r="661">
      <c r="A661" s="127" t="s">
        <v>910</v>
      </c>
    </row>
    <row r="662">
      <c r="A662" s="127" t="s">
        <v>911</v>
      </c>
    </row>
    <row r="663">
      <c r="A663" s="127" t="s">
        <v>912</v>
      </c>
    </row>
    <row r="664">
      <c r="A664" s="127" t="s">
        <v>913</v>
      </c>
    </row>
    <row r="665">
      <c r="A665" s="127" t="s">
        <v>915</v>
      </c>
    </row>
    <row r="666">
      <c r="A666" s="127" t="s">
        <v>916</v>
      </c>
    </row>
    <row r="667">
      <c r="A667" s="127" t="s">
        <v>917</v>
      </c>
    </row>
    <row r="668">
      <c r="A668" s="127" t="s">
        <v>918</v>
      </c>
    </row>
    <row r="669">
      <c r="A669" s="127" t="s">
        <v>919</v>
      </c>
    </row>
    <row r="670">
      <c r="A670" s="127" t="s">
        <v>920</v>
      </c>
    </row>
    <row r="671">
      <c r="A671" s="127" t="s">
        <v>921</v>
      </c>
    </row>
    <row r="672">
      <c r="A672" s="127" t="s">
        <v>922</v>
      </c>
    </row>
    <row r="673">
      <c r="A673" s="127" t="s">
        <v>923</v>
      </c>
    </row>
    <row r="674">
      <c r="A674" s="127" t="s">
        <v>924</v>
      </c>
    </row>
    <row r="675">
      <c r="A675" s="127" t="s">
        <v>925</v>
      </c>
    </row>
    <row r="676">
      <c r="A676" s="127" t="s">
        <v>926</v>
      </c>
    </row>
    <row r="677">
      <c r="A677" s="127" t="s">
        <v>927</v>
      </c>
    </row>
    <row r="678">
      <c r="A678" s="127" t="s">
        <v>928</v>
      </c>
    </row>
    <row r="679">
      <c r="A679" s="127" t="s">
        <v>929</v>
      </c>
    </row>
    <row r="680">
      <c r="A680" s="127" t="s">
        <v>930</v>
      </c>
    </row>
    <row r="681">
      <c r="A681" s="127" t="s">
        <v>931</v>
      </c>
    </row>
    <row r="682">
      <c r="A682" s="127" t="s">
        <v>932</v>
      </c>
    </row>
    <row r="683">
      <c r="A683" s="127" t="s">
        <v>933</v>
      </c>
    </row>
    <row r="684">
      <c r="A684" s="127" t="s">
        <v>352</v>
      </c>
    </row>
    <row r="685">
      <c r="A685" s="127" t="s">
        <v>934</v>
      </c>
    </row>
    <row r="686">
      <c r="A686" s="127" t="s">
        <v>935</v>
      </c>
    </row>
    <row r="687">
      <c r="A687" s="127" t="s">
        <v>936</v>
      </c>
    </row>
    <row r="688">
      <c r="A688" s="127" t="s">
        <v>937</v>
      </c>
    </row>
    <row r="689">
      <c r="A689" s="127" t="s">
        <v>938</v>
      </c>
    </row>
    <row r="690">
      <c r="A690" s="127" t="s">
        <v>411</v>
      </c>
    </row>
    <row r="691">
      <c r="A691" s="127" t="s">
        <v>939</v>
      </c>
    </row>
    <row r="692">
      <c r="A692" s="127" t="s">
        <v>940</v>
      </c>
    </row>
    <row r="693">
      <c r="A693" s="127" t="s">
        <v>941</v>
      </c>
    </row>
    <row r="694">
      <c r="A694" s="127" t="s">
        <v>944</v>
      </c>
    </row>
    <row r="695">
      <c r="A695" s="127" t="s">
        <v>945</v>
      </c>
    </row>
    <row r="696">
      <c r="A696" s="127" t="s">
        <v>946</v>
      </c>
    </row>
    <row r="697">
      <c r="A697" s="127" t="s">
        <v>947</v>
      </c>
    </row>
    <row r="698">
      <c r="A698" s="127" t="s">
        <v>948</v>
      </c>
    </row>
    <row r="699">
      <c r="A699" s="127" t="s">
        <v>949</v>
      </c>
    </row>
    <row r="700">
      <c r="A700" s="127" t="s">
        <v>950</v>
      </c>
    </row>
    <row r="701">
      <c r="A701" s="127" t="s">
        <v>951</v>
      </c>
    </row>
    <row r="702">
      <c r="A702" s="127" t="s">
        <v>952</v>
      </c>
    </row>
    <row r="703">
      <c r="A703" s="127" t="s">
        <v>953</v>
      </c>
    </row>
    <row r="704">
      <c r="A704" s="141" t="s">
        <v>371</v>
      </c>
    </row>
    <row r="705">
      <c r="A705" s="141" t="s">
        <v>955</v>
      </c>
    </row>
    <row r="706">
      <c r="A706" s="141" t="s">
        <v>956</v>
      </c>
    </row>
    <row r="707">
      <c r="A707" s="141" t="s">
        <v>957</v>
      </c>
    </row>
    <row r="708">
      <c r="A708" s="141" t="s">
        <v>958</v>
      </c>
    </row>
    <row r="709">
      <c r="A709" s="141" t="s">
        <v>960</v>
      </c>
    </row>
    <row r="710">
      <c r="A710" s="141" t="s">
        <v>962</v>
      </c>
    </row>
    <row r="711">
      <c r="A711" s="141" t="s">
        <v>963</v>
      </c>
    </row>
    <row r="712">
      <c r="A712" s="141" t="s">
        <v>964</v>
      </c>
    </row>
    <row r="713">
      <c r="A713" s="141" t="s">
        <v>965</v>
      </c>
    </row>
    <row r="714">
      <c r="A714" s="141" t="s">
        <v>967</v>
      </c>
    </row>
    <row r="715">
      <c r="A715" s="141" t="s">
        <v>968</v>
      </c>
    </row>
    <row r="716">
      <c r="A716" s="141" t="s">
        <v>969</v>
      </c>
    </row>
    <row r="717">
      <c r="A717" s="141" t="s">
        <v>970</v>
      </c>
    </row>
    <row r="718">
      <c r="A718" s="141" t="s">
        <v>971</v>
      </c>
    </row>
    <row r="719">
      <c r="A719" s="141" t="s">
        <v>973</v>
      </c>
    </row>
    <row r="720">
      <c r="A720" s="141" t="s">
        <v>974</v>
      </c>
    </row>
    <row r="721">
      <c r="A721" s="141" t="s">
        <v>975</v>
      </c>
    </row>
    <row r="722">
      <c r="A722" s="141" t="s">
        <v>464</v>
      </c>
    </row>
    <row r="723">
      <c r="A723" s="141" t="s">
        <v>977</v>
      </c>
    </row>
    <row r="724">
      <c r="A724" s="141" t="s">
        <v>978</v>
      </c>
    </row>
    <row r="725">
      <c r="A725" s="141" t="s">
        <v>979</v>
      </c>
    </row>
    <row r="726">
      <c r="A726" s="141" t="s">
        <v>980</v>
      </c>
    </row>
    <row r="727">
      <c r="A727" s="141" t="s">
        <v>981</v>
      </c>
    </row>
    <row r="728">
      <c r="A728" s="141" t="s">
        <v>982</v>
      </c>
    </row>
    <row r="729">
      <c r="A729" s="141" t="s">
        <v>983</v>
      </c>
    </row>
    <row r="730">
      <c r="A730" s="141" t="s">
        <v>984</v>
      </c>
    </row>
    <row r="731">
      <c r="A731" s="141" t="s">
        <v>986</v>
      </c>
    </row>
    <row r="732">
      <c r="A732" s="141" t="s">
        <v>987</v>
      </c>
    </row>
    <row r="733">
      <c r="A733" s="141" t="s">
        <v>988</v>
      </c>
    </row>
    <row r="734">
      <c r="A734" s="141" t="s">
        <v>989</v>
      </c>
    </row>
    <row r="735">
      <c r="A735" s="141" t="s">
        <v>990</v>
      </c>
    </row>
    <row r="736">
      <c r="A736" s="146" t="s">
        <v>991</v>
      </c>
    </row>
    <row r="737">
      <c r="A737" s="141" t="s">
        <v>994</v>
      </c>
    </row>
    <row r="738">
      <c r="A738" s="141" t="s">
        <v>995</v>
      </c>
    </row>
    <row r="739">
      <c r="A739" s="141" t="s">
        <v>996</v>
      </c>
    </row>
    <row r="740">
      <c r="A740" s="141" t="s">
        <v>998</v>
      </c>
    </row>
    <row r="741">
      <c r="A741" s="141" t="s">
        <v>1000</v>
      </c>
    </row>
    <row r="742">
      <c r="A742" s="141" t="s">
        <v>1001</v>
      </c>
    </row>
    <row r="743">
      <c r="A743" s="141" t="s">
        <v>1003</v>
      </c>
    </row>
    <row r="744">
      <c r="A744" s="141" t="s">
        <v>1004</v>
      </c>
    </row>
    <row r="745">
      <c r="A745" s="141" t="s">
        <v>1007</v>
      </c>
    </row>
    <row r="746">
      <c r="A746" s="141" t="s">
        <v>1008</v>
      </c>
    </row>
    <row r="747">
      <c r="A747" s="141" t="s">
        <v>1009</v>
      </c>
    </row>
    <row r="748">
      <c r="A748" s="141" t="s">
        <v>1010</v>
      </c>
    </row>
    <row r="749">
      <c r="A749" s="141" t="s">
        <v>960</v>
      </c>
    </row>
    <row r="750">
      <c r="A750" s="147" t="s">
        <v>1011</v>
      </c>
    </row>
    <row r="751">
      <c r="A751" s="148" t="s">
        <v>1012</v>
      </c>
      <c r="B751" s="149"/>
    </row>
    <row r="752">
      <c r="A752" s="150" t="s">
        <v>1013</v>
      </c>
    </row>
    <row r="753">
      <c r="A753" s="150" t="s">
        <v>1015</v>
      </c>
    </row>
    <row r="754">
      <c r="A754" s="151" t="s">
        <v>1016</v>
      </c>
    </row>
    <row r="755">
      <c r="A755" s="151" t="s">
        <v>1018</v>
      </c>
    </row>
    <row r="756">
      <c r="A756" s="151" t="s">
        <v>1020</v>
      </c>
    </row>
    <row r="757">
      <c r="A757" s="151" t="s">
        <v>54</v>
      </c>
    </row>
    <row r="758">
      <c r="A758" s="151" t="s">
        <v>1023</v>
      </c>
      <c r="B758" s="10" t="s">
        <v>1025</v>
      </c>
    </row>
    <row r="759">
      <c r="A759" s="151" t="s">
        <v>1026</v>
      </c>
    </row>
    <row r="760">
      <c r="A760" s="151" t="s">
        <v>1028</v>
      </c>
    </row>
    <row r="761">
      <c r="A761" s="151" t="s">
        <v>1029</v>
      </c>
    </row>
    <row r="762">
      <c r="A762" s="151" t="s">
        <v>1031</v>
      </c>
    </row>
    <row r="763">
      <c r="A763" s="151" t="s">
        <v>1034</v>
      </c>
    </row>
    <row r="764">
      <c r="A764" s="151" t="s">
        <v>1035</v>
      </c>
    </row>
    <row r="765">
      <c r="A765" s="151" t="s">
        <v>1036</v>
      </c>
      <c r="B765" s="149"/>
    </row>
    <row r="766">
      <c r="A766" s="154" t="s">
        <v>1037</v>
      </c>
      <c r="B766" s="149"/>
    </row>
    <row r="767">
      <c r="A767" s="155" t="s">
        <v>1038</v>
      </c>
    </row>
    <row r="768">
      <c r="A768" s="156" t="s">
        <v>1039</v>
      </c>
    </row>
    <row r="769">
      <c r="A769" s="156" t="s">
        <v>1041</v>
      </c>
    </row>
    <row r="770">
      <c r="A770" s="156" t="s">
        <v>1042</v>
      </c>
    </row>
    <row r="771">
      <c r="A771" s="156" t="s">
        <v>1044</v>
      </c>
    </row>
    <row r="772">
      <c r="A772" s="157"/>
    </row>
    <row r="773">
      <c r="A773" s="157"/>
      <c r="B773" s="10" t="s">
        <v>166</v>
      </c>
    </row>
    <row r="774">
      <c r="A774" s="157"/>
    </row>
    <row r="775">
      <c r="A775" s="157"/>
    </row>
    <row r="776">
      <c r="A776" s="157"/>
    </row>
    <row r="777">
      <c r="A777" s="157"/>
    </row>
    <row r="778">
      <c r="A778" s="157"/>
    </row>
    <row r="779">
      <c r="A779" s="157"/>
      <c r="B779" s="149"/>
    </row>
  </sheetData>
  <hyperlinks>
    <hyperlink r:id="rId1" ref="A10"/>
    <hyperlink r:id="rId2" ref="A25"/>
    <hyperlink r:id="rId3" ref="A52"/>
    <hyperlink r:id="rId4" ref="A90"/>
    <hyperlink r:id="rId5" ref="A201"/>
    <hyperlink r:id="rId6" ref="A214"/>
    <hyperlink r:id="rId7" ref="A350"/>
    <hyperlink r:id="rId8" ref="A355"/>
    <hyperlink r:id="rId9" ref="A459"/>
    <hyperlink r:id="rId10" ref="A656"/>
    <hyperlink r:id="rId11" ref="A736"/>
    <hyperlink r:id="rId12" ref="A752"/>
    <hyperlink r:id="rId13" ref="A753"/>
    <hyperlink r:id="rId14" ref="A767"/>
  </hyperlinks>
  <drawing r:id="rId15"/>
  <tableParts count="1">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4.43" defaultRowHeight="15.0"/>
  <cols>
    <col customWidth="1" min="1" max="1" width="72.57"/>
  </cols>
  <sheetData>
    <row r="1">
      <c r="A1" s="158" t="s">
        <v>1050</v>
      </c>
      <c r="C1" s="159" t="s">
        <v>1051</v>
      </c>
    </row>
    <row r="2">
      <c r="A2" s="160" t="s">
        <v>7</v>
      </c>
    </row>
    <row r="3">
      <c r="A3" s="161" t="s">
        <v>8</v>
      </c>
    </row>
    <row r="4">
      <c r="A4" s="161" t="s">
        <v>9</v>
      </c>
    </row>
    <row r="5">
      <c r="A5" s="161" t="s">
        <v>10</v>
      </c>
    </row>
    <row r="6">
      <c r="A6" s="161" t="s">
        <v>11</v>
      </c>
    </row>
    <row r="7">
      <c r="A7" s="161" t="s">
        <v>12</v>
      </c>
    </row>
    <row r="8">
      <c r="A8" s="162" t="s">
        <v>13</v>
      </c>
    </row>
    <row r="9">
      <c r="A9" s="162" t="s">
        <v>14</v>
      </c>
    </row>
    <row r="10">
      <c r="A10" s="161" t="s">
        <v>17</v>
      </c>
    </row>
    <row r="11">
      <c r="A11" s="161" t="s">
        <v>18</v>
      </c>
    </row>
    <row r="12">
      <c r="A12" s="161" t="s">
        <v>19</v>
      </c>
    </row>
    <row r="13">
      <c r="A13" s="161" t="s">
        <v>20</v>
      </c>
    </row>
    <row r="14">
      <c r="A14" s="161" t="s">
        <v>21</v>
      </c>
    </row>
    <row r="15">
      <c r="A15" s="161" t="s">
        <v>23</v>
      </c>
    </row>
    <row r="16">
      <c r="A16" s="162" t="s">
        <v>454</v>
      </c>
    </row>
    <row r="17">
      <c r="A17" s="162" t="s">
        <v>25</v>
      </c>
    </row>
    <row r="18">
      <c r="A18" s="161" t="s">
        <v>28</v>
      </c>
    </row>
    <row r="19">
      <c r="A19" s="163" t="s">
        <v>29</v>
      </c>
    </row>
    <row r="20">
      <c r="A20" s="162" t="s">
        <v>694</v>
      </c>
    </row>
    <row r="21">
      <c r="A21" s="162" t="s">
        <v>1059</v>
      </c>
    </row>
    <row r="22">
      <c r="A22" s="162" t="s">
        <v>32</v>
      </c>
    </row>
    <row r="23">
      <c r="A23" s="161" t="s">
        <v>34</v>
      </c>
    </row>
    <row r="24">
      <c r="A24" s="161" t="s">
        <v>35</v>
      </c>
    </row>
    <row r="25">
      <c r="A25" s="161" t="s">
        <v>36</v>
      </c>
    </row>
    <row r="26">
      <c r="A26" s="161" t="s">
        <v>38</v>
      </c>
    </row>
    <row r="27">
      <c r="A27" s="162" t="s">
        <v>1060</v>
      </c>
    </row>
    <row r="28">
      <c r="A28" s="162" t="s">
        <v>1061</v>
      </c>
    </row>
    <row r="29">
      <c r="A29" s="162" t="s">
        <v>41</v>
      </c>
    </row>
    <row r="30">
      <c r="A30" s="161" t="s">
        <v>42</v>
      </c>
    </row>
    <row r="31">
      <c r="A31" s="161" t="s">
        <v>43</v>
      </c>
    </row>
    <row r="32">
      <c r="A32" s="161" t="s">
        <v>44</v>
      </c>
    </row>
    <row r="33">
      <c r="A33" s="161" t="s">
        <v>45</v>
      </c>
    </row>
    <row r="34">
      <c r="A34" s="162" t="s">
        <v>46</v>
      </c>
    </row>
    <row r="35">
      <c r="A35" s="162" t="s">
        <v>48</v>
      </c>
    </row>
    <row r="36">
      <c r="A36" s="161" t="s">
        <v>49</v>
      </c>
    </row>
    <row r="37">
      <c r="A37" s="161" t="s">
        <v>1055</v>
      </c>
    </row>
    <row r="38">
      <c r="A38" s="161" t="s">
        <v>50</v>
      </c>
    </row>
    <row r="39">
      <c r="A39" s="161" t="s">
        <v>51</v>
      </c>
    </row>
    <row r="40">
      <c r="A40" s="161" t="s">
        <v>52</v>
      </c>
    </row>
    <row r="41">
      <c r="A41" s="161" t="s">
        <v>53</v>
      </c>
    </row>
    <row r="42">
      <c r="A42" s="161" t="s">
        <v>54</v>
      </c>
    </row>
    <row r="43">
      <c r="A43" s="161" t="s">
        <v>55</v>
      </c>
    </row>
    <row r="44">
      <c r="A44" s="161" t="s">
        <v>56</v>
      </c>
    </row>
    <row r="45">
      <c r="A45" s="161" t="s">
        <v>58</v>
      </c>
    </row>
    <row r="46">
      <c r="A46" s="161" t="s">
        <v>60</v>
      </c>
    </row>
    <row r="47">
      <c r="A47" s="161" t="s">
        <v>61</v>
      </c>
    </row>
    <row r="48">
      <c r="A48" s="161" t="s">
        <v>62</v>
      </c>
    </row>
    <row r="49">
      <c r="A49" s="161" t="s">
        <v>63</v>
      </c>
    </row>
    <row r="50">
      <c r="A50" s="161" t="s">
        <v>64</v>
      </c>
    </row>
    <row r="51">
      <c r="A51" s="161" t="s">
        <v>66</v>
      </c>
    </row>
    <row r="52">
      <c r="A52" s="165" t="s">
        <v>72</v>
      </c>
    </row>
    <row r="53">
      <c r="A53" s="165" t="s">
        <v>74</v>
      </c>
    </row>
    <row r="54">
      <c r="A54" s="165" t="s">
        <v>75</v>
      </c>
    </row>
    <row r="55">
      <c r="A55" s="165" t="s">
        <v>76</v>
      </c>
    </row>
    <row r="56">
      <c r="A56" s="165" t="s">
        <v>77</v>
      </c>
    </row>
    <row r="57">
      <c r="A57" s="165" t="s">
        <v>78</v>
      </c>
    </row>
    <row r="58">
      <c r="A58" s="165" t="s">
        <v>79</v>
      </c>
    </row>
    <row r="59">
      <c r="A59" s="165" t="s">
        <v>81</v>
      </c>
    </row>
    <row r="60">
      <c r="A60" s="165" t="s">
        <v>83</v>
      </c>
    </row>
    <row r="61">
      <c r="A61" s="165" t="s">
        <v>1066</v>
      </c>
    </row>
    <row r="62">
      <c r="A62" s="165" t="s">
        <v>85</v>
      </c>
    </row>
    <row r="63">
      <c r="A63" s="165" t="s">
        <v>86</v>
      </c>
    </row>
    <row r="64">
      <c r="A64" s="165" t="s">
        <v>87</v>
      </c>
    </row>
    <row r="65">
      <c r="A65" s="165" t="s">
        <v>89</v>
      </c>
    </row>
    <row r="66">
      <c r="A66" s="165" t="s">
        <v>90</v>
      </c>
    </row>
    <row r="67">
      <c r="A67" s="165" t="s">
        <v>91</v>
      </c>
    </row>
    <row r="68">
      <c r="A68" s="165" t="s">
        <v>1068</v>
      </c>
    </row>
    <row r="69">
      <c r="A69" s="165" t="s">
        <v>95</v>
      </c>
    </row>
    <row r="70">
      <c r="A70" s="165" t="s">
        <v>96</v>
      </c>
    </row>
    <row r="71">
      <c r="A71" s="165" t="s">
        <v>98</v>
      </c>
    </row>
    <row r="72">
      <c r="A72" s="165" t="s">
        <v>99</v>
      </c>
    </row>
    <row r="73">
      <c r="A73" s="165" t="s">
        <v>100</v>
      </c>
    </row>
    <row r="74">
      <c r="A74" s="165" t="s">
        <v>1071</v>
      </c>
    </row>
    <row r="75">
      <c r="A75" s="165" t="s">
        <v>105</v>
      </c>
    </row>
    <row r="76">
      <c r="A76" s="165" t="s">
        <v>106</v>
      </c>
    </row>
    <row r="77">
      <c r="A77" s="165" t="s">
        <v>108</v>
      </c>
    </row>
    <row r="78">
      <c r="A78" s="165" t="s">
        <v>1073</v>
      </c>
    </row>
    <row r="79">
      <c r="A79" s="165" t="s">
        <v>113</v>
      </c>
    </row>
    <row r="80">
      <c r="A80" s="165" t="s">
        <v>114</v>
      </c>
    </row>
    <row r="81">
      <c r="A81" s="165" t="s">
        <v>1074</v>
      </c>
    </row>
    <row r="82">
      <c r="A82" s="165" t="s">
        <v>118</v>
      </c>
    </row>
    <row r="83">
      <c r="A83" s="165" t="s">
        <v>120</v>
      </c>
    </row>
    <row r="84">
      <c r="A84" s="165" t="s">
        <v>124</v>
      </c>
    </row>
    <row r="85">
      <c r="A85" s="165" t="s">
        <v>1077</v>
      </c>
    </row>
    <row r="86">
      <c r="A86" s="165" t="s">
        <v>126</v>
      </c>
    </row>
    <row r="87">
      <c r="A87" s="165" t="s">
        <v>127</v>
      </c>
    </row>
    <row r="88">
      <c r="A88" s="165" t="s">
        <v>129</v>
      </c>
    </row>
    <row r="89">
      <c r="A89" s="165" t="s">
        <v>130</v>
      </c>
    </row>
    <row r="90">
      <c r="A90" s="165" t="s">
        <v>131</v>
      </c>
    </row>
    <row r="91">
      <c r="A91" s="165" t="s">
        <v>132</v>
      </c>
    </row>
    <row r="92">
      <c r="A92" s="165" t="s">
        <v>133</v>
      </c>
    </row>
    <row r="93">
      <c r="A93" s="165" t="s">
        <v>135</v>
      </c>
    </row>
    <row r="94">
      <c r="A94" s="165" t="s">
        <v>136</v>
      </c>
    </row>
    <row r="95">
      <c r="A95" s="165" t="s">
        <v>137</v>
      </c>
    </row>
    <row r="96">
      <c r="A96" s="165" t="s">
        <v>138</v>
      </c>
    </row>
    <row r="97">
      <c r="A97" s="165" t="s">
        <v>139</v>
      </c>
    </row>
    <row r="98">
      <c r="A98" s="165" t="s">
        <v>1080</v>
      </c>
    </row>
    <row r="99">
      <c r="A99" s="165" t="s">
        <v>1081</v>
      </c>
    </row>
    <row r="100">
      <c r="A100" s="165" t="s">
        <v>145</v>
      </c>
    </row>
    <row r="101">
      <c r="A101" s="165" t="s">
        <v>146</v>
      </c>
    </row>
    <row r="102">
      <c r="A102" s="166" t="s">
        <v>147</v>
      </c>
    </row>
    <row r="103">
      <c r="A103" s="166" t="s">
        <v>148</v>
      </c>
    </row>
    <row r="104">
      <c r="A104" s="166" t="s">
        <v>149</v>
      </c>
    </row>
    <row r="105">
      <c r="A105" s="166" t="s">
        <v>151</v>
      </c>
    </row>
    <row r="106">
      <c r="A106" s="166" t="s">
        <v>152</v>
      </c>
    </row>
    <row r="107">
      <c r="A107" s="166" t="s">
        <v>153</v>
      </c>
    </row>
    <row r="108">
      <c r="A108" s="166" t="s">
        <v>155</v>
      </c>
    </row>
    <row r="109">
      <c r="A109" s="166" t="s">
        <v>156</v>
      </c>
    </row>
    <row r="110">
      <c r="A110" s="166" t="s">
        <v>157</v>
      </c>
    </row>
    <row r="111">
      <c r="A111" s="166" t="s">
        <v>158</v>
      </c>
    </row>
    <row r="112">
      <c r="A112" s="166" t="s">
        <v>159</v>
      </c>
    </row>
    <row r="113">
      <c r="A113" s="166" t="s">
        <v>160</v>
      </c>
    </row>
    <row r="114">
      <c r="A114" s="166" t="s">
        <v>162</v>
      </c>
    </row>
    <row r="115">
      <c r="A115" s="166" t="s">
        <v>1085</v>
      </c>
    </row>
    <row r="116">
      <c r="A116" s="166" t="s">
        <v>167</v>
      </c>
    </row>
    <row r="117">
      <c r="A117" s="166" t="s">
        <v>168</v>
      </c>
    </row>
    <row r="118">
      <c r="A118" s="166" t="s">
        <v>169</v>
      </c>
    </row>
    <row r="119">
      <c r="A119" s="166" t="s">
        <v>1087</v>
      </c>
    </row>
    <row r="120">
      <c r="A120" s="166" t="s">
        <v>172</v>
      </c>
    </row>
    <row r="121">
      <c r="A121" s="166" t="s">
        <v>174</v>
      </c>
    </row>
    <row r="122">
      <c r="A122" s="166" t="s">
        <v>176</v>
      </c>
    </row>
    <row r="123">
      <c r="A123" s="166" t="s">
        <v>1089</v>
      </c>
    </row>
    <row r="124">
      <c r="A124" s="166" t="s">
        <v>180</v>
      </c>
    </row>
    <row r="125">
      <c r="A125" s="167" t="s">
        <v>181</v>
      </c>
    </row>
    <row r="126">
      <c r="A126" s="166" t="s">
        <v>182</v>
      </c>
    </row>
    <row r="127">
      <c r="A127" s="166" t="s">
        <v>183</v>
      </c>
    </row>
    <row r="128">
      <c r="A128" s="166" t="s">
        <v>184</v>
      </c>
    </row>
    <row r="129">
      <c r="A129" s="166" t="s">
        <v>186</v>
      </c>
    </row>
    <row r="130">
      <c r="A130" s="166" t="s">
        <v>187</v>
      </c>
    </row>
    <row r="131">
      <c r="A131" s="166" t="s">
        <v>189</v>
      </c>
    </row>
    <row r="132">
      <c r="A132" s="166" t="s">
        <v>190</v>
      </c>
    </row>
    <row r="133">
      <c r="A133" s="166" t="s">
        <v>191</v>
      </c>
    </row>
    <row r="134">
      <c r="A134" s="166" t="s">
        <v>1091</v>
      </c>
    </row>
    <row r="135">
      <c r="A135" s="166" t="s">
        <v>1093</v>
      </c>
    </row>
    <row r="136">
      <c r="A136" s="166" t="s">
        <v>200</v>
      </c>
    </row>
    <row r="137">
      <c r="A137" s="166" t="s">
        <v>202</v>
      </c>
    </row>
    <row r="138">
      <c r="A138" s="166" t="s">
        <v>203</v>
      </c>
    </row>
    <row r="139">
      <c r="A139" s="166" t="s">
        <v>204</v>
      </c>
    </row>
    <row r="140">
      <c r="A140" s="166" t="s">
        <v>205</v>
      </c>
    </row>
    <row r="141">
      <c r="A141" s="166" t="s">
        <v>208</v>
      </c>
    </row>
    <row r="142">
      <c r="A142" s="166" t="s">
        <v>210</v>
      </c>
    </row>
    <row r="143">
      <c r="A143" s="166" t="s">
        <v>211</v>
      </c>
    </row>
    <row r="144">
      <c r="A144" s="166" t="s">
        <v>213</v>
      </c>
    </row>
    <row r="145">
      <c r="A145" s="166" t="s">
        <v>215</v>
      </c>
    </row>
    <row r="146">
      <c r="A146" s="166" t="s">
        <v>218</v>
      </c>
    </row>
    <row r="147">
      <c r="A147" s="166" t="s">
        <v>220</v>
      </c>
    </row>
    <row r="148">
      <c r="A148" s="166" t="s">
        <v>222</v>
      </c>
    </row>
    <row r="149">
      <c r="A149" s="166" t="s">
        <v>224</v>
      </c>
    </row>
    <row r="150">
      <c r="A150" s="166" t="s">
        <v>225</v>
      </c>
    </row>
    <row r="151">
      <c r="A151" s="166" t="s">
        <v>227</v>
      </c>
    </row>
    <row r="152">
      <c r="A152" s="168" t="s">
        <v>229</v>
      </c>
    </row>
    <row r="153">
      <c r="A153" s="168" t="s">
        <v>231</v>
      </c>
    </row>
    <row r="154">
      <c r="A154" s="168" t="s">
        <v>233</v>
      </c>
    </row>
    <row r="155">
      <c r="A155" s="168" t="s">
        <v>1097</v>
      </c>
    </row>
    <row r="156">
      <c r="A156" s="168" t="s">
        <v>237</v>
      </c>
    </row>
    <row r="157">
      <c r="A157" s="168" t="s">
        <v>240</v>
      </c>
    </row>
    <row r="158">
      <c r="A158" s="169" t="s">
        <v>241</v>
      </c>
    </row>
    <row r="159">
      <c r="A159" s="168" t="s">
        <v>244</v>
      </c>
    </row>
    <row r="160">
      <c r="A160" s="168" t="s">
        <v>245</v>
      </c>
    </row>
    <row r="161">
      <c r="A161" s="168" t="s">
        <v>246</v>
      </c>
    </row>
    <row r="162">
      <c r="A162" s="168" t="s">
        <v>248</v>
      </c>
    </row>
    <row r="163">
      <c r="A163" s="168" t="s">
        <v>250</v>
      </c>
    </row>
    <row r="164">
      <c r="A164" s="168" t="s">
        <v>251</v>
      </c>
    </row>
    <row r="165">
      <c r="A165" s="168" t="s">
        <v>252</v>
      </c>
    </row>
    <row r="166">
      <c r="A166" s="168" t="s">
        <v>254</v>
      </c>
    </row>
    <row r="167">
      <c r="A167" s="168" t="s">
        <v>255</v>
      </c>
    </row>
    <row r="168">
      <c r="A168" s="168" t="s">
        <v>1106</v>
      </c>
    </row>
    <row r="169">
      <c r="A169" s="168" t="s">
        <v>259</v>
      </c>
    </row>
    <row r="170">
      <c r="A170" s="168" t="s">
        <v>260</v>
      </c>
    </row>
    <row r="171">
      <c r="A171" s="168" t="s">
        <v>262</v>
      </c>
    </row>
    <row r="172">
      <c r="A172" s="168" t="s">
        <v>263</v>
      </c>
    </row>
    <row r="173">
      <c r="A173" s="168" t="s">
        <v>265</v>
      </c>
    </row>
    <row r="174">
      <c r="A174" s="168" t="s">
        <v>267</v>
      </c>
    </row>
    <row r="175">
      <c r="A175" s="168" t="s">
        <v>268</v>
      </c>
    </row>
    <row r="176">
      <c r="A176" s="168" t="s">
        <v>1108</v>
      </c>
    </row>
    <row r="177">
      <c r="A177" s="168" t="s">
        <v>272</v>
      </c>
    </row>
    <row r="178">
      <c r="A178" s="168" t="s">
        <v>273</v>
      </c>
    </row>
    <row r="179">
      <c r="A179" s="168" t="s">
        <v>274</v>
      </c>
    </row>
    <row r="180">
      <c r="A180" s="168" t="s">
        <v>275</v>
      </c>
    </row>
    <row r="181">
      <c r="A181" s="168" t="s">
        <v>276</v>
      </c>
    </row>
    <row r="182">
      <c r="A182" s="168" t="s">
        <v>277</v>
      </c>
    </row>
    <row r="183">
      <c r="A183" s="168" t="s">
        <v>279</v>
      </c>
    </row>
    <row r="184">
      <c r="A184" s="168" t="s">
        <v>280</v>
      </c>
    </row>
    <row r="185">
      <c r="A185" s="168" t="s">
        <v>281</v>
      </c>
    </row>
    <row r="186">
      <c r="A186" s="168" t="s">
        <v>282</v>
      </c>
    </row>
    <row r="187">
      <c r="A187" s="168" t="s">
        <v>289</v>
      </c>
    </row>
    <row r="188">
      <c r="A188" s="168" t="s">
        <v>290</v>
      </c>
    </row>
    <row r="189">
      <c r="A189" s="168" t="s">
        <v>292</v>
      </c>
    </row>
    <row r="190">
      <c r="A190" s="168" t="s">
        <v>294</v>
      </c>
    </row>
    <row r="191">
      <c r="A191" s="168" t="s">
        <v>296</v>
      </c>
    </row>
    <row r="192">
      <c r="A192" s="168" t="s">
        <v>297</v>
      </c>
    </row>
    <row r="193">
      <c r="A193" s="168" t="s">
        <v>299</v>
      </c>
    </row>
    <row r="194">
      <c r="A194" s="168" t="s">
        <v>300</v>
      </c>
    </row>
    <row r="195">
      <c r="A195" s="168" t="s">
        <v>301</v>
      </c>
    </row>
    <row r="196">
      <c r="A196" s="168" t="s">
        <v>303</v>
      </c>
    </row>
    <row r="197">
      <c r="A197" s="168" t="s">
        <v>305</v>
      </c>
    </row>
    <row r="198">
      <c r="A198" s="168" t="s">
        <v>307</v>
      </c>
    </row>
    <row r="199">
      <c r="A199" s="170" t="s">
        <v>308</v>
      </c>
    </row>
    <row r="200">
      <c r="A200" s="168" t="s">
        <v>317</v>
      </c>
    </row>
    <row r="201">
      <c r="A201" s="168" t="s">
        <v>319</v>
      </c>
    </row>
    <row r="202">
      <c r="A202" s="165" t="s">
        <v>320</v>
      </c>
    </row>
    <row r="203">
      <c r="A203" s="165" t="s">
        <v>321</v>
      </c>
    </row>
    <row r="204">
      <c r="A204" s="165" t="s">
        <v>323</v>
      </c>
    </row>
    <row r="205">
      <c r="A205" s="165" t="s">
        <v>325</v>
      </c>
    </row>
    <row r="206">
      <c r="A206" s="165" t="s">
        <v>326</v>
      </c>
    </row>
    <row r="207">
      <c r="A207" s="165" t="s">
        <v>329</v>
      </c>
    </row>
    <row r="208">
      <c r="A208" s="171" t="s">
        <v>331</v>
      </c>
    </row>
    <row r="209">
      <c r="A209" s="165" t="s">
        <v>334</v>
      </c>
    </row>
    <row r="210">
      <c r="A210" s="165" t="s">
        <v>335</v>
      </c>
    </row>
    <row r="211">
      <c r="A211" s="165" t="s">
        <v>336</v>
      </c>
    </row>
    <row r="212">
      <c r="A212" s="165" t="s">
        <v>338</v>
      </c>
    </row>
    <row r="213">
      <c r="A213" s="165" t="s">
        <v>340</v>
      </c>
    </row>
    <row r="214">
      <c r="A214" s="165" t="s">
        <v>341</v>
      </c>
    </row>
    <row r="215">
      <c r="A215" s="165" t="s">
        <v>342</v>
      </c>
    </row>
    <row r="216">
      <c r="A216" s="165" t="s">
        <v>343</v>
      </c>
    </row>
    <row r="217">
      <c r="A217" s="165" t="s">
        <v>344</v>
      </c>
    </row>
    <row r="218">
      <c r="A218" s="165" t="s">
        <v>345</v>
      </c>
    </row>
    <row r="219">
      <c r="A219" s="165" t="s">
        <v>346</v>
      </c>
    </row>
    <row r="220">
      <c r="A220" s="165" t="s">
        <v>348</v>
      </c>
    </row>
    <row r="221">
      <c r="A221" s="165" t="s">
        <v>349</v>
      </c>
    </row>
    <row r="222">
      <c r="A222" s="165" t="s">
        <v>350</v>
      </c>
    </row>
    <row r="223">
      <c r="A223" s="165" t="s">
        <v>1120</v>
      </c>
    </row>
    <row r="224">
      <c r="A224" s="165" t="s">
        <v>353</v>
      </c>
    </row>
    <row r="225">
      <c r="A225" s="165" t="s">
        <v>354</v>
      </c>
    </row>
    <row r="226">
      <c r="A226" s="165" t="s">
        <v>355</v>
      </c>
    </row>
    <row r="227">
      <c r="A227" s="165" t="s">
        <v>1124</v>
      </c>
    </row>
    <row r="228">
      <c r="A228" s="165" t="s">
        <v>1125</v>
      </c>
    </row>
    <row r="229">
      <c r="A229" s="165" t="s">
        <v>364</v>
      </c>
    </row>
    <row r="230">
      <c r="A230" s="165" t="s">
        <v>366</v>
      </c>
    </row>
    <row r="231">
      <c r="A231" s="165" t="s">
        <v>368</v>
      </c>
    </row>
    <row r="232">
      <c r="A232" s="165" t="s">
        <v>371</v>
      </c>
    </row>
    <row r="233">
      <c r="A233" s="165" t="s">
        <v>372</v>
      </c>
    </row>
    <row r="234">
      <c r="A234" s="165" t="s">
        <v>374</v>
      </c>
    </row>
    <row r="235">
      <c r="A235" s="165" t="s">
        <v>376</v>
      </c>
    </row>
    <row r="236">
      <c r="A236" s="165" t="s">
        <v>378</v>
      </c>
    </row>
    <row r="237">
      <c r="A237" s="165" t="s">
        <v>380</v>
      </c>
    </row>
    <row r="238">
      <c r="A238" s="165" t="s">
        <v>381</v>
      </c>
    </row>
    <row r="239">
      <c r="A239" s="165" t="s">
        <v>383</v>
      </c>
    </row>
    <row r="240">
      <c r="A240" s="165" t="s">
        <v>384</v>
      </c>
    </row>
    <row r="241">
      <c r="A241" s="165" t="s">
        <v>385</v>
      </c>
    </row>
    <row r="242">
      <c r="A242" s="165" t="s">
        <v>386</v>
      </c>
    </row>
    <row r="243">
      <c r="A243" s="165" t="s">
        <v>388</v>
      </c>
    </row>
    <row r="244">
      <c r="A244" s="165" t="s">
        <v>389</v>
      </c>
    </row>
    <row r="245">
      <c r="A245" s="165" t="s">
        <v>391</v>
      </c>
    </row>
    <row r="246">
      <c r="A246" s="165" t="s">
        <v>392</v>
      </c>
    </row>
    <row r="247">
      <c r="A247" s="165" t="s">
        <v>394</v>
      </c>
    </row>
    <row r="248">
      <c r="A248" s="165" t="s">
        <v>395</v>
      </c>
    </row>
    <row r="249">
      <c r="A249" s="165" t="s">
        <v>1137</v>
      </c>
    </row>
    <row r="250">
      <c r="A250" s="165" t="s">
        <v>399</v>
      </c>
    </row>
    <row r="251">
      <c r="A251" s="165" t="s">
        <v>400</v>
      </c>
    </row>
    <row r="252">
      <c r="A252" s="172" t="s">
        <v>401</v>
      </c>
    </row>
    <row r="253">
      <c r="A253" s="172" t="s">
        <v>402</v>
      </c>
    </row>
    <row r="254">
      <c r="A254" s="172" t="s">
        <v>404</v>
      </c>
    </row>
    <row r="255">
      <c r="A255" s="172" t="s">
        <v>405</v>
      </c>
    </row>
    <row r="256">
      <c r="A256" s="172" t="s">
        <v>406</v>
      </c>
    </row>
    <row r="257">
      <c r="A257" s="172" t="s">
        <v>408</v>
      </c>
    </row>
    <row r="258">
      <c r="A258" s="172" t="s">
        <v>409</v>
      </c>
    </row>
    <row r="259">
      <c r="A259" s="172" t="s">
        <v>411</v>
      </c>
    </row>
    <row r="260">
      <c r="A260" s="172" t="s">
        <v>412</v>
      </c>
    </row>
    <row r="261">
      <c r="A261" s="172" t="s">
        <v>413</v>
      </c>
    </row>
    <row r="262">
      <c r="A262" s="172" t="s">
        <v>414</v>
      </c>
    </row>
    <row r="263">
      <c r="A263" s="172" t="s">
        <v>415</v>
      </c>
    </row>
    <row r="264">
      <c r="A264" s="172" t="s">
        <v>1142</v>
      </c>
    </row>
    <row r="265">
      <c r="A265" s="172" t="s">
        <v>419</v>
      </c>
    </row>
    <row r="266">
      <c r="A266" s="172" t="s">
        <v>421</v>
      </c>
    </row>
    <row r="267">
      <c r="A267" s="172" t="s">
        <v>422</v>
      </c>
    </row>
    <row r="268">
      <c r="A268" s="172" t="s">
        <v>423</v>
      </c>
    </row>
    <row r="269">
      <c r="A269" s="172" t="s">
        <v>425</v>
      </c>
    </row>
    <row r="270">
      <c r="A270" s="172" t="s">
        <v>427</v>
      </c>
    </row>
    <row r="271">
      <c r="A271" s="172" t="s">
        <v>428</v>
      </c>
    </row>
    <row r="272">
      <c r="A272" s="172" t="s">
        <v>430</v>
      </c>
    </row>
    <row r="273">
      <c r="A273" s="172" t="s">
        <v>431</v>
      </c>
    </row>
    <row r="274">
      <c r="A274" s="172" t="s">
        <v>1148</v>
      </c>
    </row>
    <row r="275">
      <c r="A275" s="172" t="s">
        <v>432</v>
      </c>
    </row>
    <row r="276">
      <c r="A276" s="172" t="s">
        <v>434</v>
      </c>
    </row>
    <row r="277">
      <c r="A277" s="172" t="s">
        <v>435</v>
      </c>
    </row>
    <row r="278">
      <c r="A278" s="172" t="s">
        <v>436</v>
      </c>
    </row>
    <row r="279">
      <c r="A279" s="172" t="s">
        <v>437</v>
      </c>
    </row>
    <row r="280">
      <c r="A280" s="172" t="s">
        <v>439</v>
      </c>
    </row>
    <row r="281">
      <c r="A281" s="172" t="s">
        <v>440</v>
      </c>
    </row>
    <row r="282">
      <c r="A282" s="172" t="s">
        <v>441</v>
      </c>
    </row>
    <row r="283">
      <c r="A283" s="172" t="s">
        <v>443</v>
      </c>
    </row>
    <row r="284">
      <c r="A284" s="172" t="s">
        <v>445</v>
      </c>
    </row>
    <row r="285">
      <c r="A285" s="172" t="s">
        <v>446</v>
      </c>
    </row>
    <row r="286">
      <c r="A286" s="172" t="s">
        <v>447</v>
      </c>
    </row>
    <row r="287">
      <c r="A287" s="172" t="s">
        <v>449</v>
      </c>
    </row>
    <row r="288">
      <c r="A288" s="172" t="s">
        <v>450</v>
      </c>
    </row>
    <row r="289">
      <c r="A289" s="172" t="s">
        <v>452</v>
      </c>
    </row>
    <row r="290">
      <c r="A290" s="172" t="s">
        <v>454</v>
      </c>
    </row>
    <row r="291">
      <c r="A291" s="172" t="s">
        <v>455</v>
      </c>
    </row>
    <row r="292">
      <c r="A292" s="172" t="s">
        <v>456</v>
      </c>
    </row>
    <row r="293">
      <c r="A293" s="172" t="s">
        <v>458</v>
      </c>
    </row>
    <row r="294">
      <c r="A294" s="172" t="s">
        <v>459</v>
      </c>
    </row>
    <row r="295">
      <c r="A295" s="172" t="s">
        <v>461</v>
      </c>
    </row>
    <row r="296">
      <c r="A296" s="172" t="s">
        <v>463</v>
      </c>
    </row>
    <row r="297">
      <c r="A297" s="172" t="s">
        <v>464</v>
      </c>
    </row>
    <row r="298">
      <c r="A298" s="172" t="s">
        <v>1151</v>
      </c>
    </row>
    <row r="299">
      <c r="A299" s="172" t="s">
        <v>468</v>
      </c>
    </row>
    <row r="300">
      <c r="A300" s="172" t="s">
        <v>469</v>
      </c>
    </row>
    <row r="301">
      <c r="A301" s="172" t="s">
        <v>471</v>
      </c>
    </row>
    <row r="302">
      <c r="A302" s="173" t="s">
        <v>472</v>
      </c>
    </row>
    <row r="303">
      <c r="A303" s="173" t="s">
        <v>473</v>
      </c>
    </row>
    <row r="304">
      <c r="A304" s="173" t="s">
        <v>475</v>
      </c>
    </row>
    <row r="305">
      <c r="A305" s="173" t="s">
        <v>476</v>
      </c>
    </row>
    <row r="306">
      <c r="A306" s="173" t="s">
        <v>477</v>
      </c>
    </row>
    <row r="307">
      <c r="A307" s="173" t="s">
        <v>479</v>
      </c>
    </row>
    <row r="308">
      <c r="A308" s="173" t="s">
        <v>480</v>
      </c>
    </row>
    <row r="309">
      <c r="A309" s="173" t="s">
        <v>481</v>
      </c>
    </row>
    <row r="310">
      <c r="A310" s="173" t="s">
        <v>482</v>
      </c>
    </row>
    <row r="311">
      <c r="A311" s="173" t="s">
        <v>483</v>
      </c>
    </row>
    <row r="312">
      <c r="A312" s="173" t="s">
        <v>485</v>
      </c>
    </row>
    <row r="313">
      <c r="A313" s="173" t="s">
        <v>486</v>
      </c>
    </row>
    <row r="314">
      <c r="A314" s="173" t="s">
        <v>487</v>
      </c>
    </row>
    <row r="315">
      <c r="A315" s="173" t="s">
        <v>488</v>
      </c>
    </row>
    <row r="316">
      <c r="A316" s="173" t="s">
        <v>489</v>
      </c>
    </row>
    <row r="317">
      <c r="A317" s="173" t="s">
        <v>491</v>
      </c>
    </row>
    <row r="318">
      <c r="A318" s="173" t="s">
        <v>492</v>
      </c>
    </row>
    <row r="319">
      <c r="A319" s="173" t="s">
        <v>493</v>
      </c>
    </row>
    <row r="320">
      <c r="A320" s="173" t="s">
        <v>495</v>
      </c>
    </row>
    <row r="321">
      <c r="A321" s="173" t="s">
        <v>496</v>
      </c>
    </row>
    <row r="322">
      <c r="A322" s="173" t="s">
        <v>497</v>
      </c>
    </row>
    <row r="323">
      <c r="A323" s="173" t="s">
        <v>1161</v>
      </c>
    </row>
    <row r="324">
      <c r="A324" s="173" t="s">
        <v>1162</v>
      </c>
    </row>
    <row r="325">
      <c r="A325" s="173" t="s">
        <v>504</v>
      </c>
    </row>
    <row r="326">
      <c r="A326" s="173" t="s">
        <v>505</v>
      </c>
    </row>
    <row r="327">
      <c r="A327" s="173" t="s">
        <v>506</v>
      </c>
    </row>
    <row r="328">
      <c r="A328" s="173" t="s">
        <v>507</v>
      </c>
    </row>
    <row r="329">
      <c r="A329" s="173" t="s">
        <v>508</v>
      </c>
    </row>
    <row r="330">
      <c r="A330" s="173" t="s">
        <v>513</v>
      </c>
    </row>
    <row r="331">
      <c r="A331" s="173" t="s">
        <v>514</v>
      </c>
    </row>
    <row r="332">
      <c r="A332" s="173" t="s">
        <v>515</v>
      </c>
    </row>
    <row r="333">
      <c r="A333" s="173" t="s">
        <v>517</v>
      </c>
    </row>
    <row r="334">
      <c r="A334" s="174" t="s">
        <v>518</v>
      </c>
    </row>
    <row r="335">
      <c r="A335" s="173" t="s">
        <v>519</v>
      </c>
    </row>
    <row r="336">
      <c r="A336" s="173" t="s">
        <v>439</v>
      </c>
    </row>
    <row r="337">
      <c r="A337" s="173" t="s">
        <v>520</v>
      </c>
    </row>
    <row r="338">
      <c r="A338" s="173" t="s">
        <v>521</v>
      </c>
    </row>
    <row r="339">
      <c r="A339" s="173" t="s">
        <v>522</v>
      </c>
    </row>
    <row r="340">
      <c r="A340" s="173" t="s">
        <v>523</v>
      </c>
    </row>
    <row r="341">
      <c r="A341" s="173" t="s">
        <v>524</v>
      </c>
    </row>
    <row r="342">
      <c r="A342" s="173" t="s">
        <v>525</v>
      </c>
    </row>
    <row r="343">
      <c r="A343" s="173" t="s">
        <v>526</v>
      </c>
    </row>
    <row r="344">
      <c r="A344" s="173" t="s">
        <v>528</v>
      </c>
    </row>
    <row r="345">
      <c r="A345" s="173" t="s">
        <v>530</v>
      </c>
    </row>
    <row r="346">
      <c r="A346" s="173" t="s">
        <v>531</v>
      </c>
    </row>
    <row r="347">
      <c r="A347" s="173" t="s">
        <v>533</v>
      </c>
    </row>
    <row r="348">
      <c r="A348" s="173" t="s">
        <v>534</v>
      </c>
    </row>
    <row r="349">
      <c r="A349" s="173" t="s">
        <v>535</v>
      </c>
    </row>
    <row r="350">
      <c r="A350" s="173" t="s">
        <v>536</v>
      </c>
    </row>
    <row r="351">
      <c r="A351" s="173" t="s">
        <v>537</v>
      </c>
    </row>
    <row r="352">
      <c r="A352" s="175" t="s">
        <v>538</v>
      </c>
    </row>
    <row r="353">
      <c r="A353" s="175" t="s">
        <v>540</v>
      </c>
    </row>
    <row r="354">
      <c r="A354" s="175" t="s">
        <v>541</v>
      </c>
    </row>
    <row r="355">
      <c r="A355" s="175" t="s">
        <v>542</v>
      </c>
    </row>
    <row r="356">
      <c r="A356" s="175" t="s">
        <v>543</v>
      </c>
    </row>
    <row r="357">
      <c r="A357" s="175" t="s">
        <v>544</v>
      </c>
    </row>
    <row r="358">
      <c r="A358" s="175" t="s">
        <v>545</v>
      </c>
    </row>
    <row r="359">
      <c r="A359" s="175" t="s">
        <v>547</v>
      </c>
    </row>
    <row r="360">
      <c r="A360" s="175" t="s">
        <v>550</v>
      </c>
    </row>
    <row r="361">
      <c r="A361" s="175" t="s">
        <v>552</v>
      </c>
    </row>
    <row r="362">
      <c r="A362" s="175" t="s">
        <v>553</v>
      </c>
    </row>
    <row r="363">
      <c r="A363" s="175" t="s">
        <v>554</v>
      </c>
    </row>
    <row r="364">
      <c r="A364" s="175" t="s">
        <v>555</v>
      </c>
    </row>
    <row r="365">
      <c r="A365" s="175" t="s">
        <v>556</v>
      </c>
    </row>
    <row r="366">
      <c r="A366" s="175" t="s">
        <v>557</v>
      </c>
    </row>
    <row r="367">
      <c r="A367" s="175" t="s">
        <v>558</v>
      </c>
    </row>
    <row r="368">
      <c r="A368" s="175" t="s">
        <v>559</v>
      </c>
    </row>
    <row r="369">
      <c r="A369" s="175" t="s">
        <v>560</v>
      </c>
    </row>
    <row r="370">
      <c r="A370" s="175" t="s">
        <v>562</v>
      </c>
    </row>
    <row r="371">
      <c r="A371" s="175" t="s">
        <v>563</v>
      </c>
    </row>
    <row r="372">
      <c r="A372" s="175" t="s">
        <v>565</v>
      </c>
    </row>
    <row r="373">
      <c r="A373" s="175" t="s">
        <v>566</v>
      </c>
    </row>
    <row r="374">
      <c r="A374" s="175" t="s">
        <v>567</v>
      </c>
    </row>
    <row r="375">
      <c r="A375" s="175" t="s">
        <v>570</v>
      </c>
    </row>
    <row r="376">
      <c r="A376" s="175" t="s">
        <v>571</v>
      </c>
    </row>
    <row r="377">
      <c r="A377" s="175" t="s">
        <v>572</v>
      </c>
    </row>
    <row r="378">
      <c r="A378" s="175" t="s">
        <v>573</v>
      </c>
    </row>
    <row r="379">
      <c r="A379" s="175" t="s">
        <v>574</v>
      </c>
    </row>
    <row r="380">
      <c r="A380" s="175" t="s">
        <v>576</v>
      </c>
    </row>
    <row r="381">
      <c r="A381" s="175" t="s">
        <v>578</v>
      </c>
    </row>
    <row r="382">
      <c r="A382" s="175" t="s">
        <v>580</v>
      </c>
    </row>
    <row r="383">
      <c r="A383" s="175" t="s">
        <v>581</v>
      </c>
    </row>
    <row r="384">
      <c r="A384" s="175" t="s">
        <v>582</v>
      </c>
    </row>
    <row r="385">
      <c r="A385" s="175" t="s">
        <v>583</v>
      </c>
    </row>
    <row r="386">
      <c r="A386" s="175" t="s">
        <v>584</v>
      </c>
    </row>
    <row r="387">
      <c r="A387" s="175" t="s">
        <v>586</v>
      </c>
    </row>
    <row r="388">
      <c r="A388" s="175" t="s">
        <v>587</v>
      </c>
    </row>
    <row r="389">
      <c r="A389" s="175" t="s">
        <v>588</v>
      </c>
    </row>
    <row r="390">
      <c r="A390" s="175" t="s">
        <v>590</v>
      </c>
    </row>
    <row r="391">
      <c r="A391" s="175" t="s">
        <v>592</v>
      </c>
    </row>
    <row r="392">
      <c r="A392" s="175" t="s">
        <v>593</v>
      </c>
    </row>
    <row r="393">
      <c r="A393" s="175" t="s">
        <v>594</v>
      </c>
    </row>
    <row r="394">
      <c r="A394" s="175" t="s">
        <v>595</v>
      </c>
    </row>
    <row r="395">
      <c r="A395" s="175" t="s">
        <v>597</v>
      </c>
    </row>
    <row r="396">
      <c r="A396" s="175" t="s">
        <v>428</v>
      </c>
    </row>
    <row r="397">
      <c r="A397" s="175" t="s">
        <v>598</v>
      </c>
    </row>
    <row r="398">
      <c r="A398" s="175" t="s">
        <v>600</v>
      </c>
    </row>
    <row r="399">
      <c r="A399" s="175" t="s">
        <v>602</v>
      </c>
    </row>
    <row r="400">
      <c r="A400" s="175" t="s">
        <v>603</v>
      </c>
    </row>
    <row r="401">
      <c r="A401" s="175" t="s">
        <v>604</v>
      </c>
    </row>
    <row r="402">
      <c r="A402" s="177" t="s">
        <v>606</v>
      </c>
    </row>
    <row r="403">
      <c r="A403" s="178" t="s">
        <v>1190</v>
      </c>
    </row>
    <row r="404">
      <c r="A404" s="178" t="s">
        <v>1193</v>
      </c>
    </row>
    <row r="405">
      <c r="A405" s="177" t="s">
        <v>610</v>
      </c>
    </row>
    <row r="406">
      <c r="A406" s="177" t="s">
        <v>612</v>
      </c>
    </row>
    <row r="407">
      <c r="A407" s="177" t="s">
        <v>613</v>
      </c>
    </row>
    <row r="408">
      <c r="A408" s="179" t="s">
        <v>615</v>
      </c>
    </row>
    <row r="409">
      <c r="A409" s="177" t="s">
        <v>617</v>
      </c>
    </row>
    <row r="410">
      <c r="A410" s="177" t="s">
        <v>618</v>
      </c>
    </row>
    <row r="411">
      <c r="A411" s="177" t="s">
        <v>620</v>
      </c>
    </row>
    <row r="412">
      <c r="A412" s="177" t="s">
        <v>623</v>
      </c>
    </row>
    <row r="413">
      <c r="A413" s="177" t="s">
        <v>624</v>
      </c>
    </row>
    <row r="414">
      <c r="A414" s="179" t="s">
        <v>626</v>
      </c>
    </row>
    <row r="415">
      <c r="A415" s="177" t="s">
        <v>627</v>
      </c>
    </row>
    <row r="416">
      <c r="A416" s="177" t="s">
        <v>628</v>
      </c>
    </row>
    <row r="417">
      <c r="A417" s="180" t="s">
        <v>1198</v>
      </c>
    </row>
    <row r="418">
      <c r="A418" s="181" t="s">
        <v>630</v>
      </c>
    </row>
    <row r="419">
      <c r="A419" s="177" t="s">
        <v>632</v>
      </c>
    </row>
    <row r="420">
      <c r="A420" s="177" t="s">
        <v>634</v>
      </c>
    </row>
    <row r="421">
      <c r="A421" s="177" t="s">
        <v>635</v>
      </c>
    </row>
    <row r="422">
      <c r="A422" s="177" t="s">
        <v>636</v>
      </c>
    </row>
    <row r="423">
      <c r="A423" s="177" t="s">
        <v>637</v>
      </c>
    </row>
    <row r="424">
      <c r="A424" s="177" t="s">
        <v>639</v>
      </c>
    </row>
    <row r="425">
      <c r="A425" s="177" t="s">
        <v>640</v>
      </c>
    </row>
    <row r="426">
      <c r="A426" s="177" t="s">
        <v>641</v>
      </c>
    </row>
    <row r="427">
      <c r="A427" s="177" t="s">
        <v>644</v>
      </c>
    </row>
    <row r="428">
      <c r="A428" s="177" t="s">
        <v>645</v>
      </c>
    </row>
    <row r="429">
      <c r="A429" s="177" t="s">
        <v>648</v>
      </c>
    </row>
    <row r="430">
      <c r="A430" s="177" t="s">
        <v>650</v>
      </c>
    </row>
    <row r="431">
      <c r="A431" s="177" t="s">
        <v>651</v>
      </c>
    </row>
    <row r="432">
      <c r="A432" s="177" t="s">
        <v>652</v>
      </c>
    </row>
    <row r="433">
      <c r="A433" s="177" t="s">
        <v>653</v>
      </c>
    </row>
    <row r="434">
      <c r="A434" s="179" t="s">
        <v>654</v>
      </c>
    </row>
    <row r="435">
      <c r="A435" s="177" t="s">
        <v>655</v>
      </c>
    </row>
    <row r="436">
      <c r="A436" s="177" t="s">
        <v>656</v>
      </c>
    </row>
    <row r="437">
      <c r="A437" s="177" t="s">
        <v>657</v>
      </c>
    </row>
    <row r="438">
      <c r="A438" s="182" t="s">
        <v>1207</v>
      </c>
    </row>
    <row r="439">
      <c r="A439" s="177" t="s">
        <v>664</v>
      </c>
    </row>
    <row r="440">
      <c r="A440" s="177" t="s">
        <v>665</v>
      </c>
    </row>
    <row r="441">
      <c r="A441" s="177" t="s">
        <v>668</v>
      </c>
    </row>
    <row r="442">
      <c r="A442" s="177" t="s">
        <v>671</v>
      </c>
    </row>
    <row r="443">
      <c r="A443" s="177" t="s">
        <v>673</v>
      </c>
    </row>
    <row r="444">
      <c r="A444" s="177" t="s">
        <v>674</v>
      </c>
    </row>
    <row r="445">
      <c r="A445" s="177" t="s">
        <v>676</v>
      </c>
    </row>
    <row r="446">
      <c r="A446" s="177" t="s">
        <v>677</v>
      </c>
    </row>
    <row r="447">
      <c r="A447" s="179" t="s">
        <v>679</v>
      </c>
    </row>
    <row r="448">
      <c r="A448" s="177" t="s">
        <v>680</v>
      </c>
    </row>
    <row r="449">
      <c r="A449" s="177" t="s">
        <v>681</v>
      </c>
    </row>
    <row r="450">
      <c r="A450" s="177" t="s">
        <v>683</v>
      </c>
    </row>
    <row r="451">
      <c r="A451" s="177" t="s">
        <v>684</v>
      </c>
    </row>
    <row r="452">
      <c r="A452" s="172" t="s">
        <v>685</v>
      </c>
    </row>
    <row r="453">
      <c r="A453" s="172" t="s">
        <v>686</v>
      </c>
    </row>
    <row r="454">
      <c r="A454" s="172" t="s">
        <v>688</v>
      </c>
    </row>
    <row r="455">
      <c r="A455" s="172" t="s">
        <v>689</v>
      </c>
    </row>
    <row r="456">
      <c r="A456" s="172" t="s">
        <v>690</v>
      </c>
    </row>
    <row r="457">
      <c r="A457" s="172" t="s">
        <v>691</v>
      </c>
    </row>
    <row r="458">
      <c r="A458" s="172" t="s">
        <v>692</v>
      </c>
    </row>
    <row r="459">
      <c r="A459" s="172" t="s">
        <v>695</v>
      </c>
    </row>
    <row r="460">
      <c r="A460" s="172" t="s">
        <v>697</v>
      </c>
    </row>
    <row r="461">
      <c r="A461" s="172" t="s">
        <v>698</v>
      </c>
    </row>
    <row r="462">
      <c r="A462" s="172" t="s">
        <v>699</v>
      </c>
    </row>
    <row r="463">
      <c r="A463" s="172" t="s">
        <v>700</v>
      </c>
    </row>
    <row r="464">
      <c r="A464" s="172" t="s">
        <v>702</v>
      </c>
    </row>
    <row r="465">
      <c r="A465" s="172" t="s">
        <v>703</v>
      </c>
    </row>
    <row r="466">
      <c r="A466" s="172" t="s">
        <v>705</v>
      </c>
    </row>
    <row r="467">
      <c r="A467" s="172" t="s">
        <v>706</v>
      </c>
    </row>
    <row r="468">
      <c r="A468" s="172" t="s">
        <v>710</v>
      </c>
    </row>
    <row r="469">
      <c r="A469" s="172" t="s">
        <v>711</v>
      </c>
    </row>
    <row r="470">
      <c r="A470" s="172" t="s">
        <v>712</v>
      </c>
    </row>
    <row r="471">
      <c r="A471" s="172" t="s">
        <v>713</v>
      </c>
    </row>
    <row r="472">
      <c r="A472" s="172" t="s">
        <v>714</v>
      </c>
    </row>
    <row r="473">
      <c r="A473" s="172" t="s">
        <v>711</v>
      </c>
    </row>
    <row r="474">
      <c r="A474" s="172" t="s">
        <v>715</v>
      </c>
    </row>
    <row r="475">
      <c r="A475" s="172" t="s">
        <v>716</v>
      </c>
    </row>
    <row r="476">
      <c r="A476" s="183" t="s">
        <v>139</v>
      </c>
    </row>
    <row r="477">
      <c r="A477" s="172" t="s">
        <v>719</v>
      </c>
    </row>
    <row r="478">
      <c r="A478" s="172" t="s">
        <v>720</v>
      </c>
    </row>
    <row r="479">
      <c r="A479" s="172" t="s">
        <v>721</v>
      </c>
    </row>
    <row r="480">
      <c r="A480" s="183" t="s">
        <v>718</v>
      </c>
    </row>
    <row r="481">
      <c r="A481" s="172" t="s">
        <v>727</v>
      </c>
    </row>
    <row r="482">
      <c r="A482" s="172" t="s">
        <v>728</v>
      </c>
    </row>
    <row r="483">
      <c r="A483" s="172" t="s">
        <v>729</v>
      </c>
    </row>
    <row r="484">
      <c r="A484" s="172" t="s">
        <v>697</v>
      </c>
    </row>
    <row r="485">
      <c r="A485" s="172" t="s">
        <v>732</v>
      </c>
    </row>
    <row r="486">
      <c r="A486" s="172" t="s">
        <v>733</v>
      </c>
    </row>
    <row r="487">
      <c r="A487" s="172" t="s">
        <v>735</v>
      </c>
    </row>
    <row r="488">
      <c r="A488" s="172" t="s">
        <v>736</v>
      </c>
    </row>
    <row r="489">
      <c r="A489" s="172" t="s">
        <v>737</v>
      </c>
    </row>
    <row r="490">
      <c r="A490" s="172" t="s">
        <v>740</v>
      </c>
    </row>
    <row r="491">
      <c r="A491" s="172" t="s">
        <v>741</v>
      </c>
    </row>
    <row r="492">
      <c r="A492" s="172" t="s">
        <v>743</v>
      </c>
    </row>
    <row r="493">
      <c r="A493" s="172" t="s">
        <v>744</v>
      </c>
    </row>
    <row r="494">
      <c r="A494" s="172" t="s">
        <v>745</v>
      </c>
    </row>
    <row r="495">
      <c r="A495" s="172" t="s">
        <v>746</v>
      </c>
    </row>
    <row r="496">
      <c r="A496" s="172" t="s">
        <v>747</v>
      </c>
    </row>
    <row r="497">
      <c r="A497" s="172" t="s">
        <v>748</v>
      </c>
    </row>
    <row r="498">
      <c r="A498" s="172" t="s">
        <v>750</v>
      </c>
    </row>
    <row r="499">
      <c r="A499" s="184" t="s">
        <v>751</v>
      </c>
    </row>
    <row r="500">
      <c r="A500" s="172" t="s">
        <v>753</v>
      </c>
    </row>
    <row r="501">
      <c r="A501" s="172" t="s">
        <v>754</v>
      </c>
    </row>
    <row r="502">
      <c r="A502" s="185" t="s">
        <v>755</v>
      </c>
    </row>
    <row r="503">
      <c r="A503" s="185" t="s">
        <v>732</v>
      </c>
    </row>
    <row r="504">
      <c r="A504" s="185" t="s">
        <v>759</v>
      </c>
    </row>
    <row r="505">
      <c r="A505" s="185" t="s">
        <v>761</v>
      </c>
    </row>
    <row r="506">
      <c r="A506" s="185" t="s">
        <v>762</v>
      </c>
    </row>
    <row r="507">
      <c r="A507" s="186" t="s">
        <v>1229</v>
      </c>
    </row>
    <row r="508">
      <c r="A508" s="185" t="s">
        <v>766</v>
      </c>
    </row>
    <row r="509">
      <c r="A509" s="185" t="s">
        <v>768</v>
      </c>
    </row>
    <row r="510">
      <c r="A510" s="185" t="s">
        <v>770</v>
      </c>
    </row>
    <row r="511">
      <c r="A511" s="185" t="s">
        <v>772</v>
      </c>
    </row>
    <row r="512">
      <c r="A512" s="185" t="s">
        <v>624</v>
      </c>
    </row>
    <row r="513">
      <c r="A513" s="185" t="s">
        <v>774</v>
      </c>
    </row>
    <row r="514">
      <c r="A514" s="185" t="s">
        <v>775</v>
      </c>
    </row>
    <row r="515">
      <c r="A515" s="185" t="s">
        <v>776</v>
      </c>
    </row>
    <row r="516">
      <c r="A516" s="185" t="s">
        <v>732</v>
      </c>
    </row>
    <row r="517">
      <c r="A517" s="185" t="s">
        <v>777</v>
      </c>
    </row>
    <row r="518">
      <c r="A518" s="185" t="s">
        <v>732</v>
      </c>
    </row>
    <row r="519">
      <c r="A519" s="185" t="s">
        <v>779</v>
      </c>
    </row>
    <row r="520">
      <c r="A520" s="185" t="s">
        <v>780</v>
      </c>
    </row>
    <row r="521">
      <c r="A521" s="185" t="s">
        <v>781</v>
      </c>
    </row>
    <row r="522">
      <c r="A522" s="185" t="s">
        <v>782</v>
      </c>
    </row>
    <row r="523">
      <c r="A523" s="185" t="s">
        <v>783</v>
      </c>
    </row>
    <row r="524">
      <c r="A524" s="185" t="s">
        <v>785</v>
      </c>
    </row>
    <row r="525">
      <c r="A525" s="185" t="s">
        <v>786</v>
      </c>
    </row>
    <row r="526">
      <c r="A526" s="185" t="s">
        <v>788</v>
      </c>
    </row>
    <row r="527">
      <c r="A527" s="185" t="s">
        <v>790</v>
      </c>
    </row>
    <row r="528">
      <c r="A528" s="187" t="s">
        <v>791</v>
      </c>
    </row>
    <row r="529">
      <c r="A529" s="188" t="s">
        <v>793</v>
      </c>
    </row>
    <row r="530">
      <c r="A530" s="185" t="s">
        <v>794</v>
      </c>
    </row>
    <row r="531">
      <c r="A531" s="187" t="s">
        <v>795</v>
      </c>
    </row>
    <row r="532">
      <c r="A532" s="189"/>
    </row>
    <row r="533">
      <c r="A533" s="189"/>
    </row>
    <row r="534">
      <c r="A534" s="189"/>
    </row>
    <row r="535">
      <c r="A535" s="189"/>
    </row>
    <row r="536">
      <c r="A536" s="189"/>
    </row>
    <row r="537">
      <c r="A537" s="189"/>
    </row>
    <row r="538">
      <c r="A538" s="189"/>
    </row>
    <row r="539">
      <c r="A539" s="189"/>
    </row>
    <row r="540">
      <c r="A540" s="189"/>
    </row>
    <row r="541">
      <c r="A541" s="189"/>
    </row>
    <row r="542">
      <c r="A542" s="189"/>
    </row>
    <row r="543">
      <c r="A543" s="189"/>
    </row>
    <row r="544">
      <c r="A544" s="189"/>
    </row>
    <row r="545">
      <c r="A545" s="189"/>
    </row>
    <row r="546">
      <c r="A546" s="189"/>
    </row>
    <row r="547">
      <c r="A547" s="189"/>
    </row>
    <row r="548">
      <c r="A548" s="189"/>
    </row>
    <row r="549">
      <c r="A549" s="189"/>
    </row>
    <row r="550">
      <c r="A550" s="189"/>
    </row>
    <row r="551">
      <c r="A551" s="189"/>
    </row>
    <row r="552">
      <c r="A552" s="189"/>
    </row>
    <row r="553">
      <c r="A553" s="189"/>
    </row>
  </sheetData>
  <hyperlinks>
    <hyperlink r:id="rId1" ref="A199"/>
    <hyperlink r:id="rId2" ref="A334"/>
    <hyperlink r:id="rId3" ref="A438"/>
  </hyperlinks>
  <drawing r:id="rId4"/>
</worksheet>
</file>